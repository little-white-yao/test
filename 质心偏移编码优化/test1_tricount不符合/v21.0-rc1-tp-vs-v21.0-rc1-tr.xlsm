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质心偏移编码优化\test1\"/>
    </mc:Choice>
  </mc:AlternateContent>
  <xr:revisionPtr revIDLastSave="0" documentId="13_ncr:1_{9C2A7449-B564-4850-B320-2DE65CABF2F7}" xr6:coauthVersionLast="47" xr6:coauthVersionMax="47" xr10:uidLastSave="{00000000-0000-0000-0000-000000000000}"/>
  <bookViews>
    <workbookView xWindow="-110" yWindow="-110" windowWidth="25820" windowHeight="13900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278" i="5" l="1"/>
  <c r="AQ278" i="5"/>
  <c r="AP278" i="5"/>
  <c r="AO278" i="5"/>
  <c r="AN278" i="5"/>
  <c r="AI278" i="5"/>
  <c r="AR277" i="5"/>
  <c r="AQ277" i="5"/>
  <c r="AP277" i="5"/>
  <c r="AO277" i="5"/>
  <c r="AN277" i="5"/>
  <c r="AI277" i="5"/>
  <c r="AR248" i="5"/>
  <c r="AQ248" i="5"/>
  <c r="AP248" i="5"/>
  <c r="AO248" i="5"/>
  <c r="AN248" i="5"/>
  <c r="AI248" i="5"/>
  <c r="AR230" i="5"/>
  <c r="AQ230" i="5"/>
  <c r="AP230" i="5"/>
  <c r="AO230" i="5"/>
  <c r="AN230" i="5"/>
  <c r="AI230" i="5"/>
  <c r="AR224" i="5"/>
  <c r="AQ224" i="5"/>
  <c r="AP224" i="5"/>
  <c r="AO224" i="5"/>
  <c r="AN224" i="5"/>
  <c r="AI224" i="5"/>
  <c r="AR218" i="5"/>
  <c r="AQ218" i="5"/>
  <c r="AP218" i="5"/>
  <c r="AO218" i="5"/>
  <c r="AN218" i="5"/>
  <c r="AI218" i="5"/>
  <c r="AR200" i="5"/>
  <c r="AQ200" i="5"/>
  <c r="AP200" i="5"/>
  <c r="AO200" i="5"/>
  <c r="AN200" i="5"/>
  <c r="AI200" i="5"/>
  <c r="AR182" i="5"/>
  <c r="AQ182" i="5"/>
  <c r="AP182" i="5"/>
  <c r="AO182" i="5"/>
  <c r="AN182" i="5"/>
  <c r="AI182" i="5"/>
  <c r="AR181" i="5"/>
  <c r="AQ181" i="5"/>
  <c r="AP181" i="5"/>
  <c r="AO181" i="5"/>
  <c r="AN181" i="5"/>
  <c r="AI181" i="5"/>
  <c r="AR152" i="5"/>
  <c r="AQ152" i="5"/>
  <c r="AP152" i="5"/>
  <c r="AO152" i="5"/>
  <c r="AN152" i="5"/>
  <c r="AI152" i="5"/>
  <c r="AR98" i="5"/>
  <c r="AQ98" i="5"/>
  <c r="AP98" i="5"/>
  <c r="AO98" i="5"/>
  <c r="AN98" i="5"/>
  <c r="AI98" i="5"/>
  <c r="AR92" i="5"/>
  <c r="AQ92" i="5"/>
  <c r="AP92" i="5"/>
  <c r="AO92" i="5"/>
  <c r="AN92" i="5"/>
  <c r="AI92" i="5"/>
  <c r="AR86" i="5"/>
  <c r="AQ86" i="5"/>
  <c r="AP86" i="5"/>
  <c r="AO86" i="5"/>
  <c r="AN86" i="5"/>
  <c r="AI86" i="5"/>
  <c r="AR68" i="5"/>
  <c r="AQ68" i="5"/>
  <c r="AP68" i="5"/>
  <c r="AO68" i="5"/>
  <c r="AN68" i="5"/>
  <c r="AI68" i="5"/>
  <c r="C43" i="1"/>
  <c r="AI5" i="5" l="1"/>
  <c r="AN5" i="5"/>
  <c r="AO5" i="5"/>
  <c r="AP5" i="5"/>
  <c r="AQ5" i="5"/>
  <c r="AR5" i="5"/>
  <c r="AI6" i="5"/>
  <c r="AN6" i="5"/>
  <c r="AO6" i="5"/>
  <c r="AP6" i="5"/>
  <c r="AQ6" i="5"/>
  <c r="AR6" i="5"/>
  <c r="AI7" i="5"/>
  <c r="AN7" i="5"/>
  <c r="AO7" i="5"/>
  <c r="AP7" i="5"/>
  <c r="AQ7" i="5"/>
  <c r="AR7" i="5"/>
  <c r="AI8" i="5"/>
  <c r="AN8" i="5"/>
  <c r="AO8" i="5"/>
  <c r="AP8" i="5"/>
  <c r="AQ8" i="5"/>
  <c r="AR8" i="5"/>
  <c r="AI11" i="5"/>
  <c r="AN11" i="5"/>
  <c r="AO11" i="5"/>
  <c r="AP11" i="5"/>
  <c r="AQ11" i="5"/>
  <c r="AR11" i="5"/>
  <c r="AI12" i="5"/>
  <c r="AN12" i="5"/>
  <c r="AO12" i="5"/>
  <c r="AP12" i="5"/>
  <c r="AQ12" i="5"/>
  <c r="AR12" i="5"/>
  <c r="AI13" i="5"/>
  <c r="AN13" i="5"/>
  <c r="AO13" i="5"/>
  <c r="AP13" i="5"/>
  <c r="AQ13" i="5"/>
  <c r="AR13" i="5"/>
  <c r="AI14" i="5"/>
  <c r="AN14" i="5"/>
  <c r="AO14" i="5"/>
  <c r="AP14" i="5"/>
  <c r="AQ14" i="5"/>
  <c r="AR14" i="5"/>
  <c r="AI17" i="5"/>
  <c r="AN17" i="5"/>
  <c r="AO17" i="5"/>
  <c r="AP17" i="5"/>
  <c r="AQ17" i="5"/>
  <c r="AR17" i="5"/>
  <c r="AI18" i="5"/>
  <c r="AN18" i="5"/>
  <c r="AO18" i="5"/>
  <c r="AP18" i="5"/>
  <c r="AQ18" i="5"/>
  <c r="AR18" i="5"/>
  <c r="AI19" i="5"/>
  <c r="AN19" i="5"/>
  <c r="AO19" i="5"/>
  <c r="AP19" i="5"/>
  <c r="AQ19" i="5"/>
  <c r="AR19" i="5"/>
  <c r="AI20" i="5"/>
  <c r="AN20" i="5"/>
  <c r="AO20" i="5"/>
  <c r="AP20" i="5"/>
  <c r="AQ20" i="5"/>
  <c r="AR20" i="5"/>
  <c r="AI23" i="5"/>
  <c r="AN23" i="5"/>
  <c r="AO23" i="5"/>
  <c r="AP23" i="5"/>
  <c r="AQ23" i="5"/>
  <c r="AR23" i="5"/>
  <c r="AI24" i="5"/>
  <c r="AN24" i="5"/>
  <c r="AO24" i="5"/>
  <c r="AP24" i="5"/>
  <c r="AQ24" i="5"/>
  <c r="AR24" i="5"/>
  <c r="AI25" i="5"/>
  <c r="AN25" i="5"/>
  <c r="AO25" i="5"/>
  <c r="AP25" i="5"/>
  <c r="AQ25" i="5"/>
  <c r="AR25" i="5"/>
  <c r="AI26" i="5"/>
  <c r="AN26" i="5"/>
  <c r="AO26" i="5"/>
  <c r="AP26" i="5"/>
  <c r="AQ26" i="5"/>
  <c r="AR26" i="5"/>
  <c r="AI29" i="5"/>
  <c r="AN29" i="5"/>
  <c r="AO29" i="5"/>
  <c r="AP29" i="5"/>
  <c r="AQ29" i="5"/>
  <c r="AR29" i="5"/>
  <c r="AI30" i="5"/>
  <c r="AN30" i="5"/>
  <c r="AO30" i="5"/>
  <c r="AP30" i="5"/>
  <c r="AQ30" i="5"/>
  <c r="AR30" i="5"/>
  <c r="AI31" i="5"/>
  <c r="AN31" i="5"/>
  <c r="AO31" i="5"/>
  <c r="AP31" i="5"/>
  <c r="AQ31" i="5"/>
  <c r="AR31" i="5"/>
  <c r="AI32" i="5"/>
  <c r="AN32" i="5"/>
  <c r="AO32" i="5"/>
  <c r="AP32" i="5"/>
  <c r="AQ32" i="5"/>
  <c r="AR32" i="5"/>
  <c r="AI35" i="5"/>
  <c r="AN35" i="5"/>
  <c r="AO35" i="5"/>
  <c r="AP35" i="5"/>
  <c r="AQ35" i="5"/>
  <c r="AR35" i="5"/>
  <c r="AI36" i="5"/>
  <c r="AN36" i="5"/>
  <c r="AO36" i="5"/>
  <c r="AP36" i="5"/>
  <c r="AQ36" i="5"/>
  <c r="AR36" i="5"/>
  <c r="AI37" i="5"/>
  <c r="AN37" i="5"/>
  <c r="AO37" i="5"/>
  <c r="AP37" i="5"/>
  <c r="AQ37" i="5"/>
  <c r="AR37" i="5"/>
  <c r="AI38" i="5"/>
  <c r="AN38" i="5"/>
  <c r="AO38" i="5"/>
  <c r="AP38" i="5"/>
  <c r="AQ38" i="5"/>
  <c r="AR38" i="5"/>
  <c r="AI41" i="5"/>
  <c r="AN41" i="5"/>
  <c r="AO41" i="5"/>
  <c r="AP41" i="5"/>
  <c r="AQ41" i="5"/>
  <c r="AR41" i="5"/>
  <c r="AI42" i="5"/>
  <c r="AN42" i="5"/>
  <c r="AO42" i="5"/>
  <c r="AP42" i="5"/>
  <c r="AQ42" i="5"/>
  <c r="AR42" i="5"/>
  <c r="AI43" i="5"/>
  <c r="AN43" i="5"/>
  <c r="AO43" i="5"/>
  <c r="AP43" i="5"/>
  <c r="AQ43" i="5"/>
  <c r="AR43" i="5"/>
  <c r="AI44" i="5"/>
  <c r="AN44" i="5"/>
  <c r="AO44" i="5"/>
  <c r="AP44" i="5"/>
  <c r="AQ44" i="5"/>
  <c r="AR44" i="5"/>
  <c r="AI47" i="5"/>
  <c r="AN47" i="5"/>
  <c r="AO47" i="5"/>
  <c r="AP47" i="5"/>
  <c r="AQ47" i="5"/>
  <c r="AR47" i="5"/>
  <c r="AI48" i="5"/>
  <c r="AN48" i="5"/>
  <c r="AO48" i="5"/>
  <c r="AP48" i="5"/>
  <c r="AQ48" i="5"/>
  <c r="AR48" i="5"/>
  <c r="AI49" i="5"/>
  <c r="AN49" i="5"/>
  <c r="AO49" i="5"/>
  <c r="AP49" i="5"/>
  <c r="AQ49" i="5"/>
  <c r="AR49" i="5"/>
  <c r="AI50" i="5"/>
  <c r="AN50" i="5"/>
  <c r="AO50" i="5"/>
  <c r="AP50" i="5"/>
  <c r="AQ50" i="5"/>
  <c r="AR50" i="5"/>
  <c r="AI53" i="5"/>
  <c r="AN53" i="5"/>
  <c r="AO53" i="5"/>
  <c r="AP53" i="5"/>
  <c r="AQ53" i="5"/>
  <c r="AR53" i="5"/>
  <c r="AI54" i="5"/>
  <c r="AN54" i="5"/>
  <c r="AO54" i="5"/>
  <c r="AP54" i="5"/>
  <c r="AQ54" i="5"/>
  <c r="AR54" i="5"/>
  <c r="AI55" i="5"/>
  <c r="AN55" i="5"/>
  <c r="AO55" i="5"/>
  <c r="AP55" i="5"/>
  <c r="AQ55" i="5"/>
  <c r="AR55" i="5"/>
  <c r="AI56" i="5"/>
  <c r="AN56" i="5"/>
  <c r="AO56" i="5"/>
  <c r="AP56" i="5"/>
  <c r="AQ56" i="5"/>
  <c r="AR56" i="5"/>
  <c r="AI59" i="5"/>
  <c r="AN59" i="5"/>
  <c r="AO59" i="5"/>
  <c r="AP59" i="5"/>
  <c r="AQ59" i="5"/>
  <c r="AR59" i="5"/>
  <c r="AI60" i="5"/>
  <c r="AN60" i="5"/>
  <c r="AO60" i="5"/>
  <c r="AP60" i="5"/>
  <c r="AQ60" i="5"/>
  <c r="AR60" i="5"/>
  <c r="AI61" i="5"/>
  <c r="AN61" i="5"/>
  <c r="AO61" i="5"/>
  <c r="AP61" i="5"/>
  <c r="AQ61" i="5"/>
  <c r="AR61" i="5"/>
  <c r="AI62" i="5"/>
  <c r="AN62" i="5"/>
  <c r="AO62" i="5"/>
  <c r="AP62" i="5"/>
  <c r="AQ62" i="5"/>
  <c r="AR62" i="5"/>
  <c r="AI65" i="5"/>
  <c r="AN65" i="5"/>
  <c r="AO65" i="5"/>
  <c r="AP65" i="5"/>
  <c r="AQ65" i="5"/>
  <c r="AR65" i="5"/>
  <c r="AI66" i="5"/>
  <c r="AN66" i="5"/>
  <c r="AO66" i="5"/>
  <c r="AP66" i="5"/>
  <c r="AQ66" i="5"/>
  <c r="AR66" i="5"/>
  <c r="AI67" i="5"/>
  <c r="AN67" i="5"/>
  <c r="AO67" i="5"/>
  <c r="AP67" i="5"/>
  <c r="AQ67" i="5"/>
  <c r="AR67" i="5"/>
  <c r="AI71" i="5"/>
  <c r="AN71" i="5"/>
  <c r="AO71" i="5"/>
  <c r="AP71" i="5"/>
  <c r="AQ71" i="5"/>
  <c r="AR71" i="5"/>
  <c r="AI72" i="5"/>
  <c r="AN72" i="5"/>
  <c r="AO72" i="5"/>
  <c r="AP72" i="5"/>
  <c r="AQ72" i="5"/>
  <c r="AR72" i="5"/>
  <c r="AI73" i="5"/>
  <c r="AN73" i="5"/>
  <c r="AO73" i="5"/>
  <c r="AP73" i="5"/>
  <c r="AQ73" i="5"/>
  <c r="AR73" i="5"/>
  <c r="AI74" i="5"/>
  <c r="AN74" i="5"/>
  <c r="AO74" i="5"/>
  <c r="AP74" i="5"/>
  <c r="AQ74" i="5"/>
  <c r="AR74" i="5"/>
  <c r="AI77" i="5"/>
  <c r="AN77" i="5"/>
  <c r="AO77" i="5"/>
  <c r="AP77" i="5"/>
  <c r="AQ77" i="5"/>
  <c r="AR77" i="5"/>
  <c r="AI78" i="5"/>
  <c r="AN78" i="5"/>
  <c r="AO78" i="5"/>
  <c r="AP78" i="5"/>
  <c r="AQ78" i="5"/>
  <c r="AR78" i="5"/>
  <c r="AI79" i="5"/>
  <c r="AN79" i="5"/>
  <c r="AO79" i="5"/>
  <c r="AP79" i="5"/>
  <c r="AQ79" i="5"/>
  <c r="AR79" i="5"/>
  <c r="AI80" i="5"/>
  <c r="AN80" i="5"/>
  <c r="AO80" i="5"/>
  <c r="AP80" i="5"/>
  <c r="AQ80" i="5"/>
  <c r="AR80" i="5"/>
  <c r="AI83" i="5"/>
  <c r="AN83" i="5"/>
  <c r="AO83" i="5"/>
  <c r="AP83" i="5"/>
  <c r="AQ83" i="5"/>
  <c r="AR83" i="5"/>
  <c r="AI84" i="5"/>
  <c r="AN84" i="5"/>
  <c r="AO84" i="5"/>
  <c r="AP84" i="5"/>
  <c r="AQ84" i="5"/>
  <c r="AR84" i="5"/>
  <c r="AI85" i="5"/>
  <c r="AN85" i="5"/>
  <c r="AO85" i="5"/>
  <c r="AP85" i="5"/>
  <c r="AQ85" i="5"/>
  <c r="AR85" i="5"/>
  <c r="AI89" i="5"/>
  <c r="AN89" i="5"/>
  <c r="AO89" i="5"/>
  <c r="AP89" i="5"/>
  <c r="AQ89" i="5"/>
  <c r="AR89" i="5"/>
  <c r="AI90" i="5"/>
  <c r="AN90" i="5"/>
  <c r="AO90" i="5"/>
  <c r="AP90" i="5"/>
  <c r="AQ90" i="5"/>
  <c r="AR90" i="5"/>
  <c r="AI91" i="5"/>
  <c r="AN91" i="5"/>
  <c r="AO91" i="5"/>
  <c r="AP91" i="5"/>
  <c r="AQ91" i="5"/>
  <c r="AR91" i="5"/>
  <c r="AI95" i="5"/>
  <c r="AN95" i="5"/>
  <c r="AO95" i="5"/>
  <c r="AP95" i="5"/>
  <c r="AQ95" i="5"/>
  <c r="AR95" i="5"/>
  <c r="AI96" i="5"/>
  <c r="AN96" i="5"/>
  <c r="AO96" i="5"/>
  <c r="AP96" i="5"/>
  <c r="AQ96" i="5"/>
  <c r="AR96" i="5"/>
  <c r="AI97" i="5"/>
  <c r="AN97" i="5"/>
  <c r="AO97" i="5"/>
  <c r="AP97" i="5"/>
  <c r="AQ97" i="5"/>
  <c r="AR97" i="5"/>
  <c r="AI101" i="5"/>
  <c r="AN101" i="5"/>
  <c r="AO101" i="5"/>
  <c r="AP101" i="5"/>
  <c r="AQ101" i="5"/>
  <c r="AR101" i="5"/>
  <c r="AI102" i="5"/>
  <c r="AN102" i="5"/>
  <c r="AO102" i="5"/>
  <c r="AP102" i="5"/>
  <c r="AQ102" i="5"/>
  <c r="AR102" i="5"/>
  <c r="AI103" i="5"/>
  <c r="AN103" i="5"/>
  <c r="AO103" i="5"/>
  <c r="AP103" i="5"/>
  <c r="AQ103" i="5"/>
  <c r="AR103" i="5"/>
  <c r="AI104" i="5"/>
  <c r="AN104" i="5"/>
  <c r="AO104" i="5"/>
  <c r="AP104" i="5"/>
  <c r="AQ104" i="5"/>
  <c r="AR104" i="5"/>
  <c r="AI107" i="5"/>
  <c r="AN107" i="5"/>
  <c r="AO107" i="5"/>
  <c r="AP107" i="5"/>
  <c r="AQ107" i="5"/>
  <c r="AR107" i="5"/>
  <c r="AI108" i="5"/>
  <c r="AN108" i="5"/>
  <c r="AO108" i="5"/>
  <c r="AP108" i="5"/>
  <c r="AQ108" i="5"/>
  <c r="AR108" i="5"/>
  <c r="AI109" i="5"/>
  <c r="AN109" i="5"/>
  <c r="AO109" i="5"/>
  <c r="AP109" i="5"/>
  <c r="AQ109" i="5"/>
  <c r="AR109" i="5"/>
  <c r="AI110" i="5"/>
  <c r="AN110" i="5"/>
  <c r="AO110" i="5"/>
  <c r="AP110" i="5"/>
  <c r="AQ110" i="5"/>
  <c r="AR110" i="5"/>
  <c r="AI113" i="5"/>
  <c r="AN113" i="5"/>
  <c r="AO113" i="5"/>
  <c r="AP113" i="5"/>
  <c r="AQ113" i="5"/>
  <c r="AR113" i="5"/>
  <c r="AI114" i="5"/>
  <c r="AN114" i="5"/>
  <c r="AO114" i="5"/>
  <c r="AP114" i="5"/>
  <c r="AQ114" i="5"/>
  <c r="AR114" i="5"/>
  <c r="AI115" i="5"/>
  <c r="AN115" i="5"/>
  <c r="AO115" i="5"/>
  <c r="AP115" i="5"/>
  <c r="AQ115" i="5"/>
  <c r="AR115" i="5"/>
  <c r="AI116" i="5"/>
  <c r="AN116" i="5"/>
  <c r="AO116" i="5"/>
  <c r="AP116" i="5"/>
  <c r="AQ116" i="5"/>
  <c r="AR116" i="5"/>
  <c r="AI119" i="5"/>
  <c r="AN119" i="5"/>
  <c r="AO119" i="5"/>
  <c r="AP119" i="5"/>
  <c r="AQ119" i="5"/>
  <c r="AR119" i="5"/>
  <c r="AI120" i="5"/>
  <c r="AN120" i="5"/>
  <c r="AO120" i="5"/>
  <c r="AP120" i="5"/>
  <c r="AQ120" i="5"/>
  <c r="AR120" i="5"/>
  <c r="AI121" i="5"/>
  <c r="AN121" i="5"/>
  <c r="AO121" i="5"/>
  <c r="AP121" i="5"/>
  <c r="AQ121" i="5"/>
  <c r="AR121" i="5"/>
  <c r="AI122" i="5"/>
  <c r="AN122" i="5"/>
  <c r="AO122" i="5"/>
  <c r="AP122" i="5"/>
  <c r="AQ122" i="5"/>
  <c r="AR122" i="5"/>
  <c r="AI125" i="5"/>
  <c r="AN125" i="5"/>
  <c r="AO125" i="5"/>
  <c r="AP125" i="5"/>
  <c r="AQ125" i="5"/>
  <c r="AR125" i="5"/>
  <c r="AI126" i="5"/>
  <c r="AN126" i="5"/>
  <c r="AO126" i="5"/>
  <c r="AP126" i="5"/>
  <c r="AQ126" i="5"/>
  <c r="AR126" i="5"/>
  <c r="AI127" i="5"/>
  <c r="AN127" i="5"/>
  <c r="AO127" i="5"/>
  <c r="AP127" i="5"/>
  <c r="AQ127" i="5"/>
  <c r="AR127" i="5"/>
  <c r="AI128" i="5"/>
  <c r="AN128" i="5"/>
  <c r="AO128" i="5"/>
  <c r="AP128" i="5"/>
  <c r="AQ128" i="5"/>
  <c r="AR128" i="5"/>
  <c r="AI131" i="5"/>
  <c r="AN131" i="5"/>
  <c r="AO131" i="5"/>
  <c r="AP131" i="5"/>
  <c r="AQ131" i="5"/>
  <c r="AR131" i="5"/>
  <c r="AI132" i="5"/>
  <c r="AN132" i="5"/>
  <c r="AO132" i="5"/>
  <c r="AP132" i="5"/>
  <c r="AQ132" i="5"/>
  <c r="AR132" i="5"/>
  <c r="AI133" i="5"/>
  <c r="AN133" i="5"/>
  <c r="AO133" i="5"/>
  <c r="AP133" i="5"/>
  <c r="AQ133" i="5"/>
  <c r="AR133" i="5"/>
  <c r="AI134" i="5"/>
  <c r="AN134" i="5"/>
  <c r="AO134" i="5"/>
  <c r="AP134" i="5"/>
  <c r="AQ134" i="5"/>
  <c r="AR134" i="5"/>
  <c r="AI137" i="5"/>
  <c r="AN137" i="5"/>
  <c r="AO137" i="5"/>
  <c r="AP137" i="5"/>
  <c r="AQ137" i="5"/>
  <c r="AR137" i="5"/>
  <c r="AI138" i="5"/>
  <c r="AN138" i="5"/>
  <c r="AO138" i="5"/>
  <c r="AP138" i="5"/>
  <c r="AQ138" i="5"/>
  <c r="AR138" i="5"/>
  <c r="AI139" i="5"/>
  <c r="AN139" i="5"/>
  <c r="AO139" i="5"/>
  <c r="AP139" i="5"/>
  <c r="AQ139" i="5"/>
  <c r="AR139" i="5"/>
  <c r="AI140" i="5"/>
  <c r="AN140" i="5"/>
  <c r="AO140" i="5"/>
  <c r="AP140" i="5"/>
  <c r="AQ140" i="5"/>
  <c r="AR140" i="5"/>
  <c r="AI143" i="5"/>
  <c r="AN143" i="5"/>
  <c r="AO143" i="5"/>
  <c r="AP143" i="5"/>
  <c r="AQ143" i="5"/>
  <c r="AR143" i="5"/>
  <c r="AI144" i="5"/>
  <c r="AN144" i="5"/>
  <c r="AO144" i="5"/>
  <c r="AP144" i="5"/>
  <c r="AQ144" i="5"/>
  <c r="AR144" i="5"/>
  <c r="AI145" i="5"/>
  <c r="AN145" i="5"/>
  <c r="AO145" i="5"/>
  <c r="AP145" i="5"/>
  <c r="AQ145" i="5"/>
  <c r="AR145" i="5"/>
  <c r="AI146" i="5"/>
  <c r="AN146" i="5"/>
  <c r="AO146" i="5"/>
  <c r="AP146" i="5"/>
  <c r="AQ146" i="5"/>
  <c r="AR146" i="5"/>
  <c r="AI149" i="5"/>
  <c r="AN149" i="5"/>
  <c r="AO149" i="5"/>
  <c r="AP149" i="5"/>
  <c r="AQ149" i="5"/>
  <c r="AR149" i="5"/>
  <c r="AI150" i="5"/>
  <c r="AN150" i="5"/>
  <c r="AO150" i="5"/>
  <c r="AP150" i="5"/>
  <c r="AQ150" i="5"/>
  <c r="AR150" i="5"/>
  <c r="AI151" i="5"/>
  <c r="AN151" i="5"/>
  <c r="AO151" i="5"/>
  <c r="AP151" i="5"/>
  <c r="AQ151" i="5"/>
  <c r="AR151" i="5"/>
  <c r="AI155" i="5"/>
  <c r="AN155" i="5"/>
  <c r="AO155" i="5"/>
  <c r="AP155" i="5"/>
  <c r="AQ155" i="5"/>
  <c r="AR155" i="5"/>
  <c r="AI156" i="5"/>
  <c r="AN156" i="5"/>
  <c r="AO156" i="5"/>
  <c r="AP156" i="5"/>
  <c r="AQ156" i="5"/>
  <c r="AR156" i="5"/>
  <c r="AI157" i="5"/>
  <c r="AN157" i="5"/>
  <c r="AO157" i="5"/>
  <c r="AP157" i="5"/>
  <c r="AQ157" i="5"/>
  <c r="AR157" i="5"/>
  <c r="AI158" i="5"/>
  <c r="AN158" i="5"/>
  <c r="AO158" i="5"/>
  <c r="AP158" i="5"/>
  <c r="AQ158" i="5"/>
  <c r="AR158" i="5"/>
  <c r="AI161" i="5"/>
  <c r="AN161" i="5"/>
  <c r="AO161" i="5"/>
  <c r="AP161" i="5"/>
  <c r="AQ161" i="5"/>
  <c r="AR161" i="5"/>
  <c r="AI162" i="5"/>
  <c r="AN162" i="5"/>
  <c r="AO162" i="5"/>
  <c r="AP162" i="5"/>
  <c r="AQ162" i="5"/>
  <c r="AR162" i="5"/>
  <c r="AI163" i="5"/>
  <c r="AN163" i="5"/>
  <c r="AO163" i="5"/>
  <c r="AP163" i="5"/>
  <c r="AQ163" i="5"/>
  <c r="AR163" i="5"/>
  <c r="AI164" i="5"/>
  <c r="AN164" i="5"/>
  <c r="AO164" i="5"/>
  <c r="AP164" i="5"/>
  <c r="AQ164" i="5"/>
  <c r="AR164" i="5"/>
  <c r="AI167" i="5"/>
  <c r="AN167" i="5"/>
  <c r="AO167" i="5"/>
  <c r="AP167" i="5"/>
  <c r="AQ167" i="5"/>
  <c r="AR167" i="5"/>
  <c r="AI168" i="5"/>
  <c r="AN168" i="5"/>
  <c r="AO168" i="5"/>
  <c r="AP168" i="5"/>
  <c r="AQ168" i="5"/>
  <c r="AR168" i="5"/>
  <c r="AI169" i="5"/>
  <c r="AN169" i="5"/>
  <c r="AO169" i="5"/>
  <c r="AP169" i="5"/>
  <c r="AQ169" i="5"/>
  <c r="AR169" i="5"/>
  <c r="AI170" i="5"/>
  <c r="AN170" i="5"/>
  <c r="AO170" i="5"/>
  <c r="AP170" i="5"/>
  <c r="AQ170" i="5"/>
  <c r="AR170" i="5"/>
  <c r="AI173" i="5"/>
  <c r="AN173" i="5"/>
  <c r="AO173" i="5"/>
  <c r="AP173" i="5"/>
  <c r="AQ173" i="5"/>
  <c r="AR173" i="5"/>
  <c r="AI174" i="5"/>
  <c r="AN174" i="5"/>
  <c r="AO174" i="5"/>
  <c r="AP174" i="5"/>
  <c r="AQ174" i="5"/>
  <c r="AR174" i="5"/>
  <c r="AI175" i="5"/>
  <c r="AN175" i="5"/>
  <c r="AO175" i="5"/>
  <c r="AP175" i="5"/>
  <c r="AQ175" i="5"/>
  <c r="AR175" i="5"/>
  <c r="AI176" i="5"/>
  <c r="AN176" i="5"/>
  <c r="AO176" i="5"/>
  <c r="AP176" i="5"/>
  <c r="AQ176" i="5"/>
  <c r="AR176" i="5"/>
  <c r="AI179" i="5"/>
  <c r="AN179" i="5"/>
  <c r="AO179" i="5"/>
  <c r="AP179" i="5"/>
  <c r="AQ179" i="5"/>
  <c r="AR179" i="5"/>
  <c r="AI180" i="5"/>
  <c r="AN180" i="5"/>
  <c r="AO180" i="5"/>
  <c r="AP180" i="5"/>
  <c r="AQ180" i="5"/>
  <c r="AR180" i="5"/>
  <c r="AI185" i="5"/>
  <c r="AN185" i="5"/>
  <c r="AO185" i="5"/>
  <c r="AP185" i="5"/>
  <c r="AQ185" i="5"/>
  <c r="AR185" i="5"/>
  <c r="AI186" i="5"/>
  <c r="AN186" i="5"/>
  <c r="AO186" i="5"/>
  <c r="AP186" i="5"/>
  <c r="AQ186" i="5"/>
  <c r="AR186" i="5"/>
  <c r="AI187" i="5"/>
  <c r="AN187" i="5"/>
  <c r="AO187" i="5"/>
  <c r="AP187" i="5"/>
  <c r="AQ187" i="5"/>
  <c r="AR187" i="5"/>
  <c r="AI188" i="5"/>
  <c r="AN188" i="5"/>
  <c r="AO188" i="5"/>
  <c r="AP188" i="5"/>
  <c r="AQ188" i="5"/>
  <c r="AR188" i="5"/>
  <c r="AI191" i="5"/>
  <c r="AN191" i="5"/>
  <c r="AO191" i="5"/>
  <c r="AP191" i="5"/>
  <c r="AQ191" i="5"/>
  <c r="AR191" i="5"/>
  <c r="AI192" i="5"/>
  <c r="AN192" i="5"/>
  <c r="AO192" i="5"/>
  <c r="AP192" i="5"/>
  <c r="AQ192" i="5"/>
  <c r="AR192" i="5"/>
  <c r="AI193" i="5"/>
  <c r="AN193" i="5"/>
  <c r="AO193" i="5"/>
  <c r="AP193" i="5"/>
  <c r="AQ193" i="5"/>
  <c r="AR193" i="5"/>
  <c r="AI194" i="5"/>
  <c r="AN194" i="5"/>
  <c r="AO194" i="5"/>
  <c r="AP194" i="5"/>
  <c r="AQ194" i="5"/>
  <c r="AR194" i="5"/>
  <c r="AI197" i="5"/>
  <c r="AN197" i="5"/>
  <c r="AO197" i="5"/>
  <c r="AP197" i="5"/>
  <c r="AQ197" i="5"/>
  <c r="AR197" i="5"/>
  <c r="AI198" i="5"/>
  <c r="AN198" i="5"/>
  <c r="AO198" i="5"/>
  <c r="AP198" i="5"/>
  <c r="AQ198" i="5"/>
  <c r="AR198" i="5"/>
  <c r="AI199" i="5"/>
  <c r="AN199" i="5"/>
  <c r="AO199" i="5"/>
  <c r="AP199" i="5"/>
  <c r="AQ199" i="5"/>
  <c r="AR199" i="5"/>
  <c r="AI203" i="5"/>
  <c r="AN203" i="5"/>
  <c r="AO203" i="5"/>
  <c r="AP203" i="5"/>
  <c r="AQ203" i="5"/>
  <c r="AR203" i="5"/>
  <c r="AI204" i="5"/>
  <c r="AN204" i="5"/>
  <c r="AO204" i="5"/>
  <c r="AP204" i="5"/>
  <c r="AQ204" i="5"/>
  <c r="AR204" i="5"/>
  <c r="AI205" i="5"/>
  <c r="AN205" i="5"/>
  <c r="AO205" i="5"/>
  <c r="AP205" i="5"/>
  <c r="AQ205" i="5"/>
  <c r="AR205" i="5"/>
  <c r="AI206" i="5"/>
  <c r="AN206" i="5"/>
  <c r="AO206" i="5"/>
  <c r="AP206" i="5"/>
  <c r="AQ206" i="5"/>
  <c r="AR206" i="5"/>
  <c r="AI209" i="5"/>
  <c r="AN209" i="5"/>
  <c r="AO209" i="5"/>
  <c r="AP209" i="5"/>
  <c r="AQ209" i="5"/>
  <c r="AR209" i="5"/>
  <c r="AI210" i="5"/>
  <c r="AN210" i="5"/>
  <c r="AO210" i="5"/>
  <c r="AP210" i="5"/>
  <c r="AQ210" i="5"/>
  <c r="AR210" i="5"/>
  <c r="AI211" i="5"/>
  <c r="AN211" i="5"/>
  <c r="AO211" i="5"/>
  <c r="AP211" i="5"/>
  <c r="AQ211" i="5"/>
  <c r="AR211" i="5"/>
  <c r="AI212" i="5"/>
  <c r="AN212" i="5"/>
  <c r="AO212" i="5"/>
  <c r="AP212" i="5"/>
  <c r="AQ212" i="5"/>
  <c r="AR212" i="5"/>
  <c r="AI215" i="5"/>
  <c r="AN215" i="5"/>
  <c r="AO215" i="5"/>
  <c r="AP215" i="5"/>
  <c r="AQ215" i="5"/>
  <c r="AR215" i="5"/>
  <c r="AI216" i="5"/>
  <c r="AN216" i="5"/>
  <c r="AO216" i="5"/>
  <c r="AP216" i="5"/>
  <c r="AQ216" i="5"/>
  <c r="AR216" i="5"/>
  <c r="AI217" i="5"/>
  <c r="AN217" i="5"/>
  <c r="AO217" i="5"/>
  <c r="AP217" i="5"/>
  <c r="AQ217" i="5"/>
  <c r="AR217" i="5"/>
  <c r="AI221" i="5"/>
  <c r="AN221" i="5"/>
  <c r="AO221" i="5"/>
  <c r="AP221" i="5"/>
  <c r="AQ221" i="5"/>
  <c r="AR221" i="5"/>
  <c r="AI222" i="5"/>
  <c r="AN222" i="5"/>
  <c r="AO222" i="5"/>
  <c r="AP222" i="5"/>
  <c r="AQ222" i="5"/>
  <c r="AR222" i="5"/>
  <c r="AI223" i="5"/>
  <c r="AN223" i="5"/>
  <c r="AO223" i="5"/>
  <c r="AP223" i="5"/>
  <c r="AQ223" i="5"/>
  <c r="AR223" i="5"/>
  <c r="AI227" i="5"/>
  <c r="AN227" i="5"/>
  <c r="AO227" i="5"/>
  <c r="AP227" i="5"/>
  <c r="AQ227" i="5"/>
  <c r="AR227" i="5"/>
  <c r="AI228" i="5"/>
  <c r="AN228" i="5"/>
  <c r="AO228" i="5"/>
  <c r="AP228" i="5"/>
  <c r="AQ228" i="5"/>
  <c r="AR228" i="5"/>
  <c r="AI229" i="5"/>
  <c r="AN229" i="5"/>
  <c r="AO229" i="5"/>
  <c r="AP229" i="5"/>
  <c r="AQ229" i="5"/>
  <c r="AR229" i="5"/>
  <c r="AI233" i="5"/>
  <c r="AN233" i="5"/>
  <c r="AO233" i="5"/>
  <c r="AP233" i="5"/>
  <c r="AQ233" i="5"/>
  <c r="AR233" i="5"/>
  <c r="AI234" i="5"/>
  <c r="AN234" i="5"/>
  <c r="AO234" i="5"/>
  <c r="AP234" i="5"/>
  <c r="AQ234" i="5"/>
  <c r="AR234" i="5"/>
  <c r="AI235" i="5"/>
  <c r="AN235" i="5"/>
  <c r="AO235" i="5"/>
  <c r="AP235" i="5"/>
  <c r="AQ235" i="5"/>
  <c r="AR235" i="5"/>
  <c r="AI236" i="5"/>
  <c r="AN236" i="5"/>
  <c r="AO236" i="5"/>
  <c r="AP236" i="5"/>
  <c r="AQ236" i="5"/>
  <c r="AR236" i="5"/>
  <c r="AI239" i="5"/>
  <c r="AN239" i="5"/>
  <c r="AO239" i="5"/>
  <c r="AP239" i="5"/>
  <c r="AQ239" i="5"/>
  <c r="AR239" i="5"/>
  <c r="AI240" i="5"/>
  <c r="AN240" i="5"/>
  <c r="AO240" i="5"/>
  <c r="AP240" i="5"/>
  <c r="AQ240" i="5"/>
  <c r="AR240" i="5"/>
  <c r="AI241" i="5"/>
  <c r="AN241" i="5"/>
  <c r="AO241" i="5"/>
  <c r="AP241" i="5"/>
  <c r="AQ241" i="5"/>
  <c r="AR241" i="5"/>
  <c r="AI242" i="5"/>
  <c r="AN242" i="5"/>
  <c r="AO242" i="5"/>
  <c r="AP242" i="5"/>
  <c r="AQ242" i="5"/>
  <c r="AR242" i="5"/>
  <c r="AI245" i="5"/>
  <c r="AN245" i="5"/>
  <c r="AO245" i="5"/>
  <c r="AP245" i="5"/>
  <c r="AQ245" i="5"/>
  <c r="AR245" i="5"/>
  <c r="AI246" i="5"/>
  <c r="AN246" i="5"/>
  <c r="AO246" i="5"/>
  <c r="AP246" i="5"/>
  <c r="AQ246" i="5"/>
  <c r="AR246" i="5"/>
  <c r="AI247" i="5"/>
  <c r="AN247" i="5"/>
  <c r="AO247" i="5"/>
  <c r="AP247" i="5"/>
  <c r="AQ247" i="5"/>
  <c r="AR247" i="5"/>
  <c r="AI251" i="5"/>
  <c r="AN251" i="5"/>
  <c r="AO251" i="5"/>
  <c r="AP251" i="5"/>
  <c r="AQ251" i="5"/>
  <c r="AR251" i="5"/>
  <c r="AI252" i="5"/>
  <c r="AN252" i="5"/>
  <c r="AO252" i="5"/>
  <c r="AP252" i="5"/>
  <c r="AQ252" i="5"/>
  <c r="AR252" i="5"/>
  <c r="AI253" i="5"/>
  <c r="AN253" i="5"/>
  <c r="AO253" i="5"/>
  <c r="AP253" i="5"/>
  <c r="AQ253" i="5"/>
  <c r="AR253" i="5"/>
  <c r="AI254" i="5"/>
  <c r="AN254" i="5"/>
  <c r="AO254" i="5"/>
  <c r="AP254" i="5"/>
  <c r="AQ254" i="5"/>
  <c r="AR254" i="5"/>
  <c r="AI257" i="5"/>
  <c r="AN257" i="5"/>
  <c r="AO257" i="5"/>
  <c r="AP257" i="5"/>
  <c r="AQ257" i="5"/>
  <c r="AR257" i="5"/>
  <c r="AI258" i="5"/>
  <c r="AN258" i="5"/>
  <c r="AO258" i="5"/>
  <c r="AP258" i="5"/>
  <c r="AQ258" i="5"/>
  <c r="AR258" i="5"/>
  <c r="AI259" i="5"/>
  <c r="AN259" i="5"/>
  <c r="AO259" i="5"/>
  <c r="AP259" i="5"/>
  <c r="AQ259" i="5"/>
  <c r="AR259" i="5"/>
  <c r="AI260" i="5"/>
  <c r="AN260" i="5"/>
  <c r="AO260" i="5"/>
  <c r="AP260" i="5"/>
  <c r="AQ260" i="5"/>
  <c r="AR260" i="5"/>
  <c r="AI263" i="5"/>
  <c r="AN263" i="5"/>
  <c r="AO263" i="5"/>
  <c r="AP263" i="5"/>
  <c r="AQ263" i="5"/>
  <c r="AR263" i="5"/>
  <c r="AI264" i="5"/>
  <c r="AN264" i="5"/>
  <c r="AO264" i="5"/>
  <c r="AP264" i="5"/>
  <c r="AQ264" i="5"/>
  <c r="AR264" i="5"/>
  <c r="AI265" i="5"/>
  <c r="AN265" i="5"/>
  <c r="AO265" i="5"/>
  <c r="AP265" i="5"/>
  <c r="AQ265" i="5"/>
  <c r="AR265" i="5"/>
  <c r="AI266" i="5"/>
  <c r="AN266" i="5"/>
  <c r="AO266" i="5"/>
  <c r="AP266" i="5"/>
  <c r="AQ266" i="5"/>
  <c r="AR266" i="5"/>
  <c r="AI269" i="5"/>
  <c r="AN269" i="5"/>
  <c r="AO269" i="5"/>
  <c r="AP269" i="5"/>
  <c r="AQ269" i="5"/>
  <c r="AR269" i="5"/>
  <c r="AI270" i="5"/>
  <c r="AN270" i="5"/>
  <c r="AO270" i="5"/>
  <c r="AP270" i="5"/>
  <c r="AQ270" i="5"/>
  <c r="AR270" i="5"/>
  <c r="AI271" i="5"/>
  <c r="AN271" i="5"/>
  <c r="AO271" i="5"/>
  <c r="AP271" i="5"/>
  <c r="AQ271" i="5"/>
  <c r="AR271" i="5"/>
  <c r="AI272" i="5"/>
  <c r="AN272" i="5"/>
  <c r="AO272" i="5"/>
  <c r="AP272" i="5"/>
  <c r="AQ272" i="5"/>
  <c r="AR272" i="5"/>
  <c r="AI275" i="5"/>
  <c r="AN275" i="5"/>
  <c r="AO275" i="5"/>
  <c r="AP275" i="5"/>
  <c r="AQ275" i="5"/>
  <c r="AR275" i="5"/>
  <c r="AI276" i="5"/>
  <c r="AN276" i="5"/>
  <c r="AO276" i="5"/>
  <c r="AP276" i="5"/>
  <c r="AQ276" i="5"/>
  <c r="AR276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 a="1"/>
  <c r="AX329" i="5" s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AW279" i="5"/>
  <c r="AH279" i="5"/>
  <c r="AF279" i="5"/>
  <c r="AE279" i="5"/>
  <c r="AD279" i="5"/>
  <c r="AC279" i="5"/>
  <c r="AW278" i="5"/>
  <c r="AH278" i="5"/>
  <c r="AF278" i="5"/>
  <c r="AE278" i="5"/>
  <c r="AD278" i="5"/>
  <c r="AC278" i="5"/>
  <c r="AW277" i="5"/>
  <c r="AH277" i="5"/>
  <c r="AF277" i="5"/>
  <c r="AE277" i="5"/>
  <c r="AD277" i="5"/>
  <c r="AC277" i="5"/>
  <c r="AW276" i="5"/>
  <c r="AH276" i="5"/>
  <c r="AF276" i="5"/>
  <c r="AE276" i="5"/>
  <c r="AD276" i="5"/>
  <c r="AC276" i="5"/>
  <c r="AX275" i="5" a="1"/>
  <c r="AX275" i="5" s="1"/>
  <c r="AW275" i="5"/>
  <c r="AH275" i="5"/>
  <c r="AF275" i="5"/>
  <c r="AE275" i="5"/>
  <c r="AD275" i="5"/>
  <c r="AC275" i="5"/>
  <c r="AW274" i="5"/>
  <c r="AH274" i="5"/>
  <c r="AF274" i="5"/>
  <c r="AE274" i="5"/>
  <c r="AD274" i="5"/>
  <c r="AC274" i="5"/>
  <c r="AW273" i="5"/>
  <c r="AH273" i="5"/>
  <c r="AF273" i="5"/>
  <c r="AE273" i="5"/>
  <c r="AD273" i="5"/>
  <c r="AC273" i="5"/>
  <c r="AW272" i="5"/>
  <c r="AH272" i="5"/>
  <c r="AF272" i="5"/>
  <c r="AE272" i="5"/>
  <c r="AD272" i="5"/>
  <c r="AC272" i="5"/>
  <c r="AW271" i="5"/>
  <c r="AH271" i="5"/>
  <c r="AF271" i="5"/>
  <c r="AE271" i="5"/>
  <c r="AD271" i="5"/>
  <c r="AC271" i="5"/>
  <c r="AW270" i="5"/>
  <c r="AH270" i="5"/>
  <c r="AF270" i="5"/>
  <c r="AE270" i="5"/>
  <c r="AD270" i="5"/>
  <c r="AC270" i="5"/>
  <c r="AX269" i="5" a="1"/>
  <c r="AX269" i="5" s="1"/>
  <c r="AW269" i="5"/>
  <c r="AH269" i="5"/>
  <c r="AF269" i="5"/>
  <c r="AE269" i="5"/>
  <c r="AD269" i="5"/>
  <c r="AC269" i="5"/>
  <c r="AW268" i="5"/>
  <c r="AH268" i="5"/>
  <c r="AF268" i="5"/>
  <c r="AE268" i="5"/>
  <c r="AD268" i="5"/>
  <c r="AC268" i="5"/>
  <c r="AW267" i="5"/>
  <c r="AH267" i="5"/>
  <c r="AF267" i="5"/>
  <c r="AE267" i="5"/>
  <c r="AD267" i="5"/>
  <c r="AC267" i="5"/>
  <c r="AW266" i="5"/>
  <c r="AH266" i="5"/>
  <c r="AF266" i="5"/>
  <c r="AE266" i="5"/>
  <c r="AD266" i="5"/>
  <c r="AC266" i="5"/>
  <c r="AW265" i="5"/>
  <c r="AH265" i="5"/>
  <c r="AF265" i="5"/>
  <c r="AE265" i="5"/>
  <c r="AD265" i="5"/>
  <c r="AC265" i="5"/>
  <c r="AW264" i="5"/>
  <c r="AH264" i="5"/>
  <c r="AF264" i="5"/>
  <c r="AE264" i="5"/>
  <c r="AD264" i="5"/>
  <c r="AC264" i="5"/>
  <c r="AX263" i="5" a="1"/>
  <c r="AX263" i="5" s="1"/>
  <c r="AW263" i="5"/>
  <c r="AH263" i="5"/>
  <c r="AF263" i="5"/>
  <c r="AE263" i="5"/>
  <c r="AD263" i="5"/>
  <c r="AC263" i="5"/>
  <c r="AW262" i="5"/>
  <c r="AH262" i="5"/>
  <c r="AF262" i="5"/>
  <c r="AE262" i="5"/>
  <c r="AD262" i="5"/>
  <c r="AC262" i="5"/>
  <c r="AW261" i="5"/>
  <c r="AH261" i="5"/>
  <c r="AF261" i="5"/>
  <c r="AE261" i="5"/>
  <c r="AD261" i="5"/>
  <c r="AC261" i="5"/>
  <c r="AW260" i="5"/>
  <c r="AH260" i="5"/>
  <c r="AF260" i="5"/>
  <c r="AE260" i="5"/>
  <c r="AD260" i="5"/>
  <c r="AC260" i="5"/>
  <c r="AW259" i="5"/>
  <c r="AH259" i="5"/>
  <c r="AF259" i="5"/>
  <c r="AE259" i="5"/>
  <c r="AD259" i="5"/>
  <c r="AC259" i="5"/>
  <c r="AW258" i="5"/>
  <c r="AH258" i="5"/>
  <c r="AF258" i="5"/>
  <c r="AE258" i="5"/>
  <c r="AD258" i="5"/>
  <c r="AC258" i="5"/>
  <c r="AX257" i="5" a="1"/>
  <c r="AX257" i="5" s="1"/>
  <c r="AW257" i="5"/>
  <c r="AH257" i="5"/>
  <c r="AF257" i="5"/>
  <c r="AE257" i="5"/>
  <c r="AD257" i="5"/>
  <c r="AC257" i="5"/>
  <c r="AW256" i="5"/>
  <c r="AH256" i="5"/>
  <c r="AF256" i="5"/>
  <c r="AE256" i="5"/>
  <c r="AD256" i="5"/>
  <c r="AC256" i="5"/>
  <c r="AW255" i="5"/>
  <c r="AH255" i="5"/>
  <c r="AF255" i="5"/>
  <c r="AE255" i="5"/>
  <c r="AD255" i="5"/>
  <c r="AC255" i="5"/>
  <c r="AW254" i="5"/>
  <c r="AH254" i="5"/>
  <c r="AF254" i="5"/>
  <c r="AE254" i="5"/>
  <c r="AD254" i="5"/>
  <c r="AC254" i="5"/>
  <c r="AW253" i="5"/>
  <c r="AH253" i="5"/>
  <c r="AF253" i="5"/>
  <c r="AE253" i="5"/>
  <c r="AD253" i="5"/>
  <c r="AC253" i="5"/>
  <c r="AW252" i="5"/>
  <c r="AH252" i="5"/>
  <c r="AF252" i="5"/>
  <c r="AE252" i="5"/>
  <c r="AD252" i="5"/>
  <c r="AC252" i="5"/>
  <c r="AX251" i="5" a="1"/>
  <c r="AX251" i="5" s="1"/>
  <c r="AW251" i="5"/>
  <c r="AH251" i="5"/>
  <c r="AF251" i="5"/>
  <c r="AE251" i="5"/>
  <c r="AD251" i="5"/>
  <c r="AC251" i="5"/>
  <c r="AW250" i="5"/>
  <c r="AH250" i="5"/>
  <c r="AF250" i="5"/>
  <c r="AE250" i="5"/>
  <c r="AD250" i="5"/>
  <c r="AC250" i="5"/>
  <c r="AW249" i="5"/>
  <c r="AH249" i="5"/>
  <c r="AF249" i="5"/>
  <c r="AE249" i="5"/>
  <c r="AD249" i="5"/>
  <c r="AC249" i="5"/>
  <c r="AW248" i="5"/>
  <c r="AH248" i="5"/>
  <c r="AF248" i="5"/>
  <c r="AE248" i="5"/>
  <c r="AD248" i="5"/>
  <c r="AC248" i="5"/>
  <c r="AW247" i="5"/>
  <c r="AH247" i="5"/>
  <c r="AF247" i="5"/>
  <c r="AE247" i="5"/>
  <c r="AD247" i="5"/>
  <c r="AC247" i="5"/>
  <c r="AW246" i="5"/>
  <c r="AH246" i="5"/>
  <c r="AF246" i="5"/>
  <c r="AE246" i="5"/>
  <c r="AD246" i="5"/>
  <c r="AC246" i="5"/>
  <c r="AX245" i="5" a="1"/>
  <c r="AX245" i="5" s="1"/>
  <c r="AW245" i="5"/>
  <c r="AH245" i="5"/>
  <c r="AF245" i="5"/>
  <c r="AE245" i="5"/>
  <c r="AD245" i="5"/>
  <c r="AC245" i="5"/>
  <c r="AW244" i="5"/>
  <c r="AH244" i="5"/>
  <c r="AF244" i="5"/>
  <c r="AE244" i="5"/>
  <c r="AD244" i="5"/>
  <c r="AC244" i="5"/>
  <c r="AW243" i="5"/>
  <c r="AH243" i="5"/>
  <c r="AF243" i="5"/>
  <c r="AE243" i="5"/>
  <c r="AD243" i="5"/>
  <c r="AC243" i="5"/>
  <c r="AW242" i="5"/>
  <c r="AH242" i="5"/>
  <c r="AF242" i="5"/>
  <c r="AE242" i="5"/>
  <c r="AD242" i="5"/>
  <c r="AC242" i="5"/>
  <c r="AW241" i="5"/>
  <c r="AH241" i="5"/>
  <c r="AF241" i="5"/>
  <c r="AE241" i="5"/>
  <c r="AD241" i="5"/>
  <c r="AC241" i="5"/>
  <c r="AW240" i="5"/>
  <c r="AH240" i="5"/>
  <c r="AF240" i="5"/>
  <c r="AE240" i="5"/>
  <c r="AD240" i="5"/>
  <c r="AC240" i="5"/>
  <c r="AX239" i="5" a="1"/>
  <c r="AX239" i="5" s="1"/>
  <c r="AW239" i="5"/>
  <c r="AH239" i="5"/>
  <c r="AF239" i="5"/>
  <c r="AE239" i="5"/>
  <c r="AD239" i="5"/>
  <c r="AC239" i="5"/>
  <c r="AW238" i="5"/>
  <c r="AH238" i="5"/>
  <c r="AF238" i="5"/>
  <c r="AE238" i="5"/>
  <c r="AD238" i="5"/>
  <c r="AC238" i="5"/>
  <c r="AW237" i="5"/>
  <c r="AH237" i="5"/>
  <c r="AF237" i="5"/>
  <c r="AE237" i="5"/>
  <c r="AD237" i="5"/>
  <c r="AC237" i="5"/>
  <c r="AW236" i="5"/>
  <c r="AH236" i="5"/>
  <c r="AF236" i="5"/>
  <c r="AE236" i="5"/>
  <c r="AD236" i="5"/>
  <c r="AC236" i="5"/>
  <c r="AW235" i="5"/>
  <c r="AH235" i="5"/>
  <c r="AF235" i="5"/>
  <c r="AE235" i="5"/>
  <c r="AD235" i="5"/>
  <c r="AC235" i="5"/>
  <c r="AW234" i="5"/>
  <c r="AH234" i="5"/>
  <c r="AF234" i="5"/>
  <c r="AE234" i="5"/>
  <c r="AD234" i="5"/>
  <c r="AC234" i="5"/>
  <c r="AX233" i="5" a="1"/>
  <c r="AX233" i="5" s="1"/>
  <c r="AW233" i="5"/>
  <c r="AH233" i="5"/>
  <c r="AF233" i="5"/>
  <c r="AE233" i="5"/>
  <c r="AD233" i="5"/>
  <c r="AC233" i="5"/>
  <c r="AW232" i="5"/>
  <c r="AH232" i="5"/>
  <c r="AF232" i="5"/>
  <c r="AE232" i="5"/>
  <c r="AD232" i="5"/>
  <c r="AC232" i="5"/>
  <c r="AW231" i="5"/>
  <c r="AH231" i="5"/>
  <c r="AF231" i="5"/>
  <c r="AE231" i="5"/>
  <c r="AD231" i="5"/>
  <c r="AC231" i="5"/>
  <c r="AW230" i="5"/>
  <c r="AH230" i="5"/>
  <c r="AF230" i="5"/>
  <c r="AE230" i="5"/>
  <c r="AD230" i="5"/>
  <c r="AC230" i="5"/>
  <c r="AW229" i="5"/>
  <c r="AH229" i="5"/>
  <c r="AF229" i="5"/>
  <c r="AE229" i="5"/>
  <c r="AD229" i="5"/>
  <c r="AC229" i="5"/>
  <c r="AW228" i="5"/>
  <c r="AH228" i="5"/>
  <c r="AF228" i="5"/>
  <c r="AE228" i="5"/>
  <c r="AD228" i="5"/>
  <c r="AC228" i="5"/>
  <c r="AX227" i="5" a="1"/>
  <c r="AX227" i="5" s="1"/>
  <c r="AW227" i="5"/>
  <c r="AH227" i="5"/>
  <c r="AF227" i="5"/>
  <c r="AE227" i="5"/>
  <c r="AD227" i="5"/>
  <c r="AC227" i="5"/>
  <c r="AW226" i="5"/>
  <c r="AH226" i="5"/>
  <c r="AF226" i="5"/>
  <c r="AE226" i="5"/>
  <c r="AD226" i="5"/>
  <c r="AC226" i="5"/>
  <c r="AW225" i="5"/>
  <c r="AH225" i="5"/>
  <c r="AF225" i="5"/>
  <c r="AE225" i="5"/>
  <c r="AD225" i="5"/>
  <c r="AC225" i="5"/>
  <c r="AW224" i="5"/>
  <c r="AH224" i="5"/>
  <c r="AF224" i="5"/>
  <c r="AE224" i="5"/>
  <c r="AD224" i="5"/>
  <c r="AC224" i="5"/>
  <c r="AW223" i="5"/>
  <c r="AH223" i="5"/>
  <c r="AF223" i="5"/>
  <c r="AE223" i="5"/>
  <c r="AD223" i="5"/>
  <c r="AC223" i="5"/>
  <c r="AW222" i="5"/>
  <c r="AH222" i="5"/>
  <c r="AF222" i="5"/>
  <c r="AE222" i="5"/>
  <c r="AD222" i="5"/>
  <c r="AC222" i="5"/>
  <c r="AX221" i="5" a="1"/>
  <c r="AX221" i="5" s="1"/>
  <c r="AW221" i="5"/>
  <c r="AH221" i="5"/>
  <c r="AF221" i="5"/>
  <c r="AE221" i="5"/>
  <c r="AD221" i="5"/>
  <c r="AC221" i="5"/>
  <c r="AW220" i="5"/>
  <c r="AH220" i="5"/>
  <c r="AF220" i="5"/>
  <c r="AE220" i="5"/>
  <c r="AD220" i="5"/>
  <c r="AC220" i="5"/>
  <c r="AW219" i="5"/>
  <c r="AH219" i="5"/>
  <c r="AF219" i="5"/>
  <c r="AE219" i="5"/>
  <c r="AD219" i="5"/>
  <c r="AC219" i="5"/>
  <c r="AW218" i="5"/>
  <c r="AH218" i="5"/>
  <c r="AF218" i="5"/>
  <c r="AE218" i="5"/>
  <c r="AD218" i="5"/>
  <c r="AC218" i="5"/>
  <c r="AW217" i="5"/>
  <c r="AH217" i="5"/>
  <c r="AF217" i="5"/>
  <c r="AE217" i="5"/>
  <c r="AD217" i="5"/>
  <c r="AC217" i="5"/>
  <c r="AW216" i="5"/>
  <c r="AH216" i="5"/>
  <c r="AF216" i="5"/>
  <c r="AE216" i="5"/>
  <c r="AD216" i="5"/>
  <c r="AC216" i="5"/>
  <c r="AX215" i="5" a="1"/>
  <c r="AX215" i="5" s="1"/>
  <c r="AW215" i="5"/>
  <c r="AH215" i="5"/>
  <c r="AF215" i="5"/>
  <c r="AE215" i="5"/>
  <c r="AD215" i="5"/>
  <c r="AC215" i="5"/>
  <c r="AW214" i="5"/>
  <c r="AH214" i="5"/>
  <c r="AF214" i="5"/>
  <c r="AE214" i="5"/>
  <c r="AD214" i="5"/>
  <c r="AC214" i="5"/>
  <c r="AW213" i="5"/>
  <c r="AH213" i="5"/>
  <c r="AF213" i="5"/>
  <c r="AE213" i="5"/>
  <c r="AD213" i="5"/>
  <c r="AC213" i="5"/>
  <c r="AW212" i="5"/>
  <c r="AH212" i="5"/>
  <c r="AF212" i="5"/>
  <c r="AE212" i="5"/>
  <c r="AD212" i="5"/>
  <c r="AC212" i="5"/>
  <c r="AW211" i="5"/>
  <c r="AH211" i="5"/>
  <c r="AF211" i="5"/>
  <c r="AE211" i="5"/>
  <c r="AD211" i="5"/>
  <c r="AC211" i="5"/>
  <c r="AW210" i="5"/>
  <c r="AH210" i="5"/>
  <c r="AF210" i="5"/>
  <c r="AE210" i="5"/>
  <c r="AD210" i="5"/>
  <c r="AC210" i="5"/>
  <c r="AX209" i="5" a="1"/>
  <c r="AX209" i="5" s="1"/>
  <c r="AW209" i="5"/>
  <c r="AH209" i="5"/>
  <c r="AF209" i="5"/>
  <c r="AE209" i="5"/>
  <c r="AD209" i="5"/>
  <c r="AC209" i="5"/>
  <c r="AW208" i="5"/>
  <c r="AH208" i="5"/>
  <c r="AF208" i="5"/>
  <c r="AE208" i="5"/>
  <c r="AD208" i="5"/>
  <c r="AC208" i="5"/>
  <c r="AW207" i="5"/>
  <c r="AH207" i="5"/>
  <c r="AF207" i="5"/>
  <c r="AE207" i="5"/>
  <c r="AD207" i="5"/>
  <c r="AC207" i="5"/>
  <c r="AW206" i="5"/>
  <c r="AH206" i="5"/>
  <c r="AF206" i="5"/>
  <c r="AE206" i="5"/>
  <c r="AD206" i="5"/>
  <c r="AC206" i="5"/>
  <c r="AW205" i="5"/>
  <c r="AH205" i="5"/>
  <c r="AF205" i="5"/>
  <c r="AE205" i="5"/>
  <c r="AD205" i="5"/>
  <c r="AC205" i="5"/>
  <c r="AW204" i="5"/>
  <c r="AH204" i="5"/>
  <c r="AF204" i="5"/>
  <c r="AE204" i="5"/>
  <c r="AD204" i="5"/>
  <c r="AC204" i="5"/>
  <c r="AX203" i="5" a="1"/>
  <c r="AX203" i="5" s="1"/>
  <c r="AW203" i="5"/>
  <c r="AH203" i="5"/>
  <c r="AF203" i="5"/>
  <c r="AE203" i="5"/>
  <c r="AD203" i="5"/>
  <c r="AC203" i="5"/>
  <c r="AW202" i="5"/>
  <c r="AH202" i="5"/>
  <c r="AF202" i="5"/>
  <c r="AE202" i="5"/>
  <c r="AD202" i="5"/>
  <c r="AC202" i="5"/>
  <c r="AW201" i="5"/>
  <c r="AH201" i="5"/>
  <c r="AF201" i="5"/>
  <c r="AE201" i="5"/>
  <c r="AD201" i="5"/>
  <c r="AC201" i="5"/>
  <c r="AW200" i="5"/>
  <c r="AH200" i="5"/>
  <c r="AF200" i="5"/>
  <c r="AE200" i="5"/>
  <c r="AD200" i="5"/>
  <c r="AC200" i="5"/>
  <c r="AW199" i="5"/>
  <c r="AH199" i="5"/>
  <c r="AF199" i="5"/>
  <c r="AE199" i="5"/>
  <c r="AD199" i="5"/>
  <c r="AC199" i="5"/>
  <c r="AW198" i="5"/>
  <c r="AH198" i="5"/>
  <c r="AF198" i="5"/>
  <c r="AE198" i="5"/>
  <c r="AD198" i="5"/>
  <c r="AC198" i="5"/>
  <c r="AX197" i="5" a="1"/>
  <c r="AX197" i="5" s="1"/>
  <c r="AW197" i="5"/>
  <c r="AH197" i="5"/>
  <c r="AF197" i="5"/>
  <c r="AE197" i="5"/>
  <c r="AD197" i="5"/>
  <c r="AC197" i="5"/>
  <c r="AW196" i="5"/>
  <c r="AH196" i="5"/>
  <c r="AF196" i="5"/>
  <c r="AE196" i="5"/>
  <c r="AD196" i="5"/>
  <c r="AC196" i="5"/>
  <c r="AW195" i="5"/>
  <c r="AH195" i="5"/>
  <c r="AF195" i="5"/>
  <c r="AE195" i="5"/>
  <c r="AD195" i="5"/>
  <c r="AC195" i="5"/>
  <c r="AW194" i="5"/>
  <c r="AH194" i="5"/>
  <c r="AF194" i="5"/>
  <c r="AE194" i="5"/>
  <c r="AD194" i="5"/>
  <c r="AC194" i="5"/>
  <c r="AW193" i="5"/>
  <c r="AH193" i="5"/>
  <c r="AF193" i="5"/>
  <c r="AE193" i="5"/>
  <c r="AD193" i="5"/>
  <c r="AC193" i="5"/>
  <c r="AW192" i="5"/>
  <c r="AH192" i="5"/>
  <c r="AF192" i="5"/>
  <c r="AE192" i="5"/>
  <c r="AD192" i="5"/>
  <c r="AC192" i="5"/>
  <c r="AX191" i="5" a="1"/>
  <c r="AX191" i="5" s="1"/>
  <c r="AW191" i="5"/>
  <c r="AH191" i="5"/>
  <c r="AF191" i="5"/>
  <c r="AE191" i="5"/>
  <c r="AD191" i="5"/>
  <c r="AC191" i="5"/>
  <c r="AW190" i="5"/>
  <c r="AH190" i="5"/>
  <c r="AF190" i="5"/>
  <c r="AE190" i="5"/>
  <c r="AD190" i="5"/>
  <c r="AC190" i="5"/>
  <c r="AW189" i="5"/>
  <c r="AH189" i="5"/>
  <c r="AF189" i="5"/>
  <c r="AE189" i="5"/>
  <c r="AD189" i="5"/>
  <c r="AC189" i="5"/>
  <c r="AW188" i="5"/>
  <c r="AH188" i="5"/>
  <c r="AF188" i="5"/>
  <c r="AE188" i="5"/>
  <c r="AD188" i="5"/>
  <c r="AC188" i="5"/>
  <c r="AW187" i="5"/>
  <c r="AH187" i="5"/>
  <c r="AF187" i="5"/>
  <c r="AE187" i="5"/>
  <c r="AD187" i="5"/>
  <c r="AC187" i="5"/>
  <c r="AW186" i="5"/>
  <c r="AH186" i="5"/>
  <c r="AF186" i="5"/>
  <c r="AE186" i="5"/>
  <c r="AD186" i="5"/>
  <c r="AC186" i="5"/>
  <c r="AX185" i="5" a="1"/>
  <c r="AX185" i="5" s="1"/>
  <c r="AW185" i="5"/>
  <c r="AH185" i="5"/>
  <c r="AF185" i="5"/>
  <c r="AE185" i="5"/>
  <c r="AD185" i="5"/>
  <c r="AC185" i="5"/>
  <c r="AW184" i="5"/>
  <c r="AH184" i="5"/>
  <c r="AF184" i="5"/>
  <c r="AE184" i="5"/>
  <c r="AD184" i="5"/>
  <c r="AC184" i="5"/>
  <c r="AW183" i="5"/>
  <c r="AH183" i="5"/>
  <c r="AF183" i="5"/>
  <c r="AE183" i="5"/>
  <c r="AD183" i="5"/>
  <c r="AC183" i="5"/>
  <c r="AW182" i="5"/>
  <c r="AH182" i="5"/>
  <c r="AF182" i="5"/>
  <c r="AE182" i="5"/>
  <c r="AD182" i="5"/>
  <c r="AC182" i="5"/>
  <c r="AW181" i="5"/>
  <c r="AH181" i="5"/>
  <c r="AF181" i="5"/>
  <c r="AE181" i="5"/>
  <c r="AD181" i="5"/>
  <c r="AC181" i="5"/>
  <c r="AW180" i="5"/>
  <c r="AH180" i="5"/>
  <c r="AF180" i="5"/>
  <c r="AE180" i="5"/>
  <c r="AD180" i="5"/>
  <c r="AC180" i="5"/>
  <c r="AX179" i="5" a="1"/>
  <c r="AX179" i="5" s="1"/>
  <c r="AW179" i="5"/>
  <c r="AH179" i="5"/>
  <c r="AF179" i="5"/>
  <c r="AE179" i="5"/>
  <c r="AD179" i="5"/>
  <c r="AC179" i="5"/>
  <c r="AW178" i="5"/>
  <c r="AH178" i="5"/>
  <c r="AF178" i="5"/>
  <c r="AE178" i="5"/>
  <c r="AD178" i="5"/>
  <c r="AC178" i="5"/>
  <c r="AW177" i="5"/>
  <c r="AH177" i="5"/>
  <c r="AF177" i="5"/>
  <c r="AE177" i="5"/>
  <c r="AD177" i="5"/>
  <c r="AC177" i="5"/>
  <c r="AW176" i="5"/>
  <c r="AH176" i="5"/>
  <c r="AF176" i="5"/>
  <c r="AE176" i="5"/>
  <c r="AD176" i="5"/>
  <c r="AC176" i="5"/>
  <c r="AW175" i="5"/>
  <c r="AH175" i="5"/>
  <c r="AF175" i="5"/>
  <c r="AE175" i="5"/>
  <c r="AD175" i="5"/>
  <c r="AC175" i="5"/>
  <c r="AW174" i="5"/>
  <c r="AH174" i="5"/>
  <c r="AF174" i="5"/>
  <c r="AE174" i="5"/>
  <c r="AD174" i="5"/>
  <c r="AC174" i="5"/>
  <c r="AX173" i="5" a="1"/>
  <c r="AX173" i="5" s="1"/>
  <c r="AW173" i="5"/>
  <c r="AH173" i="5"/>
  <c r="AF173" i="5"/>
  <c r="AE173" i="5"/>
  <c r="AD173" i="5"/>
  <c r="AC173" i="5"/>
  <c r="AW172" i="5"/>
  <c r="AH172" i="5"/>
  <c r="AF172" i="5"/>
  <c r="AE172" i="5"/>
  <c r="AD172" i="5"/>
  <c r="AC172" i="5"/>
  <c r="AW171" i="5"/>
  <c r="AH171" i="5"/>
  <c r="AF171" i="5"/>
  <c r="AE171" i="5"/>
  <c r="AD171" i="5"/>
  <c r="AC171" i="5"/>
  <c r="AW170" i="5"/>
  <c r="AH170" i="5"/>
  <c r="AF170" i="5"/>
  <c r="AE170" i="5"/>
  <c r="AD170" i="5"/>
  <c r="AC170" i="5"/>
  <c r="AW169" i="5"/>
  <c r="AH169" i="5"/>
  <c r="AF169" i="5"/>
  <c r="AE169" i="5"/>
  <c r="AD169" i="5"/>
  <c r="AC169" i="5"/>
  <c r="AW168" i="5"/>
  <c r="AH168" i="5"/>
  <c r="AF168" i="5"/>
  <c r="AE168" i="5"/>
  <c r="AD168" i="5"/>
  <c r="AC168" i="5"/>
  <c r="AX167" i="5" a="1"/>
  <c r="AX167" i="5" s="1"/>
  <c r="AW167" i="5"/>
  <c r="AH167" i="5"/>
  <c r="AF167" i="5"/>
  <c r="AE167" i="5"/>
  <c r="AD167" i="5"/>
  <c r="AC167" i="5"/>
  <c r="AW166" i="5"/>
  <c r="AH166" i="5"/>
  <c r="AF166" i="5"/>
  <c r="AE166" i="5"/>
  <c r="AD166" i="5"/>
  <c r="AC166" i="5"/>
  <c r="AW165" i="5"/>
  <c r="AH165" i="5"/>
  <c r="AF165" i="5"/>
  <c r="AE165" i="5"/>
  <c r="AD165" i="5"/>
  <c r="AC165" i="5"/>
  <c r="AW164" i="5"/>
  <c r="AH164" i="5"/>
  <c r="AF164" i="5"/>
  <c r="AE164" i="5"/>
  <c r="AD164" i="5"/>
  <c r="AC164" i="5"/>
  <c r="AW163" i="5"/>
  <c r="AH163" i="5"/>
  <c r="AF163" i="5"/>
  <c r="AE163" i="5"/>
  <c r="AD163" i="5"/>
  <c r="AC163" i="5"/>
  <c r="AW162" i="5"/>
  <c r="AH162" i="5"/>
  <c r="AF162" i="5"/>
  <c r="AE162" i="5"/>
  <c r="AD162" i="5"/>
  <c r="AC162" i="5"/>
  <c r="AX161" i="5" a="1"/>
  <c r="AX161" i="5" s="1"/>
  <c r="AW161" i="5"/>
  <c r="AH161" i="5"/>
  <c r="AF161" i="5"/>
  <c r="AE161" i="5"/>
  <c r="AD161" i="5"/>
  <c r="AC161" i="5"/>
  <c r="AW160" i="5"/>
  <c r="AH160" i="5"/>
  <c r="AF160" i="5"/>
  <c r="AE160" i="5"/>
  <c r="AD160" i="5"/>
  <c r="AC160" i="5"/>
  <c r="AW159" i="5"/>
  <c r="AH159" i="5"/>
  <c r="AF159" i="5"/>
  <c r="AE159" i="5"/>
  <c r="AD159" i="5"/>
  <c r="AC159" i="5"/>
  <c r="AW158" i="5"/>
  <c r="AH158" i="5"/>
  <c r="AF158" i="5"/>
  <c r="AE158" i="5"/>
  <c r="AD158" i="5"/>
  <c r="AC158" i="5"/>
  <c r="AW157" i="5"/>
  <c r="AH157" i="5"/>
  <c r="AF157" i="5"/>
  <c r="AE157" i="5"/>
  <c r="AD157" i="5"/>
  <c r="AC157" i="5"/>
  <c r="AW156" i="5"/>
  <c r="AH156" i="5"/>
  <c r="AF156" i="5"/>
  <c r="AE156" i="5"/>
  <c r="AD156" i="5"/>
  <c r="AC156" i="5"/>
  <c r="AX155" i="5" a="1"/>
  <c r="AX155" i="5" s="1"/>
  <c r="AW155" i="5"/>
  <c r="AH155" i="5"/>
  <c r="AF155" i="5"/>
  <c r="AE155" i="5"/>
  <c r="AD155" i="5"/>
  <c r="AC155" i="5"/>
  <c r="AW154" i="5"/>
  <c r="AH154" i="5"/>
  <c r="AF154" i="5"/>
  <c r="AE154" i="5"/>
  <c r="AD154" i="5"/>
  <c r="AC154" i="5"/>
  <c r="AW153" i="5"/>
  <c r="AH153" i="5"/>
  <c r="AF153" i="5"/>
  <c r="AE153" i="5"/>
  <c r="AD153" i="5"/>
  <c r="AC153" i="5"/>
  <c r="AW152" i="5"/>
  <c r="AH152" i="5"/>
  <c r="AF152" i="5"/>
  <c r="AE152" i="5"/>
  <c r="AD152" i="5"/>
  <c r="AC152" i="5"/>
  <c r="AW151" i="5"/>
  <c r="AH151" i="5"/>
  <c r="AF151" i="5"/>
  <c r="AE151" i="5"/>
  <c r="AD151" i="5"/>
  <c r="AC151" i="5"/>
  <c r="AW150" i="5"/>
  <c r="AH150" i="5"/>
  <c r="AF150" i="5"/>
  <c r="AE150" i="5"/>
  <c r="AD150" i="5"/>
  <c r="AC150" i="5"/>
  <c r="AX149" i="5" a="1"/>
  <c r="AX149" i="5" s="1"/>
  <c r="AW149" i="5"/>
  <c r="AH149" i="5"/>
  <c r="AF149" i="5"/>
  <c r="AE149" i="5"/>
  <c r="AD149" i="5"/>
  <c r="AC149" i="5"/>
  <c r="AW148" i="5"/>
  <c r="AH148" i="5"/>
  <c r="AF148" i="5"/>
  <c r="AE148" i="5"/>
  <c r="AD148" i="5"/>
  <c r="AC148" i="5"/>
  <c r="AW147" i="5"/>
  <c r="AH147" i="5"/>
  <c r="AF147" i="5"/>
  <c r="AE147" i="5"/>
  <c r="AD147" i="5"/>
  <c r="AC147" i="5"/>
  <c r="AW146" i="5"/>
  <c r="AH146" i="5"/>
  <c r="AF146" i="5"/>
  <c r="AE146" i="5"/>
  <c r="AD146" i="5"/>
  <c r="AC146" i="5"/>
  <c r="AW145" i="5"/>
  <c r="AH145" i="5"/>
  <c r="AF145" i="5"/>
  <c r="AE145" i="5"/>
  <c r="AD145" i="5"/>
  <c r="AC145" i="5"/>
  <c r="AW144" i="5"/>
  <c r="AH144" i="5"/>
  <c r="AF144" i="5"/>
  <c r="AE144" i="5"/>
  <c r="AD144" i="5"/>
  <c r="AC144" i="5"/>
  <c r="AX143" i="5" a="1"/>
  <c r="AX143" i="5" s="1"/>
  <c r="AW143" i="5"/>
  <c r="AH143" i="5"/>
  <c r="AF143" i="5"/>
  <c r="AE143" i="5"/>
  <c r="AD143" i="5"/>
  <c r="AC143" i="5"/>
  <c r="AW142" i="5"/>
  <c r="AH142" i="5"/>
  <c r="AF142" i="5"/>
  <c r="AE142" i="5"/>
  <c r="AD142" i="5"/>
  <c r="AC142" i="5"/>
  <c r="AW141" i="5"/>
  <c r="AH141" i="5"/>
  <c r="AF141" i="5"/>
  <c r="AE141" i="5"/>
  <c r="AD141" i="5"/>
  <c r="AC141" i="5"/>
  <c r="AW140" i="5"/>
  <c r="AH140" i="5"/>
  <c r="AF140" i="5"/>
  <c r="AE140" i="5"/>
  <c r="AD140" i="5"/>
  <c r="AC140" i="5"/>
  <c r="AW139" i="5"/>
  <c r="AH139" i="5"/>
  <c r="AF139" i="5"/>
  <c r="AE139" i="5"/>
  <c r="AD139" i="5"/>
  <c r="AC139" i="5"/>
  <c r="AW138" i="5"/>
  <c r="AH138" i="5"/>
  <c r="AF138" i="5"/>
  <c r="AE138" i="5"/>
  <c r="AD138" i="5"/>
  <c r="AC138" i="5"/>
  <c r="AX137" i="5" a="1"/>
  <c r="AX137" i="5" s="1"/>
  <c r="AW137" i="5"/>
  <c r="AH137" i="5"/>
  <c r="AF137" i="5"/>
  <c r="AE137" i="5"/>
  <c r="AD137" i="5"/>
  <c r="AC137" i="5"/>
  <c r="AW136" i="5"/>
  <c r="AH136" i="5"/>
  <c r="AF136" i="5"/>
  <c r="AE136" i="5"/>
  <c r="AD136" i="5"/>
  <c r="AC136" i="5"/>
  <c r="AW135" i="5"/>
  <c r="AH135" i="5"/>
  <c r="AF135" i="5"/>
  <c r="AE135" i="5"/>
  <c r="AD135" i="5"/>
  <c r="AC135" i="5"/>
  <c r="AW134" i="5"/>
  <c r="AH134" i="5"/>
  <c r="AF134" i="5"/>
  <c r="AE134" i="5"/>
  <c r="AD134" i="5"/>
  <c r="AC134" i="5"/>
  <c r="AW133" i="5"/>
  <c r="AH133" i="5"/>
  <c r="AF133" i="5"/>
  <c r="AE133" i="5"/>
  <c r="AD133" i="5"/>
  <c r="AC133" i="5"/>
  <c r="AW132" i="5"/>
  <c r="AH132" i="5"/>
  <c r="AF132" i="5"/>
  <c r="AE132" i="5"/>
  <c r="AD132" i="5"/>
  <c r="AC132" i="5"/>
  <c r="AX131" i="5" a="1"/>
  <c r="AX131" i="5" s="1"/>
  <c r="AW131" i="5"/>
  <c r="AH131" i="5"/>
  <c r="AF131" i="5"/>
  <c r="AE131" i="5"/>
  <c r="AD131" i="5"/>
  <c r="AC131" i="5"/>
  <c r="AW130" i="5"/>
  <c r="AH130" i="5"/>
  <c r="AF130" i="5"/>
  <c r="AE130" i="5"/>
  <c r="AD130" i="5"/>
  <c r="AC130" i="5"/>
  <c r="AW129" i="5"/>
  <c r="AH129" i="5"/>
  <c r="AF129" i="5"/>
  <c r="AE129" i="5"/>
  <c r="AD129" i="5"/>
  <c r="AC129" i="5"/>
  <c r="AW128" i="5"/>
  <c r="AH128" i="5"/>
  <c r="AF128" i="5"/>
  <c r="AE128" i="5"/>
  <c r="AD128" i="5"/>
  <c r="AC128" i="5"/>
  <c r="AW127" i="5"/>
  <c r="AH127" i="5"/>
  <c r="AF127" i="5"/>
  <c r="AE127" i="5"/>
  <c r="AD127" i="5"/>
  <c r="AC127" i="5"/>
  <c r="AW126" i="5"/>
  <c r="AH126" i="5"/>
  <c r="AF126" i="5"/>
  <c r="AE126" i="5"/>
  <c r="AD126" i="5"/>
  <c r="AC126" i="5"/>
  <c r="AX125" i="5" a="1"/>
  <c r="AX125" i="5" s="1"/>
  <c r="AW125" i="5"/>
  <c r="AH125" i="5"/>
  <c r="AF125" i="5"/>
  <c r="AE125" i="5"/>
  <c r="AD125" i="5"/>
  <c r="AC125" i="5"/>
  <c r="AW124" i="5"/>
  <c r="AH124" i="5"/>
  <c r="AF124" i="5"/>
  <c r="AE124" i="5"/>
  <c r="AD124" i="5"/>
  <c r="AC124" i="5"/>
  <c r="AW123" i="5"/>
  <c r="AH123" i="5"/>
  <c r="AF123" i="5"/>
  <c r="AE123" i="5"/>
  <c r="AD123" i="5"/>
  <c r="AC123" i="5"/>
  <c r="AW122" i="5"/>
  <c r="AH122" i="5"/>
  <c r="AF122" i="5"/>
  <c r="AE122" i="5"/>
  <c r="AD122" i="5"/>
  <c r="AC122" i="5"/>
  <c r="AW121" i="5"/>
  <c r="AH121" i="5"/>
  <c r="AF121" i="5"/>
  <c r="AE121" i="5"/>
  <c r="AD121" i="5"/>
  <c r="AC121" i="5"/>
  <c r="AW120" i="5"/>
  <c r="AH120" i="5"/>
  <c r="AF120" i="5"/>
  <c r="AE120" i="5"/>
  <c r="AD120" i="5"/>
  <c r="AC120" i="5"/>
  <c r="AX119" i="5" a="1"/>
  <c r="AX119" i="5" s="1"/>
  <c r="AW119" i="5"/>
  <c r="AH119" i="5"/>
  <c r="AF119" i="5"/>
  <c r="AE119" i="5"/>
  <c r="AD119" i="5"/>
  <c r="AC119" i="5"/>
  <c r="AW118" i="5"/>
  <c r="AH118" i="5"/>
  <c r="AF118" i="5"/>
  <c r="AE118" i="5"/>
  <c r="AD118" i="5"/>
  <c r="AC118" i="5"/>
  <c r="AW117" i="5"/>
  <c r="AH117" i="5"/>
  <c r="AF117" i="5"/>
  <c r="AE117" i="5"/>
  <c r="AD117" i="5"/>
  <c r="AC117" i="5"/>
  <c r="AW116" i="5"/>
  <c r="AH116" i="5"/>
  <c r="AF116" i="5"/>
  <c r="AE116" i="5"/>
  <c r="AD116" i="5"/>
  <c r="AC116" i="5"/>
  <c r="AW115" i="5"/>
  <c r="AH115" i="5"/>
  <c r="AF115" i="5"/>
  <c r="AE115" i="5"/>
  <c r="AD115" i="5"/>
  <c r="AC115" i="5"/>
  <c r="AW114" i="5"/>
  <c r="AH114" i="5"/>
  <c r="AF114" i="5"/>
  <c r="AE114" i="5"/>
  <c r="AD114" i="5"/>
  <c r="AC114" i="5"/>
  <c r="AX113" i="5" a="1"/>
  <c r="AX113" i="5" s="1"/>
  <c r="AW113" i="5"/>
  <c r="AH113" i="5"/>
  <c r="AF113" i="5"/>
  <c r="AE113" i="5"/>
  <c r="AD113" i="5"/>
  <c r="AC113" i="5"/>
  <c r="AW112" i="5"/>
  <c r="AH112" i="5"/>
  <c r="AF112" i="5"/>
  <c r="AE112" i="5"/>
  <c r="AD112" i="5"/>
  <c r="AC112" i="5"/>
  <c r="AW111" i="5"/>
  <c r="AH111" i="5"/>
  <c r="AF111" i="5"/>
  <c r="AE111" i="5"/>
  <c r="AD111" i="5"/>
  <c r="AC111" i="5"/>
  <c r="AW110" i="5"/>
  <c r="AH110" i="5"/>
  <c r="AF110" i="5"/>
  <c r="AE110" i="5"/>
  <c r="AD110" i="5"/>
  <c r="AC110" i="5"/>
  <c r="AW109" i="5"/>
  <c r="AH109" i="5"/>
  <c r="AF109" i="5"/>
  <c r="AE109" i="5"/>
  <c r="AD109" i="5"/>
  <c r="AC109" i="5"/>
  <c r="AW108" i="5"/>
  <c r="AH108" i="5"/>
  <c r="AF108" i="5"/>
  <c r="AE108" i="5"/>
  <c r="AD108" i="5"/>
  <c r="AC108" i="5"/>
  <c r="AX107" i="5" a="1"/>
  <c r="AX107" i="5" s="1"/>
  <c r="AW107" i="5"/>
  <c r="AH107" i="5"/>
  <c r="AF107" i="5"/>
  <c r="AE107" i="5"/>
  <c r="AD107" i="5"/>
  <c r="AC107" i="5"/>
  <c r="AW106" i="5"/>
  <c r="AH106" i="5"/>
  <c r="AF106" i="5"/>
  <c r="AE106" i="5"/>
  <c r="AD106" i="5"/>
  <c r="AC106" i="5"/>
  <c r="AW105" i="5"/>
  <c r="AH105" i="5"/>
  <c r="AF105" i="5"/>
  <c r="AE105" i="5"/>
  <c r="AD105" i="5"/>
  <c r="AC105" i="5"/>
  <c r="AW104" i="5"/>
  <c r="AH104" i="5"/>
  <c r="AF104" i="5"/>
  <c r="AE104" i="5"/>
  <c r="AD104" i="5"/>
  <c r="AC104" i="5"/>
  <c r="AW103" i="5"/>
  <c r="AH103" i="5"/>
  <c r="AF103" i="5"/>
  <c r="AE103" i="5"/>
  <c r="AD103" i="5"/>
  <c r="AC103" i="5"/>
  <c r="AW102" i="5"/>
  <c r="AH102" i="5"/>
  <c r="AF102" i="5"/>
  <c r="AE102" i="5"/>
  <c r="AD102" i="5"/>
  <c r="AC102" i="5"/>
  <c r="AX101" i="5" a="1"/>
  <c r="AX101" i="5" s="1"/>
  <c r="AW101" i="5"/>
  <c r="AH101" i="5"/>
  <c r="AF101" i="5"/>
  <c r="AE101" i="5"/>
  <c r="AD101" i="5"/>
  <c r="AC101" i="5"/>
  <c r="AW100" i="5"/>
  <c r="AH100" i="5"/>
  <c r="AF100" i="5"/>
  <c r="AE100" i="5"/>
  <c r="AD100" i="5"/>
  <c r="AC100" i="5"/>
  <c r="AW99" i="5"/>
  <c r="AH99" i="5"/>
  <c r="AF99" i="5"/>
  <c r="AE99" i="5"/>
  <c r="AD99" i="5"/>
  <c r="AC99" i="5"/>
  <c r="AW98" i="5"/>
  <c r="AH98" i="5"/>
  <c r="AF98" i="5"/>
  <c r="AE98" i="5"/>
  <c r="AD98" i="5"/>
  <c r="AC98" i="5"/>
  <c r="AW97" i="5"/>
  <c r="AH97" i="5"/>
  <c r="AF97" i="5"/>
  <c r="AE97" i="5"/>
  <c r="AD97" i="5"/>
  <c r="AC97" i="5"/>
  <c r="AW96" i="5"/>
  <c r="AH96" i="5"/>
  <c r="AF96" i="5"/>
  <c r="AE96" i="5"/>
  <c r="AD96" i="5"/>
  <c r="AC96" i="5"/>
  <c r="AX95" i="5" a="1"/>
  <c r="AX95" i="5" s="1"/>
  <c r="AW95" i="5"/>
  <c r="AH95" i="5"/>
  <c r="AF95" i="5"/>
  <c r="AE95" i="5"/>
  <c r="AD95" i="5"/>
  <c r="AC95" i="5"/>
  <c r="AW94" i="5"/>
  <c r="AH94" i="5"/>
  <c r="AF94" i="5"/>
  <c r="AE94" i="5"/>
  <c r="AD94" i="5"/>
  <c r="AC94" i="5"/>
  <c r="AW93" i="5"/>
  <c r="AH93" i="5"/>
  <c r="AF93" i="5"/>
  <c r="AE93" i="5"/>
  <c r="AD93" i="5"/>
  <c r="AC93" i="5"/>
  <c r="AW92" i="5"/>
  <c r="AH92" i="5"/>
  <c r="AF92" i="5"/>
  <c r="AE92" i="5"/>
  <c r="AD92" i="5"/>
  <c r="AC92" i="5"/>
  <c r="AW91" i="5"/>
  <c r="AH91" i="5"/>
  <c r="AF91" i="5"/>
  <c r="AE91" i="5"/>
  <c r="AD91" i="5"/>
  <c r="AC91" i="5"/>
  <c r="AW90" i="5"/>
  <c r="AH90" i="5"/>
  <c r="AF90" i="5"/>
  <c r="AE90" i="5"/>
  <c r="AD90" i="5"/>
  <c r="AC90" i="5"/>
  <c r="AX89" i="5" a="1"/>
  <c r="AX89" i="5" s="1"/>
  <c r="AW89" i="5"/>
  <c r="AH89" i="5"/>
  <c r="AF89" i="5"/>
  <c r="AE89" i="5"/>
  <c r="AD89" i="5"/>
  <c r="AC89" i="5"/>
  <c r="AW88" i="5"/>
  <c r="AH88" i="5"/>
  <c r="AF88" i="5"/>
  <c r="AE88" i="5"/>
  <c r="AD88" i="5"/>
  <c r="AC88" i="5"/>
  <c r="AW87" i="5"/>
  <c r="AH87" i="5"/>
  <c r="AF87" i="5"/>
  <c r="AE87" i="5"/>
  <c r="AD87" i="5"/>
  <c r="AC87" i="5"/>
  <c r="AW86" i="5"/>
  <c r="AH86" i="5"/>
  <c r="AF86" i="5"/>
  <c r="AE86" i="5"/>
  <c r="AD86" i="5"/>
  <c r="AC86" i="5"/>
  <c r="AW85" i="5"/>
  <c r="AH85" i="5"/>
  <c r="AF85" i="5"/>
  <c r="AE85" i="5"/>
  <c r="AD85" i="5"/>
  <c r="AC85" i="5"/>
  <c r="AW84" i="5"/>
  <c r="AH84" i="5"/>
  <c r="AF84" i="5"/>
  <c r="AE84" i="5"/>
  <c r="AD84" i="5"/>
  <c r="AC84" i="5"/>
  <c r="AX83" i="5" a="1"/>
  <c r="AX83" i="5" s="1"/>
  <c r="AW83" i="5"/>
  <c r="AH83" i="5"/>
  <c r="AF83" i="5"/>
  <c r="AE83" i="5"/>
  <c r="AD83" i="5"/>
  <c r="AC83" i="5"/>
  <c r="AW82" i="5"/>
  <c r="AH82" i="5"/>
  <c r="AF82" i="5"/>
  <c r="AE82" i="5"/>
  <c r="AD82" i="5"/>
  <c r="AC82" i="5"/>
  <c r="AW81" i="5"/>
  <c r="AH81" i="5"/>
  <c r="AF81" i="5"/>
  <c r="AE81" i="5"/>
  <c r="AD81" i="5"/>
  <c r="AC81" i="5"/>
  <c r="AW80" i="5"/>
  <c r="AH80" i="5"/>
  <c r="AF80" i="5"/>
  <c r="AE80" i="5"/>
  <c r="AD80" i="5"/>
  <c r="AC80" i="5"/>
  <c r="AW79" i="5"/>
  <c r="AH79" i="5"/>
  <c r="AF79" i="5"/>
  <c r="AE79" i="5"/>
  <c r="AD79" i="5"/>
  <c r="AC79" i="5"/>
  <c r="AW78" i="5"/>
  <c r="AH78" i="5"/>
  <c r="AF78" i="5"/>
  <c r="AE78" i="5"/>
  <c r="AD78" i="5"/>
  <c r="AC78" i="5"/>
  <c r="AX77" i="5" a="1"/>
  <c r="AX77" i="5" s="1"/>
  <c r="AW77" i="5"/>
  <c r="AH77" i="5"/>
  <c r="AF77" i="5"/>
  <c r="AE77" i="5"/>
  <c r="AD77" i="5"/>
  <c r="AC77" i="5"/>
  <c r="AW76" i="5"/>
  <c r="AH76" i="5"/>
  <c r="AF76" i="5"/>
  <c r="AE76" i="5"/>
  <c r="AD76" i="5"/>
  <c r="AC76" i="5"/>
  <c r="AW75" i="5"/>
  <c r="AH75" i="5"/>
  <c r="AF75" i="5"/>
  <c r="AE75" i="5"/>
  <c r="AD75" i="5"/>
  <c r="AC75" i="5"/>
  <c r="AW74" i="5"/>
  <c r="AH74" i="5"/>
  <c r="AF74" i="5"/>
  <c r="AE74" i="5"/>
  <c r="AD74" i="5"/>
  <c r="AC74" i="5"/>
  <c r="AW73" i="5"/>
  <c r="AH73" i="5"/>
  <c r="AF73" i="5"/>
  <c r="AE73" i="5"/>
  <c r="AD73" i="5"/>
  <c r="AC73" i="5"/>
  <c r="AW72" i="5"/>
  <c r="AH72" i="5"/>
  <c r="AF72" i="5"/>
  <c r="AE72" i="5"/>
  <c r="AD72" i="5"/>
  <c r="AC72" i="5"/>
  <c r="AX71" i="5" a="1"/>
  <c r="AX71" i="5" s="1"/>
  <c r="AW71" i="5"/>
  <c r="AH71" i="5"/>
  <c r="AF71" i="5"/>
  <c r="AE71" i="5"/>
  <c r="AD71" i="5"/>
  <c r="AC71" i="5"/>
  <c r="AW70" i="5"/>
  <c r="AH70" i="5"/>
  <c r="AF70" i="5"/>
  <c r="AE70" i="5"/>
  <c r="AD70" i="5"/>
  <c r="AC70" i="5"/>
  <c r="AW69" i="5"/>
  <c r="AH69" i="5"/>
  <c r="AF69" i="5"/>
  <c r="AE69" i="5"/>
  <c r="AD69" i="5"/>
  <c r="AC69" i="5"/>
  <c r="AW68" i="5"/>
  <c r="AH68" i="5"/>
  <c r="AF68" i="5"/>
  <c r="AE68" i="5"/>
  <c r="AD68" i="5"/>
  <c r="AC68" i="5"/>
  <c r="AW67" i="5"/>
  <c r="AH67" i="5"/>
  <c r="AF67" i="5"/>
  <c r="AE67" i="5"/>
  <c r="AD67" i="5"/>
  <c r="AC67" i="5"/>
  <c r="AW66" i="5"/>
  <c r="AH66" i="5"/>
  <c r="AF66" i="5"/>
  <c r="AE66" i="5"/>
  <c r="AD66" i="5"/>
  <c r="AC66" i="5"/>
  <c r="AX65" i="5" a="1"/>
  <c r="AX65" i="5" s="1"/>
  <c r="AW65" i="5"/>
  <c r="AH65" i="5"/>
  <c r="AF65" i="5"/>
  <c r="AE65" i="5"/>
  <c r="AD65" i="5"/>
  <c r="AC65" i="5"/>
  <c r="AW64" i="5"/>
  <c r="AH64" i="5"/>
  <c r="AF64" i="5"/>
  <c r="AE64" i="5"/>
  <c r="AD64" i="5"/>
  <c r="AC64" i="5"/>
  <c r="AW63" i="5"/>
  <c r="AH63" i="5"/>
  <c r="AF63" i="5"/>
  <c r="AE63" i="5"/>
  <c r="AD63" i="5"/>
  <c r="AC63" i="5"/>
  <c r="AW62" i="5"/>
  <c r="AH62" i="5"/>
  <c r="AF62" i="5"/>
  <c r="AE62" i="5"/>
  <c r="AD62" i="5"/>
  <c r="AC62" i="5"/>
  <c r="AW61" i="5"/>
  <c r="AH61" i="5"/>
  <c r="AF61" i="5"/>
  <c r="AE61" i="5"/>
  <c r="AD61" i="5"/>
  <c r="AC61" i="5"/>
  <c r="AW60" i="5"/>
  <c r="AH60" i="5"/>
  <c r="AF60" i="5"/>
  <c r="AE60" i="5"/>
  <c r="AD60" i="5"/>
  <c r="AC60" i="5"/>
  <c r="AX59" i="5" a="1"/>
  <c r="AX59" i="5" s="1"/>
  <c r="AW59" i="5"/>
  <c r="AH59" i="5"/>
  <c r="AF59" i="5"/>
  <c r="AE59" i="5"/>
  <c r="AD59" i="5"/>
  <c r="AC59" i="5"/>
  <c r="AW58" i="5"/>
  <c r="AH58" i="5"/>
  <c r="AF58" i="5"/>
  <c r="AE58" i="5"/>
  <c r="AD58" i="5"/>
  <c r="AC58" i="5"/>
  <c r="AW57" i="5"/>
  <c r="AH57" i="5"/>
  <c r="AF57" i="5"/>
  <c r="AE57" i="5"/>
  <c r="AD57" i="5"/>
  <c r="AC57" i="5"/>
  <c r="AW56" i="5"/>
  <c r="AH56" i="5"/>
  <c r="AF56" i="5"/>
  <c r="AE56" i="5"/>
  <c r="AD56" i="5"/>
  <c r="AC56" i="5"/>
  <c r="AW55" i="5"/>
  <c r="AH55" i="5"/>
  <c r="AF55" i="5"/>
  <c r="AE55" i="5"/>
  <c r="AD55" i="5"/>
  <c r="AC55" i="5"/>
  <c r="AW54" i="5"/>
  <c r="AH54" i="5"/>
  <c r="AF54" i="5"/>
  <c r="AE54" i="5"/>
  <c r="AD54" i="5"/>
  <c r="AC54" i="5"/>
  <c r="AX53" i="5" a="1"/>
  <c r="AX53" i="5" s="1"/>
  <c r="AW53" i="5"/>
  <c r="AH53" i="5"/>
  <c r="AF53" i="5"/>
  <c r="AE53" i="5"/>
  <c r="AD53" i="5"/>
  <c r="AC53" i="5"/>
  <c r="AW52" i="5"/>
  <c r="AH52" i="5"/>
  <c r="AF52" i="5"/>
  <c r="AE52" i="5"/>
  <c r="AD52" i="5"/>
  <c r="AC52" i="5"/>
  <c r="AW51" i="5"/>
  <c r="AH51" i="5"/>
  <c r="AF51" i="5"/>
  <c r="AE51" i="5"/>
  <c r="AD51" i="5"/>
  <c r="AC51" i="5"/>
  <c r="AW50" i="5"/>
  <c r="AH50" i="5"/>
  <c r="AF50" i="5"/>
  <c r="AE50" i="5"/>
  <c r="AD50" i="5"/>
  <c r="AC50" i="5"/>
  <c r="AW49" i="5"/>
  <c r="AH49" i="5"/>
  <c r="AF49" i="5"/>
  <c r="AE49" i="5"/>
  <c r="AD49" i="5"/>
  <c r="AC49" i="5"/>
  <c r="AW48" i="5"/>
  <c r="AH48" i="5"/>
  <c r="AF48" i="5"/>
  <c r="AE48" i="5"/>
  <c r="AD48" i="5"/>
  <c r="AC48" i="5"/>
  <c r="AX47" i="5" a="1"/>
  <c r="AX47" i="5" s="1"/>
  <c r="AW47" i="5"/>
  <c r="AH47" i="5"/>
  <c r="AF47" i="5"/>
  <c r="AE47" i="5"/>
  <c r="AD47" i="5"/>
  <c r="AC47" i="5"/>
  <c r="AW46" i="5"/>
  <c r="AH46" i="5"/>
  <c r="AF46" i="5"/>
  <c r="AE46" i="5"/>
  <c r="AD46" i="5"/>
  <c r="AC46" i="5"/>
  <c r="AW45" i="5"/>
  <c r="AH45" i="5"/>
  <c r="AF45" i="5"/>
  <c r="AE45" i="5"/>
  <c r="AD45" i="5"/>
  <c r="AC45" i="5"/>
  <c r="AW44" i="5"/>
  <c r="AH44" i="5"/>
  <c r="AF44" i="5"/>
  <c r="AE44" i="5"/>
  <c r="AD44" i="5"/>
  <c r="AC44" i="5"/>
  <c r="AW43" i="5"/>
  <c r="AH43" i="5"/>
  <c r="AF43" i="5"/>
  <c r="AE43" i="5"/>
  <c r="AD43" i="5"/>
  <c r="AC43" i="5"/>
  <c r="AW42" i="5"/>
  <c r="AH42" i="5"/>
  <c r="AF42" i="5"/>
  <c r="AE42" i="5"/>
  <c r="AD42" i="5"/>
  <c r="AC42" i="5"/>
  <c r="AX41" i="5" a="1"/>
  <c r="AX41" i="5" s="1"/>
  <c r="AW41" i="5"/>
  <c r="AH41" i="5"/>
  <c r="AF41" i="5"/>
  <c r="AE41" i="5"/>
  <c r="AD41" i="5"/>
  <c r="AC41" i="5"/>
  <c r="AW40" i="5"/>
  <c r="AH40" i="5"/>
  <c r="AF40" i="5"/>
  <c r="AE40" i="5"/>
  <c r="AD40" i="5"/>
  <c r="AC40" i="5"/>
  <c r="AW39" i="5"/>
  <c r="AH39" i="5"/>
  <c r="AF39" i="5"/>
  <c r="AE39" i="5"/>
  <c r="AD39" i="5"/>
  <c r="AC39" i="5"/>
  <c r="AW38" i="5"/>
  <c r="AH38" i="5"/>
  <c r="AF38" i="5"/>
  <c r="AE38" i="5"/>
  <c r="AD38" i="5"/>
  <c r="AC38" i="5"/>
  <c r="AW37" i="5"/>
  <c r="AH37" i="5"/>
  <c r="AF37" i="5"/>
  <c r="AE37" i="5"/>
  <c r="AD37" i="5"/>
  <c r="AC37" i="5"/>
  <c r="AW36" i="5"/>
  <c r="AH36" i="5"/>
  <c r="AF36" i="5"/>
  <c r="AE36" i="5"/>
  <c r="AD36" i="5"/>
  <c r="AC36" i="5"/>
  <c r="AX35" i="5" a="1"/>
  <c r="AX35" i="5" s="1"/>
  <c r="AW35" i="5"/>
  <c r="AH35" i="5"/>
  <c r="AF35" i="5"/>
  <c r="AE35" i="5"/>
  <c r="AD35" i="5"/>
  <c r="AC35" i="5"/>
  <c r="AW34" i="5"/>
  <c r="AH34" i="5"/>
  <c r="AF34" i="5"/>
  <c r="AE34" i="5"/>
  <c r="AD34" i="5"/>
  <c r="AC34" i="5"/>
  <c r="AW33" i="5"/>
  <c r="AH33" i="5"/>
  <c r="AF33" i="5"/>
  <c r="AE33" i="5"/>
  <c r="AD33" i="5"/>
  <c r="AC33" i="5"/>
  <c r="AW32" i="5"/>
  <c r="AH32" i="5"/>
  <c r="AF32" i="5"/>
  <c r="AE32" i="5"/>
  <c r="AD32" i="5"/>
  <c r="AC32" i="5"/>
  <c r="AW31" i="5"/>
  <c r="AH31" i="5"/>
  <c r="AF31" i="5"/>
  <c r="AE31" i="5"/>
  <c r="AD31" i="5"/>
  <c r="AC31" i="5"/>
  <c r="AW30" i="5"/>
  <c r="AH30" i="5"/>
  <c r="AF30" i="5"/>
  <c r="AE30" i="5"/>
  <c r="AD30" i="5"/>
  <c r="AC30" i="5"/>
  <c r="AX29" i="5" a="1"/>
  <c r="AX29" i="5" s="1"/>
  <c r="AW29" i="5"/>
  <c r="AH29" i="5"/>
  <c r="AF29" i="5"/>
  <c r="AE29" i="5"/>
  <c r="AD29" i="5"/>
  <c r="AC29" i="5"/>
  <c r="AW28" i="5"/>
  <c r="AH28" i="5"/>
  <c r="AF28" i="5"/>
  <c r="AE28" i="5"/>
  <c r="AD28" i="5"/>
  <c r="AC28" i="5"/>
  <c r="AW27" i="5"/>
  <c r="AH27" i="5"/>
  <c r="AF27" i="5"/>
  <c r="AE27" i="5"/>
  <c r="AD27" i="5"/>
  <c r="AC27" i="5"/>
  <c r="AW26" i="5"/>
  <c r="AH26" i="5"/>
  <c r="AF26" i="5"/>
  <c r="AE26" i="5"/>
  <c r="AD26" i="5"/>
  <c r="AC26" i="5"/>
  <c r="AW25" i="5"/>
  <c r="AH25" i="5"/>
  <c r="AF25" i="5"/>
  <c r="AE25" i="5"/>
  <c r="AD25" i="5"/>
  <c r="AC25" i="5"/>
  <c r="AW24" i="5"/>
  <c r="AH24" i="5"/>
  <c r="AF24" i="5"/>
  <c r="AE24" i="5"/>
  <c r="AD24" i="5"/>
  <c r="AC24" i="5"/>
  <c r="AX23" i="5" a="1"/>
  <c r="AX23" i="5" s="1"/>
  <c r="AW23" i="5"/>
  <c r="AH23" i="5"/>
  <c r="AF23" i="5"/>
  <c r="AE23" i="5"/>
  <c r="AD23" i="5"/>
  <c r="AC23" i="5"/>
  <c r="AW22" i="5"/>
  <c r="AH22" i="5"/>
  <c r="AF22" i="5"/>
  <c r="AE22" i="5"/>
  <c r="AD22" i="5"/>
  <c r="AC22" i="5"/>
  <c r="AW21" i="5"/>
  <c r="AH21" i="5"/>
  <c r="AF21" i="5"/>
  <c r="AE21" i="5"/>
  <c r="AD21" i="5"/>
  <c r="AC21" i="5"/>
  <c r="AW20" i="5"/>
  <c r="AH20" i="5"/>
  <c r="AF20" i="5"/>
  <c r="AE20" i="5"/>
  <c r="AD20" i="5"/>
  <c r="AC20" i="5"/>
  <c r="AW19" i="5"/>
  <c r="AH19" i="5"/>
  <c r="AF19" i="5"/>
  <c r="AE19" i="5"/>
  <c r="AD19" i="5"/>
  <c r="AC19" i="5"/>
  <c r="AW18" i="5"/>
  <c r="AH18" i="5"/>
  <c r="AF18" i="5"/>
  <c r="AE18" i="5"/>
  <c r="AD18" i="5"/>
  <c r="AC18" i="5"/>
  <c r="AX17" i="5" a="1"/>
  <c r="AX17" i="5" s="1"/>
  <c r="AW17" i="5"/>
  <c r="AH17" i="5"/>
  <c r="AF17" i="5"/>
  <c r="AE17" i="5"/>
  <c r="AD17" i="5"/>
  <c r="AC17" i="5"/>
  <c r="AW16" i="5"/>
  <c r="AH16" i="5"/>
  <c r="AF16" i="5"/>
  <c r="AE16" i="5"/>
  <c r="AD16" i="5"/>
  <c r="AC16" i="5"/>
  <c r="AW15" i="5"/>
  <c r="AH15" i="5"/>
  <c r="AF15" i="5"/>
  <c r="AE15" i="5"/>
  <c r="AD15" i="5"/>
  <c r="AC15" i="5"/>
  <c r="AW14" i="5"/>
  <c r="AH14" i="5"/>
  <c r="AF14" i="5"/>
  <c r="AE14" i="5"/>
  <c r="AD14" i="5"/>
  <c r="AC14" i="5"/>
  <c r="AW13" i="5"/>
  <c r="AH13" i="5"/>
  <c r="AF13" i="5"/>
  <c r="AE13" i="5"/>
  <c r="AD13" i="5"/>
  <c r="AC13" i="5"/>
  <c r="AW12" i="5"/>
  <c r="AH12" i="5"/>
  <c r="AF12" i="5"/>
  <c r="AE12" i="5"/>
  <c r="AD12" i="5"/>
  <c r="AC12" i="5"/>
  <c r="AX11" i="5" a="1"/>
  <c r="AX11" i="5" s="1"/>
  <c r="AW11" i="5"/>
  <c r="AH11" i="5"/>
  <c r="AF11" i="5"/>
  <c r="AE11" i="5"/>
  <c r="AD11" i="5"/>
  <c r="AC11" i="5"/>
  <c r="AW10" i="5"/>
  <c r="AH10" i="5"/>
  <c r="AF10" i="5"/>
  <c r="AE10" i="5"/>
  <c r="AD10" i="5"/>
  <c r="AC10" i="5"/>
  <c r="AW9" i="5"/>
  <c r="AH9" i="5"/>
  <c r="AF9" i="5"/>
  <c r="AE9" i="5"/>
  <c r="AD9" i="5"/>
  <c r="AC9" i="5"/>
  <c r="AW8" i="5"/>
  <c r="AH8" i="5"/>
  <c r="AF8" i="5"/>
  <c r="AE8" i="5"/>
  <c r="AD8" i="5"/>
  <c r="AC8" i="5"/>
  <c r="AW7" i="5"/>
  <c r="AH7" i="5"/>
  <c r="AF7" i="5"/>
  <c r="AE7" i="5"/>
  <c r="AD7" i="5"/>
  <c r="AC7" i="5"/>
  <c r="AW6" i="5"/>
  <c r="AH6" i="5"/>
  <c r="AF6" i="5"/>
  <c r="AE6" i="5"/>
  <c r="AD6" i="5"/>
  <c r="AC6" i="5"/>
  <c r="AX5" i="5" a="1"/>
  <c r="AX5" i="5" s="1"/>
  <c r="AW5" i="5"/>
  <c r="AH5" i="5"/>
  <c r="AF5" i="5"/>
  <c r="AE5" i="5"/>
  <c r="AD5" i="5"/>
  <c r="AC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K263" i="5"/>
  <c r="BK245" i="5"/>
  <c r="BB179" i="5"/>
  <c r="BI95" i="5"/>
  <c r="AZ119" i="5"/>
  <c r="BH41" i="5"/>
  <c r="AZ215" i="5"/>
  <c r="BG191" i="5"/>
  <c r="AZ161" i="5"/>
  <c r="BA5" i="5"/>
  <c r="AZ71" i="5"/>
  <c r="BG125" i="5"/>
  <c r="BA95" i="5"/>
  <c r="BJ5" i="5"/>
  <c r="BI251" i="5"/>
  <c r="BD113" i="5"/>
  <c r="BG275" i="5"/>
  <c r="BH65" i="5"/>
  <c r="AZ245" i="5"/>
  <c r="BH179" i="5"/>
  <c r="BD263" i="5"/>
  <c r="BK41" i="5"/>
  <c r="BI197" i="5"/>
  <c r="BA239" i="5"/>
  <c r="AZ191" i="5"/>
  <c r="BJ65" i="5"/>
  <c r="BH11" i="5"/>
  <c r="BD197" i="5"/>
  <c r="BG77" i="5"/>
  <c r="BH143" i="5"/>
  <c r="BB239" i="5"/>
  <c r="BI29" i="5"/>
  <c r="BG185" i="5"/>
  <c r="BC89" i="5"/>
  <c r="BC113" i="5"/>
  <c r="AZ107" i="5"/>
  <c r="BJ71" i="5"/>
  <c r="BC143" i="5"/>
  <c r="BA83" i="5"/>
  <c r="BD11" i="5"/>
  <c r="BH251" i="5"/>
  <c r="AZ167" i="5"/>
  <c r="BD227" i="5"/>
  <c r="BK173" i="5"/>
  <c r="BA119" i="5"/>
  <c r="BC239" i="5"/>
  <c r="BB41" i="5"/>
  <c r="BB245" i="5"/>
  <c r="BD125" i="5"/>
  <c r="BD89" i="5"/>
  <c r="BD239" i="5"/>
  <c r="BK215" i="5"/>
  <c r="BA65" i="5"/>
  <c r="BK113" i="5"/>
  <c r="BH83" i="5"/>
  <c r="BK35" i="5"/>
  <c r="BD137" i="5"/>
  <c r="AZ17" i="5"/>
  <c r="BB143" i="5"/>
  <c r="BA179" i="5"/>
  <c r="BI245" i="5"/>
  <c r="BD221" i="5"/>
  <c r="BI191" i="5"/>
  <c r="BB89" i="5"/>
  <c r="BC47" i="5"/>
  <c r="BB209" i="5"/>
  <c r="BH197" i="5"/>
  <c r="BJ167" i="5"/>
  <c r="BH95" i="5"/>
  <c r="BG245" i="5"/>
  <c r="BB47" i="5"/>
  <c r="BA185" i="5"/>
  <c r="AZ263" i="5"/>
  <c r="BI65" i="5"/>
  <c r="BC35" i="5"/>
  <c r="BA245" i="5"/>
  <c r="BK71" i="5"/>
  <c r="BC137" i="5"/>
  <c r="BA155" i="5"/>
  <c r="BJ155" i="5"/>
  <c r="BI35" i="5"/>
  <c r="BB107" i="5"/>
  <c r="BK203" i="5"/>
  <c r="BC149" i="5"/>
  <c r="BJ191" i="5"/>
  <c r="BD185" i="5"/>
  <c r="BG251" i="5"/>
  <c r="BG167" i="5"/>
  <c r="BK257" i="5"/>
  <c r="BC29" i="5"/>
  <c r="BD269" i="5"/>
  <c r="AZ227" i="5"/>
  <c r="AZ233" i="5"/>
  <c r="BC167" i="5"/>
  <c r="BD155" i="5"/>
  <c r="BI17" i="5"/>
  <c r="BJ257" i="5"/>
  <c r="BA197" i="5"/>
  <c r="BJ209" i="5"/>
  <c r="BD203" i="5"/>
  <c r="BB269" i="5"/>
  <c r="BG239" i="5"/>
  <c r="BD95" i="5"/>
  <c r="BK179" i="5"/>
  <c r="BI83" i="5"/>
  <c r="BH203" i="5"/>
  <c r="BA173" i="5"/>
  <c r="BH149" i="5"/>
  <c r="BH113" i="5"/>
  <c r="BH173" i="5"/>
  <c r="AZ239" i="5"/>
  <c r="BI23" i="5"/>
  <c r="BH89" i="5"/>
  <c r="BB95" i="5"/>
  <c r="BB59" i="5"/>
  <c r="BH53" i="5"/>
  <c r="BC251" i="5"/>
  <c r="BK191" i="5"/>
  <c r="BG137" i="5"/>
  <c r="BI179" i="5"/>
  <c r="BJ203" i="5"/>
  <c r="BI269" i="5"/>
  <c r="BK197" i="5"/>
  <c r="BI209" i="5"/>
  <c r="BG149" i="5"/>
  <c r="BG23" i="5"/>
  <c r="BJ101" i="5"/>
  <c r="BA143" i="5"/>
  <c r="BA203" i="5"/>
  <c r="BJ119" i="5"/>
  <c r="BH245" i="5"/>
  <c r="BG227" i="5"/>
  <c r="BG161" i="5"/>
  <c r="BG173" i="5"/>
  <c r="BC155" i="5"/>
  <c r="AZ155" i="5"/>
  <c r="BG29" i="5"/>
  <c r="BB17" i="5"/>
  <c r="BG53" i="5"/>
  <c r="BK89" i="5"/>
  <c r="BJ263" i="5"/>
  <c r="BJ269" i="5"/>
  <c r="BI161" i="5"/>
  <c r="BA275" i="5"/>
  <c r="BG17" i="5"/>
  <c r="BJ41" i="5"/>
  <c r="BG263" i="5"/>
  <c r="BI107" i="5"/>
  <c r="BB5" i="5"/>
  <c r="BD233" i="5"/>
  <c r="BD65" i="5"/>
  <c r="BK23" i="5"/>
  <c r="BH35" i="5"/>
  <c r="BH161" i="5"/>
  <c r="BI185" i="5"/>
  <c r="BH137" i="5"/>
  <c r="BC71" i="5"/>
  <c r="BH167" i="5"/>
  <c r="BC161" i="5"/>
  <c r="BH101" i="5"/>
  <c r="BI173" i="5"/>
  <c r="BC209" i="5"/>
  <c r="BK125" i="5"/>
  <c r="BA107" i="5"/>
  <c r="AZ149" i="5"/>
  <c r="BH59" i="5"/>
  <c r="BI41" i="5"/>
  <c r="AZ23" i="5"/>
  <c r="BC179" i="5"/>
  <c r="BG155" i="5"/>
  <c r="BI257" i="5"/>
  <c r="BA227" i="5"/>
  <c r="BH23" i="5"/>
  <c r="BI263" i="5"/>
  <c r="BI275" i="5"/>
  <c r="BG221" i="5"/>
  <c r="BK221" i="5"/>
  <c r="BD29" i="5"/>
  <c r="BK161" i="5"/>
  <c r="BG215" i="5"/>
  <c r="BD71" i="5"/>
  <c r="BJ149" i="5"/>
  <c r="AZ47" i="5"/>
  <c r="BK77" i="5"/>
  <c r="BA23" i="5"/>
  <c r="BA221" i="5"/>
  <c r="BD143" i="5"/>
  <c r="BA89" i="5"/>
  <c r="AZ257" i="5"/>
  <c r="BC257" i="5"/>
  <c r="BK83" i="5"/>
  <c r="BB131" i="5"/>
  <c r="BB233" i="5"/>
  <c r="BI221" i="5"/>
  <c r="BB173" i="5"/>
  <c r="BG257" i="5"/>
  <c r="AZ197" i="5"/>
  <c r="BH77" i="5"/>
  <c r="BJ233" i="5"/>
  <c r="BD35" i="5"/>
  <c r="BI47" i="5"/>
  <c r="BA191" i="5"/>
  <c r="BG89" i="5"/>
  <c r="BG71" i="5"/>
  <c r="BB101" i="5"/>
  <c r="BC53" i="5"/>
  <c r="BK29" i="5"/>
  <c r="BC221" i="5"/>
  <c r="BD257" i="5"/>
  <c r="BC77" i="5"/>
  <c r="BK143" i="5"/>
  <c r="BJ245" i="5"/>
  <c r="BH185" i="5"/>
  <c r="BJ227" i="5"/>
  <c r="BK59" i="5"/>
  <c r="BB221" i="5"/>
  <c r="BJ275" i="5"/>
  <c r="AZ251" i="5"/>
  <c r="BB77" i="5"/>
  <c r="BD191" i="5"/>
  <c r="BC11" i="5"/>
  <c r="BD149" i="5"/>
  <c r="BG119" i="5"/>
  <c r="BK239" i="5"/>
  <c r="BB185" i="5"/>
  <c r="BI149" i="5"/>
  <c r="BJ173" i="5"/>
  <c r="BG5" i="5"/>
  <c r="AZ137" i="5"/>
  <c r="BB53" i="5"/>
  <c r="BI71" i="5"/>
  <c r="BK5" i="5"/>
  <c r="BB149" i="5"/>
  <c r="BK269" i="5"/>
  <c r="BD41" i="5"/>
  <c r="BB35" i="5"/>
  <c r="BD107" i="5"/>
  <c r="BH17" i="5"/>
  <c r="BI215" i="5"/>
  <c r="BH263" i="5"/>
  <c r="BD251" i="5"/>
  <c r="BC119" i="5"/>
  <c r="BI227" i="5"/>
  <c r="BB137" i="5"/>
  <c r="BA17" i="5"/>
  <c r="BD209" i="5"/>
  <c r="AZ221" i="5"/>
  <c r="AZ53" i="5"/>
  <c r="BC173" i="5"/>
  <c r="BK107" i="5"/>
  <c r="AZ143" i="5"/>
  <c r="BA167" i="5"/>
  <c r="BG41" i="5"/>
  <c r="BD161" i="5"/>
  <c r="BA137" i="5"/>
  <c r="BA149" i="5"/>
  <c r="BH275" i="5"/>
  <c r="BK101" i="5"/>
  <c r="BI131" i="5"/>
  <c r="AZ101" i="5"/>
  <c r="BC203" i="5"/>
  <c r="BB257" i="5"/>
  <c r="BH209" i="5"/>
  <c r="AZ65" i="5"/>
  <c r="BC5" i="5"/>
  <c r="AZ11" i="5"/>
  <c r="BB161" i="5"/>
  <c r="BH29" i="5"/>
  <c r="AZ209" i="5"/>
  <c r="BJ17" i="5"/>
  <c r="BG209" i="5"/>
  <c r="BG47" i="5"/>
  <c r="BA209" i="5"/>
  <c r="BJ83" i="5"/>
  <c r="BK11" i="5"/>
  <c r="BD167" i="5"/>
  <c r="BA101" i="5"/>
  <c r="BC125" i="5"/>
  <c r="BI119" i="5"/>
  <c r="BK119" i="5"/>
  <c r="BD245" i="5"/>
  <c r="BD17" i="5"/>
  <c r="BJ11" i="5"/>
  <c r="BH239" i="5"/>
  <c r="BA263" i="5"/>
  <c r="BH119" i="5"/>
  <c r="BK275" i="5"/>
  <c r="BB11" i="5"/>
  <c r="BB125" i="5"/>
  <c r="AZ269" i="5"/>
  <c r="BB215" i="5"/>
  <c r="BA251" i="5"/>
  <c r="AZ173" i="5"/>
  <c r="BD77" i="5"/>
  <c r="BD101" i="5"/>
  <c r="BK155" i="5"/>
  <c r="BI59" i="5"/>
  <c r="BD179" i="5"/>
  <c r="BA161" i="5"/>
  <c r="BA41" i="5"/>
  <c r="BH191" i="5"/>
  <c r="BC245" i="5"/>
  <c r="BH233" i="5"/>
  <c r="BC41" i="5"/>
  <c r="BB113" i="5"/>
  <c r="BC23" i="5"/>
  <c r="BA35" i="5"/>
  <c r="BA269" i="5"/>
  <c r="AZ77" i="5"/>
  <c r="BH5" i="5"/>
  <c r="BC191" i="5"/>
  <c r="AZ35" i="5"/>
  <c r="AZ131" i="5"/>
  <c r="AZ275" i="5"/>
  <c r="BG179" i="5"/>
  <c r="BG233" i="5"/>
  <c r="BI137" i="5"/>
  <c r="AZ203" i="5"/>
  <c r="BI53" i="5"/>
  <c r="BJ29" i="5"/>
  <c r="BC95" i="5"/>
  <c r="BC131" i="5"/>
  <c r="BG101" i="5"/>
  <c r="BI101" i="5"/>
  <c r="BJ197" i="5"/>
  <c r="BB71" i="5"/>
  <c r="BH215" i="5"/>
  <c r="BH155" i="5"/>
  <c r="BI167" i="5"/>
  <c r="BK149" i="5"/>
  <c r="BB275" i="5"/>
  <c r="BK233" i="5"/>
  <c r="BD173" i="5"/>
  <c r="BH221" i="5"/>
  <c r="BC107" i="5"/>
  <c r="BB203" i="5"/>
  <c r="BJ53" i="5"/>
  <c r="BC197" i="5"/>
  <c r="BJ131" i="5"/>
  <c r="BA125" i="5"/>
  <c r="BC227" i="5"/>
  <c r="BK251" i="5"/>
  <c r="BC233" i="5"/>
  <c r="BJ143" i="5"/>
  <c r="BB227" i="5"/>
  <c r="AZ41" i="5"/>
  <c r="BH269" i="5"/>
  <c r="BJ137" i="5"/>
  <c r="BK227" i="5"/>
  <c r="BH125" i="5"/>
  <c r="BJ161" i="5"/>
  <c r="BD131" i="5"/>
  <c r="BC185" i="5"/>
  <c r="BC59" i="5"/>
  <c r="BK185" i="5"/>
  <c r="BB83" i="5"/>
  <c r="BG95" i="5"/>
  <c r="BK47" i="5"/>
  <c r="BG113" i="5"/>
  <c r="BG35" i="5"/>
  <c r="BI125" i="5"/>
  <c r="BJ251" i="5"/>
  <c r="BK65" i="5"/>
  <c r="BI11" i="5"/>
  <c r="BA11" i="5"/>
  <c r="AZ89" i="5"/>
  <c r="BH227" i="5"/>
  <c r="BA131" i="5"/>
  <c r="BK209" i="5"/>
  <c r="BJ107" i="5"/>
  <c r="BA113" i="5"/>
  <c r="BB251" i="5"/>
  <c r="AZ185" i="5"/>
  <c r="BB155" i="5"/>
  <c r="BB167" i="5"/>
  <c r="BI203" i="5"/>
  <c r="BJ185" i="5"/>
  <c r="BB197" i="5"/>
  <c r="AZ83" i="5"/>
  <c r="BJ113" i="5"/>
  <c r="BA233" i="5"/>
  <c r="AZ113" i="5"/>
  <c r="BI233" i="5"/>
  <c r="BC101" i="5"/>
  <c r="BB263" i="5"/>
  <c r="BA29" i="5"/>
  <c r="BD53" i="5"/>
  <c r="BG107" i="5"/>
  <c r="BK95" i="5"/>
  <c r="BC215" i="5"/>
  <c r="BG143" i="5"/>
  <c r="BI89" i="5"/>
  <c r="BI113" i="5"/>
  <c r="BA59" i="5"/>
  <c r="BD47" i="5"/>
  <c r="BH131" i="5"/>
  <c r="BJ221" i="5"/>
  <c r="BG197" i="5"/>
  <c r="BC269" i="5"/>
  <c r="BI77" i="5"/>
  <c r="AZ95" i="5"/>
  <c r="BJ23" i="5"/>
  <c r="BK17" i="5"/>
  <c r="BK137" i="5"/>
  <c r="BB65" i="5"/>
  <c r="BI143" i="5"/>
  <c r="BA77" i="5"/>
  <c r="BJ239" i="5"/>
  <c r="BD215" i="5"/>
  <c r="BB191" i="5"/>
  <c r="BB23" i="5"/>
  <c r="BJ179" i="5"/>
  <c r="AZ179" i="5"/>
  <c r="BC65" i="5"/>
  <c r="BI5" i="5"/>
  <c r="BD83" i="5"/>
  <c r="BC263" i="5"/>
  <c r="BG65" i="5"/>
  <c r="BA47" i="5"/>
  <c r="BC275" i="5"/>
  <c r="BI239" i="5"/>
  <c r="BD119" i="5"/>
  <c r="AZ5" i="5"/>
  <c r="BA215" i="5"/>
  <c r="BD23" i="5"/>
  <c r="BA257" i="5"/>
  <c r="BK167" i="5"/>
  <c r="BA53" i="5"/>
  <c r="BB119" i="5"/>
  <c r="BA71" i="5"/>
  <c r="BJ215" i="5"/>
  <c r="BG83" i="5"/>
  <c r="BG203" i="5"/>
  <c r="BJ89" i="5"/>
  <c r="BJ35" i="5"/>
  <c r="BG59" i="5"/>
  <c r="BC17" i="5"/>
  <c r="BG11" i="5"/>
  <c r="BG131" i="5"/>
  <c r="BJ125" i="5"/>
  <c r="BJ47" i="5"/>
  <c r="BJ59" i="5"/>
  <c r="BB29" i="5"/>
  <c r="BC83" i="5"/>
  <c r="BD5" i="5"/>
  <c r="AZ59" i="5"/>
  <c r="BK53" i="5"/>
  <c r="BJ77" i="5"/>
  <c r="BD59" i="5"/>
  <c r="BH71" i="5"/>
  <c r="BD275" i="5"/>
  <c r="AZ125" i="5"/>
  <c r="BG269" i="5"/>
  <c r="BH257" i="5"/>
  <c r="BJ95" i="5"/>
  <c r="BH107" i="5"/>
  <c r="BH47" i="5"/>
  <c r="BI155" i="5"/>
  <c r="AZ29" i="5"/>
  <c r="BK131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44" i="1" l="1"/>
  <c r="E44" i="1"/>
  <c r="C44" i="1"/>
</calcChain>
</file>

<file path=xl/sharedStrings.xml><?xml version="1.0" encoding="utf-8"?>
<sst xmlns="http://schemas.openxmlformats.org/spreadsheetml/2006/main" count="8015" uniqueCount="1043">
  <si>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</si>
  <si>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</si>
  <si>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</si>
  <si>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</si>
  <si>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</si>
  <si>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</si>
  <si>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</si>
  <si>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</si>
  <si>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</si>
  <si>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</si>
  <si>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</si>
  <si>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</si>
  <si>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</si>
  <si>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</si>
  <si>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</si>
  <si>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</si>
  <si>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</si>
  <si>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</si>
  <si>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</si>
  <si>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</si>
  <si>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</si>
  <si>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</si>
  <si>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</si>
  <si>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</si>
  <si>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</si>
  <si>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</si>
  <si>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</si>
  <si>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</si>
  <si>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</si>
  <si>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</si>
  <si>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</si>
  <si>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</si>
  <si>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</si>
  <si>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</si>
  <si>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</si>
  <si>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</si>
  <si>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</si>
  <si>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</si>
  <si>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</si>
  <si>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</si>
  <si>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</si>
  <si>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</si>
  <si>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</si>
  <si>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</si>
  <si>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</si>
  <si>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</si>
  <si>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</si>
  <si>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</si>
  <si>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</si>
  <si>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</si>
  <si>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</si>
  <si>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</si>
  <si>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</si>
  <si>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</si>
  <si>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</si>
  <si>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</si>
  <si>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</si>
  <si>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</si>
  <si>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</si>
  <si>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</si>
  <si>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</si>
  <si>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</si>
  <si>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</si>
  <si>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</si>
  <si>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</si>
  <si>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</si>
  <si>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</si>
  <si>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</si>
  <si>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</si>
  <si>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</si>
  <si>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</si>
  <si>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</si>
  <si>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</si>
  <si>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</si>
  <si>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</si>
  <si>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</si>
  <si>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</si>
  <si>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</si>
  <si>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</si>
  <si>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</si>
  <si>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</si>
  <si>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</si>
  <si>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</si>
  <si>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</si>
  <si>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</si>
  <si>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</si>
  <si>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</si>
  <si>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</si>
  <si>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</si>
  <si>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</si>
  <si>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</si>
  <si>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</si>
  <si>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</si>
  <si>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</si>
  <si>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</si>
  <si>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</si>
  <si>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</si>
  <si>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</si>
  <si>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</si>
  <si>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</si>
  <si>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</si>
  <si>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</si>
  <si>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</si>
  <si>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</si>
  <si>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</si>
  <si>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</si>
  <si>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</si>
  <si>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</si>
  <si>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</si>
  <si>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</si>
  <si>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</si>
  <si>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</si>
  <si>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</si>
  <si>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</si>
  <si>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</si>
  <si>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</si>
  <si>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</si>
  <si>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</si>
  <si>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</si>
  <si>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</si>
  <si>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</si>
  <si>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</si>
  <si>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</si>
  <si>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</si>
  <si>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</si>
  <si>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</si>
  <si>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</si>
  <si>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</si>
  <si>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</si>
  <si>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</si>
  <si>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</si>
  <si>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</si>
  <si>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</si>
  <si>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</si>
  <si>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</si>
  <si>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</si>
  <si>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</si>
  <si>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</si>
  <si>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</si>
  <si>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</si>
  <si>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</si>
  <si>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</si>
  <si>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</si>
  <si>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</si>
  <si>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</si>
  <si>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</si>
  <si>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</si>
  <si>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</si>
  <si>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</si>
  <si>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</si>
  <si>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</si>
  <si>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</si>
  <si>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</si>
  <si>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</si>
  <si>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</si>
  <si>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</si>
  <si>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</si>
  <si>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</si>
  <si>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</si>
  <si>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</si>
  <si>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</si>
  <si>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</si>
  <si>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</si>
  <si>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</si>
  <si>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</si>
  <si>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</si>
  <si>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</si>
  <si>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</si>
  <si>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</si>
  <si>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</si>
  <si>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</si>
  <si>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</si>
  <si>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</si>
  <si>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</si>
  <si>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</si>
  <si>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</si>
  <si>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</si>
  <si>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</si>
  <si>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</si>
  <si>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</si>
  <si>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</si>
  <si>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</si>
  <si>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</si>
  <si>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</si>
  <si>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</si>
  <si>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</si>
  <si>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</si>
  <si>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</si>
  <si>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</si>
  <si>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</si>
  <si>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</si>
  <si>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</si>
  <si>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</si>
  <si>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</si>
  <si>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</si>
  <si>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</si>
  <si>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</si>
  <si>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</si>
  <si>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</si>
  <si>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</si>
  <si>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</si>
  <si>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</si>
  <si>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</si>
  <si>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</si>
  <si>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</si>
  <si>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</si>
  <si>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</si>
  <si>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</si>
  <si>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</si>
  <si>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</si>
  <si>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</si>
  <si>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</si>
  <si>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</si>
  <si>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</si>
  <si>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</si>
  <si>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</si>
  <si>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</si>
  <si>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</si>
  <si>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</si>
  <si>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</si>
  <si>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</si>
  <si>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</si>
  <si>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</si>
  <si>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</si>
  <si>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</si>
  <si>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</si>
  <si>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</si>
  <si>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</si>
  <si>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</si>
  <si>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</si>
  <si>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</si>
  <si>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</si>
  <si>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</si>
  <si>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</si>
  <si>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</si>
  <si>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</si>
  <si>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</si>
  <si>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</si>
  <si>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</si>
  <si>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</si>
  <si>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</si>
  <si>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</si>
  <si>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</si>
  <si>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</si>
  <si>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</si>
  <si>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</si>
  <si>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</si>
  <si>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</si>
  <si>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</si>
  <si>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</si>
  <si>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</si>
  <si>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</si>
  <si>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</si>
  <si>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</si>
  <si>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</si>
  <si>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</si>
  <si>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</si>
  <si>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</si>
  <si>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</si>
  <si>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</si>
  <si>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</si>
  <si>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</si>
  <si>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</si>
  <si>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</si>
  <si>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</si>
  <si>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</si>
  <si>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</si>
  <si>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</si>
  <si>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</si>
  <si>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</si>
  <si>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</si>
  <si>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</si>
  <si>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</si>
  <si>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</si>
  <si>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</si>
  <si>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</si>
  <si>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</si>
  <si>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</si>
  <si>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</si>
  <si>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</si>
  <si>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</si>
  <si>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</si>
  <si>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</si>
  <si>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</si>
  <si>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</si>
  <si>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</si>
  <si>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</si>
  <si>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</si>
  <si>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</si>
  <si>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</si>
  <si>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</si>
  <si>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</si>
  <si>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</si>
  <si>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</si>
  <si>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</si>
  <si>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</si>
  <si>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</si>
  <si>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</si>
  <si>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</si>
  <si>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</si>
  <si>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</si>
  <si>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</si>
  <si>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</si>
  <si>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</si>
  <si>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</si>
  <si>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</si>
  <si>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</si>
  <si>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</si>
  <si>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</si>
  <si>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</si>
  <si>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</si>
  <si>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</si>
  <si>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</si>
  <si>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</si>
  <si>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</si>
  <si>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</si>
  <si>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</si>
  <si>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</si>
  <si>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</si>
  <si>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</si>
  <si>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</si>
  <si>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</si>
  <si>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</si>
  <si>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</si>
  <si>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</si>
  <si>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</si>
  <si>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</si>
  <si>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</si>
  <si>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</si>
  <si>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</si>
  <si>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</si>
  <si>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</si>
  <si>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</si>
  <si>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</si>
  <si>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</si>
  <si>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</si>
  <si>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</si>
  <si>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</si>
  <si>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</si>
  <si>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</si>
  <si>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</si>
  <si>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</si>
  <si>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</si>
  <si>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</si>
  <si>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</si>
  <si>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</si>
  <si>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</si>
  <si>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</si>
  <si>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</si>
  <si>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</si>
  <si>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</si>
  <si>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</si>
  <si>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</si>
  <si>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</si>
  <si>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</si>
  <si>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</si>
  <si>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</si>
  <si>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</si>
  <si>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</si>
  <si>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</si>
  <si>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</si>
  <si>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</si>
  <si>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</si>
  <si>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</si>
  <si>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</si>
  <si>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</si>
  <si>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</si>
  <si>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</si>
  <si>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</si>
  <si>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</si>
  <si>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</si>
  <si>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</si>
  <si>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</si>
  <si>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</si>
  <si>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</si>
  <si>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</si>
  <si>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</si>
  <si>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</si>
  <si>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</si>
  <si>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</si>
  <si>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</si>
  <si>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</si>
  <si>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</si>
  <si>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</si>
  <si>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</si>
  <si>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</si>
  <si>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</si>
  <si>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</si>
  <si>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</si>
  <si>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</si>
  <si>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</si>
  <si>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</si>
  <si>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</si>
  <si>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</si>
  <si>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</si>
  <si>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</si>
  <si>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</si>
  <si>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</si>
  <si>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</si>
  <si>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</si>
  <si>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</si>
  <si>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</si>
  <si>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</si>
  <si>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</si>
  <si>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</si>
  <si>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</si>
  <si>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</si>
  <si>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</si>
  <si>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</si>
  <si>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</si>
  <si>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</si>
  <si>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</si>
  <si>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</si>
  <si>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</si>
  <si>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</si>
  <si>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</si>
  <si>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</si>
  <si>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</si>
  <si>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</si>
  <si>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</si>
  <si>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</si>
  <si>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</si>
  <si>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</si>
  <si>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</si>
  <si>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</si>
  <si>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</si>
  <si>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</si>
  <si>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</si>
  <si>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</si>
  <si>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</si>
  <si>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</si>
  <si>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</si>
  <si>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</si>
  <si>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</si>
  <si>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</si>
  <si>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</si>
  <si>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</si>
  <si>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</si>
  <si>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</si>
  <si>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</si>
  <si>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</si>
  <si>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</si>
  <si>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</si>
  <si>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</si>
  <si>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</si>
  <si>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</si>
  <si>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</si>
  <si>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</si>
  <si>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</si>
  <si>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</si>
  <si>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</si>
  <si>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</si>
  <si>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</si>
  <si>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</si>
  <si>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</si>
  <si>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</si>
  <si>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</si>
  <si>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</si>
  <si>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</si>
  <si>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</si>
  <si>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</si>
  <si>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</si>
  <si>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</si>
  <si>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</si>
  <si>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</si>
  <si>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</si>
  <si>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</si>
  <si>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</si>
  <si>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</si>
  <si>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</si>
  <si>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</si>
  <si>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</si>
  <si>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</si>
  <si>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</si>
  <si>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</si>
  <si>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</si>
  <si>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</si>
  <si>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</si>
  <si>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</si>
  <si>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</si>
  <si>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</si>
  <si>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</si>
  <si>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</si>
  <si>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</si>
  <si>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</si>
  <si>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</si>
  <si>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</si>
  <si>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</si>
  <si>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</si>
  <si>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</si>
  <si>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</si>
  <si>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</si>
  <si>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</si>
  <si>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</si>
  <si>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</si>
  <si>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</si>
  <si>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</si>
  <si>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</si>
  <si>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</si>
  <si>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</si>
  <si>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</si>
  <si>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</si>
  <si>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</si>
  <si>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</si>
  <si>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</si>
  <si>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</si>
  <si>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</si>
  <si>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</si>
  <si>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</si>
  <si>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</si>
  <si>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</si>
  <si>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</si>
  <si>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</si>
  <si>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</si>
  <si>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</si>
  <si>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</si>
  <si>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</si>
  <si>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</si>
  <si>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</si>
  <si>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</si>
  <si>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</si>
  <si>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</si>
  <si>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</si>
  <si>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</si>
  <si>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</si>
  <si>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</si>
  <si>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</si>
  <si>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</si>
  <si>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</si>
  <si>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</si>
  <si>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</si>
  <si>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</si>
  <si>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</si>
  <si>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</si>
  <si>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</si>
  <si>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</si>
  <si>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</si>
  <si>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</si>
  <si>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</si>
  <si>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</si>
  <si>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</si>
  <si>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</si>
  <si>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</si>
  <si>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</si>
  <si>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</si>
  <si>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</si>
  <si>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</si>
  <si>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</si>
  <si>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</si>
  <si>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</si>
  <si>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</si>
  <si>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</si>
  <si>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</si>
  <si>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</si>
  <si>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</si>
  <si>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</si>
  <si>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</si>
  <si>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</si>
  <si>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</si>
  <si>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</si>
  <si>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</si>
  <si>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</si>
  <si>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</si>
  <si>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</si>
  <si>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</si>
  <si>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</si>
  <si>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</si>
  <si>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</si>
  <si>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</si>
  <si>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</si>
  <si>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</si>
  <si>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</si>
  <si>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</si>
  <si>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</si>
  <si>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</si>
  <si>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</si>
  <si>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</si>
  <si>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</si>
  <si>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</si>
  <si>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</si>
  <si>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</si>
  <si>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</si>
  <si>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</si>
  <si>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</si>
  <si>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</si>
  <si>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</si>
  <si>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</si>
  <si>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</si>
  <si>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</si>
  <si>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</si>
  <si>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</si>
  <si>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</si>
  <si>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</si>
  <si>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</si>
  <si>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</si>
  <si>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</si>
  <si>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</si>
  <si>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</si>
  <si>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</si>
  <si>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</si>
  <si>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</si>
  <si>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</si>
  <si>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</si>
  <si>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</si>
  <si>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</si>
  <si>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</si>
  <si>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</si>
  <si>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</si>
  <si>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</si>
  <si>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</si>
  <si>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</si>
  <si>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</si>
  <si>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</si>
  <si>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</si>
  <si>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</si>
  <si>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</si>
  <si>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</si>
  <si>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</si>
  <si>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</si>
  <si>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</si>
  <si>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</si>
  <si>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</si>
  <si>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</si>
  <si>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</si>
  <si>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</si>
  <si>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</si>
  <si>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</si>
  <si>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</si>
  <si>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</si>
  <si>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</si>
  <si>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</si>
  <si>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</si>
  <si>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</si>
  <si>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</si>
  <si>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</si>
  <si>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</si>
  <si>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</si>
  <si>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</si>
  <si>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</si>
  <si>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</si>
  <si>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</si>
  <si>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</si>
  <si>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</si>
  <si>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</si>
  <si>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</si>
  <si>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</si>
  <si>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</si>
  <si>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</si>
  <si>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</si>
  <si>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</si>
  <si>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</si>
  <si>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</si>
  <si>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</si>
  <si>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</si>
  <si>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</si>
  <si>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</si>
  <si>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</si>
  <si>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</si>
  <si>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</si>
  <si>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</si>
  <si>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</si>
  <si>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</si>
  <si>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</si>
  <si>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</si>
  <si>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</si>
  <si>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</si>
  <si>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</si>
  <si>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</si>
  <si>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</si>
  <si>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</si>
  <si>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</si>
  <si>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</si>
  <si>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</si>
  <si>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</si>
  <si>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</si>
  <si>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</si>
  <si>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</si>
  <si>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</si>
  <si>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</si>
  <si>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</si>
  <si>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</si>
  <si>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</si>
  <si>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</si>
  <si>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</si>
  <si>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</si>
  <si>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</si>
  <si>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</si>
  <si>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</si>
  <si>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</si>
  <si>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</si>
  <si>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</si>
  <si>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</si>
  <si>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</si>
  <si>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</si>
  <si>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</si>
  <si>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</si>
  <si>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</si>
  <si>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</si>
  <si>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</si>
  <si>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</si>
  <si>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</si>
  <si>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</si>
  <si>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</si>
  <si>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</si>
  <si>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</si>
  <si>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</si>
  <si>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</si>
  <si>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</si>
  <si>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</si>
  <si>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</si>
  <si>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</si>
  <si>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</si>
  <si>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</si>
  <si>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</si>
  <si>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</si>
  <si>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</si>
  <si>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</si>
  <si>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</si>
  <si>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</si>
  <si>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</si>
  <si>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</si>
  <si>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</si>
  <si>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</si>
  <si>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</si>
  <si>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</si>
  <si>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</si>
  <si>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</si>
  <si>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</si>
  <si>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</si>
  <si>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</si>
  <si>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</si>
  <si>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</si>
  <si>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</si>
  <si>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</si>
  <si>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</si>
  <si>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</si>
  <si>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</si>
  <si>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</si>
  <si>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</si>
  <si>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</si>
  <si>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</si>
  <si>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</si>
  <si>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</si>
  <si>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</si>
  <si>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</si>
  <si>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</si>
  <si>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</si>
  <si>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</si>
  <si>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</si>
  <si>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</si>
  <si>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</si>
  <si>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</si>
  <si>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</si>
  <si>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</si>
  <si>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</si>
  <si>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</si>
  <si>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</si>
  <si>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</si>
  <si>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</si>
  <si>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</si>
  <si>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</si>
  <si>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</si>
  <si>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</si>
  <si>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</si>
  <si>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</si>
  <si>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</si>
  <si>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</si>
  <si>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</si>
  <si>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</si>
  <si>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</si>
  <si>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</si>
  <si>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</si>
  <si>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</si>
  <si>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</si>
  <si>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</si>
  <si>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</si>
  <si>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</si>
  <si>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</si>
  <si>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</si>
  <si>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</si>
  <si>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</si>
  <si>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</si>
  <si>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</si>
  <si>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</si>
  <si>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</si>
  <si>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</si>
  <si>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</si>
  <si>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</si>
  <si>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</si>
  <si>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</si>
  <si>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</si>
  <si>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</si>
  <si>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</si>
  <si>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</si>
  <si>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</si>
  <si>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</si>
  <si>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</si>
  <si>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</si>
  <si>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</si>
  <si>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</si>
  <si>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</si>
  <si>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</si>
  <si>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</si>
  <si>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</si>
  <si>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</si>
  <si>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</si>
  <si>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</si>
  <si>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</si>
  <si>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</si>
  <si>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</si>
  <si>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</si>
  <si>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</si>
  <si>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</si>
  <si>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</si>
  <si>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</si>
  <si>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</si>
  <si>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</si>
  <si>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</si>
  <si>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</si>
  <si>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</si>
  <si>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</si>
  <si>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</si>
  <si>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</si>
  <si>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</si>
  <si>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</si>
  <si>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</si>
  <si>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</si>
  <si>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</si>
  <si>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</si>
  <si>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</si>
  <si>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</si>
  <si>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</si>
  <si>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</si>
  <si>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</si>
  <si>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</si>
  <si>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</si>
  <si>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</si>
  <si>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</si>
  <si>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</si>
  <si>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</si>
  <si>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</si>
  <si>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</si>
  <si>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</si>
  <si>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</si>
  <si>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</si>
  <si>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</si>
  <si>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</si>
  <si>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</si>
  <si>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</si>
  <si>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</si>
  <si>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</si>
  <si>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</si>
  <si>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</si>
  <si>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</si>
  <si>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</si>
  <si>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</si>
  <si>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</si>
  <si>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</si>
  <si>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</si>
  <si>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</si>
  <si>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</si>
  <si>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</si>
  <si>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</si>
  <si>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</si>
  <si>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</si>
  <si>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</si>
  <si>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</si>
  <si>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</si>
  <si>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</si>
  <si>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</si>
  <si>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</si>
  <si>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</si>
  <si>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</si>
  <si>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</si>
  <si>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</si>
  <si>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</si>
  <si>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</si>
  <si>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</si>
  <si>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</si>
  <si>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</si>
  <si>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</si>
  <si>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</si>
  <si>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</si>
  <si>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</si>
  <si>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</si>
  <si>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</si>
  <si>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</si>
  <si>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</si>
  <si>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</si>
  <si>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</si>
  <si>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</si>
  <si>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</si>
  <si>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</si>
  <si>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</si>
  <si>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</si>
  <si>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</si>
  <si>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</si>
  <si>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</si>
  <si>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</si>
  <si>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</si>
  <si>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</si>
  <si>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</si>
  <si>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</si>
  <si>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</si>
  <si>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</si>
  <si>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</si>
  <si>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</si>
  <si>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</si>
  <si>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</si>
  <si>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</si>
  <si>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</si>
  <si>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</si>
  <si>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</si>
  <si>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</si>
  <si>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</si>
  <si>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</si>
  <si>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</si>
  <si>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</si>
  <si>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</si>
  <si>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</si>
  <si>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</si>
  <si>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</si>
  <si>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</si>
  <si>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</si>
  <si>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</si>
  <si>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</si>
  <si>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</si>
  <si>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</si>
  <si>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</si>
  <si>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</si>
  <si>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</si>
  <si>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</si>
  <si>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</si>
  <si>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</si>
  <si>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</si>
  <si>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</si>
  <si>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</si>
  <si>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</si>
  <si>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</si>
  <si>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</si>
  <si>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</si>
  <si>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</si>
  <si>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</si>
  <si>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</si>
  <si>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</si>
  <si>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</si>
  <si>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</si>
  <si>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</si>
  <si>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</si>
  <si>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</si>
  <si>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</si>
  <si>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</si>
  <si>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</si>
  <si>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</si>
  <si>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</si>
  <si>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</si>
  <si>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</si>
  <si>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</si>
  <si>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</si>
  <si>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</si>
  <si>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</si>
  <si>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</si>
  <si>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</si>
  <si>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</si>
  <si>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</si>
  <si>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</si>
  <si>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</si>
  <si>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</si>
  <si>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</si>
  <si>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</si>
  <si>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</si>
  <si>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</si>
  <si>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</si>
  <si>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</si>
  <si>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</si>
  <si>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</si>
  <si>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</si>
  <si>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</si>
  <si>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</si>
  <si>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</si>
  <si>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</si>
  <si>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</si>
  <si>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</si>
  <si>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</si>
  <si>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</si>
  <si>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</si>
  <si>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</si>
  <si>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</si>
  <si>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</si>
  <si>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</si>
  <si>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</si>
  <si>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</si>
  <si>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</si>
  <si>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</si>
  <si>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</si>
  <si>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</si>
  <si>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</si>
  <si>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</si>
  <si>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</si>
  <si>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</si>
  <si>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</si>
  <si>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</si>
  <si>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</si>
  <si>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</si>
  <si>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</si>
  <si>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</si>
  <si>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</si>
  <si>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</si>
  <si>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</si>
  <si>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</si>
  <si>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</si>
  <si>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</si>
  <si>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</si>
  <si>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</si>
  <si>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</si>
  <si>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</si>
  <si>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</si>
  <si>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</si>
  <si>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</si>
  <si>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</si>
  <si>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</si>
  <si>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</si>
  <si>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</si>
  <si>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</si>
  <si>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</si>
  <si>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</si>
  <si>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</si>
  <si>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</si>
  <si>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</si>
  <si>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</si>
  <si>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</si>
  <si>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</si>
  <si>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</si>
  <si>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</si>
  <si>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</si>
  <si>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</si>
  <si>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</si>
  <si>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v21.0-rc1-trisoup-predlift</t>
  </si>
  <si>
    <t>v21.0-rc1-trisoup-raht</t>
  </si>
  <si>
    <t>innovizQC1</t>
  </si>
  <si>
    <t>innovizQC2</t>
  </si>
  <si>
    <t>innovizQC3</t>
  </si>
  <si>
    <t>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</si>
</sst>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v21.0-rc1-trisoup-predlift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v21.0-rc1-trisoup-raht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" sqref="C3"/>
    </sheetView>
  </sheetViews>
  <sheetFormatPr defaultRowHeight="14" x14ac:dyDescent="0.25"/>
  <cols>
    <col min="1" max="1" width="0" hidden="1" customWidth="1"/>
    <col min="2" max="2" width="28" bestFit="1" customWidth="1"/>
    <col min="3" max="8" width="24.7265625" customWidth="1"/>
  </cols>
  <sheetData>
    <row r="1" spans="2:6" x14ac:dyDescent="0.25">
      <c r="B1" t="s">
        <v>0</v>
      </c>
      <c r="C1" s="94" t="s">
        <v>1037</v>
      </c>
      <c r="D1" s="94"/>
      <c r="E1" s="94"/>
    </row>
    <row r="2" spans="2:6" x14ac:dyDescent="0.25">
      <c r="B2" t="s">
        <v>1</v>
      </c>
      <c r="C2" s="95" t="s">
        <v>1038</v>
      </c>
      <c r="D2" s="95"/>
      <c r="E2" s="95"/>
    </row>
    <row r="4" spans="2:6" s="1" customFormat="1" x14ac:dyDescent="0.25">
      <c r="B4" s="1" t="s">
        <v>413</v>
      </c>
    </row>
    <row r="6" spans="2:6" x14ac:dyDescent="0.25">
      <c r="B6" s="96" t="s">
        <v>414</v>
      </c>
      <c r="C6" s="97" t="s">
        <v>415</v>
      </c>
      <c r="D6" s="97"/>
      <c r="E6" s="97"/>
      <c r="F6" s="97"/>
    </row>
    <row r="7" spans="2:6" x14ac:dyDescent="0.25">
      <c r="B7" s="96"/>
      <c r="C7" s="98" t="s">
        <v>200</v>
      </c>
      <c r="D7" s="98"/>
      <c r="E7" s="98"/>
      <c r="F7" s="98"/>
    </row>
    <row r="8" spans="2:6" x14ac:dyDescent="0.25">
      <c r="B8" s="96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2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2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2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2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2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25">
      <c r="B14" t="s">
        <v>1019</v>
      </c>
      <c r="C14" s="4"/>
      <c r="D14" s="4"/>
      <c r="E14" s="4"/>
      <c r="F14" s="3" t="e">
        <f>'C1 losslG,lossyA,intra'!$AY$364:$AY$364</f>
        <v>#DIV/0!</v>
      </c>
    </row>
    <row r="15" spans="2:6" x14ac:dyDescent="0.25">
      <c r="B15" t="s">
        <v>1020</v>
      </c>
      <c r="C15" s="4"/>
      <c r="D15" s="4"/>
      <c r="E15" s="4"/>
      <c r="F15" s="3" t="e">
        <f>'C1 losslG,lossyA,intra'!$AY$365:$AY$365</f>
        <v>#DIV/0!</v>
      </c>
    </row>
    <row r="16" spans="2:6" x14ac:dyDescent="0.2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25">
      <c r="B17" t="s">
        <v>416</v>
      </c>
      <c r="C17" s="99" t="e">
        <f>'C1 losslG,lossyA,intra'!AP370</f>
        <v>#NUM!</v>
      </c>
      <c r="D17" s="99"/>
      <c r="E17" s="99"/>
      <c r="F17" s="99"/>
    </row>
    <row r="18" spans="2:8" x14ac:dyDescent="0.25">
      <c r="B18" s="8" t="s">
        <v>417</v>
      </c>
      <c r="C18" s="100" t="e">
        <f>'C1 losslG,lossyA,intra'!AQ370</f>
        <v>#NUM!</v>
      </c>
      <c r="D18" s="100"/>
      <c r="E18" s="100"/>
      <c r="F18" s="100"/>
    </row>
    <row r="20" spans="2:8" x14ac:dyDescent="0.25">
      <c r="B20" s="96" t="s">
        <v>609</v>
      </c>
      <c r="C20" s="97" t="s">
        <v>610</v>
      </c>
      <c r="D20" s="97"/>
      <c r="E20" s="97"/>
      <c r="F20" s="97"/>
      <c r="G20" s="97"/>
      <c r="H20" s="97"/>
    </row>
    <row r="21" spans="2:8" x14ac:dyDescent="0.25">
      <c r="B21" s="96"/>
      <c r="C21" s="98" t="s">
        <v>200</v>
      </c>
      <c r="D21" s="98"/>
      <c r="E21" s="98"/>
      <c r="F21" s="98"/>
      <c r="G21" s="101" t="s">
        <v>474</v>
      </c>
      <c r="H21" s="101"/>
    </row>
    <row r="22" spans="2:8" x14ac:dyDescent="0.25">
      <c r="B22" s="96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25">
      <c r="B23" t="s">
        <v>402</v>
      </c>
      <c r="C23" s="3">
        <f>'C2 lossyG,lossyA,intra'!$BB$359:$BB$359</f>
        <v>-2.7119758121515458E-2</v>
      </c>
      <c r="D23" s="3">
        <f>'C2 lossyG,lossyA,intra'!$BC$359:$BC$359</f>
        <v>-2.7432048100465994E-2</v>
      </c>
      <c r="E23" s="3">
        <f>'C2 lossyG,lossyA,intra'!$BD$359:$BD$359</f>
        <v>-2.8707481484434187E-2</v>
      </c>
      <c r="F23" s="4"/>
      <c r="G23" s="3">
        <f>'C2 lossyG,lossyA,intra'!$AZ$359:$AZ$359</f>
        <v>-4.5991750770085688E-2</v>
      </c>
      <c r="H23" s="3">
        <f>'C2 lossyG,lossyA,intra'!$BA$359:$BA$359</f>
        <v>-4.4378903858553684E-2</v>
      </c>
    </row>
    <row r="24" spans="2:8" x14ac:dyDescent="0.25">
      <c r="B24" t="s">
        <v>403</v>
      </c>
      <c r="C24" s="3">
        <f>'C2 lossyG,lossyA,intra'!$BB$360:$BB$360</f>
        <v>-5.6911395789120223E-4</v>
      </c>
      <c r="D24" s="3">
        <f>'C2 lossyG,lossyA,intra'!$BC$360:$BC$360</f>
        <v>3.0637611451260022E-4</v>
      </c>
      <c r="E24" s="3">
        <f>'C2 lossyG,lossyA,intra'!$BD$360:$BD$360</f>
        <v>-9.1321593985812155E-4</v>
      </c>
      <c r="F24" s="4"/>
      <c r="G24" s="3">
        <f>'C2 lossyG,lossyA,intra'!$AZ$360:$AZ$360</f>
        <v>-1.1449486739344835E-2</v>
      </c>
      <c r="H24" s="3">
        <f>'C2 lossyG,lossyA,intra'!$BA$360:$BA$360</f>
        <v>-1.1278903246754171E-2</v>
      </c>
    </row>
    <row r="25" spans="2:8" x14ac:dyDescent="0.25">
      <c r="B25" t="s">
        <v>404</v>
      </c>
      <c r="C25" s="3">
        <f>'C2 lossyG,lossyA,intra'!$BB$361:$BB$361</f>
        <v>6.0094537778719133E-3</v>
      </c>
      <c r="D25" s="3">
        <f>'C2 lossyG,lossyA,intra'!$BC$361:$BC$361</f>
        <v>5.4104947679036973E-3</v>
      </c>
      <c r="E25" s="3">
        <f>'C2 lossyG,lossyA,intra'!$BD$361:$BD$361</f>
        <v>5.636131781724384E-3</v>
      </c>
      <c r="F25" s="4"/>
      <c r="G25" s="3">
        <f>'C2 lossyG,lossyA,intra'!$AZ$361:$AZ$361</f>
        <v>-2.1601202770843691E-2</v>
      </c>
      <c r="H25" s="3">
        <f>'C2 lossyG,lossyA,intra'!$BA$361:$BA$361</f>
        <v>-2.074697877986029E-2</v>
      </c>
    </row>
    <row r="26" spans="2:8" x14ac:dyDescent="0.25">
      <c r="B26" t="s">
        <v>405</v>
      </c>
      <c r="C26" s="3">
        <f>'C2 lossyG,lossyA,intra'!$BB$362:$BB$362</f>
        <v>-4.1901365766974646E-3</v>
      </c>
      <c r="D26" s="3">
        <f>'C2 lossyG,lossyA,intra'!$BC$362:$BC$362</f>
        <v>-5.3010777857741484E-3</v>
      </c>
      <c r="E26" s="3">
        <f>'C2 lossyG,lossyA,intra'!$BD$362:$BD$362</f>
        <v>-5.1033131198966603E-3</v>
      </c>
      <c r="F26" s="4"/>
      <c r="G26" s="3">
        <f>'C2 lossyG,lossyA,intra'!$AZ$362:$AZ$362</f>
        <v>-2.3224666270843422E-2</v>
      </c>
      <c r="H26" s="3">
        <f>'C2 lossyG,lossyA,intra'!$BA$362:$BA$362</f>
        <v>-2.2893804088856523E-2</v>
      </c>
    </row>
    <row r="27" spans="2:8" x14ac:dyDescent="0.2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25">
      <c r="B28" t="s">
        <v>1019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25">
      <c r="B29" t="s">
        <v>1020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25">
      <c r="B30" s="5" t="s">
        <v>407</v>
      </c>
      <c r="C30" s="6">
        <f>'C2 lossyG,lossyA,intra'!$BB$366:$BB$366</f>
        <v>-1.2633637531670123E-3</v>
      </c>
      <c r="D30" s="6">
        <f>'C2 lossyG,lossyA,intra'!$BC$366:$BC$366</f>
        <v>-1.5095695335454256E-3</v>
      </c>
      <c r="E30" s="6">
        <f>'C2 lossyG,lossyA,intra'!$BD$366:$BD$366</f>
        <v>-1.7491625580821745E-3</v>
      </c>
      <c r="F30" s="6" t="e">
        <f>'C2 lossyG,lossyA,intra'!$BE$366:$BE$366</f>
        <v>#DIV/0!</v>
      </c>
      <c r="G30" s="6">
        <f>'C2 lossyG,lossyA,intra'!$AZ$366:$AZ$366</f>
        <v>-1.7948666399071288E-2</v>
      </c>
      <c r="H30" s="6">
        <f>'C2 lossyG,lossyA,intra'!$BA$366:$BA$366</f>
        <v>-1.7602900118585074E-2</v>
      </c>
    </row>
    <row r="31" spans="2:8" x14ac:dyDescent="0.25">
      <c r="B31" t="s">
        <v>416</v>
      </c>
      <c r="C31" s="99" t="e">
        <f>'C2 lossyG,lossyA,intra'!AT370</f>
        <v>#NUM!</v>
      </c>
      <c r="D31" s="99"/>
      <c r="E31" s="99"/>
      <c r="F31" s="99"/>
      <c r="G31" s="99"/>
      <c r="H31" s="99"/>
    </row>
    <row r="32" spans="2:8" x14ac:dyDescent="0.25">
      <c r="B32" s="8" t="s">
        <v>417</v>
      </c>
      <c r="C32" s="100" t="e">
        <f>'C2 lossyG,lossyA,intra'!AU370</f>
        <v>#NUM!</v>
      </c>
      <c r="D32" s="100"/>
      <c r="E32" s="100"/>
      <c r="F32" s="100"/>
      <c r="G32" s="100"/>
      <c r="H32" s="100"/>
    </row>
    <row r="34" spans="2:6" x14ac:dyDescent="0.25">
      <c r="B34" s="96" t="s">
        <v>778</v>
      </c>
      <c r="C34" s="97" t="s">
        <v>779</v>
      </c>
      <c r="D34" s="97"/>
      <c r="E34" s="97"/>
      <c r="F34" s="97"/>
    </row>
    <row r="35" spans="2:6" x14ac:dyDescent="0.25">
      <c r="B35" s="96"/>
      <c r="C35" s="98" t="s">
        <v>650</v>
      </c>
      <c r="D35" s="98"/>
      <c r="E35" s="98"/>
      <c r="F35" s="98"/>
    </row>
    <row r="36" spans="2:6" x14ac:dyDescent="0.25">
      <c r="B36" s="96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2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2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2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2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2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25">
      <c r="B42" t="s">
        <v>1019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25">
      <c r="B43" t="s">
        <v>1020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2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25">
      <c r="B45" t="s">
        <v>416</v>
      </c>
      <c r="C45" s="99" t="e">
        <f>'CW losslG,losslA,intra'!AI75</f>
        <v>#NUM!</v>
      </c>
      <c r="D45" s="99"/>
      <c r="E45" s="99"/>
      <c r="F45" s="99"/>
    </row>
    <row r="46" spans="2:6" x14ac:dyDescent="0.25">
      <c r="B46" s="8" t="s">
        <v>417</v>
      </c>
      <c r="C46" s="100" t="e">
        <f>'CW losslG,losslA,intra'!AJ75</f>
        <v>#NUM!</v>
      </c>
      <c r="D46" s="100"/>
      <c r="E46" s="100"/>
      <c r="F46" s="100"/>
    </row>
    <row r="48" spans="2:6" x14ac:dyDescent="0.25">
      <c r="B48" s="96" t="s">
        <v>985</v>
      </c>
      <c r="C48" s="97" t="s">
        <v>986</v>
      </c>
      <c r="D48" s="97"/>
      <c r="E48" s="97"/>
      <c r="F48" s="97"/>
    </row>
    <row r="49" spans="2:6" x14ac:dyDescent="0.25">
      <c r="B49" s="96"/>
      <c r="C49" s="98" t="s">
        <v>846</v>
      </c>
      <c r="D49" s="98"/>
      <c r="E49" s="98"/>
      <c r="F49" s="98"/>
    </row>
    <row r="50" spans="2:6" x14ac:dyDescent="0.25">
      <c r="B50" s="96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2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2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2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2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2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25">
      <c r="B56" t="s">
        <v>1019</v>
      </c>
      <c r="C56" s="4"/>
      <c r="D56" s="4"/>
      <c r="E56" s="4"/>
      <c r="F56" s="3" t="e">
        <f>'CY losslG,nearllA,intra'!$BL$305:$BL$305</f>
        <v>#DIV/0!</v>
      </c>
    </row>
    <row r="57" spans="2:6" x14ac:dyDescent="0.25">
      <c r="B57" t="s">
        <v>1020</v>
      </c>
      <c r="C57" s="4"/>
      <c r="D57" s="4"/>
      <c r="E57" s="4"/>
      <c r="F57" s="3" t="e">
        <f>'CY losslG,nearllA,intra'!$BL$306:$BL$306</f>
        <v>#DIV/0!</v>
      </c>
    </row>
    <row r="58" spans="2:6" x14ac:dyDescent="0.2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25">
      <c r="B59" t="s">
        <v>416</v>
      </c>
      <c r="C59" s="99" t="e">
        <f>'CY losslG,nearllA,intra'!AX311</f>
        <v>#NUM!</v>
      </c>
      <c r="D59" s="99"/>
      <c r="E59" s="99"/>
      <c r="F59" s="99"/>
    </row>
    <row r="60" spans="2:6" x14ac:dyDescent="0.25">
      <c r="B60" s="8" t="s">
        <v>417</v>
      </c>
      <c r="C60" s="100" t="e">
        <f>'CY losslG,nearllA,intra'!AY311</f>
        <v>#NUM!</v>
      </c>
      <c r="D60" s="100"/>
      <c r="E60" s="100"/>
      <c r="F60" s="100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4" x14ac:dyDescent="0.25"/>
  <cols>
    <col min="1" max="1" width="12.7265625" customWidth="1"/>
    <col min="2" max="2" width="24.7265625" customWidth="1"/>
    <col min="4" max="4" width="24.7265625" customWidth="1"/>
    <col min="9" max="9" width="16.7265625" customWidth="1"/>
  </cols>
  <sheetData>
    <row r="1" spans="1:16" x14ac:dyDescent="0.2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2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1013</v>
      </c>
      <c r="N2" t="s">
        <v>1014</v>
      </c>
      <c r="O2" t="s">
        <v>1015</v>
      </c>
      <c r="P2" t="s">
        <v>1016</v>
      </c>
    </row>
    <row r="3" spans="1:16" x14ac:dyDescent="0.2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2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2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2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2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2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2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2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2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2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2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2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2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2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2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2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2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2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2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2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2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2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2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2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2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2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2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2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2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2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2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2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2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2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2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2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2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25">
      <c r="M40" t="s">
        <v>344</v>
      </c>
      <c r="N40" t="s">
        <v>344</v>
      </c>
      <c r="O40" t="s">
        <v>344</v>
      </c>
      <c r="P40" t="s">
        <v>344</v>
      </c>
    </row>
    <row r="41" spans="9:16" x14ac:dyDescent="0.25">
      <c r="M41" t="s">
        <v>347</v>
      </c>
      <c r="N41" t="s">
        <v>347</v>
      </c>
      <c r="O41" t="s">
        <v>347</v>
      </c>
      <c r="P41" t="s">
        <v>347</v>
      </c>
    </row>
    <row r="42" spans="9:16" x14ac:dyDescent="0.25">
      <c r="M42" t="s">
        <v>350</v>
      </c>
      <c r="N42" t="s">
        <v>350</v>
      </c>
      <c r="O42" t="s">
        <v>350</v>
      </c>
      <c r="P42" t="s">
        <v>350</v>
      </c>
    </row>
    <row r="43" spans="9:16" x14ac:dyDescent="0.25">
      <c r="M43" t="s">
        <v>353</v>
      </c>
      <c r="N43" t="s">
        <v>353</v>
      </c>
      <c r="O43" t="s">
        <v>353</v>
      </c>
      <c r="P43" t="s">
        <v>353</v>
      </c>
    </row>
    <row r="44" spans="9:16" x14ac:dyDescent="0.25">
      <c r="M44" t="s">
        <v>356</v>
      </c>
      <c r="N44" t="s">
        <v>356</v>
      </c>
      <c r="O44" t="s">
        <v>356</v>
      </c>
      <c r="P44" t="s">
        <v>356</v>
      </c>
    </row>
    <row r="45" spans="9:16" x14ac:dyDescent="0.25">
      <c r="M45" t="s">
        <v>359</v>
      </c>
      <c r="N45" t="s">
        <v>359</v>
      </c>
      <c r="O45" t="s">
        <v>359</v>
      </c>
      <c r="P45" t="s">
        <v>359</v>
      </c>
    </row>
    <row r="46" spans="9:16" x14ac:dyDescent="0.25">
      <c r="M46" t="s">
        <v>362</v>
      </c>
      <c r="N46" t="s">
        <v>362</v>
      </c>
      <c r="O46" t="s">
        <v>362</v>
      </c>
      <c r="P46" t="s">
        <v>362</v>
      </c>
    </row>
    <row r="47" spans="9:16" x14ac:dyDescent="0.25">
      <c r="M47" t="s">
        <v>365</v>
      </c>
      <c r="N47" t="s">
        <v>365</v>
      </c>
      <c r="O47" t="s">
        <v>365</v>
      </c>
      <c r="P47" t="s">
        <v>365</v>
      </c>
    </row>
    <row r="48" spans="9:16" x14ac:dyDescent="0.2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2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2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2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2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2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2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2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2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2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2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25">
      <c r="M59" t="s">
        <v>1039</v>
      </c>
      <c r="N59" t="s">
        <v>1039</v>
      </c>
      <c r="O59" t="s">
        <v>1039</v>
      </c>
      <c r="P59" t="s">
        <v>1039</v>
      </c>
    </row>
    <row r="60" spans="13:16" x14ac:dyDescent="0.25">
      <c r="M60" t="s">
        <v>1040</v>
      </c>
      <c r="N60" t="s">
        <v>1040</v>
      </c>
      <c r="O60" t="s">
        <v>1040</v>
      </c>
      <c r="P60" t="s">
        <v>1040</v>
      </c>
    </row>
    <row r="61" spans="13:16" x14ac:dyDescent="0.25">
      <c r="M61" t="s">
        <v>1041</v>
      </c>
      <c r="N61" t="s">
        <v>1041</v>
      </c>
      <c r="O61" t="s">
        <v>1041</v>
      </c>
      <c r="P61" t="s">
        <v>1041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4" outlineLevelRow="2" x14ac:dyDescent="0.25"/>
  <cols>
    <col min="1" max="1" width="20.54296875" bestFit="1" customWidth="1"/>
    <col min="2" max="2" width="30.81640625" bestFit="1" customWidth="1"/>
    <col min="4" max="5" width="10.7265625" customWidth="1"/>
    <col min="8" max="8" width="1.7265625" customWidth="1"/>
    <col min="10" max="12" width="10.7265625" customWidth="1"/>
    <col min="13" max="13" width="11.7265625" customWidth="1"/>
    <col min="14" max="14" width="12.7265625" customWidth="1"/>
    <col min="15" max="15" width="10.7265625" customWidth="1"/>
    <col min="16" max="19" width="12.7265625" customWidth="1"/>
    <col min="20" max="23" width="11.7265625" customWidth="1"/>
    <col min="26" max="26" width="1.7265625" customWidth="1"/>
    <col min="28" max="30" width="10.7265625" customWidth="1"/>
    <col min="31" max="31" width="11.7265625" customWidth="1"/>
    <col min="32" max="32" width="12.7265625" customWidth="1"/>
    <col min="33" max="33" width="10.7265625" customWidth="1"/>
    <col min="34" max="37" width="12.7265625" customWidth="1"/>
    <col min="38" max="41" width="11.7265625" customWidth="1"/>
    <col min="44" max="44" width="1.7265625" customWidth="1"/>
    <col min="47" max="47" width="1.7265625" customWidth="1"/>
    <col min="48" max="51" width="11.7265625" customWidth="1"/>
    <col min="52" max="52" width="1.7265625" customWidth="1"/>
    <col min="53" max="56" width="11.7265625" customWidth="1"/>
    <col min="57" max="57" width="1.7265625" customWidth="1"/>
  </cols>
  <sheetData>
    <row r="1" spans="1:56" x14ac:dyDescent="0.25">
      <c r="A1" s="106" t="s">
        <v>218</v>
      </c>
      <c r="B1" s="106"/>
      <c r="C1" s="106"/>
      <c r="D1" s="106"/>
      <c r="E1" s="106"/>
      <c r="F1" s="106"/>
      <c r="G1" s="106"/>
      <c r="I1" s="94" t="str">
        <f>Summary!C1</f>
        <v>v21.0-rc1-trisoup-predlift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AA1" s="95" t="str">
        <f>Summary!C2</f>
        <v>v21.0-rc1-trisoup-raht</v>
      </c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</row>
    <row r="2" spans="1:56" ht="30" customHeight="1" x14ac:dyDescent="0.25">
      <c r="A2" s="102" t="s">
        <v>91</v>
      </c>
      <c r="B2" s="103" t="s">
        <v>94</v>
      </c>
      <c r="C2" s="102" t="s">
        <v>97</v>
      </c>
      <c r="D2" s="103" t="s">
        <v>100</v>
      </c>
      <c r="E2" s="102" t="s">
        <v>103</v>
      </c>
      <c r="F2" s="103" t="s">
        <v>106</v>
      </c>
      <c r="G2" s="102" t="s">
        <v>109</v>
      </c>
      <c r="I2" s="103" t="s">
        <v>112</v>
      </c>
      <c r="J2" s="105" t="s">
        <v>115</v>
      </c>
      <c r="K2" s="105"/>
      <c r="L2" s="105"/>
      <c r="M2" s="105"/>
      <c r="N2" s="103" t="s">
        <v>128</v>
      </c>
      <c r="O2" s="102" t="s">
        <v>22</v>
      </c>
      <c r="P2" s="104" t="s">
        <v>133</v>
      </c>
      <c r="Q2" s="104"/>
      <c r="R2" s="104"/>
      <c r="S2" s="104"/>
      <c r="T2" s="105" t="s">
        <v>143</v>
      </c>
      <c r="U2" s="105"/>
      <c r="V2" s="105"/>
      <c r="W2" s="105"/>
      <c r="X2" s="103" t="s">
        <v>155</v>
      </c>
      <c r="Y2" s="102" t="s">
        <v>158</v>
      </c>
      <c r="AA2" s="103" t="s">
        <v>112</v>
      </c>
      <c r="AB2" s="105" t="s">
        <v>115</v>
      </c>
      <c r="AC2" s="105"/>
      <c r="AD2" s="105"/>
      <c r="AE2" s="105"/>
      <c r="AF2" s="103" t="s">
        <v>128</v>
      </c>
      <c r="AG2" s="102" t="s">
        <v>22</v>
      </c>
      <c r="AH2" s="104" t="s">
        <v>133</v>
      </c>
      <c r="AI2" s="104"/>
      <c r="AJ2" s="104"/>
      <c r="AK2" s="104"/>
      <c r="AL2" s="105" t="s">
        <v>143</v>
      </c>
      <c r="AM2" s="105"/>
      <c r="AN2" s="105"/>
      <c r="AO2" s="105"/>
      <c r="AP2" s="103" t="s">
        <v>155</v>
      </c>
      <c r="AQ2" s="102" t="s">
        <v>158</v>
      </c>
      <c r="AS2" s="103" t="s">
        <v>195</v>
      </c>
      <c r="AT2" s="102" t="s">
        <v>195</v>
      </c>
      <c r="AV2" s="104" t="s">
        <v>200</v>
      </c>
      <c r="AW2" s="104"/>
      <c r="AX2" s="104"/>
      <c r="AY2" s="104"/>
      <c r="BA2" s="105" t="s">
        <v>209</v>
      </c>
      <c r="BB2" s="105"/>
      <c r="BC2" s="105"/>
      <c r="BD2" s="105"/>
    </row>
    <row r="3" spans="1:56" ht="28.5" thickBot="1" x14ac:dyDescent="0.3">
      <c r="A3" s="102"/>
      <c r="B3" s="103"/>
      <c r="C3" s="102"/>
      <c r="D3" s="103"/>
      <c r="E3" s="102"/>
      <c r="F3" s="103"/>
      <c r="G3" s="102"/>
      <c r="I3" s="103"/>
      <c r="J3" s="11" t="s">
        <v>116</v>
      </c>
      <c r="K3" s="11" t="s">
        <v>119</v>
      </c>
      <c r="L3" s="11" t="s">
        <v>122</v>
      </c>
      <c r="M3" s="11" t="s">
        <v>125</v>
      </c>
      <c r="N3" s="103"/>
      <c r="O3" s="102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3"/>
      <c r="Y3" s="102"/>
      <c r="AA3" s="103"/>
      <c r="AB3" s="11" t="s">
        <v>116</v>
      </c>
      <c r="AC3" s="11" t="s">
        <v>119</v>
      </c>
      <c r="AD3" s="11" t="s">
        <v>122</v>
      </c>
      <c r="AE3" s="11" t="s">
        <v>125</v>
      </c>
      <c r="AF3" s="103"/>
      <c r="AG3" s="102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3"/>
      <c r="AQ3" s="102"/>
      <c r="AS3" s="103"/>
      <c r="AT3" s="102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29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2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2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2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2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2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2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2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25">
      <c r="A299" s="15" t="s">
        <v>1017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25">
      <c r="A341" s="80" t="s">
        <v>1018</v>
      </c>
      <c r="B341" s="15" t="s">
        <v>1039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25">
      <c r="A342" s="30"/>
      <c r="B342" s="30" t="s">
        <v>1039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25">
      <c r="A343" s="15"/>
      <c r="B343" s="15" t="s">
        <v>1039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25">
      <c r="A344" s="30"/>
      <c r="B344" s="30" t="s">
        <v>1039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25">
      <c r="A345" s="15"/>
      <c r="B345" s="15" t="s">
        <v>1039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5" outlineLevel="1" thickBot="1" x14ac:dyDescent="0.3">
      <c r="A346" s="30"/>
      <c r="B346" s="45" t="s">
        <v>1039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25">
      <c r="A347" s="15"/>
      <c r="B347" s="15" t="s">
        <v>1040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25">
      <c r="A348" s="30"/>
      <c r="B348" s="30" t="s">
        <v>1040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25">
      <c r="A349" s="15"/>
      <c r="B349" s="15" t="s">
        <v>1040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25">
      <c r="A350" s="30"/>
      <c r="B350" s="30" t="s">
        <v>1040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25">
      <c r="A351" s="15"/>
      <c r="B351" s="15" t="s">
        <v>1040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5" outlineLevel="1" thickBot="1" x14ac:dyDescent="0.3">
      <c r="A352" s="30"/>
      <c r="B352" s="45" t="s">
        <v>1040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25">
      <c r="A353" s="15"/>
      <c r="B353" s="15" t="s">
        <v>1041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25">
      <c r="A354" s="30"/>
      <c r="B354" s="30" t="s">
        <v>1041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25">
      <c r="A355" s="15"/>
      <c r="B355" s="15" t="s">
        <v>1041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25">
      <c r="A356" s="30"/>
      <c r="B356" s="30" t="s">
        <v>1041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25">
      <c r="A357" s="15"/>
      <c r="B357" s="15" t="s">
        <v>1041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5" outlineLevel="1" thickBot="1" x14ac:dyDescent="0.3">
      <c r="A358" s="45"/>
      <c r="B358" s="45" t="s">
        <v>1041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2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2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2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2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25">
      <c r="B364" s="60" t="s">
        <v>1019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8" x14ac:dyDescent="0.25">
      <c r="B365" s="60" t="s">
        <v>1020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2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2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2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2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2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4" x14ac:dyDescent="0.25"/>
  <cols>
    <col min="1" max="1" width="8.7265625" customWidth="1"/>
  </cols>
  <sheetData>
    <row r="1" spans="1:2" x14ac:dyDescent="0.25">
      <c r="A1" t="s">
        <v>93</v>
      </c>
      <c r="B1">
        <v>1</v>
      </c>
    </row>
    <row r="2" spans="1:2" x14ac:dyDescent="0.25">
      <c r="A2" t="s">
        <v>96</v>
      </c>
      <c r="B2">
        <v>2</v>
      </c>
    </row>
    <row r="3" spans="1:2" x14ac:dyDescent="0.25">
      <c r="A3" t="s">
        <v>99</v>
      </c>
      <c r="B3">
        <v>3</v>
      </c>
    </row>
    <row r="4" spans="1:2" x14ac:dyDescent="0.25">
      <c r="A4" t="s">
        <v>102</v>
      </c>
      <c r="B4">
        <v>4</v>
      </c>
    </row>
    <row r="5" spans="1:2" x14ac:dyDescent="0.25">
      <c r="A5" t="s">
        <v>105</v>
      </c>
      <c r="B5">
        <v>5</v>
      </c>
    </row>
    <row r="6" spans="1:2" x14ac:dyDescent="0.25">
      <c r="A6" t="s">
        <v>108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114</v>
      </c>
      <c r="B8">
        <v>9</v>
      </c>
    </row>
    <row r="9" spans="1:2" x14ac:dyDescent="0.25">
      <c r="A9" t="s">
        <v>118</v>
      </c>
      <c r="B9">
        <v>10</v>
      </c>
    </row>
    <row r="10" spans="1:2" x14ac:dyDescent="0.25">
      <c r="A10" t="s">
        <v>121</v>
      </c>
      <c r="B10">
        <v>11</v>
      </c>
    </row>
    <row r="11" spans="1:2" x14ac:dyDescent="0.25">
      <c r="A11" t="s">
        <v>124</v>
      </c>
      <c r="B11">
        <v>12</v>
      </c>
    </row>
    <row r="12" spans="1:2" x14ac:dyDescent="0.25">
      <c r="A12" t="s">
        <v>127</v>
      </c>
      <c r="B12">
        <v>13</v>
      </c>
    </row>
    <row r="13" spans="1:2" x14ac:dyDescent="0.25">
      <c r="A13" t="s">
        <v>130</v>
      </c>
      <c r="B13">
        <v>14</v>
      </c>
    </row>
    <row r="14" spans="1:2" x14ac:dyDescent="0.25">
      <c r="A14" t="s">
        <v>132</v>
      </c>
      <c r="B14">
        <v>15</v>
      </c>
    </row>
    <row r="15" spans="1:2" x14ac:dyDescent="0.25">
      <c r="A15" t="s">
        <v>135</v>
      </c>
      <c r="B15">
        <v>16</v>
      </c>
    </row>
    <row r="16" spans="1:2" x14ac:dyDescent="0.25">
      <c r="A16" t="s">
        <v>137</v>
      </c>
      <c r="B16">
        <v>17</v>
      </c>
    </row>
    <row r="17" spans="1:2" x14ac:dyDescent="0.25">
      <c r="A17" t="s">
        <v>140</v>
      </c>
      <c r="B17">
        <v>18</v>
      </c>
    </row>
    <row r="18" spans="1:2" x14ac:dyDescent="0.25">
      <c r="A18" t="s">
        <v>142</v>
      </c>
      <c r="B18">
        <v>19</v>
      </c>
    </row>
    <row r="19" spans="1:2" x14ac:dyDescent="0.25">
      <c r="A19" t="s">
        <v>146</v>
      </c>
      <c r="B19">
        <v>20</v>
      </c>
    </row>
    <row r="20" spans="1:2" x14ac:dyDescent="0.25">
      <c r="A20" t="s">
        <v>149</v>
      </c>
      <c r="B20">
        <v>21</v>
      </c>
    </row>
    <row r="21" spans="1:2" x14ac:dyDescent="0.25">
      <c r="A21" t="s">
        <v>152</v>
      </c>
      <c r="B21">
        <v>22</v>
      </c>
    </row>
    <row r="22" spans="1:2" x14ac:dyDescent="0.25">
      <c r="A22" t="s">
        <v>154</v>
      </c>
      <c r="B22">
        <v>23</v>
      </c>
    </row>
    <row r="23" spans="1:2" x14ac:dyDescent="0.25">
      <c r="A23" t="s">
        <v>157</v>
      </c>
      <c r="B23">
        <v>24</v>
      </c>
    </row>
    <row r="24" spans="1:2" x14ac:dyDescent="0.25">
      <c r="A24" t="s">
        <v>160</v>
      </c>
      <c r="B24">
        <v>25</v>
      </c>
    </row>
    <row r="25" spans="1:2" x14ac:dyDescent="0.25">
      <c r="A25" t="s">
        <v>162</v>
      </c>
      <c r="B25">
        <v>27</v>
      </c>
    </row>
    <row r="26" spans="1:2" x14ac:dyDescent="0.25">
      <c r="A26" t="s">
        <v>164</v>
      </c>
      <c r="B26">
        <v>28</v>
      </c>
    </row>
    <row r="27" spans="1:2" x14ac:dyDescent="0.25">
      <c r="A27" t="s">
        <v>166</v>
      </c>
      <c r="B27">
        <v>29</v>
      </c>
    </row>
    <row r="28" spans="1:2" x14ac:dyDescent="0.25">
      <c r="A28" t="s">
        <v>168</v>
      </c>
      <c r="B28">
        <v>30</v>
      </c>
    </row>
    <row r="29" spans="1:2" x14ac:dyDescent="0.25">
      <c r="A29" t="s">
        <v>170</v>
      </c>
      <c r="B29">
        <v>31</v>
      </c>
    </row>
    <row r="30" spans="1:2" x14ac:dyDescent="0.25">
      <c r="A30" t="s">
        <v>172</v>
      </c>
      <c r="B30">
        <v>32</v>
      </c>
    </row>
    <row r="31" spans="1:2" x14ac:dyDescent="0.25">
      <c r="A31" t="s">
        <v>174</v>
      </c>
      <c r="B31">
        <v>33</v>
      </c>
    </row>
    <row r="32" spans="1:2" x14ac:dyDescent="0.25">
      <c r="A32" t="s">
        <v>176</v>
      </c>
      <c r="B32">
        <v>34</v>
      </c>
    </row>
    <row r="33" spans="1:2" x14ac:dyDescent="0.25">
      <c r="A33" t="s">
        <v>178</v>
      </c>
      <c r="B33">
        <v>35</v>
      </c>
    </row>
    <row r="34" spans="1:2" x14ac:dyDescent="0.25">
      <c r="A34" t="s">
        <v>180</v>
      </c>
      <c r="B34">
        <v>36</v>
      </c>
    </row>
    <row r="35" spans="1:2" x14ac:dyDescent="0.25">
      <c r="A35" t="s">
        <v>182</v>
      </c>
      <c r="B35">
        <v>37</v>
      </c>
    </row>
    <row r="36" spans="1:2" x14ac:dyDescent="0.25">
      <c r="A36" t="s">
        <v>184</v>
      </c>
      <c r="B36">
        <v>38</v>
      </c>
    </row>
    <row r="37" spans="1:2" x14ac:dyDescent="0.25">
      <c r="A37" t="s">
        <v>186</v>
      </c>
      <c r="B37">
        <v>39</v>
      </c>
    </row>
    <row r="38" spans="1:2" x14ac:dyDescent="0.25">
      <c r="A38" t="s">
        <v>188</v>
      </c>
      <c r="B38">
        <v>40</v>
      </c>
    </row>
    <row r="39" spans="1:2" x14ac:dyDescent="0.25">
      <c r="A39" t="s">
        <v>190</v>
      </c>
      <c r="B39">
        <v>41</v>
      </c>
    </row>
    <row r="40" spans="1:2" x14ac:dyDescent="0.25">
      <c r="A40" t="s">
        <v>192</v>
      </c>
      <c r="B40">
        <v>42</v>
      </c>
    </row>
    <row r="41" spans="1:2" x14ac:dyDescent="0.25">
      <c r="A41" t="s">
        <v>194</v>
      </c>
      <c r="B41">
        <v>43</v>
      </c>
    </row>
    <row r="42" spans="1:2" x14ac:dyDescent="0.25">
      <c r="A42" t="s">
        <v>197</v>
      </c>
      <c r="B42">
        <v>45</v>
      </c>
    </row>
    <row r="43" spans="1:2" x14ac:dyDescent="0.25">
      <c r="A43" t="s">
        <v>199</v>
      </c>
      <c r="B43">
        <v>46</v>
      </c>
    </row>
    <row r="44" spans="1:2" x14ac:dyDescent="0.25">
      <c r="A44" t="s">
        <v>202</v>
      </c>
      <c r="B44">
        <v>48</v>
      </c>
    </row>
    <row r="45" spans="1:2" x14ac:dyDescent="0.25">
      <c r="A45" t="s">
        <v>204</v>
      </c>
      <c r="B45">
        <v>49</v>
      </c>
    </row>
    <row r="46" spans="1:2" x14ac:dyDescent="0.25">
      <c r="A46" t="s">
        <v>206</v>
      </c>
      <c r="B46">
        <v>50</v>
      </c>
    </row>
    <row r="47" spans="1:2" x14ac:dyDescent="0.25">
      <c r="A47" t="s">
        <v>208</v>
      </c>
      <c r="B47">
        <v>51</v>
      </c>
    </row>
    <row r="48" spans="1:2" x14ac:dyDescent="0.25">
      <c r="A48" t="s">
        <v>211</v>
      </c>
      <c r="B48">
        <v>53</v>
      </c>
    </row>
    <row r="49" spans="1:2" x14ac:dyDescent="0.25">
      <c r="A49" t="s">
        <v>213</v>
      </c>
      <c r="B49">
        <v>54</v>
      </c>
    </row>
    <row r="50" spans="1:2" x14ac:dyDescent="0.25">
      <c r="A50" t="s">
        <v>215</v>
      </c>
      <c r="B50">
        <v>55</v>
      </c>
    </row>
    <row r="51" spans="1:2" x14ac:dyDescent="0.25">
      <c r="A51" t="s">
        <v>217</v>
      </c>
      <c r="B51">
        <v>56</v>
      </c>
    </row>
    <row r="52" spans="1:2" x14ac:dyDescent="0.25">
      <c r="A52" t="s">
        <v>219</v>
      </c>
      <c r="B52" t="s">
        <v>220</v>
      </c>
    </row>
    <row r="53" spans="1:2" x14ac:dyDescent="0.25">
      <c r="A53" t="s">
        <v>221</v>
      </c>
      <c r="B53" t="s">
        <v>222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237</v>
      </c>
      <c r="B56" t="s">
        <v>238</v>
      </c>
    </row>
    <row r="57" spans="1:2" x14ac:dyDescent="0.25">
      <c r="A57" t="s">
        <v>240</v>
      </c>
      <c r="B57" t="s">
        <v>241</v>
      </c>
    </row>
    <row r="58" spans="1:2" x14ac:dyDescent="0.25">
      <c r="A58" t="s">
        <v>243</v>
      </c>
      <c r="B58" t="s">
        <v>244</v>
      </c>
    </row>
    <row r="59" spans="1:2" x14ac:dyDescent="0.25">
      <c r="A59" t="s">
        <v>246</v>
      </c>
      <c r="B59" t="s">
        <v>247</v>
      </c>
    </row>
    <row r="60" spans="1:2" x14ac:dyDescent="0.25">
      <c r="A60" t="s">
        <v>249</v>
      </c>
      <c r="B60" t="s">
        <v>250</v>
      </c>
    </row>
    <row r="61" spans="1:2" x14ac:dyDescent="0.25">
      <c r="A61" t="s">
        <v>252</v>
      </c>
      <c r="B61" t="s">
        <v>253</v>
      </c>
    </row>
    <row r="62" spans="1:2" x14ac:dyDescent="0.25">
      <c r="A62" t="s">
        <v>255</v>
      </c>
      <c r="B62" t="s">
        <v>256</v>
      </c>
    </row>
    <row r="63" spans="1:2" x14ac:dyDescent="0.25">
      <c r="A63" t="s">
        <v>259</v>
      </c>
      <c r="B63" t="s">
        <v>260</v>
      </c>
    </row>
    <row r="64" spans="1:2" x14ac:dyDescent="0.25">
      <c r="A64" t="s">
        <v>262</v>
      </c>
      <c r="B64" t="s">
        <v>263</v>
      </c>
    </row>
    <row r="65" spans="1:2" x14ac:dyDescent="0.25">
      <c r="A65" t="s">
        <v>265</v>
      </c>
      <c r="B65" t="s">
        <v>266</v>
      </c>
    </row>
    <row r="66" spans="1:2" x14ac:dyDescent="0.25">
      <c r="A66" t="s">
        <v>268</v>
      </c>
      <c r="B66" t="s">
        <v>269</v>
      </c>
    </row>
    <row r="67" spans="1:2" x14ac:dyDescent="0.25">
      <c r="A67" t="s">
        <v>271</v>
      </c>
      <c r="B67" t="s">
        <v>272</v>
      </c>
    </row>
    <row r="68" spans="1:2" x14ac:dyDescent="0.25">
      <c r="A68" t="s">
        <v>274</v>
      </c>
      <c r="B68" t="s">
        <v>275</v>
      </c>
    </row>
    <row r="69" spans="1:2" x14ac:dyDescent="0.25">
      <c r="A69" t="s">
        <v>277</v>
      </c>
      <c r="B69" t="s">
        <v>278</v>
      </c>
    </row>
    <row r="70" spans="1:2" x14ac:dyDescent="0.25">
      <c r="A70" t="s">
        <v>280</v>
      </c>
      <c r="B70" t="s">
        <v>281</v>
      </c>
    </row>
    <row r="71" spans="1:2" x14ac:dyDescent="0.25">
      <c r="A71" t="s">
        <v>283</v>
      </c>
      <c r="B71" t="s">
        <v>284</v>
      </c>
    </row>
    <row r="72" spans="1:2" x14ac:dyDescent="0.25">
      <c r="A72" t="s">
        <v>286</v>
      </c>
      <c r="B72" t="s">
        <v>287</v>
      </c>
    </row>
    <row r="73" spans="1:2" x14ac:dyDescent="0.25">
      <c r="A73" t="s">
        <v>289</v>
      </c>
      <c r="B73" t="s">
        <v>290</v>
      </c>
    </row>
    <row r="74" spans="1:2" x14ac:dyDescent="0.25">
      <c r="A74" t="s">
        <v>292</v>
      </c>
      <c r="B74" t="s">
        <v>293</v>
      </c>
    </row>
    <row r="75" spans="1:2" x14ac:dyDescent="0.25">
      <c r="A75" t="s">
        <v>296</v>
      </c>
      <c r="B75" t="s">
        <v>297</v>
      </c>
    </row>
    <row r="76" spans="1:2" x14ac:dyDescent="0.25">
      <c r="A76" t="s">
        <v>299</v>
      </c>
      <c r="B76" t="s">
        <v>300</v>
      </c>
    </row>
    <row r="77" spans="1:2" x14ac:dyDescent="0.25">
      <c r="A77" t="s">
        <v>302</v>
      </c>
      <c r="B77" t="s">
        <v>303</v>
      </c>
    </row>
    <row r="78" spans="1:2" x14ac:dyDescent="0.25">
      <c r="A78" t="s">
        <v>305</v>
      </c>
      <c r="B78" t="s">
        <v>306</v>
      </c>
    </row>
    <row r="79" spans="1:2" x14ac:dyDescent="0.25">
      <c r="A79" t="s">
        <v>308</v>
      </c>
      <c r="B79" t="s">
        <v>309</v>
      </c>
    </row>
    <row r="80" spans="1:2" x14ac:dyDescent="0.25">
      <c r="A80" t="s">
        <v>311</v>
      </c>
      <c r="B80" t="s">
        <v>312</v>
      </c>
    </row>
    <row r="81" spans="1:2" x14ac:dyDescent="0.25">
      <c r="A81" t="s">
        <v>314</v>
      </c>
      <c r="B81" t="s">
        <v>315</v>
      </c>
    </row>
    <row r="82" spans="1:2" x14ac:dyDescent="0.25">
      <c r="A82" t="s">
        <v>317</v>
      </c>
      <c r="B82" t="s">
        <v>318</v>
      </c>
    </row>
    <row r="83" spans="1:2" x14ac:dyDescent="0.25">
      <c r="A83" t="s">
        <v>320</v>
      </c>
      <c r="B83" t="s">
        <v>321</v>
      </c>
    </row>
    <row r="84" spans="1:2" x14ac:dyDescent="0.25">
      <c r="A84" t="s">
        <v>324</v>
      </c>
      <c r="B84" t="s">
        <v>325</v>
      </c>
    </row>
    <row r="85" spans="1:2" x14ac:dyDescent="0.25">
      <c r="A85" t="s">
        <v>327</v>
      </c>
      <c r="B85" t="s">
        <v>328</v>
      </c>
    </row>
    <row r="86" spans="1:2" x14ac:dyDescent="0.25">
      <c r="A86" t="s">
        <v>330</v>
      </c>
      <c r="B86" t="s">
        <v>331</v>
      </c>
    </row>
    <row r="87" spans="1:2" x14ac:dyDescent="0.25">
      <c r="A87" t="s">
        <v>333</v>
      </c>
      <c r="B87" t="s">
        <v>334</v>
      </c>
    </row>
    <row r="88" spans="1:2" x14ac:dyDescent="0.25">
      <c r="A88" t="s">
        <v>336</v>
      </c>
      <c r="B88" t="s">
        <v>337</v>
      </c>
    </row>
    <row r="89" spans="1:2" x14ac:dyDescent="0.25">
      <c r="A89" t="s">
        <v>339</v>
      </c>
      <c r="B89" t="s">
        <v>340</v>
      </c>
    </row>
    <row r="90" spans="1:2" x14ac:dyDescent="0.25">
      <c r="A90" t="s">
        <v>342</v>
      </c>
      <c r="B90" t="s">
        <v>343</v>
      </c>
    </row>
    <row r="91" spans="1:2" x14ac:dyDescent="0.25">
      <c r="A91" t="s">
        <v>345</v>
      </c>
      <c r="B91" t="s">
        <v>346</v>
      </c>
    </row>
    <row r="92" spans="1:2" x14ac:dyDescent="0.25">
      <c r="A92" t="s">
        <v>348</v>
      </c>
      <c r="B92" t="s">
        <v>349</v>
      </c>
    </row>
    <row r="93" spans="1:2" x14ac:dyDescent="0.25">
      <c r="A93" t="s">
        <v>351</v>
      </c>
      <c r="B93" t="s">
        <v>352</v>
      </c>
    </row>
    <row r="94" spans="1:2" x14ac:dyDescent="0.25">
      <c r="A94" t="s">
        <v>354</v>
      </c>
      <c r="B94" t="s">
        <v>355</v>
      </c>
    </row>
    <row r="95" spans="1:2" x14ac:dyDescent="0.25">
      <c r="A95" t="s">
        <v>357</v>
      </c>
      <c r="B95" t="s">
        <v>358</v>
      </c>
    </row>
    <row r="96" spans="1:2" x14ac:dyDescent="0.25">
      <c r="A96" t="s">
        <v>360</v>
      </c>
      <c r="B96" t="s">
        <v>361</v>
      </c>
    </row>
    <row r="97" spans="1:2" x14ac:dyDescent="0.25">
      <c r="A97" t="s">
        <v>363</v>
      </c>
      <c r="B97" t="s">
        <v>364</v>
      </c>
    </row>
    <row r="98" spans="1:2" x14ac:dyDescent="0.25">
      <c r="A98" t="s">
        <v>366</v>
      </c>
      <c r="B98" t="s">
        <v>367</v>
      </c>
    </row>
    <row r="99" spans="1:2" x14ac:dyDescent="0.25">
      <c r="A99" t="s">
        <v>369</v>
      </c>
      <c r="B99" t="s">
        <v>370</v>
      </c>
    </row>
    <row r="100" spans="1:2" x14ac:dyDescent="0.25">
      <c r="A100" t="s">
        <v>373</v>
      </c>
      <c r="B100" t="s">
        <v>374</v>
      </c>
    </row>
    <row r="101" spans="1:2" x14ac:dyDescent="0.25">
      <c r="A101" t="s">
        <v>376</v>
      </c>
      <c r="B101" t="s">
        <v>377</v>
      </c>
    </row>
    <row r="102" spans="1:2" x14ac:dyDescent="0.25">
      <c r="A102" t="s">
        <v>379</v>
      </c>
      <c r="B102" t="s">
        <v>380</v>
      </c>
    </row>
    <row r="103" spans="1:2" x14ac:dyDescent="0.25">
      <c r="A103" t="s">
        <v>382</v>
      </c>
      <c r="B103" t="s">
        <v>383</v>
      </c>
    </row>
    <row r="104" spans="1:2" x14ac:dyDescent="0.25">
      <c r="A104" t="s">
        <v>385</v>
      </c>
      <c r="B104" t="s">
        <v>386</v>
      </c>
    </row>
    <row r="105" spans="1:2" x14ac:dyDescent="0.25">
      <c r="A105" t="s">
        <v>388</v>
      </c>
      <c r="B105" t="s">
        <v>389</v>
      </c>
    </row>
    <row r="106" spans="1:2" x14ac:dyDescent="0.25">
      <c r="A106" t="s">
        <v>391</v>
      </c>
      <c r="B106" t="s">
        <v>392</v>
      </c>
    </row>
    <row r="107" spans="1:2" x14ac:dyDescent="0.25">
      <c r="A107" t="s">
        <v>394</v>
      </c>
      <c r="B107" t="s">
        <v>395</v>
      </c>
    </row>
    <row r="108" spans="1:2" x14ac:dyDescent="0.25">
      <c r="A108" t="s">
        <v>397</v>
      </c>
      <c r="B108" t="s">
        <v>398</v>
      </c>
    </row>
    <row r="109" spans="1:2" x14ac:dyDescent="0.25">
      <c r="A109" t="s">
        <v>400</v>
      </c>
      <c r="B109" t="s">
        <v>401</v>
      </c>
    </row>
    <row r="110" spans="1:2" x14ac:dyDescent="0.25">
      <c r="A110" t="s">
        <v>992</v>
      </c>
      <c r="B110" s="79" t="s">
        <v>989</v>
      </c>
    </row>
    <row r="111" spans="1:2" x14ac:dyDescent="0.25">
      <c r="A111" t="s">
        <v>993</v>
      </c>
      <c r="B111" s="79" t="s">
        <v>990</v>
      </c>
    </row>
    <row r="112" spans="1:2" x14ac:dyDescent="0.25">
      <c r="A112" t="s">
        <v>994</v>
      </c>
      <c r="B112" s="79" t="s">
        <v>991</v>
      </c>
    </row>
    <row r="113" spans="1:18" x14ac:dyDescent="0.2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25">
      <c r="A114" t="s">
        <v>420</v>
      </c>
      <c r="B114">
        <v>1</v>
      </c>
    </row>
    <row r="115" spans="1:18" x14ac:dyDescent="0.25">
      <c r="A115" t="s">
        <v>421</v>
      </c>
      <c r="B115">
        <v>2</v>
      </c>
    </row>
    <row r="116" spans="1:18" x14ac:dyDescent="0.25">
      <c r="A116" t="s">
        <v>422</v>
      </c>
      <c r="B116">
        <v>3</v>
      </c>
    </row>
    <row r="117" spans="1:18" x14ac:dyDescent="0.25">
      <c r="A117" t="s">
        <v>423</v>
      </c>
      <c r="B117">
        <v>4</v>
      </c>
    </row>
    <row r="118" spans="1:18" x14ac:dyDescent="0.25">
      <c r="A118" t="s">
        <v>424</v>
      </c>
      <c r="B118">
        <v>5</v>
      </c>
    </row>
    <row r="119" spans="1:18" x14ac:dyDescent="0.25">
      <c r="A119" t="s">
        <v>425</v>
      </c>
      <c r="B119">
        <v>6</v>
      </c>
    </row>
    <row r="120" spans="1:18" x14ac:dyDescent="0.25">
      <c r="A120" t="s">
        <v>426</v>
      </c>
      <c r="B120">
        <v>7</v>
      </c>
    </row>
    <row r="121" spans="1:18" x14ac:dyDescent="0.25">
      <c r="A121" t="s">
        <v>427</v>
      </c>
      <c r="B121">
        <v>9</v>
      </c>
    </row>
    <row r="122" spans="1:18" x14ac:dyDescent="0.25">
      <c r="A122" t="s">
        <v>428</v>
      </c>
      <c r="B122">
        <v>10</v>
      </c>
    </row>
    <row r="123" spans="1:18" x14ac:dyDescent="0.25">
      <c r="A123" t="s">
        <v>429</v>
      </c>
      <c r="B123">
        <v>11</v>
      </c>
    </row>
    <row r="124" spans="1:18" x14ac:dyDescent="0.25">
      <c r="A124" t="s">
        <v>430</v>
      </c>
      <c r="B124">
        <v>12</v>
      </c>
    </row>
    <row r="125" spans="1:18" x14ac:dyDescent="0.25">
      <c r="A125" t="s">
        <v>431</v>
      </c>
      <c r="B125">
        <v>13</v>
      </c>
    </row>
    <row r="126" spans="1:18" x14ac:dyDescent="0.25">
      <c r="A126" t="s">
        <v>432</v>
      </c>
      <c r="B126">
        <v>14</v>
      </c>
    </row>
    <row r="127" spans="1:18" x14ac:dyDescent="0.25">
      <c r="A127" t="s">
        <v>433</v>
      </c>
      <c r="B127">
        <v>15</v>
      </c>
    </row>
    <row r="128" spans="1:18" x14ac:dyDescent="0.25">
      <c r="A128" t="s">
        <v>434</v>
      </c>
      <c r="B128">
        <v>16</v>
      </c>
    </row>
    <row r="129" spans="1:2" x14ac:dyDescent="0.25">
      <c r="A129" t="s">
        <v>435</v>
      </c>
      <c r="B129">
        <v>17</v>
      </c>
    </row>
    <row r="130" spans="1:2" x14ac:dyDescent="0.25">
      <c r="A130" t="s">
        <v>436</v>
      </c>
      <c r="B130">
        <v>18</v>
      </c>
    </row>
    <row r="131" spans="1:2" x14ac:dyDescent="0.25">
      <c r="A131" t="s">
        <v>437</v>
      </c>
      <c r="B131">
        <v>19</v>
      </c>
    </row>
    <row r="132" spans="1:2" x14ac:dyDescent="0.25">
      <c r="A132" t="s">
        <v>441</v>
      </c>
      <c r="B132">
        <v>20</v>
      </c>
    </row>
    <row r="133" spans="1:2" x14ac:dyDescent="0.25">
      <c r="A133" t="s">
        <v>444</v>
      </c>
      <c r="B133">
        <v>21</v>
      </c>
    </row>
    <row r="134" spans="1:2" x14ac:dyDescent="0.25">
      <c r="A134" t="s">
        <v>445</v>
      </c>
      <c r="B134">
        <v>22</v>
      </c>
    </row>
    <row r="135" spans="1:2" x14ac:dyDescent="0.25">
      <c r="A135" t="s">
        <v>446</v>
      </c>
      <c r="B135">
        <v>23</v>
      </c>
    </row>
    <row r="136" spans="1:2" x14ac:dyDescent="0.25">
      <c r="A136" t="s">
        <v>447</v>
      </c>
      <c r="B136">
        <v>24</v>
      </c>
    </row>
    <row r="137" spans="1:2" x14ac:dyDescent="0.25">
      <c r="A137" t="s">
        <v>448</v>
      </c>
      <c r="B137">
        <v>25</v>
      </c>
    </row>
    <row r="138" spans="1:2" x14ac:dyDescent="0.25">
      <c r="A138" t="s">
        <v>449</v>
      </c>
      <c r="B138">
        <v>26</v>
      </c>
    </row>
    <row r="139" spans="1:2" x14ac:dyDescent="0.25">
      <c r="A139" t="s">
        <v>450</v>
      </c>
      <c r="B139">
        <v>27</v>
      </c>
    </row>
    <row r="140" spans="1:2" x14ac:dyDescent="0.25">
      <c r="A140" t="s">
        <v>451</v>
      </c>
      <c r="B140">
        <v>29</v>
      </c>
    </row>
    <row r="141" spans="1:2" x14ac:dyDescent="0.25">
      <c r="A141" t="s">
        <v>452</v>
      </c>
      <c r="B141">
        <v>30</v>
      </c>
    </row>
    <row r="142" spans="1:2" x14ac:dyDescent="0.25">
      <c r="A142" t="s">
        <v>453</v>
      </c>
      <c r="B142">
        <v>31</v>
      </c>
    </row>
    <row r="143" spans="1:2" x14ac:dyDescent="0.25">
      <c r="A143" t="s">
        <v>454</v>
      </c>
      <c r="B143">
        <v>32</v>
      </c>
    </row>
    <row r="144" spans="1:2" x14ac:dyDescent="0.25">
      <c r="A144" t="s">
        <v>455</v>
      </c>
      <c r="B144">
        <v>33</v>
      </c>
    </row>
    <row r="145" spans="1:2" x14ac:dyDescent="0.25">
      <c r="A145" t="s">
        <v>456</v>
      </c>
      <c r="B145">
        <v>34</v>
      </c>
    </row>
    <row r="146" spans="1:2" x14ac:dyDescent="0.25">
      <c r="A146" t="s">
        <v>457</v>
      </c>
      <c r="B146">
        <v>35</v>
      </c>
    </row>
    <row r="147" spans="1:2" x14ac:dyDescent="0.25">
      <c r="A147" t="s">
        <v>458</v>
      </c>
      <c r="B147">
        <v>36</v>
      </c>
    </row>
    <row r="148" spans="1:2" x14ac:dyDescent="0.25">
      <c r="A148" t="s">
        <v>459</v>
      </c>
      <c r="B148">
        <v>37</v>
      </c>
    </row>
    <row r="149" spans="1:2" x14ac:dyDescent="0.25">
      <c r="A149" t="s">
        <v>460</v>
      </c>
      <c r="B149">
        <v>38</v>
      </c>
    </row>
    <row r="150" spans="1:2" x14ac:dyDescent="0.25">
      <c r="A150" t="s">
        <v>461</v>
      </c>
      <c r="B150">
        <v>39</v>
      </c>
    </row>
    <row r="151" spans="1:2" x14ac:dyDescent="0.25">
      <c r="A151" t="s">
        <v>463</v>
      </c>
      <c r="B151">
        <v>40</v>
      </c>
    </row>
    <row r="152" spans="1:2" x14ac:dyDescent="0.25">
      <c r="A152" t="s">
        <v>465</v>
      </c>
      <c r="B152">
        <v>41</v>
      </c>
    </row>
    <row r="153" spans="1:2" x14ac:dyDescent="0.25">
      <c r="A153" t="s">
        <v>466</v>
      </c>
      <c r="B153">
        <v>42</v>
      </c>
    </row>
    <row r="154" spans="1:2" x14ac:dyDescent="0.25">
      <c r="A154" t="s">
        <v>467</v>
      </c>
      <c r="B154">
        <v>43</v>
      </c>
    </row>
    <row r="155" spans="1:2" x14ac:dyDescent="0.25">
      <c r="A155" t="s">
        <v>468</v>
      </c>
      <c r="B155">
        <v>44</v>
      </c>
    </row>
    <row r="156" spans="1:2" x14ac:dyDescent="0.25">
      <c r="A156" t="s">
        <v>469</v>
      </c>
      <c r="B156">
        <v>45</v>
      </c>
    </row>
    <row r="157" spans="1:2" x14ac:dyDescent="0.25">
      <c r="A157" t="s">
        <v>470</v>
      </c>
      <c r="B157">
        <v>46</v>
      </c>
    </row>
    <row r="158" spans="1:2" x14ac:dyDescent="0.25">
      <c r="A158" t="s">
        <v>471</v>
      </c>
      <c r="B158">
        <v>47</v>
      </c>
    </row>
    <row r="159" spans="1:2" x14ac:dyDescent="0.25">
      <c r="A159" t="s">
        <v>472</v>
      </c>
      <c r="B159">
        <v>49</v>
      </c>
    </row>
    <row r="160" spans="1:2" x14ac:dyDescent="0.25">
      <c r="A160" t="s">
        <v>473</v>
      </c>
      <c r="B160">
        <v>50</v>
      </c>
    </row>
    <row r="161" spans="1:2" x14ac:dyDescent="0.25">
      <c r="A161" t="s">
        <v>476</v>
      </c>
      <c r="B161">
        <v>52</v>
      </c>
    </row>
    <row r="162" spans="1:2" x14ac:dyDescent="0.25">
      <c r="A162" t="s">
        <v>478</v>
      </c>
      <c r="B162">
        <v>53</v>
      </c>
    </row>
    <row r="163" spans="1:2" x14ac:dyDescent="0.25">
      <c r="A163" t="s">
        <v>479</v>
      </c>
      <c r="B163">
        <v>54</v>
      </c>
    </row>
    <row r="164" spans="1:2" x14ac:dyDescent="0.25">
      <c r="A164" t="s">
        <v>480</v>
      </c>
      <c r="B164">
        <v>55</v>
      </c>
    </row>
    <row r="165" spans="1:2" x14ac:dyDescent="0.25">
      <c r="A165" t="s">
        <v>481</v>
      </c>
      <c r="B165">
        <v>56</v>
      </c>
    </row>
    <row r="166" spans="1:2" x14ac:dyDescent="0.25">
      <c r="A166" t="s">
        <v>482</v>
      </c>
      <c r="B166">
        <v>57</v>
      </c>
    </row>
    <row r="167" spans="1:2" x14ac:dyDescent="0.25">
      <c r="A167" t="s">
        <v>485</v>
      </c>
      <c r="B167">
        <v>59</v>
      </c>
    </row>
    <row r="168" spans="1:2" x14ac:dyDescent="0.25">
      <c r="A168" t="s">
        <v>487</v>
      </c>
      <c r="B168">
        <v>60</v>
      </c>
    </row>
    <row r="169" spans="1:2" x14ac:dyDescent="0.25">
      <c r="A169" t="s">
        <v>488</v>
      </c>
      <c r="B169">
        <v>61</v>
      </c>
    </row>
    <row r="170" spans="1:2" x14ac:dyDescent="0.25">
      <c r="A170" t="s">
        <v>489</v>
      </c>
      <c r="B170">
        <v>62</v>
      </c>
    </row>
    <row r="171" spans="1:2" x14ac:dyDescent="0.25">
      <c r="A171" t="s">
        <v>490</v>
      </c>
      <c r="B171">
        <v>63</v>
      </c>
    </row>
    <row r="172" spans="1:2" x14ac:dyDescent="0.25">
      <c r="A172" t="s">
        <v>491</v>
      </c>
      <c r="B172">
        <v>64</v>
      </c>
    </row>
    <row r="173" spans="1:2" x14ac:dyDescent="0.25">
      <c r="A173" t="s">
        <v>493</v>
      </c>
      <c r="B173" t="s">
        <v>494</v>
      </c>
    </row>
    <row r="174" spans="1:2" x14ac:dyDescent="0.25">
      <c r="A174" t="s">
        <v>495</v>
      </c>
      <c r="B174" t="s">
        <v>496</v>
      </c>
    </row>
    <row r="175" spans="1:2" x14ac:dyDescent="0.25">
      <c r="A175" t="s">
        <v>497</v>
      </c>
      <c r="B175" t="s">
        <v>498</v>
      </c>
    </row>
    <row r="176" spans="1:2" x14ac:dyDescent="0.25">
      <c r="A176" t="s">
        <v>499</v>
      </c>
      <c r="B176" t="s">
        <v>500</v>
      </c>
    </row>
    <row r="177" spans="1:2" x14ac:dyDescent="0.25">
      <c r="A177" t="s">
        <v>501</v>
      </c>
      <c r="B177" t="s">
        <v>502</v>
      </c>
    </row>
    <row r="178" spans="1:2" x14ac:dyDescent="0.25">
      <c r="A178" t="s">
        <v>503</v>
      </c>
      <c r="B178" t="s">
        <v>504</v>
      </c>
    </row>
    <row r="179" spans="1:2" x14ac:dyDescent="0.25">
      <c r="A179" t="s">
        <v>505</v>
      </c>
      <c r="B179" t="s">
        <v>506</v>
      </c>
    </row>
    <row r="180" spans="1:2" x14ac:dyDescent="0.25">
      <c r="A180" t="s">
        <v>507</v>
      </c>
      <c r="B180" t="s">
        <v>508</v>
      </c>
    </row>
    <row r="181" spans="1:2" x14ac:dyDescent="0.25">
      <c r="A181" t="s">
        <v>509</v>
      </c>
      <c r="B181" t="s">
        <v>510</v>
      </c>
    </row>
    <row r="182" spans="1:2" x14ac:dyDescent="0.25">
      <c r="A182" t="s">
        <v>511</v>
      </c>
      <c r="B182" t="s">
        <v>512</v>
      </c>
    </row>
    <row r="183" spans="1:2" x14ac:dyDescent="0.25">
      <c r="A183" t="s">
        <v>513</v>
      </c>
      <c r="B183" t="s">
        <v>514</v>
      </c>
    </row>
    <row r="184" spans="1:2" x14ac:dyDescent="0.25">
      <c r="A184" t="s">
        <v>515</v>
      </c>
      <c r="B184" t="s">
        <v>516</v>
      </c>
    </row>
    <row r="185" spans="1:2" x14ac:dyDescent="0.25">
      <c r="A185" t="s">
        <v>517</v>
      </c>
      <c r="B185" t="s">
        <v>518</v>
      </c>
    </row>
    <row r="186" spans="1:2" x14ac:dyDescent="0.25">
      <c r="A186" t="s">
        <v>519</v>
      </c>
      <c r="B186" t="s">
        <v>520</v>
      </c>
    </row>
    <row r="187" spans="1:2" x14ac:dyDescent="0.25">
      <c r="A187" t="s">
        <v>521</v>
      </c>
      <c r="B187" t="s">
        <v>522</v>
      </c>
    </row>
    <row r="188" spans="1:2" x14ac:dyDescent="0.25">
      <c r="A188" t="s">
        <v>523</v>
      </c>
      <c r="B188" t="s">
        <v>524</v>
      </c>
    </row>
    <row r="189" spans="1:2" x14ac:dyDescent="0.25">
      <c r="A189" t="s">
        <v>525</v>
      </c>
      <c r="B189" t="s">
        <v>526</v>
      </c>
    </row>
    <row r="190" spans="1:2" x14ac:dyDescent="0.25">
      <c r="A190" t="s">
        <v>527</v>
      </c>
      <c r="B190" t="s">
        <v>528</v>
      </c>
    </row>
    <row r="191" spans="1:2" x14ac:dyDescent="0.25">
      <c r="A191" t="s">
        <v>529</v>
      </c>
      <c r="B191" t="s">
        <v>530</v>
      </c>
    </row>
    <row r="192" spans="1:2" x14ac:dyDescent="0.25">
      <c r="A192" t="s">
        <v>531</v>
      </c>
      <c r="B192" t="s">
        <v>532</v>
      </c>
    </row>
    <row r="193" spans="1:2" x14ac:dyDescent="0.25">
      <c r="A193" t="s">
        <v>533</v>
      </c>
      <c r="B193" t="s">
        <v>534</v>
      </c>
    </row>
    <row r="194" spans="1:2" x14ac:dyDescent="0.25">
      <c r="A194" t="s">
        <v>535</v>
      </c>
      <c r="B194" t="s">
        <v>536</v>
      </c>
    </row>
    <row r="195" spans="1:2" x14ac:dyDescent="0.25">
      <c r="A195" t="s">
        <v>537</v>
      </c>
      <c r="B195" t="s">
        <v>538</v>
      </c>
    </row>
    <row r="196" spans="1:2" x14ac:dyDescent="0.25">
      <c r="A196" t="s">
        <v>539</v>
      </c>
      <c r="B196" t="s">
        <v>540</v>
      </c>
    </row>
    <row r="197" spans="1:2" x14ac:dyDescent="0.25">
      <c r="A197" t="s">
        <v>541</v>
      </c>
      <c r="B197" t="s">
        <v>542</v>
      </c>
    </row>
    <row r="198" spans="1:2" x14ac:dyDescent="0.25">
      <c r="A198" t="s">
        <v>543</v>
      </c>
      <c r="B198" t="s">
        <v>544</v>
      </c>
    </row>
    <row r="199" spans="1:2" x14ac:dyDescent="0.25">
      <c r="A199" t="s">
        <v>545</v>
      </c>
      <c r="B199" t="s">
        <v>546</v>
      </c>
    </row>
    <row r="200" spans="1:2" x14ac:dyDescent="0.25">
      <c r="A200" t="s">
        <v>547</v>
      </c>
      <c r="B200" t="s">
        <v>548</v>
      </c>
    </row>
    <row r="201" spans="1:2" x14ac:dyDescent="0.25">
      <c r="A201" t="s">
        <v>549</v>
      </c>
      <c r="B201" t="s">
        <v>550</v>
      </c>
    </row>
    <row r="202" spans="1:2" x14ac:dyDescent="0.25">
      <c r="A202" t="s">
        <v>551</v>
      </c>
      <c r="B202" t="s">
        <v>552</v>
      </c>
    </row>
    <row r="203" spans="1:2" x14ac:dyDescent="0.25">
      <c r="A203" t="s">
        <v>553</v>
      </c>
      <c r="B203" t="s">
        <v>554</v>
      </c>
    </row>
    <row r="204" spans="1:2" x14ac:dyDescent="0.25">
      <c r="A204" t="s">
        <v>555</v>
      </c>
      <c r="B204" t="s">
        <v>556</v>
      </c>
    </row>
    <row r="205" spans="1:2" x14ac:dyDescent="0.25">
      <c r="A205" t="s">
        <v>557</v>
      </c>
      <c r="B205" t="s">
        <v>558</v>
      </c>
    </row>
    <row r="206" spans="1:2" x14ac:dyDescent="0.25">
      <c r="A206" t="s">
        <v>559</v>
      </c>
      <c r="B206" t="s">
        <v>560</v>
      </c>
    </row>
    <row r="207" spans="1:2" x14ac:dyDescent="0.25">
      <c r="A207" t="s">
        <v>561</v>
      </c>
      <c r="B207" t="s">
        <v>562</v>
      </c>
    </row>
    <row r="208" spans="1:2" x14ac:dyDescent="0.25">
      <c r="A208" t="s">
        <v>563</v>
      </c>
      <c r="B208" t="s">
        <v>564</v>
      </c>
    </row>
    <row r="209" spans="1:2" x14ac:dyDescent="0.25">
      <c r="A209" t="s">
        <v>565</v>
      </c>
      <c r="B209" t="s">
        <v>566</v>
      </c>
    </row>
    <row r="210" spans="1:2" x14ac:dyDescent="0.25">
      <c r="A210" t="s">
        <v>567</v>
      </c>
      <c r="B210" t="s">
        <v>568</v>
      </c>
    </row>
    <row r="211" spans="1:2" x14ac:dyDescent="0.25">
      <c r="A211" t="s">
        <v>569</v>
      </c>
      <c r="B211" t="s">
        <v>570</v>
      </c>
    </row>
    <row r="212" spans="1:2" x14ac:dyDescent="0.25">
      <c r="A212" t="s">
        <v>571</v>
      </c>
      <c r="B212" t="s">
        <v>572</v>
      </c>
    </row>
    <row r="213" spans="1:2" x14ac:dyDescent="0.25">
      <c r="A213" t="s">
        <v>573</v>
      </c>
      <c r="B213" t="s">
        <v>574</v>
      </c>
    </row>
    <row r="214" spans="1:2" x14ac:dyDescent="0.25">
      <c r="A214" t="s">
        <v>575</v>
      </c>
      <c r="B214" t="s">
        <v>576</v>
      </c>
    </row>
    <row r="215" spans="1:2" x14ac:dyDescent="0.25">
      <c r="A215" t="s">
        <v>577</v>
      </c>
      <c r="B215" t="s">
        <v>578</v>
      </c>
    </row>
    <row r="216" spans="1:2" x14ac:dyDescent="0.25">
      <c r="A216" t="s">
        <v>579</v>
      </c>
      <c r="B216" t="s">
        <v>580</v>
      </c>
    </row>
    <row r="217" spans="1:2" x14ac:dyDescent="0.25">
      <c r="A217" t="s">
        <v>581</v>
      </c>
      <c r="B217" t="s">
        <v>582</v>
      </c>
    </row>
    <row r="218" spans="1:2" x14ac:dyDescent="0.25">
      <c r="A218" t="s">
        <v>583</v>
      </c>
      <c r="B218" t="s">
        <v>584</v>
      </c>
    </row>
    <row r="219" spans="1:2" x14ac:dyDescent="0.25">
      <c r="A219" t="s">
        <v>585</v>
      </c>
      <c r="B219" t="s">
        <v>586</v>
      </c>
    </row>
    <row r="220" spans="1:2" x14ac:dyDescent="0.25">
      <c r="A220" t="s">
        <v>587</v>
      </c>
      <c r="B220" t="s">
        <v>588</v>
      </c>
    </row>
    <row r="221" spans="1:2" x14ac:dyDescent="0.25">
      <c r="A221" t="s">
        <v>589</v>
      </c>
      <c r="B221" t="s">
        <v>590</v>
      </c>
    </row>
    <row r="222" spans="1:2" x14ac:dyDescent="0.25">
      <c r="A222" t="s">
        <v>591</v>
      </c>
      <c r="B222" t="s">
        <v>592</v>
      </c>
    </row>
    <row r="223" spans="1:2" x14ac:dyDescent="0.25">
      <c r="A223" t="s">
        <v>593</v>
      </c>
      <c r="B223" t="s">
        <v>594</v>
      </c>
    </row>
    <row r="224" spans="1:2" x14ac:dyDescent="0.25">
      <c r="A224" t="s">
        <v>595</v>
      </c>
      <c r="B224" t="s">
        <v>596</v>
      </c>
    </row>
    <row r="225" spans="1:20" x14ac:dyDescent="0.25">
      <c r="A225" t="s">
        <v>597</v>
      </c>
      <c r="B225" t="s">
        <v>598</v>
      </c>
    </row>
    <row r="226" spans="1:20" x14ac:dyDescent="0.25">
      <c r="A226" t="s">
        <v>599</v>
      </c>
      <c r="B226" t="s">
        <v>600</v>
      </c>
    </row>
    <row r="227" spans="1:20" x14ac:dyDescent="0.25">
      <c r="A227" t="s">
        <v>601</v>
      </c>
      <c r="B227" t="s">
        <v>602</v>
      </c>
    </row>
    <row r="228" spans="1:20" x14ac:dyDescent="0.25">
      <c r="A228" t="s">
        <v>603</v>
      </c>
      <c r="B228" t="s">
        <v>604</v>
      </c>
    </row>
    <row r="229" spans="1:20" x14ac:dyDescent="0.25">
      <c r="A229" t="s">
        <v>605</v>
      </c>
      <c r="B229" t="s">
        <v>606</v>
      </c>
    </row>
    <row r="230" spans="1:20" x14ac:dyDescent="0.25">
      <c r="A230" t="s">
        <v>607</v>
      </c>
      <c r="B230" t="s">
        <v>608</v>
      </c>
    </row>
    <row r="231" spans="1:20" x14ac:dyDescent="0.25">
      <c r="A231" t="s">
        <v>995</v>
      </c>
      <c r="B231" s="79" t="s">
        <v>998</v>
      </c>
    </row>
    <row r="232" spans="1:20" x14ac:dyDescent="0.25">
      <c r="A232" t="s">
        <v>996</v>
      </c>
      <c r="B232" s="79" t="s">
        <v>999</v>
      </c>
    </row>
    <row r="233" spans="1:20" x14ac:dyDescent="0.25">
      <c r="A233" t="s">
        <v>997</v>
      </c>
      <c r="B233" s="79" t="s">
        <v>1000</v>
      </c>
    </row>
    <row r="234" spans="1:20" x14ac:dyDescent="0.2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25">
      <c r="A235" t="s">
        <v>613</v>
      </c>
      <c r="B235">
        <v>1</v>
      </c>
    </row>
    <row r="236" spans="1:20" x14ac:dyDescent="0.25">
      <c r="A236" t="s">
        <v>614</v>
      </c>
      <c r="B236">
        <v>2</v>
      </c>
    </row>
    <row r="237" spans="1:20" x14ac:dyDescent="0.25">
      <c r="A237" t="s">
        <v>615</v>
      </c>
      <c r="B237">
        <v>3</v>
      </c>
    </row>
    <row r="238" spans="1:20" x14ac:dyDescent="0.25">
      <c r="A238" t="s">
        <v>616</v>
      </c>
      <c r="B238">
        <v>4</v>
      </c>
    </row>
    <row r="239" spans="1:20" x14ac:dyDescent="0.25">
      <c r="A239" t="s">
        <v>617</v>
      </c>
      <c r="B239">
        <v>5</v>
      </c>
    </row>
    <row r="240" spans="1:20" x14ac:dyDescent="0.25">
      <c r="A240" t="s">
        <v>618</v>
      </c>
      <c r="B240">
        <v>6</v>
      </c>
    </row>
    <row r="241" spans="1:2" x14ac:dyDescent="0.25">
      <c r="A241" t="s">
        <v>621</v>
      </c>
      <c r="B241">
        <v>8</v>
      </c>
    </row>
    <row r="242" spans="1:2" x14ac:dyDescent="0.25">
      <c r="A242" t="s">
        <v>622</v>
      </c>
      <c r="B242">
        <v>9</v>
      </c>
    </row>
    <row r="243" spans="1:2" x14ac:dyDescent="0.25">
      <c r="A243" t="s">
        <v>623</v>
      </c>
      <c r="B243">
        <v>10</v>
      </c>
    </row>
    <row r="244" spans="1:2" x14ac:dyDescent="0.25">
      <c r="A244" t="s">
        <v>624</v>
      </c>
      <c r="B244">
        <v>11</v>
      </c>
    </row>
    <row r="245" spans="1:2" x14ac:dyDescent="0.25">
      <c r="A245" t="s">
        <v>625</v>
      </c>
      <c r="B245">
        <v>12</v>
      </c>
    </row>
    <row r="246" spans="1:2" x14ac:dyDescent="0.25">
      <c r="A246" t="s">
        <v>626</v>
      </c>
      <c r="B246">
        <v>13</v>
      </c>
    </row>
    <row r="247" spans="1:2" x14ac:dyDescent="0.25">
      <c r="A247" t="s">
        <v>627</v>
      </c>
      <c r="B247">
        <v>14</v>
      </c>
    </row>
    <row r="248" spans="1:2" x14ac:dyDescent="0.25">
      <c r="A248" t="s">
        <v>628</v>
      </c>
      <c r="B248">
        <v>15</v>
      </c>
    </row>
    <row r="249" spans="1:2" x14ac:dyDescent="0.25">
      <c r="A249" t="s">
        <v>629</v>
      </c>
      <c r="B249">
        <v>16</v>
      </c>
    </row>
    <row r="250" spans="1:2" x14ac:dyDescent="0.25">
      <c r="A250" t="s">
        <v>630</v>
      </c>
      <c r="B250">
        <v>17</v>
      </c>
    </row>
    <row r="251" spans="1:2" x14ac:dyDescent="0.25">
      <c r="A251" t="s">
        <v>631</v>
      </c>
      <c r="B251">
        <v>18</v>
      </c>
    </row>
    <row r="252" spans="1:2" x14ac:dyDescent="0.25">
      <c r="A252" t="s">
        <v>632</v>
      </c>
      <c r="B252">
        <v>19</v>
      </c>
    </row>
    <row r="253" spans="1:2" x14ac:dyDescent="0.25">
      <c r="A253" t="s">
        <v>633</v>
      </c>
      <c r="B253">
        <v>20</v>
      </c>
    </row>
    <row r="254" spans="1:2" x14ac:dyDescent="0.25">
      <c r="A254" t="s">
        <v>634</v>
      </c>
      <c r="B254">
        <v>21</v>
      </c>
    </row>
    <row r="255" spans="1:2" x14ac:dyDescent="0.25">
      <c r="A255" t="s">
        <v>636</v>
      </c>
      <c r="B255">
        <v>23</v>
      </c>
    </row>
    <row r="256" spans="1:2" x14ac:dyDescent="0.25">
      <c r="A256" t="s">
        <v>637</v>
      </c>
      <c r="B256">
        <v>24</v>
      </c>
    </row>
    <row r="257" spans="1:2" x14ac:dyDescent="0.25">
      <c r="A257" t="s">
        <v>638</v>
      </c>
      <c r="B257">
        <v>25</v>
      </c>
    </row>
    <row r="258" spans="1:2" x14ac:dyDescent="0.25">
      <c r="A258" t="s">
        <v>639</v>
      </c>
      <c r="B258">
        <v>26</v>
      </c>
    </row>
    <row r="259" spans="1:2" x14ac:dyDescent="0.25">
      <c r="A259" t="s">
        <v>640</v>
      </c>
      <c r="B259">
        <v>27</v>
      </c>
    </row>
    <row r="260" spans="1:2" x14ac:dyDescent="0.25">
      <c r="A260" t="s">
        <v>641</v>
      </c>
      <c r="B260">
        <v>28</v>
      </c>
    </row>
    <row r="261" spans="1:2" x14ac:dyDescent="0.25">
      <c r="A261" t="s">
        <v>642</v>
      </c>
      <c r="B261">
        <v>29</v>
      </c>
    </row>
    <row r="262" spans="1:2" x14ac:dyDescent="0.25">
      <c r="A262" t="s">
        <v>643</v>
      </c>
      <c r="B262">
        <v>30</v>
      </c>
    </row>
    <row r="263" spans="1:2" x14ac:dyDescent="0.25">
      <c r="A263" t="s">
        <v>644</v>
      </c>
      <c r="B263">
        <v>31</v>
      </c>
    </row>
    <row r="264" spans="1:2" x14ac:dyDescent="0.25">
      <c r="A264" t="s">
        <v>645</v>
      </c>
      <c r="B264">
        <v>32</v>
      </c>
    </row>
    <row r="265" spans="1:2" x14ac:dyDescent="0.25">
      <c r="A265" t="s">
        <v>646</v>
      </c>
      <c r="B265">
        <v>33</v>
      </c>
    </row>
    <row r="266" spans="1:2" x14ac:dyDescent="0.25">
      <c r="A266" t="s">
        <v>647</v>
      </c>
      <c r="B266">
        <v>34</v>
      </c>
    </row>
    <row r="267" spans="1:2" x14ac:dyDescent="0.25">
      <c r="A267" t="s">
        <v>648</v>
      </c>
      <c r="B267">
        <v>35</v>
      </c>
    </row>
    <row r="268" spans="1:2" x14ac:dyDescent="0.25">
      <c r="A268" t="s">
        <v>649</v>
      </c>
      <c r="B268">
        <v>36</v>
      </c>
    </row>
    <row r="269" spans="1:2" x14ac:dyDescent="0.25">
      <c r="A269" t="s">
        <v>652</v>
      </c>
      <c r="B269">
        <v>38</v>
      </c>
    </row>
    <row r="270" spans="1:2" x14ac:dyDescent="0.25">
      <c r="A270" t="s">
        <v>654</v>
      </c>
      <c r="B270">
        <v>39</v>
      </c>
    </row>
    <row r="271" spans="1:2" x14ac:dyDescent="0.25">
      <c r="A271" t="s">
        <v>656</v>
      </c>
      <c r="B271">
        <v>40</v>
      </c>
    </row>
    <row r="272" spans="1:2" x14ac:dyDescent="0.25">
      <c r="A272" t="s">
        <v>658</v>
      </c>
      <c r="B272">
        <v>41</v>
      </c>
    </row>
    <row r="273" spans="1:2" x14ac:dyDescent="0.25">
      <c r="A273" t="s">
        <v>659</v>
      </c>
      <c r="B273">
        <v>42</v>
      </c>
    </row>
    <row r="274" spans="1:2" x14ac:dyDescent="0.25">
      <c r="A274" t="s">
        <v>660</v>
      </c>
      <c r="B274">
        <v>43</v>
      </c>
    </row>
    <row r="275" spans="1:2" x14ac:dyDescent="0.25">
      <c r="A275" t="s">
        <v>662</v>
      </c>
      <c r="B275" t="s">
        <v>663</v>
      </c>
    </row>
    <row r="276" spans="1:2" x14ac:dyDescent="0.25">
      <c r="A276" t="s">
        <v>664</v>
      </c>
      <c r="B276" t="s">
        <v>665</v>
      </c>
    </row>
    <row r="277" spans="1:2" x14ac:dyDescent="0.25">
      <c r="A277" t="s">
        <v>666</v>
      </c>
      <c r="B277" t="s">
        <v>667</v>
      </c>
    </row>
    <row r="278" spans="1:2" x14ac:dyDescent="0.25">
      <c r="A278" t="s">
        <v>668</v>
      </c>
      <c r="B278" t="s">
        <v>669</v>
      </c>
    </row>
    <row r="279" spans="1:2" x14ac:dyDescent="0.25">
      <c r="A279" t="s">
        <v>670</v>
      </c>
      <c r="B279" t="s">
        <v>671</v>
      </c>
    </row>
    <row r="280" spans="1:2" x14ac:dyDescent="0.25">
      <c r="A280" t="s">
        <v>672</v>
      </c>
      <c r="B280" t="s">
        <v>673</v>
      </c>
    </row>
    <row r="281" spans="1:2" x14ac:dyDescent="0.25">
      <c r="A281" t="s">
        <v>674</v>
      </c>
      <c r="B281" t="s">
        <v>675</v>
      </c>
    </row>
    <row r="282" spans="1:2" x14ac:dyDescent="0.25">
      <c r="A282" t="s">
        <v>676</v>
      </c>
      <c r="B282" t="s">
        <v>677</v>
      </c>
    </row>
    <row r="283" spans="1:2" x14ac:dyDescent="0.25">
      <c r="A283" t="s">
        <v>678</v>
      </c>
      <c r="B283" t="s">
        <v>679</v>
      </c>
    </row>
    <row r="284" spans="1:2" x14ac:dyDescent="0.25">
      <c r="A284" t="s">
        <v>680</v>
      </c>
      <c r="B284" t="s">
        <v>681</v>
      </c>
    </row>
    <row r="285" spans="1:2" x14ac:dyDescent="0.25">
      <c r="A285" t="s">
        <v>682</v>
      </c>
      <c r="B285" t="s">
        <v>683</v>
      </c>
    </row>
    <row r="286" spans="1:2" x14ac:dyDescent="0.25">
      <c r="A286" t="s">
        <v>684</v>
      </c>
      <c r="B286" t="s">
        <v>685</v>
      </c>
    </row>
    <row r="287" spans="1:2" x14ac:dyDescent="0.25">
      <c r="A287" t="s">
        <v>686</v>
      </c>
      <c r="B287" t="s">
        <v>687</v>
      </c>
    </row>
    <row r="288" spans="1:2" x14ac:dyDescent="0.25">
      <c r="A288" t="s">
        <v>688</v>
      </c>
      <c r="B288" t="s">
        <v>689</v>
      </c>
    </row>
    <row r="289" spans="1:2" x14ac:dyDescent="0.25">
      <c r="A289" t="s">
        <v>690</v>
      </c>
      <c r="B289" t="s">
        <v>691</v>
      </c>
    </row>
    <row r="290" spans="1:2" x14ac:dyDescent="0.25">
      <c r="A290" t="s">
        <v>692</v>
      </c>
      <c r="B290" t="s">
        <v>693</v>
      </c>
    </row>
    <row r="291" spans="1:2" x14ac:dyDescent="0.25">
      <c r="A291" t="s">
        <v>694</v>
      </c>
      <c r="B291" t="s">
        <v>695</v>
      </c>
    </row>
    <row r="292" spans="1:2" x14ac:dyDescent="0.25">
      <c r="A292" t="s">
        <v>696</v>
      </c>
      <c r="B292" t="s">
        <v>697</v>
      </c>
    </row>
    <row r="293" spans="1:2" x14ac:dyDescent="0.25">
      <c r="A293" t="s">
        <v>698</v>
      </c>
      <c r="B293" t="s">
        <v>699</v>
      </c>
    </row>
    <row r="294" spans="1:2" x14ac:dyDescent="0.25">
      <c r="A294" t="s">
        <v>700</v>
      </c>
      <c r="B294" t="s">
        <v>701</v>
      </c>
    </row>
    <row r="295" spans="1:2" x14ac:dyDescent="0.25">
      <c r="A295" t="s">
        <v>702</v>
      </c>
      <c r="B295" t="s">
        <v>703</v>
      </c>
    </row>
    <row r="296" spans="1:2" x14ac:dyDescent="0.25">
      <c r="A296" t="s">
        <v>704</v>
      </c>
      <c r="B296" t="s">
        <v>705</v>
      </c>
    </row>
    <row r="297" spans="1:2" x14ac:dyDescent="0.25">
      <c r="A297" t="s">
        <v>706</v>
      </c>
      <c r="B297" t="s">
        <v>707</v>
      </c>
    </row>
    <row r="298" spans="1:2" x14ac:dyDescent="0.25">
      <c r="A298" t="s">
        <v>708</v>
      </c>
      <c r="B298" t="s">
        <v>709</v>
      </c>
    </row>
    <row r="299" spans="1:2" x14ac:dyDescent="0.25">
      <c r="A299" t="s">
        <v>710</v>
      </c>
      <c r="B299" t="s">
        <v>711</v>
      </c>
    </row>
    <row r="300" spans="1:2" x14ac:dyDescent="0.25">
      <c r="A300" t="s">
        <v>712</v>
      </c>
      <c r="B300" t="s">
        <v>713</v>
      </c>
    </row>
    <row r="301" spans="1:2" x14ac:dyDescent="0.25">
      <c r="A301" t="s">
        <v>714</v>
      </c>
      <c r="B301" t="s">
        <v>715</v>
      </c>
    </row>
    <row r="302" spans="1:2" x14ac:dyDescent="0.25">
      <c r="A302" t="s">
        <v>716</v>
      </c>
      <c r="B302" t="s">
        <v>717</v>
      </c>
    </row>
    <row r="303" spans="1:2" x14ac:dyDescent="0.25">
      <c r="A303" t="s">
        <v>718</v>
      </c>
      <c r="B303" t="s">
        <v>719</v>
      </c>
    </row>
    <row r="304" spans="1:2" x14ac:dyDescent="0.25">
      <c r="A304" t="s">
        <v>720</v>
      </c>
      <c r="B304" t="s">
        <v>721</v>
      </c>
    </row>
    <row r="305" spans="1:2" x14ac:dyDescent="0.25">
      <c r="A305" t="s">
        <v>722</v>
      </c>
      <c r="B305" t="s">
        <v>723</v>
      </c>
    </row>
    <row r="306" spans="1:2" x14ac:dyDescent="0.25">
      <c r="A306" t="s">
        <v>724</v>
      </c>
      <c r="B306" t="s">
        <v>725</v>
      </c>
    </row>
    <row r="307" spans="1:2" x14ac:dyDescent="0.25">
      <c r="A307" t="s">
        <v>726</v>
      </c>
      <c r="B307" t="s">
        <v>727</v>
      </c>
    </row>
    <row r="308" spans="1:2" x14ac:dyDescent="0.25">
      <c r="A308" t="s">
        <v>728</v>
      </c>
      <c r="B308" t="s">
        <v>729</v>
      </c>
    </row>
    <row r="309" spans="1:2" x14ac:dyDescent="0.25">
      <c r="A309" t="s">
        <v>730</v>
      </c>
      <c r="B309" t="s">
        <v>731</v>
      </c>
    </row>
    <row r="310" spans="1:2" x14ac:dyDescent="0.25">
      <c r="A310" t="s">
        <v>732</v>
      </c>
      <c r="B310" t="s">
        <v>733</v>
      </c>
    </row>
    <row r="311" spans="1:2" x14ac:dyDescent="0.25">
      <c r="A311" t="s">
        <v>734</v>
      </c>
      <c r="B311" t="s">
        <v>735</v>
      </c>
    </row>
    <row r="312" spans="1:2" x14ac:dyDescent="0.25">
      <c r="A312" t="s">
        <v>736</v>
      </c>
      <c r="B312" t="s">
        <v>737</v>
      </c>
    </row>
    <row r="313" spans="1:2" x14ac:dyDescent="0.25">
      <c r="A313" t="s">
        <v>738</v>
      </c>
      <c r="B313" t="s">
        <v>739</v>
      </c>
    </row>
    <row r="314" spans="1:2" x14ac:dyDescent="0.25">
      <c r="A314" t="s">
        <v>740</v>
      </c>
      <c r="B314" t="s">
        <v>741</v>
      </c>
    </row>
    <row r="315" spans="1:2" x14ac:dyDescent="0.25">
      <c r="A315" t="s">
        <v>742</v>
      </c>
      <c r="B315" t="s">
        <v>743</v>
      </c>
    </row>
    <row r="316" spans="1:2" x14ac:dyDescent="0.25">
      <c r="A316" t="s">
        <v>744</v>
      </c>
      <c r="B316" t="s">
        <v>745</v>
      </c>
    </row>
    <row r="317" spans="1:2" x14ac:dyDescent="0.25">
      <c r="A317" t="s">
        <v>746</v>
      </c>
      <c r="B317" t="s">
        <v>747</v>
      </c>
    </row>
    <row r="318" spans="1:2" x14ac:dyDescent="0.25">
      <c r="A318" t="s">
        <v>748</v>
      </c>
      <c r="B318" t="s">
        <v>749</v>
      </c>
    </row>
    <row r="319" spans="1:2" x14ac:dyDescent="0.25">
      <c r="A319" t="s">
        <v>750</v>
      </c>
      <c r="B319" t="s">
        <v>751</v>
      </c>
    </row>
    <row r="320" spans="1:2" x14ac:dyDescent="0.25">
      <c r="A320" t="s">
        <v>752</v>
      </c>
      <c r="B320" t="s">
        <v>753</v>
      </c>
    </row>
    <row r="321" spans="1:15" x14ac:dyDescent="0.25">
      <c r="A321" t="s">
        <v>754</v>
      </c>
      <c r="B321" t="s">
        <v>755</v>
      </c>
    </row>
    <row r="322" spans="1:15" x14ac:dyDescent="0.25">
      <c r="A322" t="s">
        <v>756</v>
      </c>
      <c r="B322" t="s">
        <v>757</v>
      </c>
    </row>
    <row r="323" spans="1:15" x14ac:dyDescent="0.25">
      <c r="A323" t="s">
        <v>758</v>
      </c>
      <c r="B323" t="s">
        <v>759</v>
      </c>
    </row>
    <row r="324" spans="1:15" x14ac:dyDescent="0.25">
      <c r="A324" t="s">
        <v>760</v>
      </c>
      <c r="B324" t="s">
        <v>761</v>
      </c>
    </row>
    <row r="325" spans="1:15" x14ac:dyDescent="0.25">
      <c r="A325" t="s">
        <v>762</v>
      </c>
      <c r="B325" t="s">
        <v>763</v>
      </c>
    </row>
    <row r="326" spans="1:15" x14ac:dyDescent="0.25">
      <c r="A326" t="s">
        <v>764</v>
      </c>
      <c r="B326" t="s">
        <v>765</v>
      </c>
    </row>
    <row r="327" spans="1:15" x14ac:dyDescent="0.25">
      <c r="A327" t="s">
        <v>766</v>
      </c>
      <c r="B327" t="s">
        <v>767</v>
      </c>
    </row>
    <row r="328" spans="1:15" x14ac:dyDescent="0.25">
      <c r="A328" t="s">
        <v>768</v>
      </c>
      <c r="B328" t="s">
        <v>769</v>
      </c>
    </row>
    <row r="329" spans="1:15" x14ac:dyDescent="0.25">
      <c r="A329" t="s">
        <v>770</v>
      </c>
      <c r="B329" t="s">
        <v>771</v>
      </c>
    </row>
    <row r="330" spans="1:15" x14ac:dyDescent="0.25">
      <c r="A330" t="s">
        <v>772</v>
      </c>
      <c r="B330" t="s">
        <v>773</v>
      </c>
    </row>
    <row r="331" spans="1:15" x14ac:dyDescent="0.25">
      <c r="A331" t="s">
        <v>774</v>
      </c>
      <c r="B331" t="s">
        <v>775</v>
      </c>
    </row>
    <row r="332" spans="1:15" x14ac:dyDescent="0.25">
      <c r="A332" t="s">
        <v>776</v>
      </c>
      <c r="B332" t="s">
        <v>777</v>
      </c>
    </row>
    <row r="333" spans="1:15" x14ac:dyDescent="0.25">
      <c r="A333" t="s">
        <v>1001</v>
      </c>
      <c r="B333" s="79" t="s">
        <v>1004</v>
      </c>
    </row>
    <row r="334" spans="1:15" x14ac:dyDescent="0.25">
      <c r="A334" t="s">
        <v>1002</v>
      </c>
      <c r="B334" s="79" t="s">
        <v>1005</v>
      </c>
    </row>
    <row r="335" spans="1:15" x14ac:dyDescent="0.25">
      <c r="A335" t="s">
        <v>1003</v>
      </c>
      <c r="B335" s="79" t="s">
        <v>1006</v>
      </c>
    </row>
    <row r="336" spans="1:15" x14ac:dyDescent="0.2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25">
      <c r="A337" t="s">
        <v>782</v>
      </c>
      <c r="B337">
        <v>1</v>
      </c>
    </row>
    <row r="338" spans="1:2" x14ac:dyDescent="0.25">
      <c r="A338" t="s">
        <v>783</v>
      </c>
      <c r="B338">
        <v>2</v>
      </c>
    </row>
    <row r="339" spans="1:2" x14ac:dyDescent="0.25">
      <c r="A339" t="s">
        <v>784</v>
      </c>
      <c r="B339">
        <v>3</v>
      </c>
    </row>
    <row r="340" spans="1:2" x14ac:dyDescent="0.25">
      <c r="A340" t="s">
        <v>785</v>
      </c>
      <c r="B340">
        <v>4</v>
      </c>
    </row>
    <row r="341" spans="1:2" x14ac:dyDescent="0.25">
      <c r="A341" t="s">
        <v>786</v>
      </c>
      <c r="B341">
        <v>5</v>
      </c>
    </row>
    <row r="342" spans="1:2" x14ac:dyDescent="0.25">
      <c r="A342" t="s">
        <v>787</v>
      </c>
      <c r="B342">
        <v>6</v>
      </c>
    </row>
    <row r="343" spans="1:2" x14ac:dyDescent="0.25">
      <c r="A343" t="s">
        <v>788</v>
      </c>
      <c r="B343">
        <v>7</v>
      </c>
    </row>
    <row r="344" spans="1:2" x14ac:dyDescent="0.25">
      <c r="A344" t="s">
        <v>789</v>
      </c>
      <c r="B344">
        <v>9</v>
      </c>
    </row>
    <row r="345" spans="1:2" x14ac:dyDescent="0.25">
      <c r="A345" t="s">
        <v>790</v>
      </c>
      <c r="B345">
        <v>10</v>
      </c>
    </row>
    <row r="346" spans="1:2" x14ac:dyDescent="0.25">
      <c r="A346" t="s">
        <v>791</v>
      </c>
      <c r="B346">
        <v>11</v>
      </c>
    </row>
    <row r="347" spans="1:2" x14ac:dyDescent="0.25">
      <c r="A347" t="s">
        <v>792</v>
      </c>
      <c r="B347">
        <v>12</v>
      </c>
    </row>
    <row r="348" spans="1:2" x14ac:dyDescent="0.25">
      <c r="A348" t="s">
        <v>793</v>
      </c>
      <c r="B348">
        <v>13</v>
      </c>
    </row>
    <row r="349" spans="1:2" x14ac:dyDescent="0.25">
      <c r="A349" t="s">
        <v>794</v>
      </c>
      <c r="B349">
        <v>14</v>
      </c>
    </row>
    <row r="350" spans="1:2" x14ac:dyDescent="0.25">
      <c r="A350" t="s">
        <v>795</v>
      </c>
      <c r="B350">
        <v>15</v>
      </c>
    </row>
    <row r="351" spans="1:2" x14ac:dyDescent="0.25">
      <c r="A351" t="s">
        <v>796</v>
      </c>
      <c r="B351">
        <v>16</v>
      </c>
    </row>
    <row r="352" spans="1:2" x14ac:dyDescent="0.25">
      <c r="A352" t="s">
        <v>797</v>
      </c>
      <c r="B352">
        <v>17</v>
      </c>
    </row>
    <row r="353" spans="1:2" x14ac:dyDescent="0.25">
      <c r="A353" t="s">
        <v>798</v>
      </c>
      <c r="B353">
        <v>18</v>
      </c>
    </row>
    <row r="354" spans="1:2" x14ac:dyDescent="0.25">
      <c r="A354" t="s">
        <v>799</v>
      </c>
      <c r="B354">
        <v>19</v>
      </c>
    </row>
    <row r="355" spans="1:2" x14ac:dyDescent="0.25">
      <c r="A355" t="s">
        <v>800</v>
      </c>
      <c r="B355">
        <v>20</v>
      </c>
    </row>
    <row r="356" spans="1:2" x14ac:dyDescent="0.25">
      <c r="A356" t="s">
        <v>801</v>
      </c>
      <c r="B356">
        <v>21</v>
      </c>
    </row>
    <row r="357" spans="1:2" x14ac:dyDescent="0.25">
      <c r="A357" t="s">
        <v>802</v>
      </c>
      <c r="B357">
        <v>22</v>
      </c>
    </row>
    <row r="358" spans="1:2" x14ac:dyDescent="0.25">
      <c r="A358" t="s">
        <v>803</v>
      </c>
      <c r="B358">
        <v>23</v>
      </c>
    </row>
    <row r="359" spans="1:2" x14ac:dyDescent="0.25">
      <c r="A359" t="s">
        <v>806</v>
      </c>
      <c r="B359">
        <v>24</v>
      </c>
    </row>
    <row r="360" spans="1:2" x14ac:dyDescent="0.25">
      <c r="A360" t="s">
        <v>808</v>
      </c>
      <c r="B360">
        <v>25</v>
      </c>
    </row>
    <row r="361" spans="1:2" x14ac:dyDescent="0.25">
      <c r="A361" t="s">
        <v>810</v>
      </c>
      <c r="B361">
        <v>26</v>
      </c>
    </row>
    <row r="362" spans="1:2" x14ac:dyDescent="0.25">
      <c r="A362" t="s">
        <v>812</v>
      </c>
      <c r="B362">
        <v>27</v>
      </c>
    </row>
    <row r="363" spans="1:2" x14ac:dyDescent="0.25">
      <c r="A363" t="s">
        <v>813</v>
      </c>
      <c r="B363">
        <v>28</v>
      </c>
    </row>
    <row r="364" spans="1:2" x14ac:dyDescent="0.25">
      <c r="A364" t="s">
        <v>814</v>
      </c>
      <c r="B364">
        <v>29</v>
      </c>
    </row>
    <row r="365" spans="1:2" x14ac:dyDescent="0.25">
      <c r="A365" t="s">
        <v>815</v>
      </c>
      <c r="B365">
        <v>31</v>
      </c>
    </row>
    <row r="366" spans="1:2" x14ac:dyDescent="0.25">
      <c r="A366" t="s">
        <v>816</v>
      </c>
      <c r="B366">
        <v>32</v>
      </c>
    </row>
    <row r="367" spans="1:2" x14ac:dyDescent="0.25">
      <c r="A367" t="s">
        <v>817</v>
      </c>
      <c r="B367">
        <v>33</v>
      </c>
    </row>
    <row r="368" spans="1:2" x14ac:dyDescent="0.25">
      <c r="A368" t="s">
        <v>818</v>
      </c>
      <c r="B368">
        <v>34</v>
      </c>
    </row>
    <row r="369" spans="1:2" x14ac:dyDescent="0.25">
      <c r="A369" t="s">
        <v>819</v>
      </c>
      <c r="B369">
        <v>35</v>
      </c>
    </row>
    <row r="370" spans="1:2" x14ac:dyDescent="0.25">
      <c r="A370" t="s">
        <v>820</v>
      </c>
      <c r="B370">
        <v>36</v>
      </c>
    </row>
    <row r="371" spans="1:2" x14ac:dyDescent="0.25">
      <c r="A371" t="s">
        <v>821</v>
      </c>
      <c r="B371">
        <v>37</v>
      </c>
    </row>
    <row r="372" spans="1:2" x14ac:dyDescent="0.25">
      <c r="A372" t="s">
        <v>822</v>
      </c>
      <c r="B372">
        <v>38</v>
      </c>
    </row>
    <row r="373" spans="1:2" x14ac:dyDescent="0.25">
      <c r="A373" t="s">
        <v>823</v>
      </c>
      <c r="B373">
        <v>39</v>
      </c>
    </row>
    <row r="374" spans="1:2" x14ac:dyDescent="0.25">
      <c r="A374" t="s">
        <v>824</v>
      </c>
      <c r="B374">
        <v>40</v>
      </c>
    </row>
    <row r="375" spans="1:2" x14ac:dyDescent="0.25">
      <c r="A375" t="s">
        <v>825</v>
      </c>
      <c r="B375">
        <v>41</v>
      </c>
    </row>
    <row r="376" spans="1:2" x14ac:dyDescent="0.25">
      <c r="A376" t="s">
        <v>826</v>
      </c>
      <c r="B376">
        <v>42</v>
      </c>
    </row>
    <row r="377" spans="1:2" x14ac:dyDescent="0.25">
      <c r="A377" t="s">
        <v>827</v>
      </c>
      <c r="B377">
        <v>43</v>
      </c>
    </row>
    <row r="378" spans="1:2" x14ac:dyDescent="0.25">
      <c r="A378" t="s">
        <v>828</v>
      </c>
      <c r="B378">
        <v>44</v>
      </c>
    </row>
    <row r="379" spans="1:2" x14ac:dyDescent="0.25">
      <c r="A379" t="s">
        <v>829</v>
      </c>
      <c r="B379">
        <v>45</v>
      </c>
    </row>
    <row r="380" spans="1:2" x14ac:dyDescent="0.25">
      <c r="A380" t="s">
        <v>831</v>
      </c>
      <c r="B380">
        <v>46</v>
      </c>
    </row>
    <row r="381" spans="1:2" x14ac:dyDescent="0.25">
      <c r="A381" t="s">
        <v>833</v>
      </c>
      <c r="B381">
        <v>47</v>
      </c>
    </row>
    <row r="382" spans="1:2" x14ac:dyDescent="0.25">
      <c r="A382" t="s">
        <v>835</v>
      </c>
      <c r="B382">
        <v>48</v>
      </c>
    </row>
    <row r="383" spans="1:2" x14ac:dyDescent="0.25">
      <c r="A383" t="s">
        <v>837</v>
      </c>
      <c r="B383">
        <v>49</v>
      </c>
    </row>
    <row r="384" spans="1:2" x14ac:dyDescent="0.25">
      <c r="A384" t="s">
        <v>838</v>
      </c>
      <c r="B384">
        <v>50</v>
      </c>
    </row>
    <row r="385" spans="1:2" x14ac:dyDescent="0.25">
      <c r="A385" t="s">
        <v>839</v>
      </c>
      <c r="B385">
        <v>51</v>
      </c>
    </row>
    <row r="386" spans="1:2" x14ac:dyDescent="0.25">
      <c r="A386" t="s">
        <v>840</v>
      </c>
      <c r="B386">
        <v>53</v>
      </c>
    </row>
    <row r="387" spans="1:2" x14ac:dyDescent="0.25">
      <c r="A387" t="s">
        <v>841</v>
      </c>
      <c r="B387">
        <v>54</v>
      </c>
    </row>
    <row r="388" spans="1:2" x14ac:dyDescent="0.25">
      <c r="A388" t="s">
        <v>842</v>
      </c>
      <c r="B388">
        <v>56</v>
      </c>
    </row>
    <row r="389" spans="1:2" x14ac:dyDescent="0.25">
      <c r="A389" t="s">
        <v>843</v>
      </c>
      <c r="B389">
        <v>57</v>
      </c>
    </row>
    <row r="390" spans="1:2" x14ac:dyDescent="0.25">
      <c r="A390" t="s">
        <v>844</v>
      </c>
      <c r="B390">
        <v>58</v>
      </c>
    </row>
    <row r="391" spans="1:2" x14ac:dyDescent="0.25">
      <c r="A391" t="s">
        <v>845</v>
      </c>
      <c r="B391">
        <v>59</v>
      </c>
    </row>
    <row r="392" spans="1:2" x14ac:dyDescent="0.25">
      <c r="A392" t="s">
        <v>848</v>
      </c>
      <c r="B392">
        <v>61</v>
      </c>
    </row>
    <row r="393" spans="1:2" x14ac:dyDescent="0.25">
      <c r="A393" t="s">
        <v>850</v>
      </c>
      <c r="B393">
        <v>62</v>
      </c>
    </row>
    <row r="394" spans="1:2" x14ac:dyDescent="0.25">
      <c r="A394" t="s">
        <v>852</v>
      </c>
      <c r="B394">
        <v>63</v>
      </c>
    </row>
    <row r="395" spans="1:2" x14ac:dyDescent="0.25">
      <c r="A395" t="s">
        <v>854</v>
      </c>
      <c r="B395">
        <v>64</v>
      </c>
    </row>
    <row r="396" spans="1:2" x14ac:dyDescent="0.25">
      <c r="A396" t="s">
        <v>855</v>
      </c>
      <c r="B396">
        <v>66</v>
      </c>
    </row>
    <row r="397" spans="1:2" x14ac:dyDescent="0.25">
      <c r="A397" t="s">
        <v>856</v>
      </c>
      <c r="B397">
        <v>67</v>
      </c>
    </row>
    <row r="398" spans="1:2" x14ac:dyDescent="0.25">
      <c r="A398" t="s">
        <v>857</v>
      </c>
      <c r="B398">
        <v>68</v>
      </c>
    </row>
    <row r="399" spans="1:2" x14ac:dyDescent="0.25">
      <c r="A399" t="s">
        <v>858</v>
      </c>
      <c r="B399">
        <v>69</v>
      </c>
    </row>
    <row r="400" spans="1:2" x14ac:dyDescent="0.25">
      <c r="A400" t="s">
        <v>861</v>
      </c>
      <c r="B400">
        <v>71</v>
      </c>
    </row>
    <row r="401" spans="1:2" x14ac:dyDescent="0.25">
      <c r="A401" t="s">
        <v>863</v>
      </c>
      <c r="B401">
        <v>72</v>
      </c>
    </row>
    <row r="402" spans="1:2" x14ac:dyDescent="0.25">
      <c r="A402" t="s">
        <v>865</v>
      </c>
      <c r="B402">
        <v>73</v>
      </c>
    </row>
    <row r="403" spans="1:2" x14ac:dyDescent="0.25">
      <c r="A403" t="s">
        <v>867</v>
      </c>
      <c r="B403">
        <v>74</v>
      </c>
    </row>
    <row r="404" spans="1:2" x14ac:dyDescent="0.25">
      <c r="A404" t="s">
        <v>869</v>
      </c>
      <c r="B404" t="s">
        <v>870</v>
      </c>
    </row>
    <row r="405" spans="1:2" x14ac:dyDescent="0.25">
      <c r="A405" t="s">
        <v>871</v>
      </c>
      <c r="B405" t="s">
        <v>872</v>
      </c>
    </row>
    <row r="406" spans="1:2" x14ac:dyDescent="0.25">
      <c r="A406" t="s">
        <v>873</v>
      </c>
      <c r="B406" t="s">
        <v>874</v>
      </c>
    </row>
    <row r="407" spans="1:2" x14ac:dyDescent="0.25">
      <c r="A407" t="s">
        <v>875</v>
      </c>
      <c r="B407" t="s">
        <v>876</v>
      </c>
    </row>
    <row r="408" spans="1:2" x14ac:dyDescent="0.25">
      <c r="A408" t="s">
        <v>877</v>
      </c>
      <c r="B408" t="s">
        <v>878</v>
      </c>
    </row>
    <row r="409" spans="1:2" x14ac:dyDescent="0.25">
      <c r="A409" t="s">
        <v>879</v>
      </c>
      <c r="B409" t="s">
        <v>880</v>
      </c>
    </row>
    <row r="410" spans="1:2" x14ac:dyDescent="0.25">
      <c r="A410" t="s">
        <v>881</v>
      </c>
      <c r="B410" t="s">
        <v>882</v>
      </c>
    </row>
    <row r="411" spans="1:2" x14ac:dyDescent="0.25">
      <c r="A411" t="s">
        <v>883</v>
      </c>
      <c r="B411" t="s">
        <v>884</v>
      </c>
    </row>
    <row r="412" spans="1:2" x14ac:dyDescent="0.25">
      <c r="A412" t="s">
        <v>885</v>
      </c>
      <c r="B412" t="s">
        <v>886</v>
      </c>
    </row>
    <row r="413" spans="1:2" x14ac:dyDescent="0.25">
      <c r="A413" t="s">
        <v>887</v>
      </c>
      <c r="B413" t="s">
        <v>888</v>
      </c>
    </row>
    <row r="414" spans="1:2" x14ac:dyDescent="0.25">
      <c r="A414" t="s">
        <v>889</v>
      </c>
      <c r="B414" t="s">
        <v>890</v>
      </c>
    </row>
    <row r="415" spans="1:2" x14ac:dyDescent="0.25">
      <c r="A415" t="s">
        <v>891</v>
      </c>
      <c r="B415" t="s">
        <v>892</v>
      </c>
    </row>
    <row r="416" spans="1:2" x14ac:dyDescent="0.25">
      <c r="A416" t="s">
        <v>893</v>
      </c>
      <c r="B416" t="s">
        <v>894</v>
      </c>
    </row>
    <row r="417" spans="1:2" x14ac:dyDescent="0.25">
      <c r="A417" t="s">
        <v>895</v>
      </c>
      <c r="B417" t="s">
        <v>896</v>
      </c>
    </row>
    <row r="418" spans="1:2" x14ac:dyDescent="0.25">
      <c r="A418" t="s">
        <v>897</v>
      </c>
      <c r="B418" t="s">
        <v>898</v>
      </c>
    </row>
    <row r="419" spans="1:2" x14ac:dyDescent="0.25">
      <c r="A419" t="s">
        <v>899</v>
      </c>
      <c r="B419" t="s">
        <v>900</v>
      </c>
    </row>
    <row r="420" spans="1:2" x14ac:dyDescent="0.25">
      <c r="A420" t="s">
        <v>901</v>
      </c>
      <c r="B420" t="s">
        <v>902</v>
      </c>
    </row>
    <row r="421" spans="1:2" x14ac:dyDescent="0.25">
      <c r="A421" t="s">
        <v>903</v>
      </c>
      <c r="B421" t="s">
        <v>904</v>
      </c>
    </row>
    <row r="422" spans="1:2" x14ac:dyDescent="0.25">
      <c r="A422" t="s">
        <v>905</v>
      </c>
      <c r="B422" t="s">
        <v>906</v>
      </c>
    </row>
    <row r="423" spans="1:2" x14ac:dyDescent="0.25">
      <c r="A423" t="s">
        <v>907</v>
      </c>
      <c r="B423" t="s">
        <v>908</v>
      </c>
    </row>
    <row r="424" spans="1:2" x14ac:dyDescent="0.25">
      <c r="A424" t="s">
        <v>909</v>
      </c>
      <c r="B424" t="s">
        <v>910</v>
      </c>
    </row>
    <row r="425" spans="1:2" x14ac:dyDescent="0.25">
      <c r="A425" t="s">
        <v>911</v>
      </c>
      <c r="B425" t="s">
        <v>912</v>
      </c>
    </row>
    <row r="426" spans="1:2" x14ac:dyDescent="0.25">
      <c r="A426" t="s">
        <v>913</v>
      </c>
      <c r="B426" t="s">
        <v>914</v>
      </c>
    </row>
    <row r="427" spans="1:2" x14ac:dyDescent="0.25">
      <c r="A427" t="s">
        <v>915</v>
      </c>
      <c r="B427" t="s">
        <v>916</v>
      </c>
    </row>
    <row r="428" spans="1:2" x14ac:dyDescent="0.25">
      <c r="A428" t="s">
        <v>917</v>
      </c>
      <c r="B428" t="s">
        <v>918</v>
      </c>
    </row>
    <row r="429" spans="1:2" x14ac:dyDescent="0.25">
      <c r="A429" t="s">
        <v>919</v>
      </c>
      <c r="B429" t="s">
        <v>920</v>
      </c>
    </row>
    <row r="430" spans="1:2" x14ac:dyDescent="0.25">
      <c r="A430" t="s">
        <v>921</v>
      </c>
      <c r="B430" t="s">
        <v>922</v>
      </c>
    </row>
    <row r="431" spans="1:2" x14ac:dyDescent="0.25">
      <c r="A431" t="s">
        <v>923</v>
      </c>
      <c r="B431" t="s">
        <v>924</v>
      </c>
    </row>
    <row r="432" spans="1:2" x14ac:dyDescent="0.25">
      <c r="A432" t="s">
        <v>925</v>
      </c>
      <c r="B432" t="s">
        <v>926</v>
      </c>
    </row>
    <row r="433" spans="1:2" x14ac:dyDescent="0.25">
      <c r="A433" t="s">
        <v>927</v>
      </c>
      <c r="B433" t="s">
        <v>928</v>
      </c>
    </row>
    <row r="434" spans="1:2" x14ac:dyDescent="0.25">
      <c r="A434" t="s">
        <v>929</v>
      </c>
      <c r="B434" t="s">
        <v>930</v>
      </c>
    </row>
    <row r="435" spans="1:2" x14ac:dyDescent="0.25">
      <c r="A435" t="s">
        <v>931</v>
      </c>
      <c r="B435" t="s">
        <v>932</v>
      </c>
    </row>
    <row r="436" spans="1:2" x14ac:dyDescent="0.25">
      <c r="A436" t="s">
        <v>933</v>
      </c>
      <c r="B436" t="s">
        <v>934</v>
      </c>
    </row>
    <row r="437" spans="1:2" x14ac:dyDescent="0.25">
      <c r="A437" t="s">
        <v>935</v>
      </c>
      <c r="B437" t="s">
        <v>936</v>
      </c>
    </row>
    <row r="438" spans="1:2" x14ac:dyDescent="0.25">
      <c r="A438" t="s">
        <v>937</v>
      </c>
      <c r="B438" t="s">
        <v>938</v>
      </c>
    </row>
    <row r="439" spans="1:2" x14ac:dyDescent="0.25">
      <c r="A439" t="s">
        <v>939</v>
      </c>
      <c r="B439" t="s">
        <v>940</v>
      </c>
    </row>
    <row r="440" spans="1:2" x14ac:dyDescent="0.25">
      <c r="A440" t="s">
        <v>941</v>
      </c>
      <c r="B440" t="s">
        <v>942</v>
      </c>
    </row>
    <row r="441" spans="1:2" x14ac:dyDescent="0.25">
      <c r="A441" t="s">
        <v>943</v>
      </c>
      <c r="B441" t="s">
        <v>944</v>
      </c>
    </row>
    <row r="442" spans="1:2" x14ac:dyDescent="0.25">
      <c r="A442" t="s">
        <v>945</v>
      </c>
      <c r="B442" t="s">
        <v>946</v>
      </c>
    </row>
    <row r="443" spans="1:2" x14ac:dyDescent="0.25">
      <c r="A443" t="s">
        <v>947</v>
      </c>
      <c r="B443" t="s">
        <v>948</v>
      </c>
    </row>
    <row r="444" spans="1:2" x14ac:dyDescent="0.25">
      <c r="A444" t="s">
        <v>949</v>
      </c>
      <c r="B444" t="s">
        <v>950</v>
      </c>
    </row>
    <row r="445" spans="1:2" x14ac:dyDescent="0.25">
      <c r="A445" t="s">
        <v>951</v>
      </c>
      <c r="B445" t="s">
        <v>952</v>
      </c>
    </row>
    <row r="446" spans="1:2" x14ac:dyDescent="0.25">
      <c r="A446" t="s">
        <v>953</v>
      </c>
      <c r="B446" t="s">
        <v>954</v>
      </c>
    </row>
    <row r="447" spans="1:2" x14ac:dyDescent="0.25">
      <c r="A447" t="s">
        <v>955</v>
      </c>
      <c r="B447" t="s">
        <v>956</v>
      </c>
    </row>
    <row r="448" spans="1:2" x14ac:dyDescent="0.25">
      <c r="A448" t="s">
        <v>957</v>
      </c>
      <c r="B448" t="s">
        <v>958</v>
      </c>
    </row>
    <row r="449" spans="1:2" x14ac:dyDescent="0.25">
      <c r="A449" t="s">
        <v>959</v>
      </c>
      <c r="B449" t="s">
        <v>960</v>
      </c>
    </row>
    <row r="450" spans="1:2" x14ac:dyDescent="0.25">
      <c r="A450" t="s">
        <v>961</v>
      </c>
      <c r="B450" t="s">
        <v>962</v>
      </c>
    </row>
    <row r="451" spans="1:2" x14ac:dyDescent="0.25">
      <c r="A451" t="s">
        <v>963</v>
      </c>
      <c r="B451" t="s">
        <v>964</v>
      </c>
    </row>
    <row r="452" spans="1:2" x14ac:dyDescent="0.25">
      <c r="A452" t="s">
        <v>965</v>
      </c>
      <c r="B452" t="s">
        <v>966</v>
      </c>
    </row>
    <row r="453" spans="1:2" x14ac:dyDescent="0.25">
      <c r="A453" t="s">
        <v>967</v>
      </c>
      <c r="B453" t="s">
        <v>968</v>
      </c>
    </row>
    <row r="454" spans="1:2" x14ac:dyDescent="0.25">
      <c r="A454" t="s">
        <v>969</v>
      </c>
      <c r="B454" t="s">
        <v>970</v>
      </c>
    </row>
    <row r="455" spans="1:2" x14ac:dyDescent="0.25">
      <c r="A455" t="s">
        <v>971</v>
      </c>
      <c r="B455" t="s">
        <v>972</v>
      </c>
    </row>
    <row r="456" spans="1:2" x14ac:dyDescent="0.25">
      <c r="A456" t="s">
        <v>973</v>
      </c>
      <c r="B456" t="s">
        <v>974</v>
      </c>
    </row>
    <row r="457" spans="1:2" x14ac:dyDescent="0.25">
      <c r="A457" t="s">
        <v>975</v>
      </c>
      <c r="B457" t="s">
        <v>976</v>
      </c>
    </row>
    <row r="458" spans="1:2" x14ac:dyDescent="0.25">
      <c r="A458" t="s">
        <v>977</v>
      </c>
      <c r="B458" t="s">
        <v>978</v>
      </c>
    </row>
    <row r="459" spans="1:2" x14ac:dyDescent="0.25">
      <c r="A459" t="s">
        <v>979</v>
      </c>
      <c r="B459" t="s">
        <v>980</v>
      </c>
    </row>
    <row r="460" spans="1:2" x14ac:dyDescent="0.25">
      <c r="A460" t="s">
        <v>981</v>
      </c>
      <c r="B460" t="s">
        <v>982</v>
      </c>
    </row>
    <row r="461" spans="1:2" x14ac:dyDescent="0.25">
      <c r="A461" t="s">
        <v>983</v>
      </c>
      <c r="B461" t="s">
        <v>984</v>
      </c>
    </row>
    <row r="462" spans="1:2" x14ac:dyDescent="0.25">
      <c r="A462" t="s">
        <v>1007</v>
      </c>
      <c r="B462" s="79" t="s">
        <v>1010</v>
      </c>
    </row>
    <row r="463" spans="1:2" x14ac:dyDescent="0.25">
      <c r="A463" t="s">
        <v>1008</v>
      </c>
      <c r="B463" s="79" t="s">
        <v>1011</v>
      </c>
    </row>
    <row r="464" spans="1:2" x14ac:dyDescent="0.25">
      <c r="A464" t="s">
        <v>1009</v>
      </c>
      <c r="B464" s="79" t="s">
        <v>1012</v>
      </c>
    </row>
    <row r="465" spans="1:22" x14ac:dyDescent="0.2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70" zoomScaleNormal="70" workbookViewId="0">
      <pane xSplit="2" ySplit="4" topLeftCell="N255" activePane="bottomRight" state="frozen"/>
      <selection pane="topRight" activeCell="C1" sqref="C1"/>
      <selection pane="bottomLeft" activeCell="A5" sqref="A5"/>
      <selection pane="bottomRight" activeCell="Y283" sqref="Y283"/>
    </sheetView>
  </sheetViews>
  <sheetFormatPr defaultRowHeight="14" outlineLevelRow="2" x14ac:dyDescent="0.25"/>
  <cols>
    <col min="1" max="1" width="20.54296875" bestFit="1" customWidth="1"/>
    <col min="2" max="2" width="30.81640625" bestFit="1" customWidth="1"/>
    <col min="4" max="5" width="10.7265625" customWidth="1"/>
    <col min="8" max="8" width="1.7265625" customWidth="1"/>
    <col min="10" max="12" width="10.7265625" customWidth="1"/>
    <col min="13" max="13" width="11.7265625" customWidth="1"/>
    <col min="14" max="14" width="12.7265625" customWidth="1"/>
    <col min="15" max="15" width="10.7265625" customWidth="1"/>
    <col min="16" max="19" width="12.7265625" customWidth="1"/>
    <col min="20" max="25" width="11.7265625" customWidth="1"/>
    <col min="28" max="28" width="1.7265625" customWidth="1"/>
    <col min="30" max="32" width="10.7265625" customWidth="1"/>
    <col min="33" max="33" width="11.7265625" customWidth="1"/>
    <col min="34" max="34" width="12.7265625" customWidth="1"/>
    <col min="35" max="35" width="10.7265625" customWidth="1"/>
    <col min="36" max="39" width="12.7265625" customWidth="1"/>
    <col min="40" max="45" width="11.7265625" customWidth="1"/>
    <col min="48" max="48" width="1.7265625" customWidth="1"/>
    <col min="51" max="51" width="1.7265625" customWidth="1"/>
    <col min="54" max="57" width="11.7265625" customWidth="1"/>
    <col min="58" max="58" width="1.7265625" customWidth="1"/>
    <col min="61" max="64" width="11.7265625" customWidth="1"/>
    <col min="65" max="65" width="1.7265625" customWidth="1"/>
  </cols>
  <sheetData>
    <row r="1" spans="1:64" x14ac:dyDescent="0.25">
      <c r="A1" s="106" t="s">
        <v>492</v>
      </c>
      <c r="B1" s="106"/>
      <c r="C1" s="106"/>
      <c r="D1" s="106"/>
      <c r="E1" s="106"/>
      <c r="F1" s="106"/>
      <c r="G1" s="106"/>
      <c r="I1" s="94" t="str">
        <f>Summary!C1</f>
        <v>v21.0-rc1-trisoup-predlift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C1" s="95" t="str">
        <f>Summary!C2</f>
        <v>v21.0-rc1-trisoup-raht</v>
      </c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</row>
    <row r="2" spans="1:64" ht="30" customHeight="1" x14ac:dyDescent="0.25">
      <c r="A2" s="102" t="s">
        <v>91</v>
      </c>
      <c r="B2" s="103" t="s">
        <v>94</v>
      </c>
      <c r="C2" s="102" t="s">
        <v>97</v>
      </c>
      <c r="D2" s="103" t="s">
        <v>100</v>
      </c>
      <c r="E2" s="102" t="s">
        <v>103</v>
      </c>
      <c r="F2" s="103" t="s">
        <v>106</v>
      </c>
      <c r="G2" s="102" t="s">
        <v>109</v>
      </c>
      <c r="I2" s="103" t="s">
        <v>112</v>
      </c>
      <c r="J2" s="105" t="s">
        <v>115</v>
      </c>
      <c r="K2" s="105"/>
      <c r="L2" s="105"/>
      <c r="M2" s="105"/>
      <c r="N2" s="103" t="s">
        <v>128</v>
      </c>
      <c r="O2" s="102" t="s">
        <v>22</v>
      </c>
      <c r="P2" s="104" t="s">
        <v>133</v>
      </c>
      <c r="Q2" s="104"/>
      <c r="R2" s="104"/>
      <c r="S2" s="104"/>
      <c r="T2" s="105" t="s">
        <v>438</v>
      </c>
      <c r="U2" s="105"/>
      <c r="V2" s="104" t="s">
        <v>143</v>
      </c>
      <c r="W2" s="104"/>
      <c r="X2" s="104"/>
      <c r="Y2" s="104"/>
      <c r="Z2" s="102" t="s">
        <v>155</v>
      </c>
      <c r="AA2" s="103" t="s">
        <v>158</v>
      </c>
      <c r="AC2" s="102" t="s">
        <v>112</v>
      </c>
      <c r="AD2" s="104" t="s">
        <v>115</v>
      </c>
      <c r="AE2" s="104"/>
      <c r="AF2" s="104"/>
      <c r="AG2" s="104"/>
      <c r="AH2" s="102" t="s">
        <v>128</v>
      </c>
      <c r="AI2" s="103" t="s">
        <v>22</v>
      </c>
      <c r="AJ2" s="105" t="s">
        <v>133</v>
      </c>
      <c r="AK2" s="105"/>
      <c r="AL2" s="105"/>
      <c r="AM2" s="105"/>
      <c r="AN2" s="104" t="s">
        <v>438</v>
      </c>
      <c r="AO2" s="104"/>
      <c r="AP2" s="105" t="s">
        <v>143</v>
      </c>
      <c r="AQ2" s="105"/>
      <c r="AR2" s="105"/>
      <c r="AS2" s="105"/>
      <c r="AT2" s="103" t="s">
        <v>155</v>
      </c>
      <c r="AU2" s="102" t="s">
        <v>158</v>
      </c>
      <c r="AW2" s="103" t="s">
        <v>195</v>
      </c>
      <c r="AX2" s="102" t="s">
        <v>195</v>
      </c>
      <c r="AZ2" s="104" t="s">
        <v>474</v>
      </c>
      <c r="BA2" s="104"/>
      <c r="BB2" s="105" t="s">
        <v>200</v>
      </c>
      <c r="BC2" s="105"/>
      <c r="BD2" s="105"/>
      <c r="BE2" s="105"/>
      <c r="BG2" s="104" t="s">
        <v>483</v>
      </c>
      <c r="BH2" s="104"/>
      <c r="BI2" s="105" t="s">
        <v>209</v>
      </c>
      <c r="BJ2" s="105"/>
      <c r="BK2" s="105"/>
      <c r="BL2" s="105"/>
    </row>
    <row r="3" spans="1:64" ht="28.5" thickBot="1" x14ac:dyDescent="0.3">
      <c r="A3" s="102"/>
      <c r="B3" s="103"/>
      <c r="C3" s="102"/>
      <c r="D3" s="103"/>
      <c r="E3" s="102"/>
      <c r="F3" s="103"/>
      <c r="G3" s="102"/>
      <c r="I3" s="103"/>
      <c r="J3" s="11" t="s">
        <v>116</v>
      </c>
      <c r="K3" s="11" t="s">
        <v>119</v>
      </c>
      <c r="L3" s="11" t="s">
        <v>122</v>
      </c>
      <c r="M3" s="11" t="s">
        <v>125</v>
      </c>
      <c r="N3" s="103"/>
      <c r="O3" s="102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2"/>
      <c r="AA3" s="103"/>
      <c r="AC3" s="102"/>
      <c r="AD3" s="12" t="s">
        <v>116</v>
      </c>
      <c r="AE3" s="12" t="s">
        <v>119</v>
      </c>
      <c r="AF3" s="12" t="s">
        <v>122</v>
      </c>
      <c r="AG3" s="12" t="s">
        <v>125</v>
      </c>
      <c r="AH3" s="102"/>
      <c r="AI3" s="103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3"/>
      <c r="AU3" s="102"/>
      <c r="AW3" s="103"/>
      <c r="AX3" s="102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29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">
        <v>1042</v>
      </c>
      <c r="J5" s="19">
        <v>3.8141673565739199E-2</v>
      </c>
      <c r="K5" s="19">
        <v>7.6513050356279274E-3</v>
      </c>
      <c r="L5" s="19">
        <v>3.0197770374710223E-2</v>
      </c>
      <c r="M5" s="20"/>
      <c r="N5" s="19">
        <v>4.3540404929199625E-2</v>
      </c>
      <c r="O5" s="21">
        <v>2562769</v>
      </c>
      <c r="P5" s="22">
        <v>111584</v>
      </c>
      <c r="Q5" s="22">
        <v>22384</v>
      </c>
      <c r="R5" s="22">
        <v>88344</v>
      </c>
      <c r="S5" s="23"/>
      <c r="T5" s="24">
        <v>64.552699500000003</v>
      </c>
      <c r="U5" s="24">
        <v>65.314211200000003</v>
      </c>
      <c r="V5" s="24">
        <v>33.187804399999997</v>
      </c>
      <c r="W5" s="24">
        <v>42.9201063</v>
      </c>
      <c r="X5" s="24">
        <v>46.557139599999999</v>
      </c>
      <c r="Y5" s="23"/>
      <c r="Z5" s="26"/>
      <c r="AA5" s="26"/>
      <c r="AC5" s="18" t="str">
        <f t="shared" ref="AC5:AC68" si="0">IF(OR(ISBLANK(AJ5),ISBLANK(G5)),"·",AJ5*G5/F5/1000000)</f>
        <v>·</v>
      </c>
      <c r="AD5" s="19">
        <f t="shared" ref="AD5:AD68" si="1">IF(ISBLANK(AJ5),"·",AJ5/D5)</f>
        <v>3.7843606285938129E-2</v>
      </c>
      <c r="AE5" s="19">
        <f t="shared" ref="AE5:AE68" si="2">IF(AK5="","·",AK5/D5)</f>
        <v>7.5337188610274984E-3</v>
      </c>
      <c r="AF5" s="19">
        <f t="shared" ref="AF5:AF68" si="3">IF(ISBLANK(AL5),"·",AL5/D5)</f>
        <v>3.0017289269509563E-2</v>
      </c>
      <c r="AG5" s="20"/>
      <c r="AH5" s="19">
        <f t="shared" ref="AH5:AH68" si="4">IF(ISBLANK(AJ5),"·",AJ5/AI5)</f>
        <v>4.3200147964955096E-2</v>
      </c>
      <c r="AI5" s="21">
        <f>Test!E710</f>
        <v>2562769</v>
      </c>
      <c r="AJ5" s="22">
        <v>110712</v>
      </c>
      <c r="AK5" s="22">
        <v>22040</v>
      </c>
      <c r="AL5" s="22">
        <v>87816</v>
      </c>
      <c r="AM5" s="23"/>
      <c r="AN5" s="24">
        <f>Test!J710</f>
        <v>64.552699500000003</v>
      </c>
      <c r="AO5" s="24">
        <f>Test!K710</f>
        <v>65.314211200000003</v>
      </c>
      <c r="AP5" s="24">
        <f>Test!L710</f>
        <v>33.187804399999997</v>
      </c>
      <c r="AQ5" s="24">
        <f>Test!M710</f>
        <v>42.9201063</v>
      </c>
      <c r="AR5" s="24">
        <f>Test!N710</f>
        <v>46.557139599999999</v>
      </c>
      <c r="AS5" s="25"/>
      <c r="AT5" s="26"/>
      <c r="AU5" s="26"/>
      <c r="AW5" s="27">
        <f t="shared" ref="AW5:AW68" si="5">(AK5/AJ5) - (Q5/P5)</f>
        <v>-1.5271592008163637E-3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-1.1881749616015513E-2</v>
      </c>
      <c r="BA5" s="28">
        <f>IF( OR(ISBLANK(Q5:Q10),ISBLANK(AK5:AK10), ISBLANK(U5:U10),ISBLANK(AO5:AO10)), "·", bdRateExtend( Q5:Q10,U5:U10, AK5:AK10,AO5:AO10))</f>
        <v>-1.2717248999507436E-2</v>
      </c>
      <c r="BB5" s="28">
        <f>IF( OR(ISBLANK(R5:R10),ISBLANK(AL5:AL10), ISBLANK(V5:V10),ISBLANK(AP5:AP10)), "·", bdRateExtend( R5:R10,V5:V10, AL5:AL10,AP5:AP10))</f>
        <v>-4.099798612454908E-3</v>
      </c>
      <c r="BC5" s="28">
        <f>IF( OR(ISBLANK(R5:R10),ISBLANK(AL5:AL10), ISBLANK(W5:W10),ISBLANK(AQ5:AQ10)), "·", bdRateExtend( R5:R10,W5:W10, AL5:AL10,AQ5:AQ10))</f>
        <v>-3.6427214645144979E-3</v>
      </c>
      <c r="BD5" s="28">
        <f>IF( OR(ISBLANK(R5:R10),ISBLANK(AL5:AL10), ISBLANK(X5:X10),ISBLANK(AR5:AR10)), "·", bdRateExtend( R5:R10,X5:X10, AL5:AL10,AR5:AR10))</f>
        <v>-4.0858425036570667E-3</v>
      </c>
      <c r="BE5" s="29"/>
      <c r="BG5" s="28">
        <f>IF( OR(ISBLANK(P5:P10),ISBLANK(AJ5:AJ10), ISBLANK(T5:T10),ISBLANK(AN5:AN10)), "·", bdRateExtend( P5:P10,T5:T10, AJ5:AJ10,AN5:AN10))</f>
        <v>-6.2927720043669533E-3</v>
      </c>
      <c r="BH5" s="28">
        <f>IF( OR(ISBLANK(P5:P10),ISBLANK(AJ5:AJ10), ISBLANK(U5:U10),ISBLANK(AO5:AO10)), "·", bdRateExtend( P5:P10,U5:U10, AJ5:AJ10,AO5:AO10))</f>
        <v>-6.6131212429513253E-3</v>
      </c>
      <c r="BI5" s="28">
        <f>IF( OR(ISBLANK(P5:P10),ISBLANK(AJ5:AJ10), ISBLANK(V5:V10),ISBLANK(AP5:AP10)), "·", bdRateExtend( P5:P10,V5:V10, AJ5:AJ10,AP5:AP10))</f>
        <v>-5.7291374270630469E-3</v>
      </c>
      <c r="BJ5" s="28">
        <f>IF( OR(ISBLANK(P5:P10),ISBLANK(AJ5:AJ10), ISBLANK(W5:W10),ISBLANK(AQ5:AQ10)), "·", bdRateExtend( P5:P10,W5:W10, AJ5:AJ10,AQ5:AQ10))</f>
        <v>-4.9439333514453843E-3</v>
      </c>
      <c r="BK5" s="28">
        <f>IF( OR(ISBLANK(P5:P10),ISBLANK(AJ5:AJ10), ISBLANK(X5:X10),ISBLANK(AR5:AR10)), "·", bdRateExtend( P5:P10,X5:X10, AJ5:AJ10,AR5:AR10))</f>
        <v>-5.7049074307925496E-3</v>
      </c>
      <c r="BL5" s="29"/>
    </row>
    <row r="6" spans="1:6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">
        <v>1042</v>
      </c>
      <c r="J6" s="34">
        <v>8.7475910216119293E-2</v>
      </c>
      <c r="K6" s="34">
        <v>2.2748822941883032E-2</v>
      </c>
      <c r="L6" s="34">
        <v>6.4434489118835189E-2</v>
      </c>
      <c r="M6" s="35"/>
      <c r="N6" s="34">
        <v>0.10739893160070622</v>
      </c>
      <c r="O6" s="36">
        <v>2382817</v>
      </c>
      <c r="P6" s="37">
        <v>255912</v>
      </c>
      <c r="Q6" s="37">
        <v>66552</v>
      </c>
      <c r="R6" s="37">
        <v>188504</v>
      </c>
      <c r="S6" s="38"/>
      <c r="T6" s="39">
        <v>69.932934000000003</v>
      </c>
      <c r="U6" s="39">
        <v>73.148303999999996</v>
      </c>
      <c r="V6" s="39">
        <v>36.262378699999999</v>
      </c>
      <c r="W6" s="39">
        <v>43.878692299999997</v>
      </c>
      <c r="X6" s="39">
        <v>48.174634699999999</v>
      </c>
      <c r="Y6" s="38"/>
      <c r="Z6" s="41"/>
      <c r="AA6" s="41"/>
      <c r="AC6" s="33" t="str">
        <f t="shared" si="0"/>
        <v>·</v>
      </c>
      <c r="AD6" s="34">
        <f t="shared" si="1"/>
        <v>8.6822349850316907E-2</v>
      </c>
      <c r="AE6" s="34">
        <f t="shared" si="2"/>
        <v>2.2404268104681775E-2</v>
      </c>
      <c r="AF6" s="34">
        <f t="shared" si="3"/>
        <v>6.4125483590234053E-2</v>
      </c>
      <c r="AG6" s="35"/>
      <c r="AH6" s="34">
        <f t="shared" si="4"/>
        <v>0.10659652000132616</v>
      </c>
      <c r="AI6" s="36">
        <f>Test!E711</f>
        <v>2382817</v>
      </c>
      <c r="AJ6" s="37">
        <v>254000</v>
      </c>
      <c r="AK6" s="37">
        <v>65544</v>
      </c>
      <c r="AL6" s="37">
        <v>187600</v>
      </c>
      <c r="AM6" s="38"/>
      <c r="AN6" s="39">
        <f>Test!J711</f>
        <v>69.932934000000003</v>
      </c>
      <c r="AO6" s="39">
        <f>Test!K711</f>
        <v>73.148303999999996</v>
      </c>
      <c r="AP6" s="39">
        <f>Test!L711</f>
        <v>36.262378699999999</v>
      </c>
      <c r="AQ6" s="39">
        <f>Test!M711</f>
        <v>43.878692299999997</v>
      </c>
      <c r="AR6" s="39">
        <f>Test!N711</f>
        <v>48.174634699999999</v>
      </c>
      <c r="AS6" s="40"/>
      <c r="AT6" s="41"/>
      <c r="AU6" s="41"/>
      <c r="AW6" s="42">
        <f t="shared" si="5"/>
        <v>-2.0109008928512195E-3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">
        <v>1042</v>
      </c>
      <c r="J7" s="19">
        <v>0.22858205429883433</v>
      </c>
      <c r="K7" s="19">
        <v>7.3327285393267647E-2</v>
      </c>
      <c r="L7" s="19">
        <v>0.15496217075016561</v>
      </c>
      <c r="M7" s="20"/>
      <c r="N7" s="19">
        <v>0.26895033677109176</v>
      </c>
      <c r="O7" s="21">
        <v>2486407</v>
      </c>
      <c r="P7" s="22">
        <v>668720</v>
      </c>
      <c r="Q7" s="22">
        <v>214520</v>
      </c>
      <c r="R7" s="22">
        <v>453344</v>
      </c>
      <c r="S7" s="23"/>
      <c r="T7" s="24">
        <v>74.792384499999997</v>
      </c>
      <c r="U7" s="24">
        <v>78.582891500000002</v>
      </c>
      <c r="V7" s="24">
        <v>39.380264400000002</v>
      </c>
      <c r="W7" s="24">
        <v>45.1157246</v>
      </c>
      <c r="X7" s="24">
        <v>49.573635299999999</v>
      </c>
      <c r="Y7" s="23"/>
      <c r="Z7" s="26"/>
      <c r="AA7" s="26"/>
      <c r="AC7" s="18" t="str">
        <f t="shared" si="0"/>
        <v>·</v>
      </c>
      <c r="AD7" s="19">
        <f t="shared" si="1"/>
        <v>0.22757300084703064</v>
      </c>
      <c r="AE7" s="19">
        <f t="shared" si="2"/>
        <v>7.2889755441266052E-2</v>
      </c>
      <c r="AF7" s="19">
        <f t="shared" si="3"/>
        <v>0.15439064725036353</v>
      </c>
      <c r="AG7" s="20"/>
      <c r="AH7" s="19">
        <f t="shared" si="4"/>
        <v>0.26776308142633126</v>
      </c>
      <c r="AI7" s="21">
        <f>Test!E712</f>
        <v>2486407</v>
      </c>
      <c r="AJ7" s="22">
        <v>665768</v>
      </c>
      <c r="AK7" s="22">
        <v>213240</v>
      </c>
      <c r="AL7" s="22">
        <v>451672</v>
      </c>
      <c r="AM7" s="23"/>
      <c r="AN7" s="24">
        <f>Test!J712</f>
        <v>74.792384499999997</v>
      </c>
      <c r="AO7" s="24">
        <f>Test!K712</f>
        <v>78.582891500000002</v>
      </c>
      <c r="AP7" s="24">
        <f>Test!L712</f>
        <v>39.380264400000002</v>
      </c>
      <c r="AQ7" s="24">
        <f>Test!M712</f>
        <v>45.1157246</v>
      </c>
      <c r="AR7" s="24">
        <f>Test!N712</f>
        <v>49.573635299999999</v>
      </c>
      <c r="AS7" s="25"/>
      <c r="AT7" s="26"/>
      <c r="AU7" s="26"/>
      <c r="AW7" s="27">
        <f t="shared" si="5"/>
        <v>-5.002074774305143E-4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">
        <v>1042</v>
      </c>
      <c r="J8" s="34">
        <v>0.62535062214708248</v>
      </c>
      <c r="K8" s="34">
        <v>0.22814178978463273</v>
      </c>
      <c r="L8" s="34">
        <v>0.39691623420704875</v>
      </c>
      <c r="M8" s="35"/>
      <c r="N8" s="34">
        <v>0.65818596925348449</v>
      </c>
      <c r="O8" s="36">
        <v>2779567</v>
      </c>
      <c r="P8" s="37">
        <v>1829472</v>
      </c>
      <c r="Q8" s="37">
        <v>667432</v>
      </c>
      <c r="R8" s="37">
        <v>1161184</v>
      </c>
      <c r="S8" s="38"/>
      <c r="T8" s="39">
        <v>76.972874300000001</v>
      </c>
      <c r="U8" s="39">
        <v>80.703711699999999</v>
      </c>
      <c r="V8" s="39">
        <v>41.743918100000002</v>
      </c>
      <c r="W8" s="39">
        <v>46.658238599999997</v>
      </c>
      <c r="X8" s="39">
        <v>50.818193700000002</v>
      </c>
      <c r="Y8" s="38"/>
      <c r="Z8" s="41"/>
      <c r="AA8" s="41"/>
      <c r="AC8" s="33" t="str">
        <f t="shared" si="0"/>
        <v>·</v>
      </c>
      <c r="AD8" s="34">
        <f t="shared" si="1"/>
        <v>0.62535062214708248</v>
      </c>
      <c r="AE8" s="34">
        <f t="shared" si="2"/>
        <v>0.22814178978463273</v>
      </c>
      <c r="AF8" s="34">
        <f t="shared" si="3"/>
        <v>0.39691623420704875</v>
      </c>
      <c r="AG8" s="35"/>
      <c r="AH8" s="34">
        <f t="shared" si="4"/>
        <v>0.65818596925348449</v>
      </c>
      <c r="AI8" s="36">
        <f>Test!E713</f>
        <v>2779567</v>
      </c>
      <c r="AJ8" s="37">
        <v>1829472</v>
      </c>
      <c r="AK8" s="37">
        <v>667432</v>
      </c>
      <c r="AL8" s="37">
        <v>1161184</v>
      </c>
      <c r="AM8" s="38"/>
      <c r="AN8" s="39">
        <f>Test!J713</f>
        <v>76.972874300000001</v>
      </c>
      <c r="AO8" s="39">
        <f>Test!K713</f>
        <v>80.703711699999999</v>
      </c>
      <c r="AP8" s="39">
        <f>Test!L713</f>
        <v>41.743918100000002</v>
      </c>
      <c r="AQ8" s="39">
        <f>Test!M713</f>
        <v>46.658238599999997</v>
      </c>
      <c r="AR8" s="39">
        <f>Test!N713</f>
        <v>50.818193700000002</v>
      </c>
      <c r="AS8" s="40"/>
      <c r="AT8" s="41"/>
      <c r="AU8" s="41"/>
      <c r="AW8" s="42">
        <f t="shared" si="5"/>
        <v>0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">
        <v>1042</v>
      </c>
      <c r="J9" s="19" t="s">
        <v>1042</v>
      </c>
      <c r="K9" s="19" t="s">
        <v>1042</v>
      </c>
      <c r="L9" s="19" t="s">
        <v>1042</v>
      </c>
      <c r="M9" s="20"/>
      <c r="N9" s="19" t="s">
        <v>1042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0"/>
        <v>·</v>
      </c>
      <c r="AD9" s="19">
        <f t="shared" si="1"/>
        <v>0</v>
      </c>
      <c r="AE9" s="19">
        <f t="shared" si="2"/>
        <v>0</v>
      </c>
      <c r="AF9" s="19">
        <f t="shared" si="3"/>
        <v>0</v>
      </c>
      <c r="AG9" s="20"/>
      <c r="AH9" s="19" t="e">
        <f t="shared" si="4"/>
        <v>#DIV/0!</v>
      </c>
      <c r="AI9" s="21"/>
      <c r="AJ9" s="22">
        <v>0</v>
      </c>
      <c r="AK9" s="22">
        <v>0</v>
      </c>
      <c r="AL9" s="22">
        <v>0</v>
      </c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5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">
        <v>1042</v>
      </c>
      <c r="J10" s="49" t="s">
        <v>1042</v>
      </c>
      <c r="K10" s="49" t="s">
        <v>1042</v>
      </c>
      <c r="L10" s="49" t="s">
        <v>1042</v>
      </c>
      <c r="M10" s="50"/>
      <c r="N10" s="49" t="s">
        <v>1042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0"/>
        <v>·</v>
      </c>
      <c r="AD10" s="49">
        <f t="shared" si="1"/>
        <v>0</v>
      </c>
      <c r="AE10" s="49">
        <f t="shared" si="2"/>
        <v>0</v>
      </c>
      <c r="AF10" s="49">
        <f t="shared" si="3"/>
        <v>0</v>
      </c>
      <c r="AG10" s="50"/>
      <c r="AH10" s="49" t="e">
        <f t="shared" si="4"/>
        <v>#DIV/0!</v>
      </c>
      <c r="AI10" s="51"/>
      <c r="AJ10" s="52">
        <v>0</v>
      </c>
      <c r="AK10" s="52">
        <v>0</v>
      </c>
      <c r="AL10" s="52">
        <v>0</v>
      </c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5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">
        <v>1042</v>
      </c>
      <c r="J11" s="19">
        <v>4.7162133912999206E-2</v>
      </c>
      <c r="K11" s="19">
        <v>7.6150570165052041E-3</v>
      </c>
      <c r="L11" s="19">
        <v>3.9278636880109907E-2</v>
      </c>
      <c r="M11" s="20"/>
      <c r="N11" s="19">
        <v>5.1765193960727374E-2</v>
      </c>
      <c r="O11" s="21">
        <v>2362205</v>
      </c>
      <c r="P11" s="22">
        <v>122280</v>
      </c>
      <c r="Q11" s="22">
        <v>19744</v>
      </c>
      <c r="R11" s="22">
        <v>101840</v>
      </c>
      <c r="S11" s="23"/>
      <c r="T11" s="24">
        <v>64.572422000000003</v>
      </c>
      <c r="U11" s="24">
        <v>65.082380299999997</v>
      </c>
      <c r="V11" s="24">
        <v>32.271849099999997</v>
      </c>
      <c r="W11" s="24">
        <v>43.798497099999999</v>
      </c>
      <c r="X11" s="24">
        <v>46.386035</v>
      </c>
      <c r="Y11" s="23"/>
      <c r="Z11" s="26"/>
      <c r="AA11" s="26"/>
      <c r="AC11" s="18" t="str">
        <f t="shared" si="0"/>
        <v>·</v>
      </c>
      <c r="AD11" s="19">
        <f t="shared" si="1"/>
        <v>4.6702391815973569E-2</v>
      </c>
      <c r="AE11" s="19">
        <f t="shared" si="2"/>
        <v>7.5070639064656244E-3</v>
      </c>
      <c r="AF11" s="19">
        <f t="shared" si="3"/>
        <v>3.8926887893123846E-2</v>
      </c>
      <c r="AG11" s="20"/>
      <c r="AH11" s="19">
        <f t="shared" si="4"/>
        <v>5.1260580686265586E-2</v>
      </c>
      <c r="AI11" s="21">
        <f>Test!E716</f>
        <v>2362205</v>
      </c>
      <c r="AJ11" s="22">
        <v>121088</v>
      </c>
      <c r="AK11" s="22">
        <v>19464</v>
      </c>
      <c r="AL11" s="22">
        <v>100928</v>
      </c>
      <c r="AM11" s="23"/>
      <c r="AN11" s="24">
        <f>Test!J716</f>
        <v>64.572422000000003</v>
      </c>
      <c r="AO11" s="24">
        <f>Test!K716</f>
        <v>65.082380299999997</v>
      </c>
      <c r="AP11" s="24">
        <f>Test!L716</f>
        <v>32.271849099999997</v>
      </c>
      <c r="AQ11" s="24">
        <f>Test!M716</f>
        <v>43.798497099999999</v>
      </c>
      <c r="AR11" s="24">
        <f>Test!N716</f>
        <v>46.386035</v>
      </c>
      <c r="AS11" s="25"/>
      <c r="AT11" s="26"/>
      <c r="AU11" s="26"/>
      <c r="AW11" s="27">
        <f t="shared" si="5"/>
        <v>-7.2288861871103172E-4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-1.2966304310928489E-2</v>
      </c>
      <c r="BA11" s="28">
        <f>IF( OR(ISBLANK(Q11:Q16),ISBLANK(AK11:AK16), ISBLANK(U11:U16),ISBLANK(AO11:AO16)), "·", bdRateExtend( Q11:Q16,U11:U16, AK11:AK16,AO11:AO16))</f>
        <v>-1.3754150601159254E-2</v>
      </c>
      <c r="BB11" s="28">
        <f>IF( OR(ISBLANK(R11:R16),ISBLANK(AL11:AL16), ISBLANK(V11:V16),ISBLANK(AP11:AP16)), "·", bdRateExtend( R11:R16,V11:V16, AL11:AL16,AP11:AP16))</f>
        <v>-3.6255244897345218E-3</v>
      </c>
      <c r="BC11" s="28">
        <f>IF( OR(ISBLANK(R11:R16),ISBLANK(AL11:AL16), ISBLANK(W11:W16),ISBLANK(AQ11:AQ16)), "·", bdRateExtend( R11:R16,W11:W16, AL11:AL16,AQ11:AQ16))</f>
        <v>-3.1987214857436275E-3</v>
      </c>
      <c r="BD11" s="28">
        <f>IF( OR(ISBLANK(R11:R16),ISBLANK(AL11:AL16), ISBLANK(X11:X16),ISBLANK(AR11:AR16)), "·", bdRateExtend( R11:R16,X11:X16, AL11:AL16,AR11:AR16))</f>
        <v>-3.5913110872147769E-3</v>
      </c>
      <c r="BE11" s="29"/>
      <c r="BG11" s="28">
        <f>IF( OR(ISBLANK(P11:P16),ISBLANK(AJ11:AJ16), ISBLANK(T11:T16),ISBLANK(AN11:AN16)), "·", bdRateExtend( P11:P16,T11:T16, AJ11:AJ16,AN11:AN16))</f>
        <v>-5.734448264591907E-3</v>
      </c>
      <c r="BH11" s="28">
        <f>IF( OR(ISBLANK(P11:P16),ISBLANK(AJ11:AJ16), ISBLANK(U11:U16),ISBLANK(AO11:AO16)), "·", bdRateExtend( P11:P16,U11:U16, AJ11:AJ16,AO11:AO16))</f>
        <v>-6.0842123232154321E-3</v>
      </c>
      <c r="BI11" s="28">
        <f>IF( OR(ISBLANK(P11:P16),ISBLANK(AJ11:AJ16), ISBLANK(V11:V16),ISBLANK(AP11:AP16)), "·", bdRateExtend( P11:P16,V11:V16, AJ11:AJ16,AP11:AP16))</f>
        <v>-5.4407571702654867E-3</v>
      </c>
      <c r="BJ11" s="28">
        <f>IF( OR(ISBLANK(P11:P16),ISBLANK(AJ11:AJ16), ISBLANK(W11:W16),ISBLANK(AQ11:AQ16)), "·", bdRateExtend( P11:P16,W11:W16, AJ11:AJ16,AQ11:AQ16))</f>
        <v>-4.73400761452758E-3</v>
      </c>
      <c r="BK11" s="28">
        <f>IF( OR(ISBLANK(P11:P16),ISBLANK(AJ11:AJ16), ISBLANK(X11:X16),ISBLANK(AR11:AR16)), "·", bdRateExtend( P11:P16,X11:X16, AJ11:AJ16,AR11:AR16))</f>
        <v>-5.3429282587044158E-3</v>
      </c>
      <c r="BL11" s="29"/>
    </row>
    <row r="12" spans="1:64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">
        <v>1042</v>
      </c>
      <c r="J12" s="34">
        <v>0.10377829323060617</v>
      </c>
      <c r="K12" s="34">
        <v>2.2339146191044441E-2</v>
      </c>
      <c r="L12" s="34">
        <v>8.1170707023177635E-2</v>
      </c>
      <c r="M12" s="35"/>
      <c r="N12" s="34">
        <v>0.12379322401958077</v>
      </c>
      <c r="O12" s="36">
        <v>2173560</v>
      </c>
      <c r="P12" s="37">
        <v>269072</v>
      </c>
      <c r="Q12" s="37">
        <v>57920</v>
      </c>
      <c r="R12" s="37">
        <v>210456</v>
      </c>
      <c r="S12" s="38"/>
      <c r="T12" s="39">
        <v>69.852487400000001</v>
      </c>
      <c r="U12" s="39">
        <v>73.030027899999993</v>
      </c>
      <c r="V12" s="39">
        <v>35.837640399999998</v>
      </c>
      <c r="W12" s="39">
        <v>44.840191500000003</v>
      </c>
      <c r="X12" s="39">
        <v>48.160470799999999</v>
      </c>
      <c r="Y12" s="38"/>
      <c r="Z12" s="41"/>
      <c r="AA12" s="41"/>
      <c r="AC12" s="33" t="str">
        <f t="shared" si="0"/>
        <v>·</v>
      </c>
      <c r="AD12" s="34">
        <f t="shared" si="1"/>
        <v>0.10316427526209541</v>
      </c>
      <c r="AE12" s="34">
        <f t="shared" si="2"/>
        <v>2.1950370994901953E-2</v>
      </c>
      <c r="AF12" s="34">
        <f t="shared" si="3"/>
        <v>8.0945464250809368E-2</v>
      </c>
      <c r="AG12" s="35"/>
      <c r="AH12" s="34">
        <f t="shared" si="4"/>
        <v>0.12306078507149561</v>
      </c>
      <c r="AI12" s="36">
        <f>Test!E717</f>
        <v>2173560</v>
      </c>
      <c r="AJ12" s="37">
        <v>267480</v>
      </c>
      <c r="AK12" s="37">
        <v>56912</v>
      </c>
      <c r="AL12" s="37">
        <v>209872</v>
      </c>
      <c r="AM12" s="38"/>
      <c r="AN12" s="39">
        <f>Test!J717</f>
        <v>69.852487400000001</v>
      </c>
      <c r="AO12" s="39">
        <f>Test!K717</f>
        <v>73.030027899999993</v>
      </c>
      <c r="AP12" s="39">
        <f>Test!L717</f>
        <v>35.837640399999998</v>
      </c>
      <c r="AQ12" s="39">
        <f>Test!M717</f>
        <v>44.840191500000003</v>
      </c>
      <c r="AR12" s="39">
        <f>Test!N717</f>
        <v>48.160470799999999</v>
      </c>
      <c r="AS12" s="40"/>
      <c r="AT12" s="41"/>
      <c r="AU12" s="41"/>
      <c r="AW12" s="42">
        <f t="shared" si="5"/>
        <v>-2.4873212043695914E-3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">
        <v>1042</v>
      </c>
      <c r="J13" s="19">
        <v>0.26189563391569903</v>
      </c>
      <c r="K13" s="19">
        <v>7.2744158922660729E-2</v>
      </c>
      <c r="L13" s="19">
        <v>0.18888303497665421</v>
      </c>
      <c r="M13" s="20"/>
      <c r="N13" s="19">
        <v>0.30039522893992465</v>
      </c>
      <c r="O13" s="21">
        <v>2260462</v>
      </c>
      <c r="P13" s="22">
        <v>679032</v>
      </c>
      <c r="Q13" s="22">
        <v>188608</v>
      </c>
      <c r="R13" s="22">
        <v>489728</v>
      </c>
      <c r="S13" s="23"/>
      <c r="T13" s="24">
        <v>74.822828900000005</v>
      </c>
      <c r="U13" s="24">
        <v>78.233407099999994</v>
      </c>
      <c r="V13" s="24">
        <v>38.869795799999999</v>
      </c>
      <c r="W13" s="24">
        <v>46.1024575</v>
      </c>
      <c r="X13" s="24">
        <v>49.568514899999997</v>
      </c>
      <c r="Y13" s="23"/>
      <c r="Z13" s="26"/>
      <c r="AA13" s="26"/>
      <c r="AC13" s="18" t="str">
        <f t="shared" si="0"/>
        <v>·</v>
      </c>
      <c r="AD13" s="19">
        <f t="shared" si="1"/>
        <v>0.26077867660614679</v>
      </c>
      <c r="AE13" s="19">
        <f t="shared" si="2"/>
        <v>7.2244305099048972E-2</v>
      </c>
      <c r="AF13" s="19">
        <f t="shared" si="3"/>
        <v>0.18826593149071374</v>
      </c>
      <c r="AG13" s="20"/>
      <c r="AH13" s="19">
        <f t="shared" si="4"/>
        <v>0.29911407491035019</v>
      </c>
      <c r="AI13" s="21">
        <f>Test!E718</f>
        <v>2260462</v>
      </c>
      <c r="AJ13" s="22">
        <v>676136</v>
      </c>
      <c r="AK13" s="22">
        <v>187312</v>
      </c>
      <c r="AL13" s="22">
        <v>488128</v>
      </c>
      <c r="AM13" s="23"/>
      <c r="AN13" s="24">
        <f>Test!J718</f>
        <v>74.822828900000005</v>
      </c>
      <c r="AO13" s="24">
        <f>Test!K718</f>
        <v>78.233407099999994</v>
      </c>
      <c r="AP13" s="24">
        <f>Test!L718</f>
        <v>38.869795799999999</v>
      </c>
      <c r="AQ13" s="24">
        <f>Test!M718</f>
        <v>46.1024575</v>
      </c>
      <c r="AR13" s="24">
        <f>Test!N718</f>
        <v>49.568514899999997</v>
      </c>
      <c r="AS13" s="25"/>
      <c r="AT13" s="26"/>
      <c r="AU13" s="26"/>
      <c r="AW13" s="27">
        <f t="shared" si="5"/>
        <v>-7.2708261990533929E-4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">
        <v>1042</v>
      </c>
      <c r="J14" s="34">
        <v>0.67133454028490125</v>
      </c>
      <c r="K14" s="34">
        <v>0.22454235991172333</v>
      </c>
      <c r="L14" s="34">
        <v>0.44652374035679382</v>
      </c>
      <c r="M14" s="35"/>
      <c r="N14" s="34">
        <v>0.70289852438831835</v>
      </c>
      <c r="O14" s="36">
        <v>2476329</v>
      </c>
      <c r="P14" s="37">
        <v>1740608</v>
      </c>
      <c r="Q14" s="37">
        <v>582184</v>
      </c>
      <c r="R14" s="37">
        <v>1157728</v>
      </c>
      <c r="S14" s="38"/>
      <c r="T14" s="39">
        <v>77.084119400000006</v>
      </c>
      <c r="U14" s="39">
        <v>80.632223400000001</v>
      </c>
      <c r="V14" s="39">
        <v>41.206914599999998</v>
      </c>
      <c r="W14" s="39">
        <v>47.536417200000002</v>
      </c>
      <c r="X14" s="39">
        <v>50.879132900000002</v>
      </c>
      <c r="Y14" s="38"/>
      <c r="Z14" s="41"/>
      <c r="AA14" s="41"/>
      <c r="AC14" s="33" t="str">
        <f t="shared" si="0"/>
        <v>·</v>
      </c>
      <c r="AD14" s="34">
        <f t="shared" si="1"/>
        <v>0.67133454028490125</v>
      </c>
      <c r="AE14" s="34">
        <f t="shared" si="2"/>
        <v>0.22454235991172333</v>
      </c>
      <c r="AF14" s="34">
        <f t="shared" si="3"/>
        <v>0.44652374035679382</v>
      </c>
      <c r="AG14" s="35"/>
      <c r="AH14" s="34">
        <f t="shared" si="4"/>
        <v>0.70289852438831835</v>
      </c>
      <c r="AI14" s="36">
        <f>Test!E719</f>
        <v>2476329</v>
      </c>
      <c r="AJ14" s="37">
        <v>1740608</v>
      </c>
      <c r="AK14" s="37">
        <v>582184</v>
      </c>
      <c r="AL14" s="37">
        <v>1157728</v>
      </c>
      <c r="AM14" s="38"/>
      <c r="AN14" s="39">
        <f>Test!J719</f>
        <v>77.084119400000006</v>
      </c>
      <c r="AO14" s="39">
        <f>Test!K719</f>
        <v>80.632223400000001</v>
      </c>
      <c r="AP14" s="39">
        <f>Test!L719</f>
        <v>41.206914599999998</v>
      </c>
      <c r="AQ14" s="39">
        <f>Test!M719</f>
        <v>47.536417200000002</v>
      </c>
      <c r="AR14" s="39">
        <f>Test!N719</f>
        <v>50.879132900000002</v>
      </c>
      <c r="AS14" s="40"/>
      <c r="AT14" s="41"/>
      <c r="AU14" s="41"/>
      <c r="AW14" s="42">
        <f t="shared" si="5"/>
        <v>0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">
        <v>1042</v>
      </c>
      <c r="J15" s="19" t="s">
        <v>1042</v>
      </c>
      <c r="K15" s="19" t="s">
        <v>1042</v>
      </c>
      <c r="L15" s="19" t="s">
        <v>1042</v>
      </c>
      <c r="M15" s="20"/>
      <c r="N15" s="19" t="s">
        <v>1042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0"/>
        <v>·</v>
      </c>
      <c r="AD15" s="19">
        <f t="shared" si="1"/>
        <v>0</v>
      </c>
      <c r="AE15" s="19">
        <f t="shared" si="2"/>
        <v>0</v>
      </c>
      <c r="AF15" s="19">
        <f t="shared" si="3"/>
        <v>0</v>
      </c>
      <c r="AG15" s="20"/>
      <c r="AH15" s="19" t="e">
        <f t="shared" si="4"/>
        <v>#DIV/0!</v>
      </c>
      <c r="AI15" s="21"/>
      <c r="AJ15" s="22">
        <v>0</v>
      </c>
      <c r="AK15" s="22">
        <v>0</v>
      </c>
      <c r="AL15" s="22">
        <v>0</v>
      </c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5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">
        <v>1042</v>
      </c>
      <c r="J16" s="49" t="s">
        <v>1042</v>
      </c>
      <c r="K16" s="49" t="s">
        <v>1042</v>
      </c>
      <c r="L16" s="49" t="s">
        <v>1042</v>
      </c>
      <c r="M16" s="50"/>
      <c r="N16" s="49" t="s">
        <v>1042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0"/>
        <v>·</v>
      </c>
      <c r="AD16" s="49">
        <f t="shared" si="1"/>
        <v>0</v>
      </c>
      <c r="AE16" s="49">
        <f t="shared" si="2"/>
        <v>0</v>
      </c>
      <c r="AF16" s="49">
        <f t="shared" si="3"/>
        <v>0</v>
      </c>
      <c r="AG16" s="50"/>
      <c r="AH16" s="49" t="e">
        <f t="shared" si="4"/>
        <v>#DIV/0!</v>
      </c>
      <c r="AI16" s="51"/>
      <c r="AJ16" s="52">
        <v>0</v>
      </c>
      <c r="AK16" s="52">
        <v>0</v>
      </c>
      <c r="AL16" s="52">
        <v>0</v>
      </c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5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">
        <v>1042</v>
      </c>
      <c r="J17" s="19">
        <v>3.8290837335092837E-2</v>
      </c>
      <c r="K17" s="19">
        <v>6.4898055151036927E-3</v>
      </c>
      <c r="L17" s="19">
        <v>3.1576498336310287E-2</v>
      </c>
      <c r="M17" s="20"/>
      <c r="N17" s="19">
        <v>4.392688154671609E-2</v>
      </c>
      <c r="O17" s="21">
        <v>3540611</v>
      </c>
      <c r="P17" s="22">
        <v>155528</v>
      </c>
      <c r="Q17" s="22">
        <v>26360</v>
      </c>
      <c r="R17" s="22">
        <v>128256</v>
      </c>
      <c r="S17" s="23"/>
      <c r="T17" s="24">
        <v>60.4630334</v>
      </c>
      <c r="U17" s="24">
        <v>64.614456300000001</v>
      </c>
      <c r="V17" s="24">
        <v>28.536194900000002</v>
      </c>
      <c r="W17" s="24">
        <v>42.693890400000001</v>
      </c>
      <c r="X17" s="24">
        <v>44.552842599999998</v>
      </c>
      <c r="Y17" s="23"/>
      <c r="Z17" s="26"/>
      <c r="AA17" s="26"/>
      <c r="AC17" s="18" t="str">
        <f t="shared" si="0"/>
        <v>·</v>
      </c>
      <c r="AD17" s="19">
        <f t="shared" si="1"/>
        <v>3.7607388924245803E-2</v>
      </c>
      <c r="AE17" s="19">
        <f t="shared" si="2"/>
        <v>6.3184510144014099E-3</v>
      </c>
      <c r="AF17" s="19">
        <f t="shared" si="3"/>
        <v>3.1064404426165537E-2</v>
      </c>
      <c r="AG17" s="20"/>
      <c r="AH17" s="19">
        <f t="shared" si="4"/>
        <v>4.3142836081117075E-2</v>
      </c>
      <c r="AI17" s="21">
        <f>Test!E722</f>
        <v>3540611</v>
      </c>
      <c r="AJ17" s="22">
        <v>152752</v>
      </c>
      <c r="AK17" s="22">
        <v>25664</v>
      </c>
      <c r="AL17" s="22">
        <v>126176</v>
      </c>
      <c r="AM17" s="23"/>
      <c r="AN17" s="24">
        <f>Test!J722</f>
        <v>60.4630334</v>
      </c>
      <c r="AO17" s="24">
        <f>Test!K722</f>
        <v>64.614456300000001</v>
      </c>
      <c r="AP17" s="24">
        <f>Test!L722</f>
        <v>28.536194900000002</v>
      </c>
      <c r="AQ17" s="24">
        <f>Test!M722</f>
        <v>42.693890400000001</v>
      </c>
      <c r="AR17" s="24">
        <f>Test!N722</f>
        <v>44.552842599999998</v>
      </c>
      <c r="AS17" s="25"/>
      <c r="AT17" s="26"/>
      <c r="AU17" s="26"/>
      <c r="AW17" s="27">
        <f t="shared" si="5"/>
        <v>-1.4762728236400735E-3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-8.7298378891936812E-3</v>
      </c>
      <c r="BA17" s="28">
        <f>IF( OR(ISBLANK(Q17:Q22),ISBLANK(AK17:AK22), ISBLANK(U17:U22),ISBLANK(AO17:AO22)), "·", bdRateExtend( Q17:Q22,U17:U22, AK17:AK22,AO17:AO22))</f>
        <v>-8.8172769251609884E-3</v>
      </c>
      <c r="BB17" s="28">
        <f>IF( OR(ISBLANK(R17:R22),ISBLANK(AL17:AL22), ISBLANK(V17:V22),ISBLANK(AP17:AP22)), "·", bdRateExtend( R17:R22,V17:V22, AL17:AL22,AP17:AP22))</f>
        <v>-3.5071709963268027E-3</v>
      </c>
      <c r="BC17" s="28">
        <f>IF( OR(ISBLANK(R17:R22),ISBLANK(AL17:AL22), ISBLANK(W17:W22),ISBLANK(AQ17:AQ22)), "·", bdRateExtend( R17:R22,W17:W22, AL17:AL22,AQ17:AQ22))</f>
        <v>-3.7303688077947594E-3</v>
      </c>
      <c r="BD17" s="28">
        <f>IF( OR(ISBLANK(R17:R22),ISBLANK(AL17:AL22), ISBLANK(X17:X22),ISBLANK(AR17:AR22)), "·", bdRateExtend( R17:R22,X17:X22, AL17:AL22,AR17:AR22))</f>
        <v>-3.7395713109027451E-3</v>
      </c>
      <c r="BE17" s="29"/>
      <c r="BG17" s="28">
        <f>IF( OR(ISBLANK(P17:P22),ISBLANK(AJ17:AJ22), ISBLANK(T17:T22),ISBLANK(AN17:AN22)), "·", bdRateExtend( P17:P22,T17:T22, AJ17:AJ22,AN17:AN22))</f>
        <v>-4.7842758560914245E-3</v>
      </c>
      <c r="BH17" s="28">
        <f>IF( OR(ISBLANK(P17:P22),ISBLANK(AJ17:AJ22), ISBLANK(U17:U22),ISBLANK(AO17:AO22)), "·", bdRateExtend( P17:P22,U17:U22, AJ17:AJ22,AO17:AO22))</f>
        <v>-4.9782768443923375E-3</v>
      </c>
      <c r="BI17" s="28">
        <f>IF( OR(ISBLANK(P17:P22),ISBLANK(AJ17:AJ22), ISBLANK(V17:V22),ISBLANK(AP17:AP22)), "·", bdRateExtend( P17:P22,V17:V22, AJ17:AJ22,AP17:AP22))</f>
        <v>-4.4566748970406023E-3</v>
      </c>
      <c r="BJ17" s="28">
        <f>IF( OR(ISBLANK(P17:P22),ISBLANK(AJ17:AJ22), ISBLANK(W17:W22),ISBLANK(AQ17:AQ22)), "·", bdRateExtend( P17:P22,W17:W22, AJ17:AJ22,AQ17:AQ22))</f>
        <v>-4.6452024645816659E-3</v>
      </c>
      <c r="BK17" s="28">
        <f>IF( OR(ISBLANK(P17:P22),ISBLANK(AJ17:AJ22), ISBLANK(X17:X22),ISBLANK(AR17:AR22)), "·", bdRateExtend( P17:P22,X17:X22, AJ17:AJ22,AR17:AR22))</f>
        <v>-4.6399340848807258E-3</v>
      </c>
      <c r="BL17" s="29"/>
    </row>
    <row r="18" spans="1:64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">
        <v>1042</v>
      </c>
      <c r="J18" s="34">
        <v>0.12637886824783867</v>
      </c>
      <c r="K18" s="34">
        <v>2.117311359252343E-2</v>
      </c>
      <c r="L18" s="34">
        <v>0.10500091709125735</v>
      </c>
      <c r="M18" s="35"/>
      <c r="N18" s="34">
        <v>0.1486089981225564</v>
      </c>
      <c r="O18" s="36">
        <v>3454165</v>
      </c>
      <c r="P18" s="37">
        <v>513320</v>
      </c>
      <c r="Q18" s="37">
        <v>86000</v>
      </c>
      <c r="R18" s="37">
        <v>426488</v>
      </c>
      <c r="S18" s="38"/>
      <c r="T18" s="39">
        <v>67.378152600000007</v>
      </c>
      <c r="U18" s="39">
        <v>71.766873000000004</v>
      </c>
      <c r="V18" s="39">
        <v>30.612691099999999</v>
      </c>
      <c r="W18" s="39">
        <v>43.900626500000001</v>
      </c>
      <c r="X18" s="39">
        <v>45.696502700000003</v>
      </c>
      <c r="Y18" s="38"/>
      <c r="Z18" s="41"/>
      <c r="AA18" s="41"/>
      <c r="AC18" s="33" t="str">
        <f t="shared" si="0"/>
        <v>·</v>
      </c>
      <c r="AD18" s="34">
        <f t="shared" si="1"/>
        <v>0.12637886824783867</v>
      </c>
      <c r="AE18" s="34">
        <f t="shared" si="2"/>
        <v>2.117311359252343E-2</v>
      </c>
      <c r="AF18" s="34">
        <f t="shared" si="3"/>
        <v>0.10500091709125735</v>
      </c>
      <c r="AG18" s="35"/>
      <c r="AH18" s="34">
        <f t="shared" si="4"/>
        <v>0.1486089981225564</v>
      </c>
      <c r="AI18" s="36">
        <f>Test!E723</f>
        <v>3454165</v>
      </c>
      <c r="AJ18" s="37">
        <v>513320</v>
      </c>
      <c r="AK18" s="37">
        <v>86000</v>
      </c>
      <c r="AL18" s="37">
        <v>426488</v>
      </c>
      <c r="AM18" s="38"/>
      <c r="AN18" s="39">
        <f>Test!J723</f>
        <v>67.378152600000007</v>
      </c>
      <c r="AO18" s="39">
        <f>Test!K723</f>
        <v>71.766873000000004</v>
      </c>
      <c r="AP18" s="39">
        <f>Test!L723</f>
        <v>30.612691099999999</v>
      </c>
      <c r="AQ18" s="39">
        <f>Test!M723</f>
        <v>43.900626500000001</v>
      </c>
      <c r="AR18" s="39">
        <f>Test!N723</f>
        <v>45.696502700000003</v>
      </c>
      <c r="AS18" s="40"/>
      <c r="AT18" s="41"/>
      <c r="AU18" s="41"/>
      <c r="AW18" s="42">
        <f>(AK18/AJ18) - (Q18/P18)</f>
        <v>0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">
        <v>1042</v>
      </c>
      <c r="J19" s="19">
        <v>0.48761385164787141</v>
      </c>
      <c r="K19" s="19">
        <v>8.1251577212313394E-2</v>
      </c>
      <c r="L19" s="19">
        <v>0.40615743687150013</v>
      </c>
      <c r="M19" s="20"/>
      <c r="N19" s="19">
        <v>0.53399162628502073</v>
      </c>
      <c r="O19" s="21">
        <v>3708987</v>
      </c>
      <c r="P19" s="22">
        <v>1980568</v>
      </c>
      <c r="Q19" s="22">
        <v>330024</v>
      </c>
      <c r="R19" s="22">
        <v>1649712</v>
      </c>
      <c r="S19" s="23"/>
      <c r="T19" s="24">
        <v>73.421271000000004</v>
      </c>
      <c r="U19" s="24">
        <v>76.773324900000006</v>
      </c>
      <c r="V19" s="24">
        <v>33.409660299999999</v>
      </c>
      <c r="W19" s="24">
        <v>45.125260699999998</v>
      </c>
      <c r="X19" s="24">
        <v>46.863731799999996</v>
      </c>
      <c r="Y19" s="23"/>
      <c r="Z19" s="26"/>
      <c r="AA19" s="26"/>
      <c r="AC19" s="18" t="str">
        <f t="shared" si="0"/>
        <v>·</v>
      </c>
      <c r="AD19" s="19">
        <f t="shared" si="1"/>
        <v>0.48448417002010213</v>
      </c>
      <c r="AE19" s="19">
        <f t="shared" si="2"/>
        <v>7.9991038356572466E-2</v>
      </c>
      <c r="AF19" s="19">
        <f t="shared" si="3"/>
        <v>0.40428829409947176</v>
      </c>
      <c r="AG19" s="20"/>
      <c r="AH19" s="19">
        <f t="shared" si="4"/>
        <v>0.53056427536683193</v>
      </c>
      <c r="AI19" s="21">
        <f>Test!E724</f>
        <v>3708987</v>
      </c>
      <c r="AJ19" s="22">
        <v>1967856</v>
      </c>
      <c r="AK19" s="22">
        <v>324904</v>
      </c>
      <c r="AL19" s="22">
        <v>1642120</v>
      </c>
      <c r="AM19" s="23"/>
      <c r="AN19" s="24">
        <f>Test!J724</f>
        <v>73.421271000000004</v>
      </c>
      <c r="AO19" s="24">
        <f>Test!K724</f>
        <v>76.773324900000006</v>
      </c>
      <c r="AP19" s="24">
        <f>Test!L724</f>
        <v>33.409660299999999</v>
      </c>
      <c r="AQ19" s="24">
        <f>Test!M724</f>
        <v>45.125260699999998</v>
      </c>
      <c r="AR19" s="24">
        <f>Test!N724</f>
        <v>46.863731799999996</v>
      </c>
      <c r="AS19" s="25"/>
      <c r="AT19" s="26"/>
      <c r="AU19" s="26"/>
      <c r="AW19" s="27">
        <f>(AK19/AJ19) - (Q19/P19)</f>
        <v>-1.5254098356262125E-3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">
        <v>1042</v>
      </c>
      <c r="J20" s="34">
        <v>1.5010614869680716</v>
      </c>
      <c r="K20" s="34">
        <v>0.27730673071123196</v>
      </c>
      <c r="L20" s="34">
        <v>1.2235499186927818</v>
      </c>
      <c r="M20" s="35"/>
      <c r="N20" s="34">
        <v>1.5497802530204088</v>
      </c>
      <c r="O20" s="36">
        <v>3934070</v>
      </c>
      <c r="P20" s="37">
        <v>6096944</v>
      </c>
      <c r="Q20" s="37">
        <v>1126352</v>
      </c>
      <c r="R20" s="37">
        <v>4969760</v>
      </c>
      <c r="S20" s="38"/>
      <c r="T20" s="39">
        <v>76.425802099999999</v>
      </c>
      <c r="U20" s="39">
        <v>79.631650800000003</v>
      </c>
      <c r="V20" s="39">
        <v>36.556637799999997</v>
      </c>
      <c r="W20" s="39">
        <v>46.556860899999997</v>
      </c>
      <c r="X20" s="39">
        <v>48.1003051</v>
      </c>
      <c r="Y20" s="38"/>
      <c r="Z20" s="41"/>
      <c r="AA20" s="41"/>
      <c r="AC20" s="33" t="str">
        <f t="shared" si="0"/>
        <v>·</v>
      </c>
      <c r="AD20" s="34">
        <f t="shared" si="1"/>
        <v>1.5010614869680716</v>
      </c>
      <c r="AE20" s="34">
        <f t="shared" si="2"/>
        <v>0.27730673071123196</v>
      </c>
      <c r="AF20" s="34">
        <f t="shared" si="3"/>
        <v>1.2235499186927818</v>
      </c>
      <c r="AG20" s="35"/>
      <c r="AH20" s="34">
        <f t="shared" si="4"/>
        <v>1.5497802530204088</v>
      </c>
      <c r="AI20" s="36">
        <f>Test!E725</f>
        <v>3934070</v>
      </c>
      <c r="AJ20" s="37">
        <v>6096944</v>
      </c>
      <c r="AK20" s="37">
        <v>1126352</v>
      </c>
      <c r="AL20" s="37">
        <v>4969760</v>
      </c>
      <c r="AM20" s="38"/>
      <c r="AN20" s="39">
        <f>Test!J725</f>
        <v>76.425802099999999</v>
      </c>
      <c r="AO20" s="39">
        <f>Test!K725</f>
        <v>79.631650800000003</v>
      </c>
      <c r="AP20" s="39">
        <f>Test!L725</f>
        <v>36.556637799999997</v>
      </c>
      <c r="AQ20" s="39">
        <f>Test!M725</f>
        <v>46.556860899999997</v>
      </c>
      <c r="AR20" s="39">
        <f>Test!N725</f>
        <v>48.1003051</v>
      </c>
      <c r="AS20" s="40"/>
      <c r="AT20" s="41"/>
      <c r="AU20" s="41"/>
      <c r="AW20" s="42">
        <f t="shared" si="5"/>
        <v>0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">
        <v>1042</v>
      </c>
      <c r="J21" s="19" t="s">
        <v>1042</v>
      </c>
      <c r="K21" s="19" t="s">
        <v>1042</v>
      </c>
      <c r="L21" s="19" t="s">
        <v>1042</v>
      </c>
      <c r="M21" s="20"/>
      <c r="N21" s="19" t="s">
        <v>1042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0"/>
        <v>·</v>
      </c>
      <c r="AD21" s="19">
        <f t="shared" si="1"/>
        <v>0</v>
      </c>
      <c r="AE21" s="19">
        <f t="shared" si="2"/>
        <v>0</v>
      </c>
      <c r="AF21" s="19">
        <f t="shared" si="3"/>
        <v>0</v>
      </c>
      <c r="AG21" s="20"/>
      <c r="AH21" s="19" t="e">
        <f t="shared" si="4"/>
        <v>#DIV/0!</v>
      </c>
      <c r="AI21" s="21"/>
      <c r="AJ21" s="22">
        <v>0</v>
      </c>
      <c r="AK21" s="22">
        <v>0</v>
      </c>
      <c r="AL21" s="22">
        <v>0</v>
      </c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5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">
        <v>1042</v>
      </c>
      <c r="J22" s="49" t="s">
        <v>1042</v>
      </c>
      <c r="K22" s="49" t="s">
        <v>1042</v>
      </c>
      <c r="L22" s="49" t="s">
        <v>1042</v>
      </c>
      <c r="M22" s="50"/>
      <c r="N22" s="49" t="s">
        <v>1042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0"/>
        <v>·</v>
      </c>
      <c r="AD22" s="49">
        <f t="shared" si="1"/>
        <v>0</v>
      </c>
      <c r="AE22" s="49">
        <f t="shared" si="2"/>
        <v>0</v>
      </c>
      <c r="AF22" s="49">
        <f t="shared" si="3"/>
        <v>0</v>
      </c>
      <c r="AG22" s="50"/>
      <c r="AH22" s="49" t="e">
        <f t="shared" si="4"/>
        <v>#DIV/0!</v>
      </c>
      <c r="AI22" s="51"/>
      <c r="AJ22" s="52">
        <v>0</v>
      </c>
      <c r="AK22" s="52">
        <v>0</v>
      </c>
      <c r="AL22" s="52">
        <v>0</v>
      </c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5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">
        <v>1042</v>
      </c>
      <c r="J23" s="19">
        <v>0.19441329842907529</v>
      </c>
      <c r="K23" s="19">
        <v>6.8161209185445574E-3</v>
      </c>
      <c r="L23" s="19">
        <v>0.18706568791770303</v>
      </c>
      <c r="M23" s="20"/>
      <c r="N23" s="19">
        <v>0.20881687961481549</v>
      </c>
      <c r="O23" s="21">
        <v>798786</v>
      </c>
      <c r="P23" s="22">
        <v>166800</v>
      </c>
      <c r="Q23" s="22">
        <v>5848</v>
      </c>
      <c r="R23" s="22">
        <v>160496</v>
      </c>
      <c r="S23" s="23"/>
      <c r="T23" s="24">
        <v>55.662947799999998</v>
      </c>
      <c r="U23" s="24">
        <v>56.068221000000001</v>
      </c>
      <c r="V23" s="24">
        <v>25.600324400000002</v>
      </c>
      <c r="W23" s="24">
        <v>33.267253799999999</v>
      </c>
      <c r="X23" s="24">
        <v>32.1414616</v>
      </c>
      <c r="Y23" s="23"/>
      <c r="Z23" s="26"/>
      <c r="AA23" s="26"/>
      <c r="AC23" s="18" t="str">
        <f t="shared" si="0"/>
        <v>·</v>
      </c>
      <c r="AD23" s="19">
        <f t="shared" si="1"/>
        <v>0.19327572421284758</v>
      </c>
      <c r="AE23" s="19">
        <f t="shared" si="2"/>
        <v>6.7135527515076359E-3</v>
      </c>
      <c r="AF23" s="19">
        <f t="shared" si="3"/>
        <v>0.18603068186851227</v>
      </c>
      <c r="AG23" s="20"/>
      <c r="AH23" s="19">
        <f t="shared" si="4"/>
        <v>0.20759502545112207</v>
      </c>
      <c r="AI23" s="21">
        <f>Test!E728</f>
        <v>798786</v>
      </c>
      <c r="AJ23" s="22">
        <v>165824</v>
      </c>
      <c r="AK23" s="22">
        <v>5760</v>
      </c>
      <c r="AL23" s="22">
        <v>159608</v>
      </c>
      <c r="AM23" s="23"/>
      <c r="AN23" s="24">
        <f>Test!J728</f>
        <v>55.662947799999998</v>
      </c>
      <c r="AO23" s="24">
        <f>Test!K728</f>
        <v>56.068221000000001</v>
      </c>
      <c r="AP23" s="24">
        <f>Test!L728</f>
        <v>25.600324400000002</v>
      </c>
      <c r="AQ23" s="24">
        <f>Test!M728</f>
        <v>33.267253799999999</v>
      </c>
      <c r="AR23" s="24">
        <f>Test!N728</f>
        <v>32.1414616</v>
      </c>
      <c r="AS23" s="25"/>
      <c r="AT23" s="26"/>
      <c r="AU23" s="26"/>
      <c r="AW23" s="27">
        <f t="shared" si="5"/>
        <v>-3.2432872690654757E-4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-1.4356254414203407E-2</v>
      </c>
      <c r="BA23" s="28">
        <f>IF( OR(ISBLANK(Q23:Q28),ISBLANK(AK23:AK28), ISBLANK(U23:U28),ISBLANK(AO23:AO28)), "·", bdRateExtend( Q23:Q28,U23:U28, AK23:AK28,AO23:AO28))</f>
        <v>-1.3798329231589412E-2</v>
      </c>
      <c r="BB23" s="28">
        <f>IF( OR(ISBLANK(R23:R28),ISBLANK(AL23:AL28), ISBLANK(V23:V28),ISBLANK(AP23:AP28)), "·", bdRateExtend( R23:R28,V23:V28, AL23:AL28,AP23:AP28))</f>
        <v>-4.9797764091357166E-3</v>
      </c>
      <c r="BC23" s="28">
        <f>IF( OR(ISBLANK(R23:R28),ISBLANK(AL23:AL28), ISBLANK(W23:W28),ISBLANK(AQ23:AQ28)), "·", bdRateExtend( R23:R28,W23:W28, AL23:AL28,AQ23:AQ28))</f>
        <v>-4.8806349772447799E-3</v>
      </c>
      <c r="BD23" s="28">
        <f>IF( OR(ISBLANK(R23:R28),ISBLANK(AL23:AL28), ISBLANK(X23:X28),ISBLANK(AR23:AR28)), "·", bdRateExtend( R23:R28,X23:X28, AL23:AL28,AR23:AR28))</f>
        <v>-5.0312259290808958E-3</v>
      </c>
      <c r="BE23" s="29"/>
      <c r="BG23" s="28">
        <f>IF( OR(ISBLANK(P23:P28),ISBLANK(AJ23:AJ28), ISBLANK(T23:T28),ISBLANK(AN23:AN28)), "·", bdRateExtend( P23:P28,T23:T28, AJ23:AJ28,AN23:AN28))</f>
        <v>-6.3402058381846205E-3</v>
      </c>
      <c r="BH23" s="28">
        <f>IF( OR(ISBLANK(P23:P28),ISBLANK(AJ23:AJ28), ISBLANK(U23:U28),ISBLANK(AO23:AO28)), "·", bdRateExtend( P23:P28,U23:U28, AJ23:AJ28,AO23:AO28))</f>
        <v>-6.0254510950804585E-3</v>
      </c>
      <c r="BI23" s="28">
        <f>IF( OR(ISBLANK(P23:P28),ISBLANK(AJ23:AJ28), ISBLANK(V23:V28),ISBLANK(AP23:AP28)), "·", bdRateExtend( P23:P28,V23:V28, AJ23:AJ28,AP23:AP28))</f>
        <v>-5.3641022851281805E-3</v>
      </c>
      <c r="BJ23" s="28">
        <f>IF( OR(ISBLANK(P23:P28),ISBLANK(AJ23:AJ28), ISBLANK(W23:W28),ISBLANK(AQ23:AQ28)), "·", bdRateExtend( P23:P28,W23:W28, AJ23:AJ28,AQ23:AQ28))</f>
        <v>-5.2619892582983496E-3</v>
      </c>
      <c r="BK23" s="28">
        <f>IF( OR(ISBLANK(P23:P28),ISBLANK(AJ23:AJ28), ISBLANK(X23:X28),ISBLANK(AR23:AR28)), "·", bdRateExtend( P23:P28,X23:X28, AJ23:AJ28,AR23:AR28))</f>
        <v>-5.4140628956207415E-3</v>
      </c>
      <c r="BL23" s="29"/>
    </row>
    <row r="24" spans="1:64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">
        <v>1042</v>
      </c>
      <c r="J24" s="34">
        <v>0.52404873852810019</v>
      </c>
      <c r="K24" s="34">
        <v>2.4224736178356718E-2</v>
      </c>
      <c r="L24" s="34">
        <v>0.49929251275691577</v>
      </c>
      <c r="M24" s="35"/>
      <c r="N24" s="34">
        <v>0.57235967757539963</v>
      </c>
      <c r="O24" s="36">
        <v>785548</v>
      </c>
      <c r="P24" s="37">
        <v>449616</v>
      </c>
      <c r="Q24" s="37">
        <v>20784</v>
      </c>
      <c r="R24" s="37">
        <v>428376</v>
      </c>
      <c r="S24" s="38"/>
      <c r="T24" s="39">
        <v>62.665526</v>
      </c>
      <c r="U24" s="39">
        <v>63.462958200000003</v>
      </c>
      <c r="V24" s="39">
        <v>29.382175799999999</v>
      </c>
      <c r="W24" s="39">
        <v>36.758782600000004</v>
      </c>
      <c r="X24" s="39">
        <v>36.06221</v>
      </c>
      <c r="Y24" s="38"/>
      <c r="Z24" s="41"/>
      <c r="AA24" s="41"/>
      <c r="AC24" s="33" t="str">
        <f t="shared" si="0"/>
        <v>·</v>
      </c>
      <c r="AD24" s="34">
        <f t="shared" si="1"/>
        <v>0.51950776604201099</v>
      </c>
      <c r="AE24" s="34">
        <f t="shared" si="2"/>
        <v>2.3795814752565952E-2</v>
      </c>
      <c r="AF24" s="34">
        <f t="shared" si="3"/>
        <v>0.49518046169661734</v>
      </c>
      <c r="AG24" s="35"/>
      <c r="AH24" s="34">
        <f t="shared" si="4"/>
        <v>0.56740008249018514</v>
      </c>
      <c r="AI24" s="36">
        <f>Test!E729</f>
        <v>785548</v>
      </c>
      <c r="AJ24" s="37">
        <v>445720</v>
      </c>
      <c r="AK24" s="37">
        <v>20416</v>
      </c>
      <c r="AL24" s="37">
        <v>424848</v>
      </c>
      <c r="AM24" s="38"/>
      <c r="AN24" s="39">
        <f>Test!J729</f>
        <v>62.665526</v>
      </c>
      <c r="AO24" s="39">
        <f>Test!K729</f>
        <v>63.462958200000003</v>
      </c>
      <c r="AP24" s="39">
        <f>Test!L729</f>
        <v>29.382175799999999</v>
      </c>
      <c r="AQ24" s="39">
        <f>Test!M729</f>
        <v>36.758782600000004</v>
      </c>
      <c r="AR24" s="39">
        <f>Test!N729</f>
        <v>36.06221</v>
      </c>
      <c r="AS24" s="40"/>
      <c r="AT24" s="41"/>
      <c r="AU24" s="41"/>
      <c r="AW24" s="42">
        <f t="shared" si="5"/>
        <v>-4.2157198229359621E-4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">
        <v>1042</v>
      </c>
      <c r="J25" s="19">
        <v>1.2705771557381063</v>
      </c>
      <c r="K25" s="19">
        <v>8.5746987642866965E-2</v>
      </c>
      <c r="L25" s="19">
        <v>1.1842986785024114</v>
      </c>
      <c r="M25" s="20"/>
      <c r="N25" s="19">
        <v>1.3716155089869333</v>
      </c>
      <c r="O25" s="21">
        <v>794765</v>
      </c>
      <c r="P25" s="22">
        <v>1090112</v>
      </c>
      <c r="Q25" s="22">
        <v>73568</v>
      </c>
      <c r="R25" s="22">
        <v>1016088</v>
      </c>
      <c r="S25" s="23"/>
      <c r="T25" s="24">
        <v>68.603975599999998</v>
      </c>
      <c r="U25" s="24">
        <v>70.457534600000002</v>
      </c>
      <c r="V25" s="24">
        <v>33.209563600000003</v>
      </c>
      <c r="W25" s="24">
        <v>40.263356299999998</v>
      </c>
      <c r="X25" s="24">
        <v>39.743478400000001</v>
      </c>
      <c r="Y25" s="23"/>
      <c r="Z25" s="26"/>
      <c r="AA25" s="26"/>
      <c r="AC25" s="18" t="str">
        <f t="shared" si="0"/>
        <v>·</v>
      </c>
      <c r="AD25" s="19">
        <f t="shared" si="1"/>
        <v>1.2668101066942046</v>
      </c>
      <c r="AE25" s="19">
        <f t="shared" si="2"/>
        <v>8.4935766685393127E-2</v>
      </c>
      <c r="AF25" s="19">
        <f t="shared" si="3"/>
        <v>1.1813428504159837</v>
      </c>
      <c r="AG25" s="20"/>
      <c r="AH25" s="19">
        <f t="shared" si="4"/>
        <v>1.3675488981019546</v>
      </c>
      <c r="AI25" s="21">
        <f>Test!E730</f>
        <v>794765</v>
      </c>
      <c r="AJ25" s="22">
        <v>1086880</v>
      </c>
      <c r="AK25" s="22">
        <v>72872</v>
      </c>
      <c r="AL25" s="22">
        <v>1013552</v>
      </c>
      <c r="AM25" s="23"/>
      <c r="AN25" s="24">
        <f>Test!J730</f>
        <v>68.603975599999998</v>
      </c>
      <c r="AO25" s="24">
        <f>Test!K730</f>
        <v>70.457534600000002</v>
      </c>
      <c r="AP25" s="24">
        <f>Test!L730</f>
        <v>33.209563600000003</v>
      </c>
      <c r="AQ25" s="24">
        <f>Test!M730</f>
        <v>40.263356299999998</v>
      </c>
      <c r="AR25" s="24">
        <f>Test!N730</f>
        <v>39.743478400000001</v>
      </c>
      <c r="AS25" s="25"/>
      <c r="AT25" s="26"/>
      <c r="AU25" s="26"/>
      <c r="AW25" s="27">
        <f t="shared" si="5"/>
        <v>-4.3968346824677096E-4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">
        <v>1042</v>
      </c>
      <c r="J26" s="34">
        <v>2.6938596634365464</v>
      </c>
      <c r="K26" s="34">
        <v>0.26057909054671163</v>
      </c>
      <c r="L26" s="34">
        <v>2.4327490832970069</v>
      </c>
      <c r="M26" s="35"/>
      <c r="N26" s="34">
        <v>2.7246095937322803</v>
      </c>
      <c r="O26" s="36">
        <v>848283</v>
      </c>
      <c r="P26" s="37">
        <v>2311240</v>
      </c>
      <c r="Q26" s="37">
        <v>223568</v>
      </c>
      <c r="R26" s="37">
        <v>2087216</v>
      </c>
      <c r="S26" s="38"/>
      <c r="T26" s="39">
        <v>71.030531600000003</v>
      </c>
      <c r="U26" s="39">
        <v>73.966118699999996</v>
      </c>
      <c r="V26" s="39">
        <v>36.3510749</v>
      </c>
      <c r="W26" s="39">
        <v>43.382034099999998</v>
      </c>
      <c r="X26" s="39">
        <v>42.847161700000001</v>
      </c>
      <c r="Y26" s="38"/>
      <c r="Z26" s="41"/>
      <c r="AA26" s="41"/>
      <c r="AC26" s="33" t="str">
        <f t="shared" si="0"/>
        <v>·</v>
      </c>
      <c r="AD26" s="34">
        <f t="shared" si="1"/>
        <v>2.6938596634365464</v>
      </c>
      <c r="AE26" s="34">
        <f t="shared" si="2"/>
        <v>0.26057909054671163</v>
      </c>
      <c r="AF26" s="34">
        <f t="shared" si="3"/>
        <v>2.4327490832970069</v>
      </c>
      <c r="AG26" s="35"/>
      <c r="AH26" s="34">
        <f t="shared" si="4"/>
        <v>2.7246095937322803</v>
      </c>
      <c r="AI26" s="36">
        <f>Test!E731</f>
        <v>848283</v>
      </c>
      <c r="AJ26" s="37">
        <v>2311240</v>
      </c>
      <c r="AK26" s="37">
        <v>223568</v>
      </c>
      <c r="AL26" s="37">
        <v>2087216</v>
      </c>
      <c r="AM26" s="38"/>
      <c r="AN26" s="39">
        <f>Test!J731</f>
        <v>71.030531600000003</v>
      </c>
      <c r="AO26" s="39">
        <f>Test!K731</f>
        <v>73.966118699999996</v>
      </c>
      <c r="AP26" s="39">
        <f>Test!L731</f>
        <v>36.3510749</v>
      </c>
      <c r="AQ26" s="39">
        <f>Test!M731</f>
        <v>43.382034099999998</v>
      </c>
      <c r="AR26" s="39">
        <f>Test!N731</f>
        <v>42.847161700000001</v>
      </c>
      <c r="AS26" s="40"/>
      <c r="AT26" s="41"/>
      <c r="AU26" s="41"/>
      <c r="AW26" s="42">
        <f t="shared" si="5"/>
        <v>0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">
        <v>1042</v>
      </c>
      <c r="J27" s="19" t="s">
        <v>1042</v>
      </c>
      <c r="K27" s="19" t="s">
        <v>1042</v>
      </c>
      <c r="L27" s="19" t="s">
        <v>1042</v>
      </c>
      <c r="M27" s="20"/>
      <c r="N27" s="19" t="s">
        <v>1042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0"/>
        <v>·</v>
      </c>
      <c r="AD27" s="19">
        <f t="shared" si="1"/>
        <v>0</v>
      </c>
      <c r="AE27" s="19">
        <f t="shared" si="2"/>
        <v>0</v>
      </c>
      <c r="AF27" s="19">
        <f t="shared" si="3"/>
        <v>0</v>
      </c>
      <c r="AG27" s="20"/>
      <c r="AH27" s="19" t="e">
        <f t="shared" si="4"/>
        <v>#DIV/0!</v>
      </c>
      <c r="AI27" s="21"/>
      <c r="AJ27" s="22">
        <v>0</v>
      </c>
      <c r="AK27" s="22">
        <v>0</v>
      </c>
      <c r="AL27" s="22">
        <v>0</v>
      </c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5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">
        <v>1042</v>
      </c>
      <c r="J28" s="49" t="s">
        <v>1042</v>
      </c>
      <c r="K28" s="49" t="s">
        <v>1042</v>
      </c>
      <c r="L28" s="49" t="s">
        <v>1042</v>
      </c>
      <c r="M28" s="50"/>
      <c r="N28" s="49" t="s">
        <v>1042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0"/>
        <v>·</v>
      </c>
      <c r="AD28" s="49">
        <f t="shared" si="1"/>
        <v>0</v>
      </c>
      <c r="AE28" s="49">
        <f t="shared" si="2"/>
        <v>0</v>
      </c>
      <c r="AF28" s="49">
        <f t="shared" si="3"/>
        <v>0</v>
      </c>
      <c r="AG28" s="50"/>
      <c r="AH28" s="49" t="e">
        <f t="shared" si="4"/>
        <v>#DIV/0!</v>
      </c>
      <c r="AI28" s="51"/>
      <c r="AJ28" s="52">
        <v>0</v>
      </c>
      <c r="AK28" s="52">
        <v>0</v>
      </c>
      <c r="AL28" s="52">
        <v>0</v>
      </c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5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">
        <v>1042</v>
      </c>
      <c r="J29" s="19">
        <v>3.9469256226056612E-2</v>
      </c>
      <c r="K29" s="19">
        <v>6.9739284849463234E-3</v>
      </c>
      <c r="L29" s="19">
        <v>3.1939002961684372E-2</v>
      </c>
      <c r="M29" s="20"/>
      <c r="N29" s="19">
        <v>4.2677924271659541E-2</v>
      </c>
      <c r="O29" s="21">
        <v>744741</v>
      </c>
      <c r="P29" s="22">
        <v>31784</v>
      </c>
      <c r="Q29" s="22">
        <v>5616</v>
      </c>
      <c r="R29" s="22">
        <v>25720</v>
      </c>
      <c r="S29" s="23"/>
      <c r="T29" s="24">
        <v>55.265234999999997</v>
      </c>
      <c r="U29" s="24">
        <v>57.684685700000003</v>
      </c>
      <c r="V29" s="24">
        <v>31.181336600000002</v>
      </c>
      <c r="W29" s="24">
        <v>45.093254000000002</v>
      </c>
      <c r="X29" s="24">
        <v>43.564839499999998</v>
      </c>
      <c r="Y29" s="23"/>
      <c r="Z29" s="26"/>
      <c r="AA29" s="26"/>
      <c r="AC29" s="18" t="str">
        <f t="shared" si="0"/>
        <v>·</v>
      </c>
      <c r="AD29" s="19">
        <f t="shared" si="1"/>
        <v>3.9151356352098945E-2</v>
      </c>
      <c r="AE29" s="19">
        <f t="shared" si="2"/>
        <v>6.8646504032733755E-3</v>
      </c>
      <c r="AF29" s="19">
        <f t="shared" si="3"/>
        <v>3.1730381169399656E-2</v>
      </c>
      <c r="AG29" s="20"/>
      <c r="AH29" s="19">
        <f t="shared" si="4"/>
        <v>4.2334180607754908E-2</v>
      </c>
      <c r="AI29" s="21">
        <f>Test!E734</f>
        <v>744741</v>
      </c>
      <c r="AJ29" s="22">
        <v>31528</v>
      </c>
      <c r="AK29" s="22">
        <v>5528</v>
      </c>
      <c r="AL29" s="22">
        <v>25552</v>
      </c>
      <c r="AM29" s="23"/>
      <c r="AN29" s="24">
        <f>Test!J734</f>
        <v>55.265234999999997</v>
      </c>
      <c r="AO29" s="24">
        <f>Test!K734</f>
        <v>57.684685700000003</v>
      </c>
      <c r="AP29" s="24">
        <f>Test!L734</f>
        <v>31.181336600000002</v>
      </c>
      <c r="AQ29" s="24">
        <f>Test!M734</f>
        <v>45.093254000000002</v>
      </c>
      <c r="AR29" s="24">
        <f>Test!N734</f>
        <v>43.564839499999998</v>
      </c>
      <c r="AS29" s="25"/>
      <c r="AT29" s="26"/>
      <c r="AU29" s="26"/>
      <c r="AW29" s="27">
        <f t="shared" si="5"/>
        <v>-1.3564664760413736E-3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-1.6832989102893103E-2</v>
      </c>
      <c r="BA29" s="28">
        <f>IF( OR(ISBLANK(Q29:Q34),ISBLANK(AK29:AK34), ISBLANK(U29:U34),ISBLANK(AO29:AO34)), "·", bdRateExtend( Q29:Q34,U29:U34, AK29:AK34,AO29:AO34))</f>
        <v>-1.648192387020142E-2</v>
      </c>
      <c r="BB29" s="28">
        <f>IF( OR(ISBLANK(R29:R34),ISBLANK(AL29:AL34), ISBLANK(V29:V34),ISBLANK(AP29:AP34)), "·", bdRateExtend( R29:R34,V29:V34, AL29:AL34,AP29:AP34))</f>
        <v>-5.4142990711846251E-3</v>
      </c>
      <c r="BC29" s="28">
        <f>IF( OR(ISBLANK(R29:R34),ISBLANK(AL29:AL34), ISBLANK(W29:W34),ISBLANK(AQ29:AQ34)), "·", bdRateExtend( R29:R34,W29:W34, AL29:AL34,AQ29:AQ34))</f>
        <v>-5.6842764804955204E-3</v>
      </c>
      <c r="BD29" s="28">
        <f>IF( OR(ISBLANK(R29:R34),ISBLANK(AL29:AL34), ISBLANK(X29:X34),ISBLANK(AR29:AR34)), "·", bdRateExtend( R29:R34,X29:X34, AL29:AL34,AR29:AR34))</f>
        <v>-5.856629418062087E-3</v>
      </c>
      <c r="BE29" s="29"/>
      <c r="BG29" s="28">
        <f>IF( OR(ISBLANK(P29:P34),ISBLANK(AJ29:AJ34), ISBLANK(T29:T34),ISBLANK(AN29:AN34)), "·", bdRateExtend( P29:P34,T29:T34, AJ29:AJ34,AN29:AN34))</f>
        <v>-8.1638156320005262E-3</v>
      </c>
      <c r="BH29" s="28">
        <f>IF( OR(ISBLANK(P29:P34),ISBLANK(AJ29:AJ34), ISBLANK(U29:U34),ISBLANK(AO29:AO34)), "·", bdRateExtend( P29:P34,U29:U34, AJ29:AJ34,AO29:AO34))</f>
        <v>-8.0717441912228072E-3</v>
      </c>
      <c r="BI29" s="28">
        <f>IF( OR(ISBLANK(P29:P34),ISBLANK(AJ29:AJ34), ISBLANK(V29:V34),ISBLANK(AP29:AP34)), "·", bdRateExtend( P29:P34,V29:V34, AJ29:AJ34,AP29:AP34))</f>
        <v>-7.0768658191524558E-3</v>
      </c>
      <c r="BJ29" s="28">
        <f>IF( OR(ISBLANK(P29:P34),ISBLANK(AJ29:AJ34), ISBLANK(W29:W34),ISBLANK(AQ29:AQ34)), "·", bdRateExtend( P29:P34,W29:W34, AJ29:AJ34,AQ29:AQ34))</f>
        <v>-7.5977512754559218E-3</v>
      </c>
      <c r="BK29" s="28">
        <f>IF( OR(ISBLANK(P29:P34),ISBLANK(AJ29:AJ34), ISBLANK(X29:X34),ISBLANK(AR29:AR34)), "·", bdRateExtend( P29:P34,X29:X34, AJ29:AJ34,AR29:AR34))</f>
        <v>-7.8692670444689972E-3</v>
      </c>
      <c r="BL29" s="29"/>
    </row>
    <row r="30" spans="1:64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">
        <v>1042</v>
      </c>
      <c r="J30" s="34">
        <v>0.11426513594565899</v>
      </c>
      <c r="K30" s="34">
        <v>2.3017937748747337E-2</v>
      </c>
      <c r="L30" s="34">
        <v>9.0690873417485732E-2</v>
      </c>
      <c r="M30" s="35"/>
      <c r="N30" s="34">
        <v>0.12901091074277735</v>
      </c>
      <c r="O30" s="36">
        <v>713242</v>
      </c>
      <c r="P30" s="37">
        <v>92016</v>
      </c>
      <c r="Q30" s="37">
        <v>18536</v>
      </c>
      <c r="R30" s="37">
        <v>73032</v>
      </c>
      <c r="S30" s="38"/>
      <c r="T30" s="39">
        <v>63.174662499999997</v>
      </c>
      <c r="U30" s="39">
        <v>65.221003100000004</v>
      </c>
      <c r="V30" s="39">
        <v>34.3431304</v>
      </c>
      <c r="W30" s="39">
        <v>47.927879099999998</v>
      </c>
      <c r="X30" s="39">
        <v>47.332049599999998</v>
      </c>
      <c r="Y30" s="38"/>
      <c r="Z30" s="41"/>
      <c r="AA30" s="41"/>
      <c r="AC30" s="33" t="str">
        <f t="shared" si="0"/>
        <v>·</v>
      </c>
      <c r="AD30" s="34">
        <f t="shared" si="1"/>
        <v>0.11316242075786834</v>
      </c>
      <c r="AE30" s="34">
        <f t="shared" si="2"/>
        <v>2.2511284824627307E-2</v>
      </c>
      <c r="AF30" s="34">
        <f t="shared" si="3"/>
        <v>9.009481115381511E-2</v>
      </c>
      <c r="AG30" s="35"/>
      <c r="AH30" s="34">
        <f t="shared" si="4"/>
        <v>0.12776589152069004</v>
      </c>
      <c r="AI30" s="36">
        <f>Test!E735</f>
        <v>713242</v>
      </c>
      <c r="AJ30" s="37">
        <v>91128</v>
      </c>
      <c r="AK30" s="37">
        <v>18128</v>
      </c>
      <c r="AL30" s="37">
        <v>72552</v>
      </c>
      <c r="AM30" s="38"/>
      <c r="AN30" s="39">
        <f>Test!J735</f>
        <v>63.174662499999997</v>
      </c>
      <c r="AO30" s="39">
        <f>Test!K735</f>
        <v>65.221003100000004</v>
      </c>
      <c r="AP30" s="39">
        <f>Test!L735</f>
        <v>34.3431304</v>
      </c>
      <c r="AQ30" s="39">
        <f>Test!M735</f>
        <v>47.927879099999998</v>
      </c>
      <c r="AR30" s="39">
        <f>Test!N735</f>
        <v>47.332049599999998</v>
      </c>
      <c r="AS30" s="40"/>
      <c r="AT30" s="41"/>
      <c r="AU30" s="41"/>
      <c r="AW30" s="42">
        <f t="shared" si="5"/>
        <v>-2.5142482463001159E-3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">
        <v>1042</v>
      </c>
      <c r="J31" s="19">
        <v>0.31652893075122474</v>
      </c>
      <c r="K31" s="19">
        <v>7.9643852797456796E-2</v>
      </c>
      <c r="L31" s="19">
        <v>0.23632875317434202</v>
      </c>
      <c r="M31" s="20"/>
      <c r="N31" s="19">
        <v>0.34667653171140395</v>
      </c>
      <c r="O31" s="21">
        <v>735256</v>
      </c>
      <c r="P31" s="22">
        <v>254896</v>
      </c>
      <c r="Q31" s="22">
        <v>64136</v>
      </c>
      <c r="R31" s="22">
        <v>190312</v>
      </c>
      <c r="S31" s="23"/>
      <c r="T31" s="24">
        <v>68.457422199999996</v>
      </c>
      <c r="U31" s="24">
        <v>71.269121299999995</v>
      </c>
      <c r="V31" s="24">
        <v>38.142346500000002</v>
      </c>
      <c r="W31" s="24">
        <v>49.656261399999998</v>
      </c>
      <c r="X31" s="24">
        <v>49.876925200000002</v>
      </c>
      <c r="Y31" s="23"/>
      <c r="Z31" s="26"/>
      <c r="AA31" s="26"/>
      <c r="AC31" s="18" t="str">
        <f t="shared" si="0"/>
        <v>·</v>
      </c>
      <c r="AD31" s="19">
        <f t="shared" si="1"/>
        <v>0.31445264719943872</v>
      </c>
      <c r="AE31" s="19">
        <f t="shared" si="2"/>
        <v>7.8908709338929697E-2</v>
      </c>
      <c r="AF31" s="19">
        <f t="shared" si="3"/>
        <v>0.2349876130810831</v>
      </c>
      <c r="AG31" s="20"/>
      <c r="AH31" s="19">
        <f t="shared" si="4"/>
        <v>0.34440249382527988</v>
      </c>
      <c r="AI31" s="21">
        <f>Test!E736</f>
        <v>735256</v>
      </c>
      <c r="AJ31" s="22">
        <v>253224</v>
      </c>
      <c r="AK31" s="22">
        <v>63544</v>
      </c>
      <c r="AL31" s="22">
        <v>189232</v>
      </c>
      <c r="AM31" s="23"/>
      <c r="AN31" s="24">
        <f>Test!J736</f>
        <v>68.457422199999996</v>
      </c>
      <c r="AO31" s="24">
        <f>Test!K736</f>
        <v>71.269121299999995</v>
      </c>
      <c r="AP31" s="24">
        <f>Test!L736</f>
        <v>38.142346500000002</v>
      </c>
      <c r="AQ31" s="24">
        <f>Test!M736</f>
        <v>49.656261399999998</v>
      </c>
      <c r="AR31" s="24">
        <f>Test!N736</f>
        <v>49.876925200000002</v>
      </c>
      <c r="AS31" s="25"/>
      <c r="AT31" s="26"/>
      <c r="AU31" s="26"/>
      <c r="AW31" s="27">
        <f t="shared" si="5"/>
        <v>-6.7646617358874117E-4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">
        <v>1042</v>
      </c>
      <c r="J32" s="34">
        <v>0.78784529700664985</v>
      </c>
      <c r="K32" s="34">
        <v>0.24754465810241094</v>
      </c>
      <c r="L32" s="34">
        <v>0.53974431412481294</v>
      </c>
      <c r="M32" s="35"/>
      <c r="N32" s="34">
        <v>0.8014299519349195</v>
      </c>
      <c r="O32" s="36">
        <v>791635</v>
      </c>
      <c r="P32" s="37">
        <v>634440</v>
      </c>
      <c r="Q32" s="37">
        <v>199344</v>
      </c>
      <c r="R32" s="37">
        <v>434648</v>
      </c>
      <c r="S32" s="38"/>
      <c r="T32" s="39">
        <v>71.087727599999994</v>
      </c>
      <c r="U32" s="39">
        <v>74.127178999999998</v>
      </c>
      <c r="V32" s="39">
        <v>41.584620600000001</v>
      </c>
      <c r="W32" s="39">
        <v>51.302557700000001</v>
      </c>
      <c r="X32" s="39">
        <v>51.612146199999998</v>
      </c>
      <c r="Y32" s="38"/>
      <c r="Z32" s="41"/>
      <c r="AA32" s="41"/>
      <c r="AC32" s="33" t="str">
        <f t="shared" si="0"/>
        <v>·</v>
      </c>
      <c r="AD32" s="34">
        <f t="shared" si="1"/>
        <v>0.78784529700664985</v>
      </c>
      <c r="AE32" s="34">
        <f t="shared" si="2"/>
        <v>0.24754465810241094</v>
      </c>
      <c r="AF32" s="34">
        <f t="shared" si="3"/>
        <v>0.53974431412481294</v>
      </c>
      <c r="AG32" s="35"/>
      <c r="AH32" s="34">
        <f t="shared" si="4"/>
        <v>0.8014299519349195</v>
      </c>
      <c r="AI32" s="36">
        <f>Test!E737</f>
        <v>791635</v>
      </c>
      <c r="AJ32" s="37">
        <v>634440</v>
      </c>
      <c r="AK32" s="37">
        <v>199344</v>
      </c>
      <c r="AL32" s="37">
        <v>434648</v>
      </c>
      <c r="AM32" s="38"/>
      <c r="AN32" s="39">
        <f>Test!J737</f>
        <v>71.087727599999994</v>
      </c>
      <c r="AO32" s="39">
        <f>Test!K737</f>
        <v>74.127178999999998</v>
      </c>
      <c r="AP32" s="39">
        <f>Test!L737</f>
        <v>41.584620600000001</v>
      </c>
      <c r="AQ32" s="39">
        <f>Test!M737</f>
        <v>51.302557700000001</v>
      </c>
      <c r="AR32" s="39">
        <f>Test!N737</f>
        <v>51.612146199999998</v>
      </c>
      <c r="AS32" s="40"/>
      <c r="AT32" s="41"/>
      <c r="AU32" s="41"/>
      <c r="AW32" s="42">
        <f t="shared" si="5"/>
        <v>0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">
        <v>1042</v>
      </c>
      <c r="J33" s="19" t="s">
        <v>1042</v>
      </c>
      <c r="K33" s="19" t="s">
        <v>1042</v>
      </c>
      <c r="L33" s="19" t="s">
        <v>1042</v>
      </c>
      <c r="M33" s="20"/>
      <c r="N33" s="19" t="s">
        <v>1042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0"/>
        <v>·</v>
      </c>
      <c r="AD33" s="19">
        <f t="shared" si="1"/>
        <v>0</v>
      </c>
      <c r="AE33" s="19">
        <f t="shared" si="2"/>
        <v>0</v>
      </c>
      <c r="AF33" s="19">
        <f t="shared" si="3"/>
        <v>0</v>
      </c>
      <c r="AG33" s="20"/>
      <c r="AH33" s="19" t="e">
        <f t="shared" si="4"/>
        <v>#DIV/0!</v>
      </c>
      <c r="AI33" s="21"/>
      <c r="AJ33" s="22">
        <v>0</v>
      </c>
      <c r="AK33" s="22">
        <v>0</v>
      </c>
      <c r="AL33" s="22">
        <v>0</v>
      </c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5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">
        <v>1042</v>
      </c>
      <c r="J34" s="49" t="s">
        <v>1042</v>
      </c>
      <c r="K34" s="49" t="s">
        <v>1042</v>
      </c>
      <c r="L34" s="49" t="s">
        <v>1042</v>
      </c>
      <c r="M34" s="50"/>
      <c r="N34" s="49" t="s">
        <v>1042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0"/>
        <v>·</v>
      </c>
      <c r="AD34" s="49">
        <f t="shared" si="1"/>
        <v>0</v>
      </c>
      <c r="AE34" s="49">
        <f t="shared" si="2"/>
        <v>0</v>
      </c>
      <c r="AF34" s="49">
        <f t="shared" si="3"/>
        <v>0</v>
      </c>
      <c r="AG34" s="50"/>
      <c r="AH34" s="49" t="e">
        <f t="shared" si="4"/>
        <v>#DIV/0!</v>
      </c>
      <c r="AI34" s="51"/>
      <c r="AJ34" s="52">
        <v>0</v>
      </c>
      <c r="AK34" s="52">
        <v>0</v>
      </c>
      <c r="AL34" s="52">
        <v>0</v>
      </c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5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">
        <v>1042</v>
      </c>
      <c r="J35" s="19">
        <v>6.7181288980042816E-2</v>
      </c>
      <c r="K35" s="19">
        <v>6.1538891880362802E-3</v>
      </c>
      <c r="L35" s="19">
        <v>6.0491931512008573E-2</v>
      </c>
      <c r="M35" s="20"/>
      <c r="N35" s="19">
        <v>8.9882834741651013E-2</v>
      </c>
      <c r="O35" s="21">
        <v>748174</v>
      </c>
      <c r="P35" s="22">
        <v>67248</v>
      </c>
      <c r="Q35" s="22">
        <v>6160</v>
      </c>
      <c r="R35" s="22">
        <v>60552</v>
      </c>
      <c r="S35" s="23"/>
      <c r="T35" s="24">
        <v>55.798470500000001</v>
      </c>
      <c r="U35" s="24">
        <v>57.223654699999997</v>
      </c>
      <c r="V35" s="24">
        <v>26.038338</v>
      </c>
      <c r="W35" s="24">
        <v>35.265930699999998</v>
      </c>
      <c r="X35" s="24">
        <v>32.748586899999999</v>
      </c>
      <c r="Y35" s="23"/>
      <c r="Z35" s="26"/>
      <c r="AA35" s="26"/>
      <c r="AC35" s="18" t="str">
        <f t="shared" si="0"/>
        <v>·</v>
      </c>
      <c r="AD35" s="19">
        <f t="shared" si="1"/>
        <v>6.6925542935864682E-2</v>
      </c>
      <c r="AE35" s="19">
        <f t="shared" si="2"/>
        <v>6.0100320381860813E-3</v>
      </c>
      <c r="AF35" s="19">
        <f t="shared" si="3"/>
        <v>6.0380042617680645E-2</v>
      </c>
      <c r="AG35" s="20"/>
      <c r="AH35" s="19">
        <f t="shared" si="4"/>
        <v>8.9540668347202659E-2</v>
      </c>
      <c r="AI35" s="21">
        <f>Test!E740</f>
        <v>748174</v>
      </c>
      <c r="AJ35" s="22">
        <v>66992</v>
      </c>
      <c r="AK35" s="22">
        <v>6016</v>
      </c>
      <c r="AL35" s="22">
        <v>60440</v>
      </c>
      <c r="AM35" s="23"/>
      <c r="AN35" s="24">
        <f>Test!J740</f>
        <v>55.798470500000001</v>
      </c>
      <c r="AO35" s="24">
        <f>Test!K740</f>
        <v>57.223654699999997</v>
      </c>
      <c r="AP35" s="24">
        <f>Test!L740</f>
        <v>26.038338</v>
      </c>
      <c r="AQ35" s="24">
        <f>Test!M740</f>
        <v>35.265930699999998</v>
      </c>
      <c r="AR35" s="24">
        <f>Test!N740</f>
        <v>32.748586899999999</v>
      </c>
      <c r="AS35" s="25"/>
      <c r="AT35" s="26"/>
      <c r="AU35" s="26"/>
      <c r="AW35" s="27">
        <f t="shared" si="5"/>
        <v>-1.7994698363066053E-3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-1.9318155367380907E-2</v>
      </c>
      <c r="BA35" s="28">
        <f>IF( OR(ISBLANK(Q35:Q40),ISBLANK(AK35:AK40), ISBLANK(U35:U40),ISBLANK(AO35:AO40)), "·", bdRateExtend( Q35:Q40,U35:U40, AK35:AK40,AO35:AO40))</f>
        <v>-1.8679214414010326E-2</v>
      </c>
      <c r="BB35" s="28">
        <f>IF( OR(ISBLANK(R35:R40),ISBLANK(AL35:AL40), ISBLANK(V35:V40),ISBLANK(AP35:AP40)), "·", bdRateExtend( R35:R40,V35:V40, AL35:AL40,AP35:AP40))</f>
        <v>-1.2873404938168465E-3</v>
      </c>
      <c r="BC35" s="28">
        <f>IF( OR(ISBLANK(R35:R40),ISBLANK(AL35:AL40), ISBLANK(W35:W40),ISBLANK(AQ35:AQ40)), "·", bdRateExtend( R35:R40,W35:W40, AL35:AL40,AQ35:AQ40))</f>
        <v>-1.3113602696256388E-3</v>
      </c>
      <c r="BD35" s="28">
        <f>IF( OR(ISBLANK(R35:R40),ISBLANK(AL35:AL40), ISBLANK(X35:X40),ISBLANK(AR35:AR40)), "·", bdRateExtend( R35:R40,X35:X40, AL35:AL40,AR35:AR40))</f>
        <v>-1.2924128190074935E-3</v>
      </c>
      <c r="BE35" s="29"/>
      <c r="BG35" s="28">
        <f>IF( OR(ISBLANK(P35:P40),ISBLANK(AJ35:AJ40), ISBLANK(T35:T40),ISBLANK(AN35:AN40)), "·", bdRateExtend( P35:P40,T35:T40, AJ35:AJ40,AN35:AN40))</f>
        <v>-3.3678522009659151E-3</v>
      </c>
      <c r="BH35" s="28">
        <f>IF( OR(ISBLANK(P35:P40),ISBLANK(AJ35:AJ40), ISBLANK(U35:U40),ISBLANK(AO35:AO40)), "·", bdRateExtend( P35:P40,U35:U40, AJ35:AJ40,AO35:AO40))</f>
        <v>-3.3142993096391127E-3</v>
      </c>
      <c r="BI35" s="28">
        <f>IF( OR(ISBLANK(P35:P40),ISBLANK(AJ35:AJ40), ISBLANK(V35:V40),ISBLANK(AP35:AP40)), "·", bdRateExtend( P35:P40,V35:V40, AJ35:AJ40,AP35:AP40))</f>
        <v>-3.1022961663722537E-3</v>
      </c>
      <c r="BJ35" s="28">
        <f>IF( OR(ISBLANK(P35:P40),ISBLANK(AJ35:AJ40), ISBLANK(W35:W40),ISBLANK(AQ35:AQ40)), "·", bdRateExtend( P35:P40,W35:W40, AJ35:AJ40,AQ35:AQ40))</f>
        <v>-3.1698994157021154E-3</v>
      </c>
      <c r="BK35" s="28">
        <f>IF( OR(ISBLANK(P35:P40),ISBLANK(AJ35:AJ40), ISBLANK(X35:X40),ISBLANK(AR35:AR40)), "·", bdRateExtend( P35:P40,X35:X40, AJ35:AJ40,AR35:AR40))</f>
        <v>-3.1190369007078056E-3</v>
      </c>
      <c r="BL35" s="29"/>
    </row>
    <row r="36" spans="1:64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">
        <v>1042</v>
      </c>
      <c r="J36" s="34">
        <v>0.18081245323393869</v>
      </c>
      <c r="K36" s="34">
        <v>1.9556580315746464E-2</v>
      </c>
      <c r="L36" s="34">
        <v>0.16072040463819429</v>
      </c>
      <c r="M36" s="35"/>
      <c r="N36" s="34">
        <v>0.24884953562074205</v>
      </c>
      <c r="O36" s="36">
        <v>727315</v>
      </c>
      <c r="P36" s="37">
        <v>180992</v>
      </c>
      <c r="Q36" s="37">
        <v>19576</v>
      </c>
      <c r="R36" s="37">
        <v>160880</v>
      </c>
      <c r="S36" s="38"/>
      <c r="T36" s="39">
        <v>62.654553999999997</v>
      </c>
      <c r="U36" s="39">
        <v>64.231159500000004</v>
      </c>
      <c r="V36" s="39">
        <v>30.239020199999999</v>
      </c>
      <c r="W36" s="39">
        <v>39.761894599999998</v>
      </c>
      <c r="X36" s="39">
        <v>37.429049200000001</v>
      </c>
      <c r="Y36" s="38"/>
      <c r="Z36" s="41"/>
      <c r="AA36" s="41"/>
      <c r="AC36" s="33" t="str">
        <f t="shared" si="0"/>
        <v>·</v>
      </c>
      <c r="AD36" s="34">
        <f t="shared" si="1"/>
        <v>0.1801411198679711</v>
      </c>
      <c r="AE36" s="34">
        <f t="shared" si="2"/>
        <v>1.9109024738434736E-2</v>
      </c>
      <c r="AF36" s="34">
        <f t="shared" si="3"/>
        <v>0.16049662684953842</v>
      </c>
      <c r="AG36" s="35"/>
      <c r="AH36" s="34">
        <f t="shared" si="4"/>
        <v>0.24792558932512049</v>
      </c>
      <c r="AI36" s="36">
        <f>Test!E741</f>
        <v>727315</v>
      </c>
      <c r="AJ36" s="37">
        <v>180320</v>
      </c>
      <c r="AK36" s="37">
        <v>19128</v>
      </c>
      <c r="AL36" s="37">
        <v>160656</v>
      </c>
      <c r="AM36" s="38"/>
      <c r="AN36" s="39">
        <f>Test!J741</f>
        <v>62.654553999999997</v>
      </c>
      <c r="AO36" s="39">
        <f>Test!K741</f>
        <v>64.231159500000004</v>
      </c>
      <c r="AP36" s="39">
        <f>Test!L741</f>
        <v>30.239020199999999</v>
      </c>
      <c r="AQ36" s="39">
        <f>Test!M741</f>
        <v>39.761894599999998</v>
      </c>
      <c r="AR36" s="39">
        <f>Test!N741</f>
        <v>37.429049200000001</v>
      </c>
      <c r="AS36" s="40"/>
      <c r="AT36" s="41"/>
      <c r="AU36" s="41"/>
      <c r="AW36" s="42">
        <f t="shared" si="5"/>
        <v>-2.0813932546759617E-3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">
        <v>1042</v>
      </c>
      <c r="J37" s="19">
        <v>0.43593511642938559</v>
      </c>
      <c r="K37" s="19">
        <v>6.7333138193773581E-2</v>
      </c>
      <c r="L37" s="19">
        <v>0.36806650995561407</v>
      </c>
      <c r="M37" s="20"/>
      <c r="N37" s="19">
        <v>0.56782078241135936</v>
      </c>
      <c r="O37" s="21">
        <v>768496</v>
      </c>
      <c r="P37" s="22">
        <v>436368</v>
      </c>
      <c r="Q37" s="22">
        <v>67400</v>
      </c>
      <c r="R37" s="22">
        <v>368432</v>
      </c>
      <c r="S37" s="23"/>
      <c r="T37" s="24">
        <v>67.687436399999996</v>
      </c>
      <c r="U37" s="24">
        <v>71.010397999999995</v>
      </c>
      <c r="V37" s="24">
        <v>33.788297999999998</v>
      </c>
      <c r="W37" s="24">
        <v>43.856356300000002</v>
      </c>
      <c r="X37" s="24">
        <v>41.8423017</v>
      </c>
      <c r="Y37" s="23"/>
      <c r="Z37" s="26"/>
      <c r="AA37" s="26"/>
      <c r="AC37" s="18" t="str">
        <f t="shared" si="0"/>
        <v>·</v>
      </c>
      <c r="AD37" s="19">
        <f t="shared" si="1"/>
        <v>0.43464040208073385</v>
      </c>
      <c r="AE37" s="19">
        <f t="shared" si="2"/>
        <v>6.6517947677955797E-2</v>
      </c>
      <c r="AF37" s="19">
        <f t="shared" si="3"/>
        <v>0.36758698612278007</v>
      </c>
      <c r="AG37" s="20"/>
      <c r="AH37" s="19">
        <f t="shared" si="4"/>
        <v>0.56613437155170621</v>
      </c>
      <c r="AI37" s="21">
        <f>Test!E742</f>
        <v>768496</v>
      </c>
      <c r="AJ37" s="22">
        <v>435072</v>
      </c>
      <c r="AK37" s="22">
        <v>66584</v>
      </c>
      <c r="AL37" s="22">
        <v>367952</v>
      </c>
      <c r="AM37" s="23"/>
      <c r="AN37" s="24">
        <f>Test!J742</f>
        <v>67.687436399999996</v>
      </c>
      <c r="AO37" s="24">
        <f>Test!K742</f>
        <v>71.010397999999995</v>
      </c>
      <c r="AP37" s="24">
        <f>Test!L742</f>
        <v>33.788297999999998</v>
      </c>
      <c r="AQ37" s="24">
        <f>Test!M742</f>
        <v>43.856356300000002</v>
      </c>
      <c r="AR37" s="24">
        <f>Test!N742</f>
        <v>41.8423017</v>
      </c>
      <c r="AS37" s="25"/>
      <c r="AT37" s="26"/>
      <c r="AU37" s="26"/>
      <c r="AW37" s="27">
        <f t="shared" si="5"/>
        <v>-1.4154530784789288E-3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">
        <v>1042</v>
      </c>
      <c r="J38" s="34">
        <v>1.0292579468587693</v>
      </c>
      <c r="K38" s="34">
        <v>0.21537812951738924</v>
      </c>
      <c r="L38" s="34">
        <v>0.81334434906138209</v>
      </c>
      <c r="M38" s="35"/>
      <c r="N38" s="34">
        <v>1.1868887887923636</v>
      </c>
      <c r="O38" s="36">
        <v>868051</v>
      </c>
      <c r="P38" s="37">
        <v>1030280</v>
      </c>
      <c r="Q38" s="37">
        <v>215592</v>
      </c>
      <c r="R38" s="37">
        <v>814152</v>
      </c>
      <c r="S38" s="38"/>
      <c r="T38" s="39">
        <v>70.041063100000002</v>
      </c>
      <c r="U38" s="39">
        <v>73.9976226</v>
      </c>
      <c r="V38" s="39">
        <v>36.857415799999998</v>
      </c>
      <c r="W38" s="39">
        <v>46.710065399999998</v>
      </c>
      <c r="X38" s="39">
        <v>45.239263200000003</v>
      </c>
      <c r="Y38" s="38"/>
      <c r="Z38" s="41"/>
      <c r="AA38" s="41"/>
      <c r="AC38" s="33" t="str">
        <f t="shared" si="0"/>
        <v>·</v>
      </c>
      <c r="AD38" s="34">
        <f t="shared" si="1"/>
        <v>1.0292579468587693</v>
      </c>
      <c r="AE38" s="34">
        <f t="shared" si="2"/>
        <v>0.21537812951738924</v>
      </c>
      <c r="AF38" s="34">
        <f t="shared" si="3"/>
        <v>0.81334434906138209</v>
      </c>
      <c r="AG38" s="35"/>
      <c r="AH38" s="34">
        <f t="shared" si="4"/>
        <v>1.1868887887923636</v>
      </c>
      <c r="AI38" s="36">
        <f>Test!E743</f>
        <v>868051</v>
      </c>
      <c r="AJ38" s="37">
        <v>1030280</v>
      </c>
      <c r="AK38" s="37">
        <v>215592</v>
      </c>
      <c r="AL38" s="37">
        <v>814152</v>
      </c>
      <c r="AM38" s="38"/>
      <c r="AN38" s="39">
        <f>Test!J743</f>
        <v>70.041063100000002</v>
      </c>
      <c r="AO38" s="39">
        <f>Test!K743</f>
        <v>73.9976226</v>
      </c>
      <c r="AP38" s="39">
        <f>Test!L743</f>
        <v>36.857415799999998</v>
      </c>
      <c r="AQ38" s="39">
        <f>Test!M743</f>
        <v>46.710065399999998</v>
      </c>
      <c r="AR38" s="39">
        <f>Test!N743</f>
        <v>45.239263200000003</v>
      </c>
      <c r="AS38" s="40"/>
      <c r="AT38" s="41"/>
      <c r="AU38" s="41"/>
      <c r="AW38" s="42">
        <f t="shared" si="5"/>
        <v>0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">
        <v>1042</v>
      </c>
      <c r="J39" s="19" t="s">
        <v>1042</v>
      </c>
      <c r="K39" s="19" t="s">
        <v>1042</v>
      </c>
      <c r="L39" s="19" t="s">
        <v>1042</v>
      </c>
      <c r="M39" s="20"/>
      <c r="N39" s="19" t="s">
        <v>1042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0"/>
        <v>·</v>
      </c>
      <c r="AD39" s="19">
        <f t="shared" si="1"/>
        <v>0</v>
      </c>
      <c r="AE39" s="19">
        <f t="shared" si="2"/>
        <v>0</v>
      </c>
      <c r="AF39" s="19">
        <f t="shared" si="3"/>
        <v>0</v>
      </c>
      <c r="AG39" s="20"/>
      <c r="AH39" s="19" t="e">
        <f t="shared" si="4"/>
        <v>#DIV/0!</v>
      </c>
      <c r="AI39" s="21"/>
      <c r="AJ39" s="22">
        <v>0</v>
      </c>
      <c r="AK39" s="22">
        <v>0</v>
      </c>
      <c r="AL39" s="22">
        <v>0</v>
      </c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5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">
        <v>1042</v>
      </c>
      <c r="J40" s="49" t="s">
        <v>1042</v>
      </c>
      <c r="K40" s="49" t="s">
        <v>1042</v>
      </c>
      <c r="L40" s="49" t="s">
        <v>1042</v>
      </c>
      <c r="M40" s="50"/>
      <c r="N40" s="49" t="s">
        <v>1042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0"/>
        <v>·</v>
      </c>
      <c r="AD40" s="49">
        <f t="shared" si="1"/>
        <v>0</v>
      </c>
      <c r="AE40" s="49">
        <f t="shared" si="2"/>
        <v>0</v>
      </c>
      <c r="AF40" s="49">
        <f t="shared" si="3"/>
        <v>0</v>
      </c>
      <c r="AG40" s="50"/>
      <c r="AH40" s="49" t="e">
        <f t="shared" si="4"/>
        <v>#DIV/0!</v>
      </c>
      <c r="AI40" s="51"/>
      <c r="AJ40" s="52">
        <v>0</v>
      </c>
      <c r="AK40" s="52">
        <v>0</v>
      </c>
      <c r="AL40" s="52">
        <v>0</v>
      </c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5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">
        <v>1042</v>
      </c>
      <c r="J41" s="19">
        <v>0.10304992404555419</v>
      </c>
      <c r="K41" s="19">
        <v>7.1163574597032297E-3</v>
      </c>
      <c r="L41" s="19">
        <v>9.5331738135994756E-2</v>
      </c>
      <c r="M41" s="20"/>
      <c r="N41" s="19">
        <v>0.11453970675605302</v>
      </c>
      <c r="O41" s="21">
        <v>681685</v>
      </c>
      <c r="P41" s="22">
        <v>78080</v>
      </c>
      <c r="Q41" s="22">
        <v>5392</v>
      </c>
      <c r="R41" s="22">
        <v>72232</v>
      </c>
      <c r="S41" s="23"/>
      <c r="T41" s="24">
        <v>54.165061199999997</v>
      </c>
      <c r="U41" s="24">
        <v>55.856567699999999</v>
      </c>
      <c r="V41" s="24">
        <v>30.357939099999999</v>
      </c>
      <c r="W41" s="24">
        <v>39.742211900000001</v>
      </c>
      <c r="X41" s="24">
        <v>31.272787900000001</v>
      </c>
      <c r="Y41" s="23"/>
      <c r="Z41" s="26"/>
      <c r="AA41" s="26"/>
      <c r="AC41" s="18" t="str">
        <f t="shared" si="0"/>
        <v>·</v>
      </c>
      <c r="AD41" s="19">
        <f t="shared" si="1"/>
        <v>0.10256423792812637</v>
      </c>
      <c r="AE41" s="19">
        <f t="shared" si="2"/>
        <v>7.063565490417598E-3</v>
      </c>
      <c r="AF41" s="19">
        <f t="shared" si="3"/>
        <v>9.4898843987852574E-2</v>
      </c>
      <c r="AG41" s="20"/>
      <c r="AH41" s="19">
        <f t="shared" si="4"/>
        <v>0.11399986797421097</v>
      </c>
      <c r="AI41" s="21">
        <f>Test!E746</f>
        <v>681685</v>
      </c>
      <c r="AJ41" s="22">
        <v>77712</v>
      </c>
      <c r="AK41" s="22">
        <v>5352</v>
      </c>
      <c r="AL41" s="22">
        <v>71904</v>
      </c>
      <c r="AM41" s="23"/>
      <c r="AN41" s="24">
        <f>Test!J746</f>
        <v>54.165061199999997</v>
      </c>
      <c r="AO41" s="24">
        <f>Test!K746</f>
        <v>55.856567699999999</v>
      </c>
      <c r="AP41" s="24">
        <f>Test!L746</f>
        <v>30.357939099999999</v>
      </c>
      <c r="AQ41" s="24">
        <f>Test!M746</f>
        <v>39.742211900000001</v>
      </c>
      <c r="AR41" s="24">
        <f>Test!N746</f>
        <v>31.272787900000001</v>
      </c>
      <c r="AS41" s="25"/>
      <c r="AT41" s="26"/>
      <c r="AU41" s="26"/>
      <c r="AW41" s="27">
        <f t="shared" si="5"/>
        <v>-1.8770441174981167E-4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-1.0516868422882464E-2</v>
      </c>
      <c r="BA41" s="28">
        <f>IF( OR(ISBLANK(Q41:Q46),ISBLANK(AK41:AK46), ISBLANK(U41:U46),ISBLANK(AO41:AO46)), "·", bdRateExtend( Q41:Q46,U41:U46, AK41:AK46,AO41:AO46))</f>
        <v>-1.0358937611354202E-2</v>
      </c>
      <c r="BB41" s="28">
        <f>IF( OR(ISBLANK(R41:R46),ISBLANK(AL41:AL46), ISBLANK(V41:V46),ISBLANK(AP41:AP46)), "·", bdRateExtend( R41:R46,V41:V46, AL41:AL46,AP41:AP46))</f>
        <v>-4.4963856468759333E-3</v>
      </c>
      <c r="BC41" s="28">
        <f>IF( OR(ISBLANK(R41:R46),ISBLANK(AL41:AL46), ISBLANK(W41:W46),ISBLANK(AQ41:AQ46)), "·", bdRateExtend( R41:R46,W41:W46, AL41:AL46,AQ41:AQ46))</f>
        <v>-4.2504013560216158E-3</v>
      </c>
      <c r="BD41" s="28">
        <f>IF( OR(ISBLANK(R41:R46),ISBLANK(AL41:AL46), ISBLANK(X41:X46),ISBLANK(AR41:AR46)), "·", bdRateExtend( R41:R46,X41:X46, AL41:AL46,AR41:AR46))</f>
        <v>-4.6714252497755959E-3</v>
      </c>
      <c r="BE41" s="29"/>
      <c r="BG41" s="28">
        <f>IF( OR(ISBLANK(P41:P46),ISBLANK(AJ41:AJ46), ISBLANK(T41:T46),ISBLANK(AN41:AN46)), "·", bdRateExtend( P41:P46,T41:T46, AJ41:AJ46,AN41:AN46))</f>
        <v>-5.8022643910156102E-3</v>
      </c>
      <c r="BH41" s="28">
        <f>IF( OR(ISBLANK(P41:P46),ISBLANK(AJ41:AJ46), ISBLANK(U41:U46),ISBLANK(AO41:AO46)), "·", bdRateExtend( P41:P46,U41:U46, AJ41:AJ46,AO41:AO46))</f>
        <v>-5.7049362755754451E-3</v>
      </c>
      <c r="BI41" s="28">
        <f>IF( OR(ISBLANK(P41:P46),ISBLANK(AJ41:AJ46), ISBLANK(V41:V46),ISBLANK(AP41:AP46)), "·", bdRateExtend( P41:P46,V41:V46, AJ41:AJ46,AP41:AP46))</f>
        <v>-5.0085039518844576E-3</v>
      </c>
      <c r="BJ41" s="28">
        <f>IF( OR(ISBLANK(P41:P46),ISBLANK(AJ41:AJ46), ISBLANK(W41:W46),ISBLANK(AQ41:AQ46)), "·", bdRateExtend( P41:P46,W41:W46, AJ41:AJ46,AQ41:AQ46))</f>
        <v>-4.7467015446063243E-3</v>
      </c>
      <c r="BK41" s="28">
        <f>IF( OR(ISBLANK(P41:P46),ISBLANK(AJ41:AJ46), ISBLANK(X41:X46),ISBLANK(AR41:AR46)), "·", bdRateExtend( P41:P46,X41:X46, AJ41:AJ46,AR41:AR46))</f>
        <v>-5.1803394596813268E-3</v>
      </c>
      <c r="BL41" s="29"/>
    </row>
    <row r="42" spans="1:64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">
        <v>1042</v>
      </c>
      <c r="J42" s="34">
        <v>0.25648450357731584</v>
      </c>
      <c r="K42" s="34">
        <v>2.4981159865961191E-2</v>
      </c>
      <c r="L42" s="34">
        <v>0.23090151526149841</v>
      </c>
      <c r="M42" s="35"/>
      <c r="N42" s="34">
        <v>0.2879504040634529</v>
      </c>
      <c r="O42" s="36">
        <v>674894</v>
      </c>
      <c r="P42" s="37">
        <v>194336</v>
      </c>
      <c r="Q42" s="37">
        <v>18928</v>
      </c>
      <c r="R42" s="37">
        <v>174952</v>
      </c>
      <c r="S42" s="38"/>
      <c r="T42" s="39">
        <v>61.528152400000003</v>
      </c>
      <c r="U42" s="39">
        <v>63.6189283</v>
      </c>
      <c r="V42" s="39">
        <v>34.001285799999998</v>
      </c>
      <c r="W42" s="39">
        <v>41.833258700000002</v>
      </c>
      <c r="X42" s="39">
        <v>35.902466500000003</v>
      </c>
      <c r="Y42" s="38"/>
      <c r="Z42" s="41"/>
      <c r="AA42" s="41"/>
      <c r="AC42" s="33" t="str">
        <f t="shared" si="0"/>
        <v>·</v>
      </c>
      <c r="AD42" s="34">
        <f t="shared" si="1"/>
        <v>0.25441505838131906</v>
      </c>
      <c r="AE42" s="34">
        <f t="shared" si="2"/>
        <v>2.4622174474818889E-2</v>
      </c>
      <c r="AF42" s="34">
        <f t="shared" si="3"/>
        <v>0.22919105545664392</v>
      </c>
      <c r="AG42" s="35"/>
      <c r="AH42" s="34">
        <f t="shared" si="4"/>
        <v>0.28562707625197437</v>
      </c>
      <c r="AI42" s="36">
        <f>Test!E747</f>
        <v>674894</v>
      </c>
      <c r="AJ42" s="37">
        <v>192768</v>
      </c>
      <c r="AK42" s="37">
        <v>18656</v>
      </c>
      <c r="AL42" s="37">
        <v>173656</v>
      </c>
      <c r="AM42" s="38"/>
      <c r="AN42" s="39">
        <f>Test!J747</f>
        <v>61.528152400000003</v>
      </c>
      <c r="AO42" s="39">
        <f>Test!K747</f>
        <v>63.6189283</v>
      </c>
      <c r="AP42" s="39">
        <f>Test!L747</f>
        <v>34.001285799999998</v>
      </c>
      <c r="AQ42" s="39">
        <f>Test!M747</f>
        <v>41.833258700000002</v>
      </c>
      <c r="AR42" s="39">
        <f>Test!N747</f>
        <v>35.902466500000003</v>
      </c>
      <c r="AS42" s="40"/>
      <c r="AT42" s="41"/>
      <c r="AU42" s="41"/>
      <c r="AW42" s="42">
        <f t="shared" si="5"/>
        <v>-6.1877196193545203E-4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">
        <v>1042</v>
      </c>
      <c r="J43" s="19">
        <v>0.63462282117644264</v>
      </c>
      <c r="K43" s="19">
        <v>8.9302895243575542E-2</v>
      </c>
      <c r="L43" s="19">
        <v>0.54471809748301092</v>
      </c>
      <c r="M43" s="20"/>
      <c r="N43" s="19">
        <v>0.689797241660283</v>
      </c>
      <c r="O43" s="21">
        <v>697086</v>
      </c>
      <c r="P43" s="22">
        <v>480848</v>
      </c>
      <c r="Q43" s="22">
        <v>67664</v>
      </c>
      <c r="R43" s="22">
        <v>412728</v>
      </c>
      <c r="S43" s="23"/>
      <c r="T43" s="24">
        <v>67.917225200000004</v>
      </c>
      <c r="U43" s="24">
        <v>70.313265400000006</v>
      </c>
      <c r="V43" s="24">
        <v>37.643708199999999</v>
      </c>
      <c r="W43" s="24">
        <v>43.747535399999997</v>
      </c>
      <c r="X43" s="24">
        <v>39.8466661</v>
      </c>
      <c r="Y43" s="23"/>
      <c r="Z43" s="26"/>
      <c r="AA43" s="26"/>
      <c r="AC43" s="18" t="str">
        <f t="shared" si="0"/>
        <v>·</v>
      </c>
      <c r="AD43" s="19">
        <f t="shared" si="1"/>
        <v>0.63256393437430303</v>
      </c>
      <c r="AE43" s="19">
        <f t="shared" si="2"/>
        <v>8.8669391612147958E-2</v>
      </c>
      <c r="AF43" s="19">
        <f t="shared" si="3"/>
        <v>0.54329271431229886</v>
      </c>
      <c r="AG43" s="20"/>
      <c r="AH43" s="19">
        <f t="shared" si="4"/>
        <v>0.68755935422602088</v>
      </c>
      <c r="AI43" s="21">
        <f>Test!E748</f>
        <v>697086</v>
      </c>
      <c r="AJ43" s="22">
        <v>479288</v>
      </c>
      <c r="AK43" s="22">
        <v>67184</v>
      </c>
      <c r="AL43" s="22">
        <v>411648</v>
      </c>
      <c r="AM43" s="23"/>
      <c r="AN43" s="24">
        <f>Test!J748</f>
        <v>67.917225200000004</v>
      </c>
      <c r="AO43" s="24">
        <f>Test!K748</f>
        <v>70.313265400000006</v>
      </c>
      <c r="AP43" s="24">
        <f>Test!L748</f>
        <v>37.643708199999999</v>
      </c>
      <c r="AQ43" s="24">
        <f>Test!M748</f>
        <v>43.747535399999997</v>
      </c>
      <c r="AR43" s="24">
        <f>Test!N748</f>
        <v>39.8466661</v>
      </c>
      <c r="AS43" s="25"/>
      <c r="AT43" s="26"/>
      <c r="AU43" s="26"/>
      <c r="AW43" s="27">
        <f t="shared" si="5"/>
        <v>-5.4347244034164133E-4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">
        <v>1042</v>
      </c>
      <c r="J44" s="34">
        <v>1.5217813066276358</v>
      </c>
      <c r="K44" s="34">
        <v>0.28037814887599299</v>
      </c>
      <c r="L44" s="34">
        <v>1.2408013293017865</v>
      </c>
      <c r="M44" s="35"/>
      <c r="N44" s="34">
        <v>1.5288110558507146</v>
      </c>
      <c r="O44" s="36">
        <v>754207</v>
      </c>
      <c r="P44" s="37">
        <v>1153040</v>
      </c>
      <c r="Q44" s="37">
        <v>212440</v>
      </c>
      <c r="R44" s="37">
        <v>940144</v>
      </c>
      <c r="S44" s="38"/>
      <c r="T44" s="39">
        <v>70.785146100000006</v>
      </c>
      <c r="U44" s="39">
        <v>73.698294099999998</v>
      </c>
      <c r="V44" s="39">
        <v>40.818941100000004</v>
      </c>
      <c r="W44" s="39">
        <v>45.921238099999997</v>
      </c>
      <c r="X44" s="39">
        <v>43.2058386</v>
      </c>
      <c r="Y44" s="38"/>
      <c r="Z44" s="41"/>
      <c r="AA44" s="41"/>
      <c r="AC44" s="33" t="str">
        <f t="shared" si="0"/>
        <v>·</v>
      </c>
      <c r="AD44" s="34">
        <f t="shared" si="1"/>
        <v>1.5217813066276358</v>
      </c>
      <c r="AE44" s="34">
        <f t="shared" si="2"/>
        <v>0.28037814887599299</v>
      </c>
      <c r="AF44" s="34">
        <f t="shared" si="3"/>
        <v>1.2408013293017865</v>
      </c>
      <c r="AG44" s="35"/>
      <c r="AH44" s="34">
        <f t="shared" si="4"/>
        <v>1.5288110558507146</v>
      </c>
      <c r="AI44" s="36">
        <f>Test!E749</f>
        <v>754207</v>
      </c>
      <c r="AJ44" s="37">
        <v>1153040</v>
      </c>
      <c r="AK44" s="37">
        <v>212440</v>
      </c>
      <c r="AL44" s="37">
        <v>940144</v>
      </c>
      <c r="AM44" s="38"/>
      <c r="AN44" s="39">
        <f>Test!J749</f>
        <v>70.785146100000006</v>
      </c>
      <c r="AO44" s="39">
        <f>Test!K749</f>
        <v>73.698294099999998</v>
      </c>
      <c r="AP44" s="39">
        <f>Test!L749</f>
        <v>40.818941100000004</v>
      </c>
      <c r="AQ44" s="39">
        <f>Test!M749</f>
        <v>45.921238099999997</v>
      </c>
      <c r="AR44" s="39">
        <f>Test!N749</f>
        <v>43.2058386</v>
      </c>
      <c r="AS44" s="40"/>
      <c r="AT44" s="41"/>
      <c r="AU44" s="41"/>
      <c r="AW44" s="42">
        <f t="shared" si="5"/>
        <v>0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">
        <v>1042</v>
      </c>
      <c r="J45" s="19" t="s">
        <v>1042</v>
      </c>
      <c r="K45" s="19" t="s">
        <v>1042</v>
      </c>
      <c r="L45" s="19" t="s">
        <v>1042</v>
      </c>
      <c r="M45" s="20"/>
      <c r="N45" s="19" t="s">
        <v>1042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0"/>
        <v>·</v>
      </c>
      <c r="AD45" s="19">
        <f t="shared" si="1"/>
        <v>0</v>
      </c>
      <c r="AE45" s="19">
        <f t="shared" si="2"/>
        <v>0</v>
      </c>
      <c r="AF45" s="19">
        <f t="shared" si="3"/>
        <v>0</v>
      </c>
      <c r="AG45" s="20"/>
      <c r="AH45" s="19" t="e">
        <f t="shared" si="4"/>
        <v>#DIV/0!</v>
      </c>
      <c r="AI45" s="21"/>
      <c r="AJ45" s="22">
        <v>0</v>
      </c>
      <c r="AK45" s="22">
        <v>0</v>
      </c>
      <c r="AL45" s="22">
        <v>0</v>
      </c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5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">
        <v>1042</v>
      </c>
      <c r="J46" s="49" t="s">
        <v>1042</v>
      </c>
      <c r="K46" s="49" t="s">
        <v>1042</v>
      </c>
      <c r="L46" s="49" t="s">
        <v>1042</v>
      </c>
      <c r="M46" s="50"/>
      <c r="N46" s="49" t="s">
        <v>1042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0"/>
        <v>·</v>
      </c>
      <c r="AD46" s="49">
        <f t="shared" si="1"/>
        <v>0</v>
      </c>
      <c r="AE46" s="49">
        <f t="shared" si="2"/>
        <v>0</v>
      </c>
      <c r="AF46" s="49">
        <f t="shared" si="3"/>
        <v>0</v>
      </c>
      <c r="AG46" s="50"/>
      <c r="AH46" s="49" t="e">
        <f t="shared" si="4"/>
        <v>#DIV/0!</v>
      </c>
      <c r="AI46" s="51"/>
      <c r="AJ46" s="52">
        <v>0</v>
      </c>
      <c r="AK46" s="52">
        <v>0</v>
      </c>
      <c r="AL46" s="52">
        <v>0</v>
      </c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5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">
        <v>1042</v>
      </c>
      <c r="J47" s="19">
        <v>7.0892147671773986E-2</v>
      </c>
      <c r="K47" s="19">
        <v>7.8964934977885232E-3</v>
      </c>
      <c r="L47" s="19">
        <v>6.251084620109798E-2</v>
      </c>
      <c r="M47" s="20"/>
      <c r="N47" s="19">
        <v>7.5161429437837129E-2</v>
      </c>
      <c r="O47" s="21">
        <v>1027229</v>
      </c>
      <c r="P47" s="22">
        <v>77208</v>
      </c>
      <c r="Q47" s="22">
        <v>8600</v>
      </c>
      <c r="R47" s="22">
        <v>68080</v>
      </c>
      <c r="S47" s="23"/>
      <c r="T47" s="24">
        <v>55.221762900000002</v>
      </c>
      <c r="U47" s="24">
        <v>56.765035500000003</v>
      </c>
      <c r="V47" s="24">
        <v>28.014441900000001</v>
      </c>
      <c r="W47" s="24">
        <v>44.902485800000001</v>
      </c>
      <c r="X47" s="24">
        <v>45.497867999999997</v>
      </c>
      <c r="Y47" s="23"/>
      <c r="Z47" s="26"/>
      <c r="AA47" s="26"/>
      <c r="AC47" s="18" t="str">
        <f t="shared" si="0"/>
        <v>·</v>
      </c>
      <c r="AD47" s="19">
        <f t="shared" si="1"/>
        <v>7.0289810493338017E-2</v>
      </c>
      <c r="AE47" s="19">
        <f t="shared" si="2"/>
        <v>7.8230377443207228E-3</v>
      </c>
      <c r="AF47" s="19">
        <f t="shared" si="3"/>
        <v>6.1981964776129821E-2</v>
      </c>
      <c r="AG47" s="20"/>
      <c r="AH47" s="19">
        <f t="shared" si="4"/>
        <v>7.4522818183676662E-2</v>
      </c>
      <c r="AI47" s="21">
        <f>Test!E752</f>
        <v>1027229</v>
      </c>
      <c r="AJ47" s="22">
        <v>76552</v>
      </c>
      <c r="AK47" s="22">
        <v>8520</v>
      </c>
      <c r="AL47" s="22">
        <v>67504</v>
      </c>
      <c r="AM47" s="23"/>
      <c r="AN47" s="24">
        <f>Test!J752</f>
        <v>55.221762900000002</v>
      </c>
      <c r="AO47" s="24">
        <f>Test!K752</f>
        <v>56.765035500000003</v>
      </c>
      <c r="AP47" s="24">
        <f>Test!L752</f>
        <v>28.014441900000001</v>
      </c>
      <c r="AQ47" s="24">
        <f>Test!M752</f>
        <v>44.902485800000001</v>
      </c>
      <c r="AR47" s="24">
        <f>Test!N752</f>
        <v>45.497867999999997</v>
      </c>
      <c r="AS47" s="25"/>
      <c r="AT47" s="26"/>
      <c r="AU47" s="26"/>
      <c r="AW47" s="27">
        <f t="shared" si="5"/>
        <v>-9.0524765242266936E-5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-1.3053029427099183E-2</v>
      </c>
      <c r="BA47" s="28">
        <f>IF( OR(ISBLANK(Q47:Q52),ISBLANK(AK47:AK52), ISBLANK(U47:U52),ISBLANK(AO47:AO52)), "·", bdRateExtend( Q47:Q52,U47:U52, AK47:AK52,AO47:AO52))</f>
        <v>-1.2566343549200276E-2</v>
      </c>
      <c r="BB47" s="28">
        <f>IF( OR(ISBLANK(R47:R52),ISBLANK(AL47:AL52), ISBLANK(V47:V52),ISBLANK(AP47:AP52)), "·", bdRateExtend( R47:R52,V47:V52, AL47:AL52,AP47:AP52))</f>
        <v>-4.2516182007323877E-3</v>
      </c>
      <c r="BC47" s="28">
        <f>IF( OR(ISBLANK(R47:R52),ISBLANK(AL47:AL52), ISBLANK(W47:W52),ISBLANK(AQ47:AQ52)), "·", bdRateExtend( R47:R52,W47:W52, AL47:AL52,AQ47:AQ52))</f>
        <v>-4.1427224907144566E-3</v>
      </c>
      <c r="BD47" s="28">
        <f>IF( OR(ISBLANK(R47:R52),ISBLANK(AL47:AL52), ISBLANK(X47:X52),ISBLANK(AR47:AR52)), "·", bdRateExtend( R47:R52,X47:X52, AL47:AL52,AR47:AR52))</f>
        <v>-4.1743143520783788E-3</v>
      </c>
      <c r="BE47" s="29"/>
      <c r="BG47" s="28">
        <f>IF( OR(ISBLANK(P47:P52),ISBLANK(AJ47:AJ52), ISBLANK(T47:T52),ISBLANK(AN47:AN52)), "·", bdRateExtend( P47:P52,T47:T52, AJ47:AJ52,AN47:AN52))</f>
        <v>-6.6847127592702948E-3</v>
      </c>
      <c r="BH47" s="28">
        <f>IF( OR(ISBLANK(P47:P52),ISBLANK(AJ47:AJ52), ISBLANK(U47:U52),ISBLANK(AO47:AO52)), "·", bdRateExtend( P47:P52,U47:U52, AJ47:AJ52,AO47:AO52))</f>
        <v>-6.2304930167991213E-3</v>
      </c>
      <c r="BI47" s="28">
        <f>IF( OR(ISBLANK(P47:P52),ISBLANK(AJ47:AJ52), ISBLANK(V47:V52),ISBLANK(AP47:AP52)), "·", bdRateExtend( P47:P52,V47:V52, AJ47:AJ52,AP47:AP52))</f>
        <v>-5.2497788280152502E-3</v>
      </c>
      <c r="BJ47" s="28">
        <f>IF( OR(ISBLANK(P47:P52),ISBLANK(AJ47:AJ52), ISBLANK(W47:W52),ISBLANK(AQ47:AQ52)), "·", bdRateExtend( P47:P52,W47:W52, AJ47:AJ52,AQ47:AQ52))</f>
        <v>-5.117464750507672E-3</v>
      </c>
      <c r="BK47" s="28">
        <f>IF( OR(ISBLANK(P47:P52),ISBLANK(AJ47:AJ52), ISBLANK(X47:X52),ISBLANK(AR47:AR52)), "·", bdRateExtend( P47:P52,X47:X52, AJ47:AJ52,AR47:AR52))</f>
        <v>-5.1518751088370784E-3</v>
      </c>
      <c r="BL47" s="29"/>
    </row>
    <row r="48" spans="1:64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">
        <v>1042</v>
      </c>
      <c r="J48" s="34">
        <v>0.18916325633027911</v>
      </c>
      <c r="K48" s="34">
        <v>2.6010682302948056E-2</v>
      </c>
      <c r="L48" s="34">
        <v>0.16266776605444358</v>
      </c>
      <c r="M48" s="35"/>
      <c r="N48" s="34">
        <v>0.21043728740845158</v>
      </c>
      <c r="O48" s="36">
        <v>978990</v>
      </c>
      <c r="P48" s="37">
        <v>206016</v>
      </c>
      <c r="Q48" s="37">
        <v>28328</v>
      </c>
      <c r="R48" s="37">
        <v>177160</v>
      </c>
      <c r="S48" s="38"/>
      <c r="T48" s="39">
        <v>63.359857699999999</v>
      </c>
      <c r="U48" s="39">
        <v>64.321419800000001</v>
      </c>
      <c r="V48" s="39">
        <v>32.019770700000002</v>
      </c>
      <c r="W48" s="39">
        <v>46.860816700000001</v>
      </c>
      <c r="X48" s="39">
        <v>47.505224599999998</v>
      </c>
      <c r="Y48" s="38"/>
      <c r="Z48" s="41"/>
      <c r="AA48" s="41"/>
      <c r="AC48" s="33" t="str">
        <f t="shared" si="0"/>
        <v>·</v>
      </c>
      <c r="AD48" s="34">
        <f t="shared" si="1"/>
        <v>0.18762803108280207</v>
      </c>
      <c r="AE48" s="34">
        <f t="shared" si="2"/>
        <v>2.5547911056100915E-2</v>
      </c>
      <c r="AF48" s="34">
        <f t="shared" si="3"/>
        <v>0.16159531205381369</v>
      </c>
      <c r="AG48" s="35"/>
      <c r="AH48" s="34">
        <f t="shared" si="4"/>
        <v>0.20872940479473742</v>
      </c>
      <c r="AI48" s="36">
        <f>Test!E753</f>
        <v>978990</v>
      </c>
      <c r="AJ48" s="37">
        <v>204344</v>
      </c>
      <c r="AK48" s="37">
        <v>27824</v>
      </c>
      <c r="AL48" s="37">
        <v>175992</v>
      </c>
      <c r="AM48" s="38"/>
      <c r="AN48" s="39">
        <f>Test!J753</f>
        <v>63.359857699999999</v>
      </c>
      <c r="AO48" s="39">
        <f>Test!K753</f>
        <v>64.321419800000001</v>
      </c>
      <c r="AP48" s="39">
        <f>Test!L753</f>
        <v>32.019770700000002</v>
      </c>
      <c r="AQ48" s="39">
        <f>Test!M753</f>
        <v>46.860816700000001</v>
      </c>
      <c r="AR48" s="39">
        <f>Test!N753</f>
        <v>47.505224599999998</v>
      </c>
      <c r="AS48" s="40"/>
      <c r="AT48" s="41"/>
      <c r="AU48" s="41"/>
      <c r="AW48" s="42">
        <f t="shared" si="5"/>
        <v>-1.3413337670810377E-3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">
        <v>1042</v>
      </c>
      <c r="J49" s="19">
        <v>0.49378426596124658</v>
      </c>
      <c r="K49" s="19">
        <v>9.1356920587903123E-2</v>
      </c>
      <c r="L49" s="19">
        <v>0.40194253740045599</v>
      </c>
      <c r="M49" s="20"/>
      <c r="N49" s="19">
        <v>0.53828791180412572</v>
      </c>
      <c r="O49" s="21">
        <v>999049</v>
      </c>
      <c r="P49" s="22">
        <v>537776</v>
      </c>
      <c r="Q49" s="22">
        <v>99496</v>
      </c>
      <c r="R49" s="22">
        <v>437752</v>
      </c>
      <c r="S49" s="23"/>
      <c r="T49" s="24">
        <v>68.543634499999996</v>
      </c>
      <c r="U49" s="24">
        <v>71.031899199999998</v>
      </c>
      <c r="V49" s="24">
        <v>36.056911999999997</v>
      </c>
      <c r="W49" s="24">
        <v>48.7110804</v>
      </c>
      <c r="X49" s="24">
        <v>49.394374900000003</v>
      </c>
      <c r="Y49" s="23"/>
      <c r="Z49" s="26"/>
      <c r="AA49" s="26"/>
      <c r="AC49" s="18" t="str">
        <f t="shared" si="0"/>
        <v>·</v>
      </c>
      <c r="AD49" s="19">
        <f t="shared" si="1"/>
        <v>0.49251348142625362</v>
      </c>
      <c r="AE49" s="19">
        <f t="shared" si="2"/>
        <v>9.0688473231346142E-2</v>
      </c>
      <c r="AF49" s="19">
        <f t="shared" si="3"/>
        <v>0.40134020022201999</v>
      </c>
      <c r="AG49" s="20"/>
      <c r="AH49" s="19">
        <f t="shared" si="4"/>
        <v>0.5369025943672433</v>
      </c>
      <c r="AI49" s="21">
        <f>Test!E754</f>
        <v>999049</v>
      </c>
      <c r="AJ49" s="22">
        <v>536392</v>
      </c>
      <c r="AK49" s="22">
        <v>98768</v>
      </c>
      <c r="AL49" s="22">
        <v>437096</v>
      </c>
      <c r="AM49" s="23"/>
      <c r="AN49" s="24">
        <f>Test!J754</f>
        <v>68.543634499999996</v>
      </c>
      <c r="AO49" s="24">
        <f>Test!K754</f>
        <v>71.031899199999998</v>
      </c>
      <c r="AP49" s="24">
        <f>Test!L754</f>
        <v>36.056911999999997</v>
      </c>
      <c r="AQ49" s="24">
        <f>Test!M754</f>
        <v>48.7110804</v>
      </c>
      <c r="AR49" s="24">
        <f>Test!N754</f>
        <v>49.394374900000003</v>
      </c>
      <c r="AS49" s="25"/>
      <c r="AT49" s="26"/>
      <c r="AU49" s="26"/>
      <c r="AW49" s="27">
        <f t="shared" si="5"/>
        <v>-8.7984319806602707E-4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">
        <v>1042</v>
      </c>
      <c r="J50" s="34">
        <v>1.1565314560491271</v>
      </c>
      <c r="K50" s="34">
        <v>0.2751946347917667</v>
      </c>
      <c r="L50" s="34">
        <v>0.88085201328447305</v>
      </c>
      <c r="M50" s="35"/>
      <c r="N50" s="34">
        <v>1.1729197280127837</v>
      </c>
      <c r="O50" s="36">
        <v>1073874</v>
      </c>
      <c r="P50" s="37">
        <v>1259568</v>
      </c>
      <c r="Q50" s="37">
        <v>299712</v>
      </c>
      <c r="R50" s="37">
        <v>959328</v>
      </c>
      <c r="S50" s="38"/>
      <c r="T50" s="39">
        <v>71.0163297</v>
      </c>
      <c r="U50" s="39">
        <v>74.128181799999993</v>
      </c>
      <c r="V50" s="39">
        <v>39.625661999999998</v>
      </c>
      <c r="W50" s="39">
        <v>50.609757999999999</v>
      </c>
      <c r="X50" s="39">
        <v>51.297490699999997</v>
      </c>
      <c r="Y50" s="38"/>
      <c r="Z50" s="41"/>
      <c r="AA50" s="41"/>
      <c r="AC50" s="33" t="str">
        <f t="shared" si="0"/>
        <v>·</v>
      </c>
      <c r="AD50" s="34">
        <f t="shared" si="1"/>
        <v>1.1565314560491271</v>
      </c>
      <c r="AE50" s="34">
        <f t="shared" si="2"/>
        <v>0.2751946347917667</v>
      </c>
      <c r="AF50" s="34">
        <f t="shared" si="3"/>
        <v>0.88085201328447305</v>
      </c>
      <c r="AG50" s="35"/>
      <c r="AH50" s="34">
        <f t="shared" si="4"/>
        <v>1.1729197280127837</v>
      </c>
      <c r="AI50" s="36">
        <f>Test!E755</f>
        <v>1073874</v>
      </c>
      <c r="AJ50" s="37">
        <v>1259568</v>
      </c>
      <c r="AK50" s="37">
        <v>299712</v>
      </c>
      <c r="AL50" s="37">
        <v>959328</v>
      </c>
      <c r="AM50" s="38"/>
      <c r="AN50" s="39">
        <f>Test!J755</f>
        <v>71.0163297</v>
      </c>
      <c r="AO50" s="39">
        <f>Test!K755</f>
        <v>74.128181799999993</v>
      </c>
      <c r="AP50" s="39">
        <f>Test!L755</f>
        <v>39.625661999999998</v>
      </c>
      <c r="AQ50" s="39">
        <f>Test!M755</f>
        <v>50.609757999999999</v>
      </c>
      <c r="AR50" s="39">
        <f>Test!N755</f>
        <v>51.297490699999997</v>
      </c>
      <c r="AS50" s="40"/>
      <c r="AT50" s="41"/>
      <c r="AU50" s="41"/>
      <c r="AW50" s="42">
        <f t="shared" si="5"/>
        <v>0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">
        <v>1042</v>
      </c>
      <c r="J51" s="19" t="s">
        <v>1042</v>
      </c>
      <c r="K51" s="19" t="s">
        <v>1042</v>
      </c>
      <c r="L51" s="19" t="s">
        <v>1042</v>
      </c>
      <c r="M51" s="20"/>
      <c r="N51" s="19" t="s">
        <v>1042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0"/>
        <v>·</v>
      </c>
      <c r="AD51" s="19">
        <f t="shared" si="1"/>
        <v>0</v>
      </c>
      <c r="AE51" s="19">
        <f t="shared" si="2"/>
        <v>0</v>
      </c>
      <c r="AF51" s="19">
        <f t="shared" si="3"/>
        <v>0</v>
      </c>
      <c r="AG51" s="20"/>
      <c r="AH51" s="19" t="e">
        <f t="shared" si="4"/>
        <v>#DIV/0!</v>
      </c>
      <c r="AI51" s="21"/>
      <c r="AJ51" s="22">
        <v>0</v>
      </c>
      <c r="AK51" s="22">
        <v>0</v>
      </c>
      <c r="AL51" s="22">
        <v>0</v>
      </c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5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">
        <v>1042</v>
      </c>
      <c r="J52" s="49" t="s">
        <v>1042</v>
      </c>
      <c r="K52" s="49" t="s">
        <v>1042</v>
      </c>
      <c r="L52" s="49" t="s">
        <v>1042</v>
      </c>
      <c r="M52" s="50"/>
      <c r="N52" s="49" t="s">
        <v>1042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0"/>
        <v>·</v>
      </c>
      <c r="AD52" s="49">
        <f t="shared" si="1"/>
        <v>0</v>
      </c>
      <c r="AE52" s="49">
        <f t="shared" si="2"/>
        <v>0</v>
      </c>
      <c r="AF52" s="49">
        <f t="shared" si="3"/>
        <v>0</v>
      </c>
      <c r="AG52" s="50"/>
      <c r="AH52" s="49" t="e">
        <f t="shared" si="4"/>
        <v>#DIV/0!</v>
      </c>
      <c r="AI52" s="51"/>
      <c r="AJ52" s="52">
        <v>0</v>
      </c>
      <c r="AK52" s="52">
        <v>0</v>
      </c>
      <c r="AL52" s="52">
        <v>0</v>
      </c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5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">
        <v>1042</v>
      </c>
      <c r="J53" s="19">
        <v>4.2343417305201081E-2</v>
      </c>
      <c r="K53" s="19">
        <v>2.3998351550931804E-3</v>
      </c>
      <c r="L53" s="19">
        <v>3.9769792170825324E-2</v>
      </c>
      <c r="M53" s="20"/>
      <c r="N53" s="19">
        <v>0.14222268004510985</v>
      </c>
      <c r="O53" s="21">
        <v>931947</v>
      </c>
      <c r="P53" s="22">
        <v>132544</v>
      </c>
      <c r="Q53" s="22">
        <v>7512</v>
      </c>
      <c r="R53" s="22">
        <v>124488</v>
      </c>
      <c r="S53" s="23"/>
      <c r="T53" s="24">
        <v>61.420519599999999</v>
      </c>
      <c r="U53" s="24">
        <v>62.330017300000002</v>
      </c>
      <c r="V53" s="24">
        <v>26.839001700000001</v>
      </c>
      <c r="W53" s="24">
        <v>35.291375500000001</v>
      </c>
      <c r="X53" s="24">
        <v>35.412753899999998</v>
      </c>
      <c r="Y53" s="23"/>
      <c r="Z53" s="26"/>
      <c r="AA53" s="26"/>
      <c r="AC53" s="18" t="str">
        <f t="shared" si="0"/>
        <v>·</v>
      </c>
      <c r="AD53" s="19">
        <f t="shared" si="1"/>
        <v>4.1796490017458866E-2</v>
      </c>
      <c r="AE53" s="19">
        <f t="shared" si="2"/>
        <v>2.3666106002303358E-3</v>
      </c>
      <c r="AF53" s="19">
        <f t="shared" si="3"/>
        <v>3.9256089437945958E-2</v>
      </c>
      <c r="AG53" s="20"/>
      <c r="AH53" s="19">
        <f t="shared" si="4"/>
        <v>0.14038566570845767</v>
      </c>
      <c r="AI53" s="21">
        <f>Test!E758</f>
        <v>931947</v>
      </c>
      <c r="AJ53" s="22">
        <v>130832</v>
      </c>
      <c r="AK53" s="22">
        <v>7408</v>
      </c>
      <c r="AL53" s="22">
        <v>122880</v>
      </c>
      <c r="AM53" s="23"/>
      <c r="AN53" s="24">
        <f>Test!J758</f>
        <v>61.420519599999999</v>
      </c>
      <c r="AO53" s="24">
        <f>Test!K758</f>
        <v>62.330017300000002</v>
      </c>
      <c r="AP53" s="24">
        <f>Test!L758</f>
        <v>26.839001700000001</v>
      </c>
      <c r="AQ53" s="24">
        <f>Test!M758</f>
        <v>35.291375500000001</v>
      </c>
      <c r="AR53" s="24">
        <f>Test!N758</f>
        <v>35.412753899999998</v>
      </c>
      <c r="AS53" s="25"/>
      <c r="AT53" s="26"/>
      <c r="AU53" s="26"/>
      <c r="AW53" s="27">
        <f t="shared" si="5"/>
        <v>-5.3285980090307661E-5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-1.4584139663456508E-2</v>
      </c>
      <c r="BA53" s="28">
        <f>IF( OR(ISBLANK(Q53:Q58),ISBLANK(AK53:AK58), ISBLANK(U53:U58),ISBLANK(AO53:AO58)), "·", bdRateExtend( Q53:Q58,U53:U58, AK53:AK58,AO53:AO58))</f>
        <v>-1.4189466851233123E-2</v>
      </c>
      <c r="BB53" s="28">
        <f>IF( OR(ISBLANK(R53:R58),ISBLANK(AL53:AL58), ISBLANK(V53:V58),ISBLANK(AP53:AP58)), "·", bdRateExtend( R53:R58,V53:V58, AL53:AL58,AP53:AP58))</f>
        <v>-6.6663500044141788E-3</v>
      </c>
      <c r="BC53" s="28">
        <f>IF( OR(ISBLANK(R53:R58),ISBLANK(AL53:AL58), ISBLANK(W53:W58),ISBLANK(AQ53:AQ58)), "·", bdRateExtend( R53:R58,W53:W58, AL53:AL58,AQ53:AQ58))</f>
        <v>-6.1527129238327927E-3</v>
      </c>
      <c r="BD53" s="28">
        <f>IF( OR(ISBLANK(R53:R58),ISBLANK(AL53:AL58), ISBLANK(X53:X58),ISBLANK(AR53:AR58)), "·", bdRateExtend( R53:R58,X53:X58, AL53:AL58,AR53:AR58))</f>
        <v>-6.132329840876416E-3</v>
      </c>
      <c r="BE53" s="29"/>
      <c r="BG53" s="28">
        <f>IF( OR(ISBLANK(P53:P58),ISBLANK(AJ53:AJ58), ISBLANK(T53:T58),ISBLANK(AN53:AN58)), "·", bdRateExtend( P53:P58,T53:T58, AJ53:AJ58,AN53:AN58))</f>
        <v>-8.3029982644303724E-3</v>
      </c>
      <c r="BH53" s="28">
        <f>IF( OR(ISBLANK(P53:P58),ISBLANK(AJ53:AJ58), ISBLANK(U53:U58),ISBLANK(AO53:AO58)), "·", bdRateExtend( P53:P58,U53:U58, AJ53:AJ58,AO53:AO58))</f>
        <v>-8.1674626115459947E-3</v>
      </c>
      <c r="BI53" s="28">
        <f>IF( OR(ISBLANK(P53:P58),ISBLANK(AJ53:AJ58), ISBLANK(V53:V58),ISBLANK(AP53:AP58)), "·", bdRateExtend( P53:P58,V53:V58, AJ53:AJ58,AP53:AP58))</f>
        <v>-7.1260019443156741E-3</v>
      </c>
      <c r="BJ53" s="28">
        <f>IF( OR(ISBLANK(P53:P58),ISBLANK(AJ53:AJ58), ISBLANK(W53:W58),ISBLANK(AQ53:AQ58)), "·", bdRateExtend( P53:P58,W53:W58, AJ53:AJ58,AQ53:AQ58))</f>
        <v>-6.5950379565722361E-3</v>
      </c>
      <c r="BK53" s="28">
        <f>IF( OR(ISBLANK(P53:P58),ISBLANK(AJ53:AJ58), ISBLANK(X53:X58),ISBLANK(AR53:AR58)), "·", bdRateExtend( P53:P58,X53:X58, AJ53:AJ58,AR53:AR58))</f>
        <v>-6.5750052261673853E-3</v>
      </c>
      <c r="BL53" s="29"/>
    </row>
    <row r="54" spans="1:64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">
        <v>1042</v>
      </c>
      <c r="J54" s="34">
        <v>0.11908702756839386</v>
      </c>
      <c r="K54" s="34">
        <v>8.1093471215236013E-3</v>
      </c>
      <c r="L54" s="34">
        <v>0.11080389046758769</v>
      </c>
      <c r="M54" s="35"/>
      <c r="N54" s="34">
        <v>0.41785169026999036</v>
      </c>
      <c r="O54" s="36">
        <v>892106</v>
      </c>
      <c r="P54" s="37">
        <v>372768</v>
      </c>
      <c r="Q54" s="37">
        <v>25384</v>
      </c>
      <c r="R54" s="37">
        <v>346840</v>
      </c>
      <c r="S54" s="38"/>
      <c r="T54" s="39">
        <v>68.131775399999995</v>
      </c>
      <c r="U54" s="39">
        <v>70.0470021</v>
      </c>
      <c r="V54" s="39">
        <v>30.246391200000001</v>
      </c>
      <c r="W54" s="39">
        <v>38.7720646</v>
      </c>
      <c r="X54" s="39">
        <v>38.875118800000003</v>
      </c>
      <c r="Y54" s="38"/>
      <c r="Z54" s="41"/>
      <c r="AA54" s="41"/>
      <c r="AC54" s="33" t="str">
        <f t="shared" si="0"/>
        <v>·</v>
      </c>
      <c r="AD54" s="34">
        <f t="shared" si="1"/>
        <v>0.11809029092250851</v>
      </c>
      <c r="AE54" s="34">
        <f t="shared" si="2"/>
        <v>7.9713374320933231E-3</v>
      </c>
      <c r="AF54" s="34">
        <f t="shared" si="3"/>
        <v>0.10994516351113262</v>
      </c>
      <c r="AG54" s="35"/>
      <c r="AH54" s="34">
        <f t="shared" si="4"/>
        <v>0.41435434802590726</v>
      </c>
      <c r="AI54" s="36">
        <f>Test!E759</f>
        <v>892106</v>
      </c>
      <c r="AJ54" s="37">
        <v>369648</v>
      </c>
      <c r="AK54" s="37">
        <v>24952</v>
      </c>
      <c r="AL54" s="37">
        <v>344152</v>
      </c>
      <c r="AM54" s="38"/>
      <c r="AN54" s="39">
        <f>Test!J759</f>
        <v>68.131775399999995</v>
      </c>
      <c r="AO54" s="39">
        <f>Test!K759</f>
        <v>70.0470021</v>
      </c>
      <c r="AP54" s="39">
        <f>Test!L759</f>
        <v>30.246391200000001</v>
      </c>
      <c r="AQ54" s="39">
        <f>Test!M759</f>
        <v>38.7720646</v>
      </c>
      <c r="AR54" s="39">
        <f>Test!N759</f>
        <v>38.875118800000003</v>
      </c>
      <c r="AS54" s="40"/>
      <c r="AT54" s="41"/>
      <c r="AU54" s="41"/>
      <c r="AW54" s="42">
        <f t="shared" si="5"/>
        <v>-5.9391789329735212E-4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">
        <v>1042</v>
      </c>
      <c r="J55" s="19">
        <v>0.29247575645762353</v>
      </c>
      <c r="K55" s="19">
        <v>2.8465776312489716E-2</v>
      </c>
      <c r="L55" s="19">
        <v>0.26383619016585125</v>
      </c>
      <c r="M55" s="20"/>
      <c r="N55" s="19">
        <v>0.99197975109273451</v>
      </c>
      <c r="O55" s="21">
        <v>922914</v>
      </c>
      <c r="P55" s="22">
        <v>915512</v>
      </c>
      <c r="Q55" s="22">
        <v>89104</v>
      </c>
      <c r="R55" s="22">
        <v>825864</v>
      </c>
      <c r="S55" s="23"/>
      <c r="T55" s="24">
        <v>73.398913100000001</v>
      </c>
      <c r="U55" s="24">
        <v>75.143049500000004</v>
      </c>
      <c r="V55" s="24">
        <v>33.5654556</v>
      </c>
      <c r="W55" s="24">
        <v>42.123215299999998</v>
      </c>
      <c r="X55" s="24">
        <v>42.2501441</v>
      </c>
      <c r="Y55" s="23"/>
      <c r="Z55" s="26"/>
      <c r="AA55" s="26"/>
      <c r="AC55" s="18" t="str">
        <f t="shared" si="0"/>
        <v>·</v>
      </c>
      <c r="AD55" s="19">
        <f t="shared" si="1"/>
        <v>0.29135634453224457</v>
      </c>
      <c r="AE55" s="19">
        <f t="shared" si="2"/>
        <v>2.8215314283523654E-2</v>
      </c>
      <c r="AF55" s="19">
        <f t="shared" si="3"/>
        <v>0.26296724026943835</v>
      </c>
      <c r="AG55" s="20"/>
      <c r="AH55" s="19">
        <f t="shared" si="4"/>
        <v>0.9881830809804597</v>
      </c>
      <c r="AI55" s="21">
        <f>Test!E760</f>
        <v>922914</v>
      </c>
      <c r="AJ55" s="22">
        <v>912008</v>
      </c>
      <c r="AK55" s="22">
        <v>88320</v>
      </c>
      <c r="AL55" s="22">
        <v>823144</v>
      </c>
      <c r="AM55" s="23"/>
      <c r="AN55" s="24">
        <f>Test!J760</f>
        <v>73.398913100000001</v>
      </c>
      <c r="AO55" s="24">
        <f>Test!K760</f>
        <v>75.143049500000004</v>
      </c>
      <c r="AP55" s="24">
        <f>Test!L760</f>
        <v>33.5654556</v>
      </c>
      <c r="AQ55" s="24">
        <f>Test!M760</f>
        <v>42.123215299999998</v>
      </c>
      <c r="AR55" s="24">
        <f>Test!N760</f>
        <v>42.2501441</v>
      </c>
      <c r="AS55" s="25"/>
      <c r="AT55" s="26"/>
      <c r="AU55" s="26"/>
      <c r="AW55" s="27">
        <f t="shared" si="5"/>
        <v>-4.8570443615407466E-4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">
        <v>1042</v>
      </c>
      <c r="J56" s="34">
        <v>0.60416297283093978</v>
      </c>
      <c r="K56" s="34">
        <v>8.585991697055953E-2</v>
      </c>
      <c r="L56" s="34">
        <v>0.51812926588109764</v>
      </c>
      <c r="M56" s="35"/>
      <c r="N56" s="34">
        <v>1.9145229232322025</v>
      </c>
      <c r="O56" s="36">
        <v>987797</v>
      </c>
      <c r="P56" s="37">
        <v>1891160</v>
      </c>
      <c r="Q56" s="37">
        <v>268760</v>
      </c>
      <c r="R56" s="37">
        <v>1621856</v>
      </c>
      <c r="S56" s="38"/>
      <c r="T56" s="39">
        <v>74.497880899999998</v>
      </c>
      <c r="U56" s="39">
        <v>77.029299699999996</v>
      </c>
      <c r="V56" s="39">
        <v>35.328187399999997</v>
      </c>
      <c r="W56" s="39">
        <v>44.821672</v>
      </c>
      <c r="X56" s="39">
        <v>44.966087999999999</v>
      </c>
      <c r="Y56" s="38"/>
      <c r="Z56" s="41"/>
      <c r="AA56" s="41"/>
      <c r="AC56" s="33" t="str">
        <f t="shared" si="0"/>
        <v>·</v>
      </c>
      <c r="AD56" s="34">
        <f t="shared" si="1"/>
        <v>0.60416297283093978</v>
      </c>
      <c r="AE56" s="34">
        <f t="shared" si="2"/>
        <v>8.585991697055953E-2</v>
      </c>
      <c r="AF56" s="34">
        <f t="shared" si="3"/>
        <v>0.51812926588109764</v>
      </c>
      <c r="AG56" s="35"/>
      <c r="AH56" s="34">
        <f t="shared" si="4"/>
        <v>1.9145229232322025</v>
      </c>
      <c r="AI56" s="36">
        <f>Test!E761</f>
        <v>987797</v>
      </c>
      <c r="AJ56" s="37">
        <v>1891160</v>
      </c>
      <c r="AK56" s="37">
        <v>268760</v>
      </c>
      <c r="AL56" s="37">
        <v>1621856</v>
      </c>
      <c r="AM56" s="38"/>
      <c r="AN56" s="39">
        <f>Test!J761</f>
        <v>74.497880899999998</v>
      </c>
      <c r="AO56" s="39">
        <f>Test!K761</f>
        <v>77.029299699999996</v>
      </c>
      <c r="AP56" s="39">
        <f>Test!L761</f>
        <v>35.328187399999997</v>
      </c>
      <c r="AQ56" s="39">
        <f>Test!M761</f>
        <v>44.821672</v>
      </c>
      <c r="AR56" s="39">
        <f>Test!N761</f>
        <v>44.966087999999999</v>
      </c>
      <c r="AS56" s="40"/>
      <c r="AT56" s="41"/>
      <c r="AU56" s="41"/>
      <c r="AW56" s="42">
        <f t="shared" si="5"/>
        <v>0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">
        <v>1042</v>
      </c>
      <c r="J57" s="19" t="s">
        <v>1042</v>
      </c>
      <c r="K57" s="19" t="s">
        <v>1042</v>
      </c>
      <c r="L57" s="19" t="s">
        <v>1042</v>
      </c>
      <c r="M57" s="20"/>
      <c r="N57" s="19" t="s">
        <v>1042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0"/>
        <v>·</v>
      </c>
      <c r="AD57" s="19">
        <f t="shared" si="1"/>
        <v>0</v>
      </c>
      <c r="AE57" s="19">
        <f t="shared" si="2"/>
        <v>0</v>
      </c>
      <c r="AF57" s="19">
        <f t="shared" si="3"/>
        <v>0</v>
      </c>
      <c r="AG57" s="20"/>
      <c r="AH57" s="19" t="e">
        <f t="shared" si="4"/>
        <v>#DIV/0!</v>
      </c>
      <c r="AI57" s="21"/>
      <c r="AJ57" s="22">
        <v>0</v>
      </c>
      <c r="AK57" s="22">
        <v>0</v>
      </c>
      <c r="AL57" s="22">
        <v>0</v>
      </c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5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">
        <v>1042</v>
      </c>
      <c r="J58" s="49" t="s">
        <v>1042</v>
      </c>
      <c r="K58" s="49" t="s">
        <v>1042</v>
      </c>
      <c r="L58" s="49" t="s">
        <v>1042</v>
      </c>
      <c r="M58" s="50"/>
      <c r="N58" s="49" t="s">
        <v>1042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0"/>
        <v>·</v>
      </c>
      <c r="AD58" s="49">
        <f t="shared" si="1"/>
        <v>0</v>
      </c>
      <c r="AE58" s="49">
        <f t="shared" si="2"/>
        <v>0</v>
      </c>
      <c r="AF58" s="49">
        <f t="shared" si="3"/>
        <v>0</v>
      </c>
      <c r="AG58" s="50"/>
      <c r="AH58" s="49" t="e">
        <f t="shared" si="4"/>
        <v>#DIV/0!</v>
      </c>
      <c r="AI58" s="51"/>
      <c r="AJ58" s="52">
        <v>0</v>
      </c>
      <c r="AK58" s="52">
        <v>0</v>
      </c>
      <c r="AL58" s="52">
        <v>0</v>
      </c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5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2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">
        <v>1042</v>
      </c>
      <c r="J59" s="19">
        <v>3.2225954993938023E-2</v>
      </c>
      <c r="K59" s="19">
        <v>7.937968872787235E-3</v>
      </c>
      <c r="L59" s="19">
        <v>2.407270364162338E-2</v>
      </c>
      <c r="M59" s="20"/>
      <c r="N59" s="19">
        <v>3.076555584920811E-2</v>
      </c>
      <c r="O59" s="21">
        <v>3658897</v>
      </c>
      <c r="P59" s="22">
        <v>112568</v>
      </c>
      <c r="Q59" s="22">
        <v>27728</v>
      </c>
      <c r="R59" s="22">
        <v>84088</v>
      </c>
      <c r="S59" s="23"/>
      <c r="T59" s="24">
        <v>64.387408100000002</v>
      </c>
      <c r="U59" s="24">
        <v>64.789556099999999</v>
      </c>
      <c r="V59" s="24">
        <v>35.2912496</v>
      </c>
      <c r="W59" s="24">
        <v>47.501413999999997</v>
      </c>
      <c r="X59" s="24">
        <v>47.743349700000003</v>
      </c>
      <c r="Y59" s="23"/>
      <c r="Z59" s="26"/>
      <c r="AA59" s="26"/>
      <c r="AC59" s="18" t="str">
        <f t="shared" si="0"/>
        <v>·</v>
      </c>
      <c r="AD59" s="19">
        <f t="shared" si="1"/>
        <v>3.1903031274646908E-2</v>
      </c>
      <c r="AE59" s="19">
        <f t="shared" si="2"/>
        <v>7.805135002440536E-3</v>
      </c>
      <c r="AF59" s="19">
        <f t="shared" si="3"/>
        <v>2.3882613792678965E-2</v>
      </c>
      <c r="AG59" s="20"/>
      <c r="AH59" s="19">
        <f t="shared" si="4"/>
        <v>3.045726621984713E-2</v>
      </c>
      <c r="AI59" s="21">
        <f>Test!E764</f>
        <v>3658897</v>
      </c>
      <c r="AJ59" s="22">
        <v>111440</v>
      </c>
      <c r="AK59" s="22">
        <v>27264</v>
      </c>
      <c r="AL59" s="22">
        <v>83424</v>
      </c>
      <c r="AM59" s="23"/>
      <c r="AN59" s="24">
        <f>Test!J764</f>
        <v>64.387408100000002</v>
      </c>
      <c r="AO59" s="24">
        <f>Test!K764</f>
        <v>64.789556099999999</v>
      </c>
      <c r="AP59" s="24">
        <f>Test!L764</f>
        <v>35.2912496</v>
      </c>
      <c r="AQ59" s="24">
        <f>Test!M764</f>
        <v>47.501413999999997</v>
      </c>
      <c r="AR59" s="24">
        <f>Test!N764</f>
        <v>47.743349700000003</v>
      </c>
      <c r="AS59" s="25"/>
      <c r="AT59" s="26"/>
      <c r="AU59" s="26"/>
      <c r="AW59" s="27">
        <f t="shared" si="5"/>
        <v>-1.6703924303895501E-3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-1.8373275214180862E-2</v>
      </c>
      <c r="BA59" s="28">
        <f>IF( OR(ISBLANK(Q59:Q64),ISBLANK(AK59:AK64), ISBLANK(U59:U64),ISBLANK(AO59:AO64)), "·", bdRateExtend( Q59:Q64,U59:U64, AK59:AK64,AO59:AO64))</f>
        <v>-1.7795683192368905E-2</v>
      </c>
      <c r="BB59" s="28">
        <f>IF( OR(ISBLANK(R59:R64),ISBLANK(AL59:AL64), ISBLANK(V59:V64),ISBLANK(AP59:AP64)), "·", bdRateExtend( R59:R64,V59:V64, AL59:AL64,AP59:AP64))</f>
        <v>-3.7180634186082528E-3</v>
      </c>
      <c r="BC59" s="28">
        <f>IF( OR(ISBLANK(R59:R64),ISBLANK(AL59:AL64), ISBLANK(W59:W64),ISBLANK(AQ59:AQ64)), "·", bdRateExtend( R59:R64,W59:W64, AL59:AL64,AQ59:AQ64))</f>
        <v>-3.9379599883542227E-3</v>
      </c>
      <c r="BD59" s="28">
        <f>IF( OR(ISBLANK(R59:R64),ISBLANK(AL59:AL64), ISBLANK(X59:X64),ISBLANK(AR59:AR64)), "·", bdRateExtend( R59:R64,X59:X64, AL59:AL64,AR59:AR64))</f>
        <v>-4.1877321045299398E-3</v>
      </c>
      <c r="BE59" s="29"/>
      <c r="BG59" s="28">
        <f>IF( OR(ISBLANK(P59:P64),ISBLANK(AJ59:AJ64), ISBLANK(T59:T64),ISBLANK(AN59:AN64)), "·", bdRateExtend( P59:P64,T59:T64, AJ59:AJ64,AN59:AN64))</f>
        <v>-9.4843357060572231E-3</v>
      </c>
      <c r="BH59" s="28">
        <f>IF( OR(ISBLANK(P59:P64),ISBLANK(AJ59:AJ64), ISBLANK(U59:U64),ISBLANK(AO59:AO64)), "·", bdRateExtend( P59:P64,U59:U64, AJ59:AJ64,AO59:AO64))</f>
        <v>-9.1531743607684568E-3</v>
      </c>
      <c r="BI59" s="28">
        <f>IF( OR(ISBLANK(P59:P64),ISBLANK(AJ59:AJ64), ISBLANK(V59:V64),ISBLANK(AP59:AP64)), "·", bdRateExtend( P59:P64,V59:V64, AJ59:AJ64,AP59:AP64))</f>
        <v>-7.2669644832159541E-3</v>
      </c>
      <c r="BJ59" s="28">
        <f>IF( OR(ISBLANK(P59:P64),ISBLANK(AJ59:AJ64), ISBLANK(W59:W64),ISBLANK(AQ59:AQ64)), "·", bdRateExtend( P59:P64,W59:W64, AJ59:AJ64,AQ59:AQ64))</f>
        <v>-7.5113377320764618E-3</v>
      </c>
      <c r="BK59" s="28">
        <f>IF( OR(ISBLANK(P59:P64),ISBLANK(AJ59:AJ64), ISBLANK(X59:X64),ISBLANK(AR59:AR64)), "·", bdRateExtend( P59:P64,X59:X64, AJ59:AJ64,AR59:AR64))</f>
        <v>-7.8080582402776377E-3</v>
      </c>
      <c r="BL59" s="29"/>
    </row>
    <row r="60" spans="1:64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">
        <v>1042</v>
      </c>
      <c r="J60" s="34">
        <v>7.4847305462077213E-2</v>
      </c>
      <c r="K60" s="34">
        <v>2.4306308034302056E-2</v>
      </c>
      <c r="L60" s="34">
        <v>5.0325714948247752E-2</v>
      </c>
      <c r="M60" s="35"/>
      <c r="N60" s="34">
        <v>7.5732682008940261E-2</v>
      </c>
      <c r="O60" s="36">
        <v>3452248</v>
      </c>
      <c r="P60" s="37">
        <v>261448</v>
      </c>
      <c r="Q60" s="37">
        <v>84904</v>
      </c>
      <c r="R60" s="37">
        <v>175792</v>
      </c>
      <c r="S60" s="38"/>
      <c r="T60" s="39">
        <v>70.297645500000002</v>
      </c>
      <c r="U60" s="39">
        <v>71.446669700000001</v>
      </c>
      <c r="V60" s="39">
        <v>37.943262599999997</v>
      </c>
      <c r="W60" s="39">
        <v>48.955539299999998</v>
      </c>
      <c r="X60" s="39">
        <v>49.506735300000003</v>
      </c>
      <c r="Y60" s="38"/>
      <c r="Z60" s="41"/>
      <c r="AA60" s="41"/>
      <c r="AC60" s="33" t="str">
        <f t="shared" si="0"/>
        <v>·</v>
      </c>
      <c r="AD60" s="34">
        <f t="shared" si="1"/>
        <v>7.409152654458738E-2</v>
      </c>
      <c r="AE60" s="34">
        <f t="shared" si="2"/>
        <v>2.3807035900929981E-2</v>
      </c>
      <c r="AF60" s="34">
        <f t="shared" si="3"/>
        <v>5.0069208164129991E-2</v>
      </c>
      <c r="AG60" s="35"/>
      <c r="AH60" s="34">
        <f t="shared" si="4"/>
        <v>7.4967962904171431E-2</v>
      </c>
      <c r="AI60" s="36">
        <f>Test!E765</f>
        <v>3452248</v>
      </c>
      <c r="AJ60" s="37">
        <v>258808</v>
      </c>
      <c r="AK60" s="37">
        <v>83160</v>
      </c>
      <c r="AL60" s="37">
        <v>174896</v>
      </c>
      <c r="AM60" s="38"/>
      <c r="AN60" s="39">
        <f>Test!J765</f>
        <v>70.297645500000002</v>
      </c>
      <c r="AO60" s="39">
        <f>Test!K765</f>
        <v>71.446669700000001</v>
      </c>
      <c r="AP60" s="39">
        <f>Test!L765</f>
        <v>37.943262599999997</v>
      </c>
      <c r="AQ60" s="39">
        <f>Test!M765</f>
        <v>48.955539299999998</v>
      </c>
      <c r="AR60" s="39">
        <f>Test!N765</f>
        <v>49.506735300000003</v>
      </c>
      <c r="AS60" s="40"/>
      <c r="AT60" s="41"/>
      <c r="AU60" s="41"/>
      <c r="AW60" s="42">
        <f t="shared" si="5"/>
        <v>-3.4259856760280316E-3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">
        <v>1042</v>
      </c>
      <c r="J61" s="19">
        <v>0.19915919595429254</v>
      </c>
      <c r="K61" s="19">
        <v>7.8708648658707137E-2</v>
      </c>
      <c r="L61" s="19">
        <v>0.12023526481605801</v>
      </c>
      <c r="M61" s="20"/>
      <c r="N61" s="19">
        <v>0.19732076253038464</v>
      </c>
      <c r="O61" s="21">
        <v>3525630</v>
      </c>
      <c r="P61" s="22">
        <v>695680</v>
      </c>
      <c r="Q61" s="22">
        <v>274936</v>
      </c>
      <c r="R61" s="22">
        <v>419992</v>
      </c>
      <c r="S61" s="23"/>
      <c r="T61" s="24">
        <v>73.295949399999998</v>
      </c>
      <c r="U61" s="24">
        <v>75.565333499999994</v>
      </c>
      <c r="V61" s="24">
        <v>40.455243600000003</v>
      </c>
      <c r="W61" s="24">
        <v>50.093083499999999</v>
      </c>
      <c r="X61" s="24">
        <v>50.680289700000003</v>
      </c>
      <c r="Y61" s="23"/>
      <c r="Z61" s="26"/>
      <c r="AA61" s="26"/>
      <c r="AC61" s="18" t="str">
        <f t="shared" si="0"/>
        <v>·</v>
      </c>
      <c r="AD61" s="19">
        <f t="shared" si="1"/>
        <v>0.19805530068692861</v>
      </c>
      <c r="AE61" s="19">
        <f t="shared" si="2"/>
        <v>7.7831487066590141E-2</v>
      </c>
      <c r="AF61" s="19">
        <f t="shared" si="3"/>
        <v>0.12000853114081106</v>
      </c>
      <c r="AG61" s="20"/>
      <c r="AH61" s="19">
        <f t="shared" si="4"/>
        <v>0.19622705729188825</v>
      </c>
      <c r="AI61" s="21">
        <f>Test!E766</f>
        <v>3525630</v>
      </c>
      <c r="AJ61" s="22">
        <v>691824</v>
      </c>
      <c r="AK61" s="22">
        <v>271872</v>
      </c>
      <c r="AL61" s="22">
        <v>419200</v>
      </c>
      <c r="AM61" s="23"/>
      <c r="AN61" s="24">
        <f>Test!J766</f>
        <v>73.295949399999998</v>
      </c>
      <c r="AO61" s="24">
        <f>Test!K766</f>
        <v>75.565333499999994</v>
      </c>
      <c r="AP61" s="24">
        <f>Test!L766</f>
        <v>40.455243600000003</v>
      </c>
      <c r="AQ61" s="24">
        <f>Test!M766</f>
        <v>50.093083499999999</v>
      </c>
      <c r="AR61" s="24">
        <f>Test!N766</f>
        <v>50.680289700000003</v>
      </c>
      <c r="AS61" s="25"/>
      <c r="AT61" s="26"/>
      <c r="AU61" s="26"/>
      <c r="AW61" s="27">
        <f t="shared" si="5"/>
        <v>-2.2261307910272921E-3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">
        <v>1042</v>
      </c>
      <c r="J62" s="34">
        <v>0.51995528308071515</v>
      </c>
      <c r="K62" s="34">
        <v>0.23521443079684576</v>
      </c>
      <c r="L62" s="34">
        <v>0.28452556980434202</v>
      </c>
      <c r="M62" s="35"/>
      <c r="N62" s="34">
        <v>0.49086019340385872</v>
      </c>
      <c r="O62" s="36">
        <v>3700133</v>
      </c>
      <c r="P62" s="37">
        <v>1816248</v>
      </c>
      <c r="Q62" s="37">
        <v>821624</v>
      </c>
      <c r="R62" s="37">
        <v>993872</v>
      </c>
      <c r="S62" s="38"/>
      <c r="T62" s="39">
        <v>73.985063499999995</v>
      </c>
      <c r="U62" s="39">
        <v>76.685447999999994</v>
      </c>
      <c r="V62" s="39">
        <v>42.8517729</v>
      </c>
      <c r="W62" s="39">
        <v>51.184546599999997</v>
      </c>
      <c r="X62" s="39">
        <v>51.757128100000003</v>
      </c>
      <c r="Y62" s="38"/>
      <c r="Z62" s="41"/>
      <c r="AA62" s="41"/>
      <c r="AC62" s="33" t="str">
        <f t="shared" si="0"/>
        <v>·</v>
      </c>
      <c r="AD62" s="34">
        <f t="shared" si="1"/>
        <v>0.51995528308071515</v>
      </c>
      <c r="AE62" s="34">
        <f t="shared" si="2"/>
        <v>0.23521443079684576</v>
      </c>
      <c r="AF62" s="34">
        <f t="shared" si="3"/>
        <v>0.28452556980434202</v>
      </c>
      <c r="AG62" s="35"/>
      <c r="AH62" s="34">
        <f t="shared" si="4"/>
        <v>0.49086019340385872</v>
      </c>
      <c r="AI62" s="36">
        <f>Test!E767</f>
        <v>3700133</v>
      </c>
      <c r="AJ62" s="37">
        <v>1816248</v>
      </c>
      <c r="AK62" s="37">
        <v>821624</v>
      </c>
      <c r="AL62" s="37">
        <v>993872</v>
      </c>
      <c r="AM62" s="38"/>
      <c r="AN62" s="39">
        <f>Test!J767</f>
        <v>73.985063499999995</v>
      </c>
      <c r="AO62" s="39">
        <f>Test!K767</f>
        <v>76.685447999999994</v>
      </c>
      <c r="AP62" s="39">
        <f>Test!L767</f>
        <v>42.8517729</v>
      </c>
      <c r="AQ62" s="39">
        <f>Test!M767</f>
        <v>51.184546599999997</v>
      </c>
      <c r="AR62" s="39">
        <f>Test!N767</f>
        <v>51.757128100000003</v>
      </c>
      <c r="AS62" s="40"/>
      <c r="AT62" s="41"/>
      <c r="AU62" s="41"/>
      <c r="AW62" s="42">
        <f t="shared" si="5"/>
        <v>0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">
        <v>1042</v>
      </c>
      <c r="J63" s="19" t="s">
        <v>1042</v>
      </c>
      <c r="K63" s="19" t="s">
        <v>1042</v>
      </c>
      <c r="L63" s="19" t="s">
        <v>1042</v>
      </c>
      <c r="M63" s="20"/>
      <c r="N63" s="19" t="s">
        <v>1042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0"/>
        <v>·</v>
      </c>
      <c r="AD63" s="19">
        <f t="shared" si="1"/>
        <v>0</v>
      </c>
      <c r="AE63" s="19">
        <f t="shared" si="2"/>
        <v>0</v>
      </c>
      <c r="AF63" s="19">
        <f t="shared" si="3"/>
        <v>0</v>
      </c>
      <c r="AG63" s="20"/>
      <c r="AH63" s="19" t="e">
        <f t="shared" si="4"/>
        <v>#DIV/0!</v>
      </c>
      <c r="AI63" s="21"/>
      <c r="AJ63" s="22">
        <v>0</v>
      </c>
      <c r="AK63" s="22">
        <v>0</v>
      </c>
      <c r="AL63" s="22">
        <v>0</v>
      </c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5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">
        <v>1042</v>
      </c>
      <c r="J64" s="49" t="s">
        <v>1042</v>
      </c>
      <c r="K64" s="49" t="s">
        <v>1042</v>
      </c>
      <c r="L64" s="49" t="s">
        <v>1042</v>
      </c>
      <c r="M64" s="50"/>
      <c r="N64" s="49" t="s">
        <v>1042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0"/>
        <v>·</v>
      </c>
      <c r="AD64" s="49">
        <f t="shared" si="1"/>
        <v>0</v>
      </c>
      <c r="AE64" s="49">
        <f t="shared" si="2"/>
        <v>0</v>
      </c>
      <c r="AF64" s="49">
        <f t="shared" si="3"/>
        <v>0</v>
      </c>
      <c r="AG64" s="50"/>
      <c r="AH64" s="49" t="e">
        <f t="shared" si="4"/>
        <v>#DIV/0!</v>
      </c>
      <c r="AI64" s="51"/>
      <c r="AJ64" s="52">
        <v>0</v>
      </c>
      <c r="AK64" s="52">
        <v>0</v>
      </c>
      <c r="AL64" s="52">
        <v>0</v>
      </c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5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">
        <v>1042</v>
      </c>
      <c r="J65" s="19">
        <v>0.17250209105404787</v>
      </c>
      <c r="K65" s="19">
        <v>5.5736379954701657E-3</v>
      </c>
      <c r="L65" s="19">
        <v>0.16653248417220887</v>
      </c>
      <c r="M65" s="20"/>
      <c r="N65" s="19">
        <v>0.18580168682406578</v>
      </c>
      <c r="O65" s="21">
        <v>1481838</v>
      </c>
      <c r="P65" s="22">
        <v>275328</v>
      </c>
      <c r="Q65" s="22">
        <v>8896</v>
      </c>
      <c r="R65" s="22">
        <v>265800</v>
      </c>
      <c r="S65" s="23"/>
      <c r="T65" s="24">
        <v>49.891885799999997</v>
      </c>
      <c r="U65" s="24">
        <v>51.577021999999999</v>
      </c>
      <c r="V65" s="24">
        <v>19.3146372</v>
      </c>
      <c r="W65" s="24">
        <v>37.3316655</v>
      </c>
      <c r="X65" s="24">
        <v>36.474965599999997</v>
      </c>
      <c r="Y65" s="23"/>
      <c r="Z65" s="26"/>
      <c r="AA65" s="26"/>
      <c r="AC65" s="18" t="str">
        <f t="shared" si="0"/>
        <v>·</v>
      </c>
      <c r="AD65" s="19">
        <f t="shared" si="1"/>
        <v>0.17201590140875955</v>
      </c>
      <c r="AE65" s="19">
        <f t="shared" si="2"/>
        <v>5.5636134667013349E-3</v>
      </c>
      <c r="AF65" s="19">
        <f t="shared" si="3"/>
        <v>0.16605631905568938</v>
      </c>
      <c r="AG65" s="20"/>
      <c r="AH65" s="19">
        <f t="shared" si="4"/>
        <v>0.18527801284620857</v>
      </c>
      <c r="AI65" s="21">
        <f>Test!E770</f>
        <v>1481838</v>
      </c>
      <c r="AJ65" s="22">
        <v>274552</v>
      </c>
      <c r="AK65" s="22">
        <v>8880</v>
      </c>
      <c r="AL65" s="22">
        <v>265040</v>
      </c>
      <c r="AM65" s="23"/>
      <c r="AN65" s="24">
        <f>Test!J770</f>
        <v>49.891885799999997</v>
      </c>
      <c r="AO65" s="24">
        <f>Test!K770</f>
        <v>51.577021999999999</v>
      </c>
      <c r="AP65" s="24">
        <f>Test!L770</f>
        <v>19.3146372</v>
      </c>
      <c r="AQ65" s="24">
        <f>Test!M770</f>
        <v>37.3316655</v>
      </c>
      <c r="AR65" s="24">
        <f>Test!N770</f>
        <v>36.474965599999997</v>
      </c>
      <c r="AS65" s="25"/>
      <c r="AT65" s="26"/>
      <c r="AU65" s="26"/>
      <c r="AW65" s="27">
        <f t="shared" si="5"/>
        <v>3.3046524182296644E-5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-2.828003319878869E-3</v>
      </c>
      <c r="BA65" s="28">
        <f>IF( OR(ISBLANK(Q65:Q70),ISBLANK(AK65:AK70), ISBLANK(U65:U70),ISBLANK(AO65:AO70)), "·", bdRateExtend( Q65:Q70,U65:U70, AK65:AK70,AO65:AO70))</f>
        <v>-2.8350515946701238E-3</v>
      </c>
      <c r="BB65" s="28">
        <f>IF( OR(ISBLANK(R65:R70),ISBLANK(AL65:AL70), ISBLANK(V65:V70),ISBLANK(AP65:AP70)), "·", bdRateExtend( R65:R70,V65:V70, AL65:AL70,AP65:AP70))</f>
        <v>-1.8931760960031463E-3</v>
      </c>
      <c r="BC65" s="28">
        <f>IF( OR(ISBLANK(R65:R70),ISBLANK(AL65:AL70), ISBLANK(W65:W70),ISBLANK(AQ65:AQ70)), "·", bdRateExtend( R65:R70,W65:W70, AL65:AL70,AQ65:AQ70))</f>
        <v>-1.7583009091892698E-3</v>
      </c>
      <c r="BD65" s="28">
        <f>IF( OR(ISBLANK(R65:R70),ISBLANK(AL65:AL70), ISBLANK(X65:X70),ISBLANK(AR65:AR70)), "·", bdRateExtend( R65:R70,X65:X70, AL65:AL70,AR65:AR70))</f>
        <v>-1.7529215758282923E-3</v>
      </c>
      <c r="BE65" s="29"/>
      <c r="BG65" s="28">
        <f>IF( OR(ISBLANK(P65:P70),ISBLANK(AJ65:AJ70), ISBLANK(T65:T70),ISBLANK(AN65:AN70)), "·", bdRateExtend( P65:P70,T65:T70, AJ65:AJ70,AN65:AN70))</f>
        <v>-1.8914342212995594E-3</v>
      </c>
      <c r="BH65" s="28">
        <f>IF( OR(ISBLANK(P65:P70),ISBLANK(AJ65:AJ70), ISBLANK(U65:U70),ISBLANK(AO65:AO70)), "·", bdRateExtend( P65:P70,U65:U70, AJ65:AJ70,AO65:AO70))</f>
        <v>-1.9244135623427416E-3</v>
      </c>
      <c r="BI65" s="28">
        <f>IF( OR(ISBLANK(P65:P70),ISBLANK(AJ65:AJ70), ISBLANK(V65:V70),ISBLANK(AP65:AP70)), "·", bdRateExtend( P65:P70,V65:V70, AJ65:AJ70,AP65:AP70))</f>
        <v>-1.9336838127076428E-3</v>
      </c>
      <c r="BJ65" s="28">
        <f>IF( OR(ISBLANK(P65:P70),ISBLANK(AJ65:AJ70), ISBLANK(W65:W70),ISBLANK(AQ65:AQ70)), "·", bdRateExtend( P65:P70,W65:W70, AJ65:AJ70,AQ65:AQ70))</f>
        <v>-1.8152271797389208E-3</v>
      </c>
      <c r="BK65" s="28">
        <f>IF( OR(ISBLANK(P65:P70),ISBLANK(AJ65:AJ70), ISBLANK(X65:X70),ISBLANK(AR65:AR70)), "·", bdRateExtend( P65:P70,X65:X70, AJ65:AJ70,AR65:AR70))</f>
        <v>-1.8095023914694863E-3</v>
      </c>
      <c r="BL65" s="29"/>
    </row>
    <row r="66" spans="1:64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">
        <v>1042</v>
      </c>
      <c r="J66" s="34">
        <v>0.56798478777759331</v>
      </c>
      <c r="K66" s="34">
        <v>2.0901142483013124E-2</v>
      </c>
      <c r="L66" s="34">
        <v>0.54668767640821136</v>
      </c>
      <c r="M66" s="35"/>
      <c r="N66" s="34">
        <v>0.55410681759837654</v>
      </c>
      <c r="O66" s="36">
        <v>1636060</v>
      </c>
      <c r="P66" s="37">
        <v>906552</v>
      </c>
      <c r="Q66" s="37">
        <v>33360</v>
      </c>
      <c r="R66" s="37">
        <v>872560</v>
      </c>
      <c r="S66" s="38"/>
      <c r="T66" s="39">
        <v>58.599925200000001</v>
      </c>
      <c r="U66" s="39">
        <v>61.689542699999997</v>
      </c>
      <c r="V66" s="39">
        <v>25.269669100000002</v>
      </c>
      <c r="W66" s="39">
        <v>40.220768100000001</v>
      </c>
      <c r="X66" s="39">
        <v>38.828943000000002</v>
      </c>
      <c r="Y66" s="38"/>
      <c r="Z66" s="41"/>
      <c r="AA66" s="41"/>
      <c r="AC66" s="33" t="str">
        <f t="shared" si="0"/>
        <v>·</v>
      </c>
      <c r="AD66" s="34">
        <f t="shared" si="1"/>
        <v>0.56701240848701662</v>
      </c>
      <c r="AE66" s="34">
        <f t="shared" si="2"/>
        <v>2.0835983046015721E-2</v>
      </c>
      <c r="AF66" s="34">
        <f t="shared" si="3"/>
        <v>0.54578045655463214</v>
      </c>
      <c r="AG66" s="35"/>
      <c r="AH66" s="34">
        <f t="shared" si="4"/>
        <v>0.55315819713213454</v>
      </c>
      <c r="AI66" s="36">
        <f>Test!E771</f>
        <v>1636060</v>
      </c>
      <c r="AJ66" s="37">
        <v>905000</v>
      </c>
      <c r="AK66" s="37">
        <v>33256</v>
      </c>
      <c r="AL66" s="37">
        <v>871112</v>
      </c>
      <c r="AM66" s="38"/>
      <c r="AN66" s="39">
        <f>Test!J771</f>
        <v>58.599925200000001</v>
      </c>
      <c r="AO66" s="39">
        <f>Test!K771</f>
        <v>61.689542699999997</v>
      </c>
      <c r="AP66" s="39">
        <f>Test!L771</f>
        <v>25.269669100000002</v>
      </c>
      <c r="AQ66" s="39">
        <f>Test!M771</f>
        <v>40.220768100000001</v>
      </c>
      <c r="AR66" s="39">
        <f>Test!N771</f>
        <v>38.828943000000002</v>
      </c>
      <c r="AS66" s="40"/>
      <c r="AT66" s="41"/>
      <c r="AU66" s="41"/>
      <c r="AW66" s="42">
        <f t="shared" si="5"/>
        <v>-5.1810283383739442E-5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">
        <v>1042</v>
      </c>
      <c r="J67" s="19">
        <v>1.2712505912905641</v>
      </c>
      <c r="K67" s="19">
        <v>8.1208707556301829E-2</v>
      </c>
      <c r="L67" s="19">
        <v>1.1896459148478935</v>
      </c>
      <c r="M67" s="20"/>
      <c r="N67" s="19">
        <v>1.1965983746741682</v>
      </c>
      <c r="O67" s="21">
        <v>1695660</v>
      </c>
      <c r="P67" s="22">
        <v>2029024</v>
      </c>
      <c r="Q67" s="22">
        <v>129616</v>
      </c>
      <c r="R67" s="22">
        <v>1898776</v>
      </c>
      <c r="S67" s="23"/>
      <c r="T67" s="24">
        <v>64.280785300000005</v>
      </c>
      <c r="U67" s="24">
        <v>67.896638400000001</v>
      </c>
      <c r="V67" s="24">
        <v>28.3652151</v>
      </c>
      <c r="W67" s="24">
        <v>42.674617699999999</v>
      </c>
      <c r="X67" s="24">
        <v>40.742970300000003</v>
      </c>
      <c r="Y67" s="23"/>
      <c r="Z67" s="26"/>
      <c r="AA67" s="26"/>
      <c r="AC67" s="18" t="str">
        <f t="shared" si="0"/>
        <v>·</v>
      </c>
      <c r="AD67" s="19">
        <f t="shared" si="1"/>
        <v>1.2684587600284447</v>
      </c>
      <c r="AE67" s="19">
        <f t="shared" si="2"/>
        <v>8.088792263569923E-2</v>
      </c>
      <c r="AF67" s="19">
        <f t="shared" si="3"/>
        <v>1.1871748685063765</v>
      </c>
      <c r="AG67" s="20"/>
      <c r="AH67" s="19">
        <f t="shared" si="4"/>
        <v>1.1939704893669723</v>
      </c>
      <c r="AI67" s="21">
        <f>Test!E772</f>
        <v>1695660</v>
      </c>
      <c r="AJ67" s="22">
        <v>2024568</v>
      </c>
      <c r="AK67" s="22">
        <v>129104</v>
      </c>
      <c r="AL67" s="22">
        <v>1894832</v>
      </c>
      <c r="AM67" s="23"/>
      <c r="AN67" s="24">
        <f>Test!J772</f>
        <v>64.280785300000005</v>
      </c>
      <c r="AO67" s="24">
        <f>Test!K772</f>
        <v>67.896638400000001</v>
      </c>
      <c r="AP67" s="24">
        <f>Test!L772</f>
        <v>28.3652151</v>
      </c>
      <c r="AQ67" s="24">
        <f>Test!M772</f>
        <v>42.674617699999999</v>
      </c>
      <c r="AR67" s="24">
        <f>Test!N772</f>
        <v>40.742970300000003</v>
      </c>
      <c r="AS67" s="25"/>
      <c r="AT67" s="26"/>
      <c r="AU67" s="26"/>
      <c r="AW67" s="27">
        <f t="shared" si="5"/>
        <v>-1.12293805097613E-4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">
        <v>1042</v>
      </c>
      <c r="J68" s="34">
        <v>2.888798528900403</v>
      </c>
      <c r="K68" s="34">
        <v>0.29315230705131617</v>
      </c>
      <c r="L68" s="34">
        <v>2.5952502529627179</v>
      </c>
      <c r="M68" s="35"/>
      <c r="N68" s="34">
        <v>2.1120684837507753</v>
      </c>
      <c r="O68" s="36">
        <v>2183058</v>
      </c>
      <c r="P68" s="37">
        <v>4610768</v>
      </c>
      <c r="Q68" s="37">
        <v>467896</v>
      </c>
      <c r="R68" s="37">
        <v>4142240</v>
      </c>
      <c r="S68" s="38"/>
      <c r="T68" s="39">
        <v>68.575499300000004</v>
      </c>
      <c r="U68" s="39">
        <v>71.535505099999995</v>
      </c>
      <c r="V68" s="39">
        <v>30.1783483</v>
      </c>
      <c r="W68" s="39">
        <v>45.387297799999999</v>
      </c>
      <c r="X68" s="39">
        <v>42.984105200000002</v>
      </c>
      <c r="Y68" s="38"/>
      <c r="Z68" s="41"/>
      <c r="AA68" s="41"/>
      <c r="AC68" s="33" t="str">
        <f t="shared" si="0"/>
        <v>·</v>
      </c>
      <c r="AD68" s="34">
        <f t="shared" si="1"/>
        <v>2.888798528900403</v>
      </c>
      <c r="AE68" s="34">
        <f t="shared" si="2"/>
        <v>0.29315230705131617</v>
      </c>
      <c r="AF68" s="34">
        <f t="shared" si="3"/>
        <v>2.5952502529627179</v>
      </c>
      <c r="AG68" s="35"/>
      <c r="AH68" s="34">
        <f t="shared" si="4"/>
        <v>2.1120684837507753</v>
      </c>
      <c r="AI68" s="36">
        <f>Test!E773</f>
        <v>2183058</v>
      </c>
      <c r="AJ68" s="37">
        <v>4610768</v>
      </c>
      <c r="AK68" s="37">
        <v>467896</v>
      </c>
      <c r="AL68" s="37">
        <v>4142240</v>
      </c>
      <c r="AM68" s="38"/>
      <c r="AN68" s="39">
        <f>Test!J773</f>
        <v>68.575499300000004</v>
      </c>
      <c r="AO68" s="39">
        <f>Test!K773</f>
        <v>71.535505099999995</v>
      </c>
      <c r="AP68" s="39">
        <f>Test!L773</f>
        <v>30.1783483</v>
      </c>
      <c r="AQ68" s="39">
        <f>Test!M773</f>
        <v>45.387297799999999</v>
      </c>
      <c r="AR68" s="39">
        <f>Test!N773</f>
        <v>42.984105200000002</v>
      </c>
      <c r="AS68" s="40"/>
      <c r="AT68" s="41"/>
      <c r="AU68" s="41"/>
      <c r="AW68" s="42">
        <f t="shared" si="5"/>
        <v>0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">
        <v>1042</v>
      </c>
      <c r="J69" s="19" t="s">
        <v>1042</v>
      </c>
      <c r="K69" s="19" t="s">
        <v>1042</v>
      </c>
      <c r="L69" s="19" t="s">
        <v>1042</v>
      </c>
      <c r="M69" s="20"/>
      <c r="N69" s="19" t="s">
        <v>1042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6">IF(OR(ISBLANK(AJ69),ISBLANK(G69)),"·",AJ69*G69/F69/1000000)</f>
        <v>·</v>
      </c>
      <c r="AD69" s="19">
        <f t="shared" ref="AD69:AD132" si="7">IF(ISBLANK(AJ69),"·",AJ69/D69)</f>
        <v>0</v>
      </c>
      <c r="AE69" s="19">
        <f t="shared" ref="AE69:AE132" si="8">IF(AK69="","·",AK69/D69)</f>
        <v>0</v>
      </c>
      <c r="AF69" s="19">
        <f t="shared" ref="AF69:AF132" si="9">IF(ISBLANK(AL69),"·",AL69/D69)</f>
        <v>0</v>
      </c>
      <c r="AG69" s="20"/>
      <c r="AH69" s="19" t="e">
        <f t="shared" ref="AH69:AH132" si="10">IF(ISBLANK(AJ69),"·",AJ69/AI69)</f>
        <v>#DIV/0!</v>
      </c>
      <c r="AI69" s="21"/>
      <c r="AJ69" s="22">
        <v>0</v>
      </c>
      <c r="AK69" s="22">
        <v>0</v>
      </c>
      <c r="AL69" s="22">
        <v>0</v>
      </c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1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">
        <v>1042</v>
      </c>
      <c r="J70" s="49" t="s">
        <v>1042</v>
      </c>
      <c r="K70" s="49" t="s">
        <v>1042</v>
      </c>
      <c r="L70" s="49" t="s">
        <v>1042</v>
      </c>
      <c r="M70" s="50"/>
      <c r="N70" s="49" t="s">
        <v>1042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6"/>
        <v>·</v>
      </c>
      <c r="AD70" s="49">
        <f t="shared" si="7"/>
        <v>0</v>
      </c>
      <c r="AE70" s="49">
        <f t="shared" si="8"/>
        <v>0</v>
      </c>
      <c r="AF70" s="49">
        <f t="shared" si="9"/>
        <v>0</v>
      </c>
      <c r="AG70" s="50"/>
      <c r="AH70" s="49" t="e">
        <f t="shared" si="10"/>
        <v>#DIV/0!</v>
      </c>
      <c r="AI70" s="51"/>
      <c r="AJ70" s="52">
        <v>0</v>
      </c>
      <c r="AK70" s="52">
        <v>0</v>
      </c>
      <c r="AL70" s="52">
        <v>0</v>
      </c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1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">
        <v>1042</v>
      </c>
      <c r="J71" s="19">
        <v>0.10137630951472179</v>
      </c>
      <c r="K71" s="19">
        <v>8.9924875503486802E-3</v>
      </c>
      <c r="L71" s="19">
        <v>9.2250007858210928E-2</v>
      </c>
      <c r="M71" s="20"/>
      <c r="N71" s="19">
        <v>0.1082215093857096</v>
      </c>
      <c r="O71" s="21">
        <v>8344441</v>
      </c>
      <c r="P71" s="22">
        <v>903048</v>
      </c>
      <c r="Q71" s="22">
        <v>80104</v>
      </c>
      <c r="R71" s="22">
        <v>821752</v>
      </c>
      <c r="S71" s="23"/>
      <c r="T71" s="24">
        <v>64.062195700000004</v>
      </c>
      <c r="U71" s="24">
        <v>70.593779600000005</v>
      </c>
      <c r="V71" s="24">
        <v>23.945157099999999</v>
      </c>
      <c r="W71" s="24">
        <v>39.584747800000002</v>
      </c>
      <c r="X71" s="24">
        <v>40.894356500000001</v>
      </c>
      <c r="Y71" s="23"/>
      <c r="Z71" s="26"/>
      <c r="AA71" s="26"/>
      <c r="AC71" s="18" t="str">
        <f t="shared" si="6"/>
        <v>·</v>
      </c>
      <c r="AD71" s="19">
        <f t="shared" si="7"/>
        <v>0.10101617893370814</v>
      </c>
      <c r="AE71" s="19">
        <f t="shared" si="8"/>
        <v>8.9350103503863989E-3</v>
      </c>
      <c r="AF71" s="19">
        <f t="shared" si="9"/>
        <v>9.1947354477159543E-2</v>
      </c>
      <c r="AG71" s="20"/>
      <c r="AH71" s="19">
        <f t="shared" si="10"/>
        <v>0.10783706182355415</v>
      </c>
      <c r="AI71" s="21">
        <f>Test!E776</f>
        <v>8344441</v>
      </c>
      <c r="AJ71" s="22">
        <v>899840</v>
      </c>
      <c r="AK71" s="22">
        <v>79592</v>
      </c>
      <c r="AL71" s="22">
        <v>819056</v>
      </c>
      <c r="AM71" s="23"/>
      <c r="AN71" s="24">
        <f>Test!J776</f>
        <v>64.062195700000004</v>
      </c>
      <c r="AO71" s="24">
        <f>Test!K776</f>
        <v>70.593779600000005</v>
      </c>
      <c r="AP71" s="24">
        <f>Test!L776</f>
        <v>23.945157099999999</v>
      </c>
      <c r="AQ71" s="24">
        <f>Test!M776</f>
        <v>39.584747800000002</v>
      </c>
      <c r="AR71" s="24">
        <f>Test!N776</f>
        <v>40.894356500000001</v>
      </c>
      <c r="AS71" s="25"/>
      <c r="AT71" s="26"/>
      <c r="AU71" s="26"/>
      <c r="AW71" s="27">
        <f t="shared" si="11"/>
        <v>-2.5275322356051177E-4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-4.0402607072678176E-3</v>
      </c>
      <c r="BA71" s="28">
        <f>IF( OR(ISBLANK(Q71:Q76),ISBLANK(AK71:AK76), ISBLANK(U71:U76),ISBLANK(AO71:AO76)), "·", bdRateExtend( Q71:Q76,U71:U76, AK71:AK76,AO71:AO76))</f>
        <v>-4.3272444300387347E-3</v>
      </c>
      <c r="BB71" s="28">
        <f>IF( OR(ISBLANK(R71:R76),ISBLANK(AL71:AL76), ISBLANK(V71:V76),ISBLANK(AP71:AP76)), "·", bdRateExtend( R71:R76,V71:V76, AL71:AL76,AP71:AP76))</f>
        <v>-1.6976866605814545E-3</v>
      </c>
      <c r="BC71" s="28">
        <f>IF( OR(ISBLANK(R71:R76),ISBLANK(AL71:AL76), ISBLANK(W71:W76),ISBLANK(AQ71:AQ76)), "·", bdRateExtend( R71:R76,W71:W76, AL71:AL76,AQ71:AQ76))</f>
        <v>-1.5316941260733463E-3</v>
      </c>
      <c r="BD71" s="28">
        <f>IF( OR(ISBLANK(R71:R76),ISBLANK(AL71:AL76), ISBLANK(X71:X76),ISBLANK(AR71:AR76)), "·", bdRateExtend( R71:R76,X71:X76, AL71:AL76,AR71:AR76))</f>
        <v>-1.4824671951283452E-3</v>
      </c>
      <c r="BE71" s="29"/>
      <c r="BG71" s="28">
        <f>IF( OR(ISBLANK(P71:P76),ISBLANK(AJ71:AJ76), ISBLANK(T71:T76),ISBLANK(AN71:AN76)), "·", bdRateExtend( P71:P76,T71:T76, AJ71:AJ76,AN71:AN76))</f>
        <v>-2.0263894465761823E-3</v>
      </c>
      <c r="BH71" s="28">
        <f>IF( OR(ISBLANK(P71:P76),ISBLANK(AJ71:AJ76), ISBLANK(U71:U76),ISBLANK(AO71:AO76)), "·", bdRateExtend( P71:P76,U71:U76, AJ71:AJ76,AO71:AO76))</f>
        <v>-2.1867850650829634E-3</v>
      </c>
      <c r="BI71" s="28">
        <f>IF( OR(ISBLANK(P71:P76),ISBLANK(AJ71:AJ76), ISBLANK(V71:V76),ISBLANK(AP71:AP76)), "·", bdRateExtend( P71:P76,V71:V76, AJ71:AJ76,AP71:AP76))</f>
        <v>-1.924902334864198E-3</v>
      </c>
      <c r="BJ71" s="28">
        <f>IF( OR(ISBLANK(P71:P76),ISBLANK(AJ71:AJ76), ISBLANK(W71:W76),ISBLANK(AQ71:AQ76)), "·", bdRateExtend( P71:P76,W71:W76, AJ71:AJ76,AQ71:AQ76))</f>
        <v>-1.7403607140171751E-3</v>
      </c>
      <c r="BK71" s="28">
        <f>IF( OR(ISBLANK(P71:P76),ISBLANK(AJ71:AJ76), ISBLANK(X71:X76),ISBLANK(AR71:AR76)), "·", bdRateExtend( P71:P76,X71:X76, AJ71:AJ76,AR71:AR76))</f>
        <v>-1.6850073695001688E-3</v>
      </c>
      <c r="BL71" s="29"/>
    </row>
    <row r="72" spans="1:64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">
        <v>1042</v>
      </c>
      <c r="J72" s="34">
        <v>0.3181407921974701</v>
      </c>
      <c r="K72" s="34">
        <v>3.247461797868853E-2</v>
      </c>
      <c r="L72" s="34">
        <v>0.2855323601126194</v>
      </c>
      <c r="M72" s="35"/>
      <c r="N72" s="34">
        <v>0.33860601558684988</v>
      </c>
      <c r="O72" s="36">
        <v>8369491</v>
      </c>
      <c r="P72" s="37">
        <v>2833960</v>
      </c>
      <c r="Q72" s="37">
        <v>289280</v>
      </c>
      <c r="R72" s="37">
        <v>2543488</v>
      </c>
      <c r="S72" s="38"/>
      <c r="T72" s="39">
        <v>69.378488000000004</v>
      </c>
      <c r="U72" s="39">
        <v>75.685801499999997</v>
      </c>
      <c r="V72" s="39">
        <v>26.364135399999999</v>
      </c>
      <c r="W72" s="39">
        <v>41.2230074</v>
      </c>
      <c r="X72" s="39">
        <v>42.338209200000001</v>
      </c>
      <c r="Y72" s="38"/>
      <c r="Z72" s="41"/>
      <c r="AA72" s="41"/>
      <c r="AC72" s="33" t="str">
        <f t="shared" si="6"/>
        <v>·</v>
      </c>
      <c r="AD72" s="34">
        <f t="shared" si="7"/>
        <v>0.31741155022294865</v>
      </c>
      <c r="AE72" s="34">
        <f t="shared" si="8"/>
        <v>3.2318351841291081E-2</v>
      </c>
      <c r="AF72" s="34">
        <f t="shared" si="9"/>
        <v>0.28495938427549539</v>
      </c>
      <c r="AG72" s="35"/>
      <c r="AH72" s="34">
        <f t="shared" si="10"/>
        <v>0.3378298632497484</v>
      </c>
      <c r="AI72" s="36">
        <f>Test!E777</f>
        <v>8369491</v>
      </c>
      <c r="AJ72" s="37">
        <v>2827464</v>
      </c>
      <c r="AK72" s="37">
        <v>287888</v>
      </c>
      <c r="AL72" s="37">
        <v>2538384</v>
      </c>
      <c r="AM72" s="38"/>
      <c r="AN72" s="39">
        <f>Test!J777</f>
        <v>69.378488000000004</v>
      </c>
      <c r="AO72" s="39">
        <f>Test!K777</f>
        <v>75.685801499999997</v>
      </c>
      <c r="AP72" s="39">
        <f>Test!L777</f>
        <v>26.364135399999999</v>
      </c>
      <c r="AQ72" s="39">
        <f>Test!M777</f>
        <v>41.2230074</v>
      </c>
      <c r="AR72" s="39">
        <f>Test!N777</f>
        <v>42.338209200000001</v>
      </c>
      <c r="AS72" s="40"/>
      <c r="AT72" s="41"/>
      <c r="AU72" s="41"/>
      <c r="AW72" s="42">
        <f t="shared" si="11"/>
        <v>-2.5779734124334319E-4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">
        <v>1042</v>
      </c>
      <c r="J73" s="19">
        <v>0.91597012981764458</v>
      </c>
      <c r="K73" s="19">
        <v>0.1471829436409112</v>
      </c>
      <c r="L73" s="19">
        <v>0.76865337207057127</v>
      </c>
      <c r="M73" s="20"/>
      <c r="N73" s="19">
        <v>1.0027109755923715</v>
      </c>
      <c r="O73" s="21">
        <v>8137292</v>
      </c>
      <c r="P73" s="22">
        <v>8159352</v>
      </c>
      <c r="Q73" s="22">
        <v>1311088</v>
      </c>
      <c r="R73" s="22">
        <v>6847072</v>
      </c>
      <c r="S73" s="23"/>
      <c r="T73" s="24">
        <v>75.567869299999998</v>
      </c>
      <c r="U73" s="24">
        <v>79.091706200000004</v>
      </c>
      <c r="V73" s="24">
        <v>28.921105900000001</v>
      </c>
      <c r="W73" s="24">
        <v>42.956042799999999</v>
      </c>
      <c r="X73" s="24">
        <v>43.806904099999997</v>
      </c>
      <c r="Y73" s="23"/>
      <c r="Z73" s="26"/>
      <c r="AA73" s="26"/>
      <c r="AC73" s="18" t="str">
        <f t="shared" si="6"/>
        <v>·</v>
      </c>
      <c r="AD73" s="19">
        <f t="shared" si="7"/>
        <v>0.91511785071195395</v>
      </c>
      <c r="AE73" s="19">
        <f t="shared" si="8"/>
        <v>0.14692699048482916</v>
      </c>
      <c r="AF73" s="19">
        <f t="shared" si="9"/>
        <v>0.76805704612096259</v>
      </c>
      <c r="AG73" s="20"/>
      <c r="AH73" s="19">
        <f t="shared" si="10"/>
        <v>1.0017779870748156</v>
      </c>
      <c r="AI73" s="21">
        <f>Test!E778</f>
        <v>8137292</v>
      </c>
      <c r="AJ73" s="22">
        <v>8151760</v>
      </c>
      <c r="AK73" s="22">
        <v>1308808</v>
      </c>
      <c r="AL73" s="22">
        <v>6841760</v>
      </c>
      <c r="AM73" s="23"/>
      <c r="AN73" s="24">
        <f>Test!J778</f>
        <v>75.567869299999998</v>
      </c>
      <c r="AO73" s="24">
        <f>Test!K778</f>
        <v>79.091706200000004</v>
      </c>
      <c r="AP73" s="24">
        <f>Test!L778</f>
        <v>28.921105900000001</v>
      </c>
      <c r="AQ73" s="24">
        <f>Test!M778</f>
        <v>42.956042799999999</v>
      </c>
      <c r="AR73" s="24">
        <f>Test!N778</f>
        <v>43.806904099999997</v>
      </c>
      <c r="AS73" s="25"/>
      <c r="AT73" s="26"/>
      <c r="AU73" s="26"/>
      <c r="AW73" s="27">
        <f t="shared" si="11"/>
        <v>-1.3004273084774032E-4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">
        <v>1042</v>
      </c>
      <c r="J74" s="34">
        <v>2.3180806207537596</v>
      </c>
      <c r="K74" s="34">
        <v>0.61012586608710495</v>
      </c>
      <c r="L74" s="34">
        <v>1.7078209405604925</v>
      </c>
      <c r="M74" s="35"/>
      <c r="N74" s="34">
        <v>2.3763852773374228</v>
      </c>
      <c r="O74" s="36">
        <v>8689325</v>
      </c>
      <c r="P74" s="37">
        <v>20649184</v>
      </c>
      <c r="Q74" s="37">
        <v>5434928</v>
      </c>
      <c r="R74" s="37">
        <v>15213064</v>
      </c>
      <c r="S74" s="38"/>
      <c r="T74" s="39">
        <v>77.238729000000006</v>
      </c>
      <c r="U74" s="39">
        <v>80.4696797</v>
      </c>
      <c r="V74" s="39">
        <v>30.097591300000001</v>
      </c>
      <c r="W74" s="39">
        <v>44.288166599999997</v>
      </c>
      <c r="X74" s="39">
        <v>45.150685899999999</v>
      </c>
      <c r="Y74" s="38"/>
      <c r="Z74" s="41"/>
      <c r="AA74" s="41"/>
      <c r="AC74" s="33" t="str">
        <f t="shared" si="6"/>
        <v>·</v>
      </c>
      <c r="AD74" s="34">
        <f t="shared" si="7"/>
        <v>2.3180806207537596</v>
      </c>
      <c r="AE74" s="34">
        <f t="shared" si="8"/>
        <v>0.61012586608710495</v>
      </c>
      <c r="AF74" s="34">
        <f t="shared" si="9"/>
        <v>1.7078209405604925</v>
      </c>
      <c r="AG74" s="35"/>
      <c r="AH74" s="34">
        <f t="shared" si="10"/>
        <v>2.3763852773374228</v>
      </c>
      <c r="AI74" s="36">
        <f>Test!E779</f>
        <v>8689325</v>
      </c>
      <c r="AJ74" s="37">
        <v>20649184</v>
      </c>
      <c r="AK74" s="37">
        <v>5434928</v>
      </c>
      <c r="AL74" s="37">
        <v>15213064</v>
      </c>
      <c r="AM74" s="38"/>
      <c r="AN74" s="39">
        <f>Test!J779</f>
        <v>77.238729000000006</v>
      </c>
      <c r="AO74" s="39">
        <f>Test!K779</f>
        <v>80.4696797</v>
      </c>
      <c r="AP74" s="39">
        <f>Test!L779</f>
        <v>30.097591300000001</v>
      </c>
      <c r="AQ74" s="39">
        <f>Test!M779</f>
        <v>44.288166599999997</v>
      </c>
      <c r="AR74" s="39">
        <f>Test!N779</f>
        <v>45.150685899999999</v>
      </c>
      <c r="AS74" s="40"/>
      <c r="AT74" s="41"/>
      <c r="AU74" s="41"/>
      <c r="AW74" s="42">
        <f t="shared" si="11"/>
        <v>0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">
        <v>1042</v>
      </c>
      <c r="J75" s="19" t="s">
        <v>1042</v>
      </c>
      <c r="K75" s="19" t="s">
        <v>1042</v>
      </c>
      <c r="L75" s="19" t="s">
        <v>1042</v>
      </c>
      <c r="M75" s="20"/>
      <c r="N75" s="19" t="s">
        <v>1042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6"/>
        <v>·</v>
      </c>
      <c r="AD75" s="19">
        <f t="shared" si="7"/>
        <v>0</v>
      </c>
      <c r="AE75" s="19">
        <f t="shared" si="8"/>
        <v>0</v>
      </c>
      <c r="AF75" s="19">
        <f t="shared" si="9"/>
        <v>0</v>
      </c>
      <c r="AG75" s="20"/>
      <c r="AH75" s="19" t="e">
        <f t="shared" si="10"/>
        <v>#DIV/0!</v>
      </c>
      <c r="AI75" s="21"/>
      <c r="AJ75" s="22">
        <v>0</v>
      </c>
      <c r="AK75" s="22">
        <v>0</v>
      </c>
      <c r="AL75" s="22">
        <v>0</v>
      </c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1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">
        <v>1042</v>
      </c>
      <c r="J76" s="49" t="s">
        <v>1042</v>
      </c>
      <c r="K76" s="49" t="s">
        <v>1042</v>
      </c>
      <c r="L76" s="49" t="s">
        <v>1042</v>
      </c>
      <c r="M76" s="50"/>
      <c r="N76" s="49" t="s">
        <v>1042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6"/>
        <v>·</v>
      </c>
      <c r="AD76" s="49">
        <f t="shared" si="7"/>
        <v>0</v>
      </c>
      <c r="AE76" s="49">
        <f t="shared" si="8"/>
        <v>0</v>
      </c>
      <c r="AF76" s="49">
        <f t="shared" si="9"/>
        <v>0</v>
      </c>
      <c r="AG76" s="50"/>
      <c r="AH76" s="49" t="e">
        <f t="shared" si="10"/>
        <v>#DIV/0!</v>
      </c>
      <c r="AI76" s="51"/>
      <c r="AJ76" s="52">
        <v>0</v>
      </c>
      <c r="AK76" s="52">
        <v>0</v>
      </c>
      <c r="AL76" s="52">
        <v>0</v>
      </c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1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">
        <v>1042</v>
      </c>
      <c r="J77" s="19">
        <v>2.8471230578372881E-2</v>
      </c>
      <c r="K77" s="19">
        <v>4.9834195625712424E-3</v>
      </c>
      <c r="L77" s="19">
        <v>2.3390765690660717E-2</v>
      </c>
      <c r="M77" s="20"/>
      <c r="N77" s="19">
        <v>3.9877378681401399E-2</v>
      </c>
      <c r="O77" s="21">
        <v>14066722</v>
      </c>
      <c r="P77" s="22">
        <v>560944</v>
      </c>
      <c r="Q77" s="22">
        <v>98184</v>
      </c>
      <c r="R77" s="22">
        <v>460848</v>
      </c>
      <c r="S77" s="23"/>
      <c r="T77" s="24">
        <v>68.065072200000003</v>
      </c>
      <c r="U77" s="24">
        <v>71.023796099999998</v>
      </c>
      <c r="V77" s="24">
        <v>29.245591000000001</v>
      </c>
      <c r="W77" s="24">
        <v>42.971907100000003</v>
      </c>
      <c r="X77" s="24">
        <v>44.863351399999999</v>
      </c>
      <c r="Y77" s="23"/>
      <c r="Z77" s="26"/>
      <c r="AA77" s="26"/>
      <c r="AC77" s="18" t="str">
        <f t="shared" si="6"/>
        <v>·</v>
      </c>
      <c r="AD77" s="19">
        <f t="shared" si="7"/>
        <v>2.8471230578372881E-2</v>
      </c>
      <c r="AE77" s="19">
        <f t="shared" si="8"/>
        <v>4.9834195625712424E-3</v>
      </c>
      <c r="AF77" s="19">
        <f t="shared" si="9"/>
        <v>2.3390765690660717E-2</v>
      </c>
      <c r="AG77" s="20"/>
      <c r="AH77" s="19">
        <f t="shared" si="10"/>
        <v>3.9877378681401399E-2</v>
      </c>
      <c r="AI77" s="21">
        <f>Test!E782</f>
        <v>14066722</v>
      </c>
      <c r="AJ77" s="22">
        <v>560944</v>
      </c>
      <c r="AK77" s="22">
        <v>98184</v>
      </c>
      <c r="AL77" s="22">
        <v>460848</v>
      </c>
      <c r="AM77" s="23"/>
      <c r="AN77" s="24">
        <f>Test!J782</f>
        <v>68.065072200000003</v>
      </c>
      <c r="AO77" s="24">
        <f>Test!K782</f>
        <v>71.023796099999998</v>
      </c>
      <c r="AP77" s="24">
        <f>Test!L782</f>
        <v>29.245591000000001</v>
      </c>
      <c r="AQ77" s="24">
        <f>Test!M782</f>
        <v>42.971907100000003</v>
      </c>
      <c r="AR77" s="24">
        <f>Test!N782</f>
        <v>44.863351399999999</v>
      </c>
      <c r="AS77" s="25"/>
      <c r="AT77" s="26"/>
      <c r="AU77" s="26"/>
      <c r="AW77" s="27">
        <f t="shared" si="11"/>
        <v>0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-2.1774732196049862E-2</v>
      </c>
      <c r="BA77" s="28">
        <f>IF( OR(ISBLANK(Q77:Q82),ISBLANK(AK77:AK82), ISBLANK(U77:U82),ISBLANK(AO77:AO82)), "·", bdRateExtend( Q77:Q82,U77:U82, AK77:AK82,AO77:AO82))</f>
        <v>-2.0555560423839769E-2</v>
      </c>
      <c r="BB77" s="28">
        <f>IF( OR(ISBLANK(R77:R82),ISBLANK(AL77:AL82), ISBLANK(V77:V82),ISBLANK(AP77:AP82)), "·", bdRateExtend( R77:R82,V77:V82, AL77:AL82,AP77:AP82))</f>
        <v>-5.5648247607826828E-3</v>
      </c>
      <c r="BC77" s="28">
        <f>IF( OR(ISBLANK(R77:R82),ISBLANK(AL77:AL82), ISBLANK(W77:W82),ISBLANK(AQ77:AQ82)), "·", bdRateExtend( R77:R82,W77:W82, AL77:AL82,AQ77:AQ82))</f>
        <v>-5.1875766187219341E-3</v>
      </c>
      <c r="BD77" s="28">
        <f>IF( OR(ISBLANK(R77:R82),ISBLANK(AL77:AL82), ISBLANK(X77:X82),ISBLANK(AR77:AR82)), "·", bdRateExtend( R77:R82,X77:X82, AL77:AL82,AR77:AR82))</f>
        <v>-5.415439541109679E-3</v>
      </c>
      <c r="BE77" s="29"/>
      <c r="BG77" s="28">
        <f>IF( OR(ISBLANK(P77:P82),ISBLANK(AJ77:AJ82), ISBLANK(T77:T82),ISBLANK(AN77:AN82)), "·", bdRateExtend( P77:P82,T77:T82, AJ77:AJ82,AN77:AN82))</f>
        <v>-1.0222343139763002E-2</v>
      </c>
      <c r="BH77" s="28">
        <f>IF( OR(ISBLANK(P77:P82),ISBLANK(AJ77:AJ82), ISBLANK(U77:U82),ISBLANK(AO77:AO82)), "·", bdRateExtend( P77:P82,U77:U82, AJ77:AJ82,AO77:AO82))</f>
        <v>-9.5732879581721386E-3</v>
      </c>
      <c r="BI77" s="28">
        <f>IF( OR(ISBLANK(P77:P82),ISBLANK(AJ77:AJ82), ISBLANK(V77:V82),ISBLANK(AP77:AP82)), "·", bdRateExtend( P77:P82,V77:V82, AJ77:AJ82,AP77:AP82))</f>
        <v>-7.8099104796722774E-3</v>
      </c>
      <c r="BJ77" s="28">
        <f>IF( OR(ISBLANK(P77:P82),ISBLANK(AJ77:AJ82), ISBLANK(W77:W82),ISBLANK(AQ77:AQ82)), "·", bdRateExtend( P77:P82,W77:W82, AJ77:AJ82,AQ77:AQ82))</f>
        <v>-7.3432427233551811E-3</v>
      </c>
      <c r="BK77" s="28">
        <f>IF( OR(ISBLANK(P77:P82),ISBLANK(AJ77:AJ82), ISBLANK(X77:X82),ISBLANK(AR77:AR82)), "·", bdRateExtend( P77:P82,X77:X82, AJ77:AJ82,AR77:AR82))</f>
        <v>-7.5926049131247453E-3</v>
      </c>
      <c r="BL77" s="29"/>
    </row>
    <row r="78" spans="1:64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">
        <v>1042</v>
      </c>
      <c r="J78" s="34">
        <v>9.7248348833684717E-2</v>
      </c>
      <c r="K78" s="34">
        <v>1.7054396239513953E-2</v>
      </c>
      <c r="L78" s="34">
        <v>8.0096907269029849E-2</v>
      </c>
      <c r="M78" s="35"/>
      <c r="N78" s="34">
        <v>0.13863266085639531</v>
      </c>
      <c r="O78" s="36">
        <v>13820697</v>
      </c>
      <c r="P78" s="37">
        <v>1916000</v>
      </c>
      <c r="Q78" s="37">
        <v>336008</v>
      </c>
      <c r="R78" s="37">
        <v>1578080</v>
      </c>
      <c r="S78" s="38"/>
      <c r="T78" s="39">
        <v>74.350648500000005</v>
      </c>
      <c r="U78" s="39">
        <v>76.928054700000004</v>
      </c>
      <c r="V78" s="39">
        <v>31.112538799999999</v>
      </c>
      <c r="W78" s="39">
        <v>43.975785000000002</v>
      </c>
      <c r="X78" s="39">
        <v>45.822047699999999</v>
      </c>
      <c r="Y78" s="38"/>
      <c r="Z78" s="41"/>
      <c r="AA78" s="41"/>
      <c r="AC78" s="33" t="str">
        <f t="shared" si="6"/>
        <v>·</v>
      </c>
      <c r="AD78" s="34">
        <f t="shared" si="7"/>
        <v>9.566354588797335E-2</v>
      </c>
      <c r="AE78" s="34">
        <f t="shared" si="8"/>
        <v>1.6493644800101348E-2</v>
      </c>
      <c r="AF78" s="34">
        <f t="shared" si="9"/>
        <v>7.9072855762731084E-2</v>
      </c>
      <c r="AG78" s="35"/>
      <c r="AH78" s="34">
        <f t="shared" si="10"/>
        <v>0.13637344050014266</v>
      </c>
      <c r="AI78" s="36">
        <f>Test!E783</f>
        <v>13820697</v>
      </c>
      <c r="AJ78" s="37">
        <v>1884776</v>
      </c>
      <c r="AK78" s="37">
        <v>324960</v>
      </c>
      <c r="AL78" s="37">
        <v>1557904</v>
      </c>
      <c r="AM78" s="38"/>
      <c r="AN78" s="39">
        <f>Test!J783</f>
        <v>74.350648500000005</v>
      </c>
      <c r="AO78" s="39">
        <f>Test!K783</f>
        <v>76.928054700000004</v>
      </c>
      <c r="AP78" s="39">
        <f>Test!L783</f>
        <v>31.112538799999999</v>
      </c>
      <c r="AQ78" s="39">
        <f>Test!M783</f>
        <v>43.975785000000002</v>
      </c>
      <c r="AR78" s="39">
        <f>Test!N783</f>
        <v>45.822047699999999</v>
      </c>
      <c r="AS78" s="40"/>
      <c r="AT78" s="41"/>
      <c r="AU78" s="41"/>
      <c r="AW78" s="42">
        <f t="shared" si="11"/>
        <v>-2.9564585461268889E-3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">
        <v>1042</v>
      </c>
      <c r="J79" s="19">
        <v>0.35125494527648632</v>
      </c>
      <c r="K79" s="19">
        <v>6.6659987187174752E-2</v>
      </c>
      <c r="L79" s="19">
        <v>0.28449791276417064</v>
      </c>
      <c r="M79" s="20"/>
      <c r="N79" s="19">
        <v>0.47239932385973343</v>
      </c>
      <c r="O79" s="21">
        <v>14649623</v>
      </c>
      <c r="P79" s="22">
        <v>6920472</v>
      </c>
      <c r="Q79" s="22">
        <v>1313344</v>
      </c>
      <c r="R79" s="22">
        <v>5605216</v>
      </c>
      <c r="S79" s="23"/>
      <c r="T79" s="24">
        <v>79.136447799999999</v>
      </c>
      <c r="U79" s="24">
        <v>80.941286899999994</v>
      </c>
      <c r="V79" s="24">
        <v>33.434518300000001</v>
      </c>
      <c r="W79" s="24">
        <v>45.123300100000002</v>
      </c>
      <c r="X79" s="24">
        <v>46.818135300000002</v>
      </c>
      <c r="Y79" s="23"/>
      <c r="Z79" s="26"/>
      <c r="AA79" s="26"/>
      <c r="AC79" s="18" t="str">
        <f t="shared" si="6"/>
        <v>·</v>
      </c>
      <c r="AD79" s="19">
        <f t="shared" si="7"/>
        <v>0.34965511857751042</v>
      </c>
      <c r="AE79" s="19">
        <f t="shared" si="8"/>
        <v>6.5685067414524748E-2</v>
      </c>
      <c r="AF79" s="19">
        <f t="shared" si="9"/>
        <v>0.28387300583784475</v>
      </c>
      <c r="AG79" s="20"/>
      <c r="AH79" s="19">
        <f t="shared" si="10"/>
        <v>0.47024773265496322</v>
      </c>
      <c r="AI79" s="21">
        <f>Test!E784</f>
        <v>14649623</v>
      </c>
      <c r="AJ79" s="22">
        <v>6888952</v>
      </c>
      <c r="AK79" s="22">
        <v>1294136</v>
      </c>
      <c r="AL79" s="22">
        <v>5592904</v>
      </c>
      <c r="AM79" s="23"/>
      <c r="AN79" s="24">
        <f>Test!J784</f>
        <v>79.136447799999999</v>
      </c>
      <c r="AO79" s="24">
        <f>Test!K784</f>
        <v>80.941286899999994</v>
      </c>
      <c r="AP79" s="24">
        <f>Test!L784</f>
        <v>33.434518300000001</v>
      </c>
      <c r="AQ79" s="24">
        <f>Test!M784</f>
        <v>45.123300100000002</v>
      </c>
      <c r="AR79" s="24">
        <f>Test!N784</f>
        <v>46.818135300000002</v>
      </c>
      <c r="AS79" s="25"/>
      <c r="AT79" s="26"/>
      <c r="AU79" s="26"/>
      <c r="AW79" s="27">
        <f t="shared" si="11"/>
        <v>-1.9199204694994865E-3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">
        <v>1042</v>
      </c>
      <c r="J80" s="34">
        <v>1.032858674090837</v>
      </c>
      <c r="K80" s="34">
        <v>0.24052216881683985</v>
      </c>
      <c r="L80" s="34">
        <v>0.79223539947500099</v>
      </c>
      <c r="M80" s="35"/>
      <c r="N80" s="34">
        <v>1.3289800102324079</v>
      </c>
      <c r="O80" s="36">
        <v>15312134</v>
      </c>
      <c r="P80" s="37">
        <v>20349520</v>
      </c>
      <c r="Q80" s="37">
        <v>4738800</v>
      </c>
      <c r="R80" s="37">
        <v>15608728</v>
      </c>
      <c r="S80" s="38"/>
      <c r="T80" s="39">
        <v>80.563472300000001</v>
      </c>
      <c r="U80" s="39">
        <v>83.014914200000007</v>
      </c>
      <c r="V80" s="39">
        <v>35.573440699999999</v>
      </c>
      <c r="W80" s="39">
        <v>46.436768999999998</v>
      </c>
      <c r="X80" s="39">
        <v>47.899064299999999</v>
      </c>
      <c r="Y80" s="38"/>
      <c r="Z80" s="41"/>
      <c r="AA80" s="41"/>
      <c r="AC80" s="33" t="str">
        <f t="shared" si="6"/>
        <v>·</v>
      </c>
      <c r="AD80" s="34">
        <f t="shared" si="7"/>
        <v>1.032858674090837</v>
      </c>
      <c r="AE80" s="34">
        <f t="shared" si="8"/>
        <v>0.24052216881683985</v>
      </c>
      <c r="AF80" s="34">
        <f t="shared" si="9"/>
        <v>0.79223539947500099</v>
      </c>
      <c r="AG80" s="35"/>
      <c r="AH80" s="34">
        <f t="shared" si="10"/>
        <v>1.3289800102324079</v>
      </c>
      <c r="AI80" s="36">
        <f>Test!E785</f>
        <v>15312134</v>
      </c>
      <c r="AJ80" s="37">
        <v>20349520</v>
      </c>
      <c r="AK80" s="37">
        <v>4738800</v>
      </c>
      <c r="AL80" s="37">
        <v>15608728</v>
      </c>
      <c r="AM80" s="38"/>
      <c r="AN80" s="39">
        <f>Test!J785</f>
        <v>80.563472300000001</v>
      </c>
      <c r="AO80" s="39">
        <f>Test!K785</f>
        <v>83.014914200000007</v>
      </c>
      <c r="AP80" s="39">
        <f>Test!L785</f>
        <v>35.573440699999999</v>
      </c>
      <c r="AQ80" s="39">
        <f>Test!M785</f>
        <v>46.436768999999998</v>
      </c>
      <c r="AR80" s="39">
        <f>Test!N785</f>
        <v>47.899064299999999</v>
      </c>
      <c r="AS80" s="40"/>
      <c r="AT80" s="41"/>
      <c r="AU80" s="41"/>
      <c r="AW80" s="42">
        <f t="shared" si="11"/>
        <v>0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">
        <v>1042</v>
      </c>
      <c r="J81" s="19" t="s">
        <v>1042</v>
      </c>
      <c r="K81" s="19" t="s">
        <v>1042</v>
      </c>
      <c r="L81" s="19" t="s">
        <v>1042</v>
      </c>
      <c r="M81" s="20"/>
      <c r="N81" s="19" t="s">
        <v>1042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6"/>
        <v>·</v>
      </c>
      <c r="AD81" s="19">
        <f t="shared" si="7"/>
        <v>0</v>
      </c>
      <c r="AE81" s="19">
        <f t="shared" si="8"/>
        <v>0</v>
      </c>
      <c r="AF81" s="19">
        <f t="shared" si="9"/>
        <v>0</v>
      </c>
      <c r="AG81" s="20"/>
      <c r="AH81" s="19" t="e">
        <f t="shared" si="10"/>
        <v>#DIV/0!</v>
      </c>
      <c r="AI81" s="21"/>
      <c r="AJ81" s="22">
        <v>0</v>
      </c>
      <c r="AK81" s="22">
        <v>0</v>
      </c>
      <c r="AL81" s="22">
        <v>0</v>
      </c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1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">
        <v>1042</v>
      </c>
      <c r="J82" s="49" t="s">
        <v>1042</v>
      </c>
      <c r="K82" s="49" t="s">
        <v>1042</v>
      </c>
      <c r="L82" s="49" t="s">
        <v>1042</v>
      </c>
      <c r="M82" s="50"/>
      <c r="N82" s="49" t="s">
        <v>1042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6"/>
        <v>·</v>
      </c>
      <c r="AD82" s="49">
        <f t="shared" si="7"/>
        <v>0</v>
      </c>
      <c r="AE82" s="49">
        <f t="shared" si="8"/>
        <v>0</v>
      </c>
      <c r="AF82" s="49">
        <f t="shared" si="9"/>
        <v>0</v>
      </c>
      <c r="AG82" s="50"/>
      <c r="AH82" s="49" t="e">
        <f t="shared" si="10"/>
        <v>#DIV/0!</v>
      </c>
      <c r="AI82" s="51"/>
      <c r="AJ82" s="52">
        <v>0</v>
      </c>
      <c r="AK82" s="52">
        <v>0</v>
      </c>
      <c r="AL82" s="52">
        <v>0</v>
      </c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1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2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">
        <v>1042</v>
      </c>
      <c r="J83" s="19">
        <v>3.4950533319351641E-2</v>
      </c>
      <c r="K83" s="19">
        <v>4.7987812689268125E-3</v>
      </c>
      <c r="L83" s="19">
        <v>2.9910484910981555E-2</v>
      </c>
      <c r="M83" s="20"/>
      <c r="N83" s="19">
        <v>5.6553605717680568E-2</v>
      </c>
      <c r="O83" s="21">
        <v>2233633</v>
      </c>
      <c r="P83" s="22">
        <v>126320</v>
      </c>
      <c r="Q83" s="22">
        <v>17344</v>
      </c>
      <c r="R83" s="22">
        <v>108104</v>
      </c>
      <c r="S83" s="23"/>
      <c r="T83" s="24">
        <v>48.770139200000003</v>
      </c>
      <c r="U83" s="24">
        <v>49.578559499999997</v>
      </c>
      <c r="V83" s="24">
        <v>25.513511099999999</v>
      </c>
      <c r="W83" s="24">
        <v>42.4201458</v>
      </c>
      <c r="X83" s="24">
        <v>46.271093200000003</v>
      </c>
      <c r="Y83" s="23"/>
      <c r="Z83" s="26"/>
      <c r="AA83" s="26"/>
      <c r="AC83" s="18" t="str">
        <f t="shared" si="6"/>
        <v>·</v>
      </c>
      <c r="AD83" s="19">
        <f t="shared" si="7"/>
        <v>3.494389293936697E-2</v>
      </c>
      <c r="AE83" s="19">
        <f t="shared" si="8"/>
        <v>4.7855005089574576E-3</v>
      </c>
      <c r="AF83" s="19">
        <f t="shared" si="9"/>
        <v>2.9917125290966233E-2</v>
      </c>
      <c r="AG83" s="20"/>
      <c r="AH83" s="19">
        <f t="shared" si="10"/>
        <v>5.6542860890755109E-2</v>
      </c>
      <c r="AI83" s="21">
        <f>Test!E788</f>
        <v>2233633</v>
      </c>
      <c r="AJ83" s="22">
        <v>126296</v>
      </c>
      <c r="AK83" s="22">
        <v>17296</v>
      </c>
      <c r="AL83" s="22">
        <v>108128</v>
      </c>
      <c r="AM83" s="23"/>
      <c r="AN83" s="24">
        <f>Test!J788</f>
        <v>48.770139200000003</v>
      </c>
      <c r="AO83" s="24">
        <f>Test!K788</f>
        <v>49.578559499999997</v>
      </c>
      <c r="AP83" s="24">
        <f>Test!L788</f>
        <v>25.513511099999999</v>
      </c>
      <c r="AQ83" s="24">
        <f>Test!M788</f>
        <v>42.4201458</v>
      </c>
      <c r="AR83" s="24">
        <f>Test!N788</f>
        <v>46.271093200000003</v>
      </c>
      <c r="AS83" s="25"/>
      <c r="AT83" s="26"/>
      <c r="AU83" s="26"/>
      <c r="AW83" s="27">
        <f t="shared" si="11"/>
        <v>-3.5396805790896546E-4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-2.4847156810895443E-3</v>
      </c>
      <c r="BA83" s="28">
        <f>IF( OR(ISBLANK(Q83:Q88),ISBLANK(AK83:AK88), ISBLANK(U83:U88),ISBLANK(AO83:AO88)), "·", bdRateExtend( Q83:Q88,U83:U88, AK83:AK88,AO83:AO88))</f>
        <v>-2.5435935845101731E-3</v>
      </c>
      <c r="BB83" s="28">
        <f>IF( OR(ISBLANK(R83:R88),ISBLANK(AL83:AL88), ISBLANK(V83:V88),ISBLANK(AP83:AP88)), "·", bdRateExtend( R83:R88,V83:V88, AL83:AL88,AP83:AP88))</f>
        <v>-4.2682164814844548E-4</v>
      </c>
      <c r="BC83" s="28">
        <f>IF( OR(ISBLANK(R83:R88),ISBLANK(AL83:AL88), ISBLANK(W83:W88),ISBLANK(AQ83:AQ88)), "·", bdRateExtend( R83:R88,W83:W88, AL83:AL88,AQ83:AQ88))</f>
        <v>-4.0377579673134267E-4</v>
      </c>
      <c r="BD83" s="28">
        <f>IF( OR(ISBLANK(R83:R88),ISBLANK(AL83:AL88), ISBLANK(X83:X88),ISBLANK(AR83:AR88)), "·", bdRateExtend( R83:R88,X83:X88, AL83:AL88,AR83:AR88))</f>
        <v>-4.0968815954378623E-4</v>
      </c>
      <c r="BE83" s="29"/>
      <c r="BG83" s="28">
        <f>IF( OR(ISBLANK(P83:P88),ISBLANK(AJ83:AJ88), ISBLANK(T83:T88),ISBLANK(AN83:AN88)), "·", bdRateExtend( P83:P88,T83:T88, AJ83:AJ88,AN83:AN88))</f>
        <v>-7.162568938747782E-4</v>
      </c>
      <c r="BH83" s="28">
        <f>IF( OR(ISBLANK(P83:P88),ISBLANK(AJ83:AJ88), ISBLANK(U83:U88),ISBLANK(AO83:AO88)), "·", bdRateExtend( P83:P88,U83:U88, AJ83:AJ88,AO83:AO88))</f>
        <v>-7.6615170193594651E-4</v>
      </c>
      <c r="BI83" s="28">
        <f>IF( OR(ISBLANK(P83:P88),ISBLANK(AJ83:AJ88), ISBLANK(V83:V88),ISBLANK(AP83:AP88)), "·", bdRateExtend( P83:P88,V83:V88, AJ83:AJ88,AP83:AP88))</f>
        <v>-6.9166813514986991E-4</v>
      </c>
      <c r="BJ83" s="28">
        <f>IF( OR(ISBLANK(P83:P88),ISBLANK(AJ83:AJ88), ISBLANK(W83:W88),ISBLANK(AQ83:AQ88)), "·", bdRateExtend( P83:P88,W83:W88, AJ83:AJ88,AQ83:AQ88))</f>
        <v>-6.6690624759124795E-4</v>
      </c>
      <c r="BK83" s="28">
        <f>IF( OR(ISBLANK(P83:P88),ISBLANK(AJ83:AJ88), ISBLANK(X83:X88),ISBLANK(AR83:AR88)), "·", bdRateExtend( P83:P88,X83:X88, AJ83:AJ88,AR83:AR88))</f>
        <v>-6.7640967557835996E-4</v>
      </c>
      <c r="BL83" s="29"/>
    </row>
    <row r="84" spans="1:64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">
        <v>1042</v>
      </c>
      <c r="J84" s="34">
        <v>0.12077080424132138</v>
      </c>
      <c r="K84" s="34">
        <v>1.5073662565217524E-2</v>
      </c>
      <c r="L84" s="34">
        <v>0.10545587453666057</v>
      </c>
      <c r="M84" s="35"/>
      <c r="N84" s="34">
        <v>0.14113345591955997</v>
      </c>
      <c r="O84" s="36">
        <v>3092789</v>
      </c>
      <c r="P84" s="37">
        <v>436496</v>
      </c>
      <c r="Q84" s="37">
        <v>54480</v>
      </c>
      <c r="R84" s="37">
        <v>381144</v>
      </c>
      <c r="S84" s="38"/>
      <c r="T84" s="39">
        <v>60.205872300000003</v>
      </c>
      <c r="U84" s="39">
        <v>64.290694599999995</v>
      </c>
      <c r="V84" s="39">
        <v>29.357998299999998</v>
      </c>
      <c r="W84" s="39">
        <v>44.459400500000001</v>
      </c>
      <c r="X84" s="39">
        <v>47.338350800000001</v>
      </c>
      <c r="Y84" s="38"/>
      <c r="Z84" s="41"/>
      <c r="AA84" s="41"/>
      <c r="AC84" s="33" t="str">
        <f t="shared" si="6"/>
        <v>·</v>
      </c>
      <c r="AD84" s="34">
        <f t="shared" si="7"/>
        <v>0.1206446370216125</v>
      </c>
      <c r="AE84" s="34">
        <f t="shared" si="8"/>
        <v>1.5036033745304352E-2</v>
      </c>
      <c r="AF84" s="34">
        <f t="shared" si="9"/>
        <v>0.10536733613686487</v>
      </c>
      <c r="AG84" s="35"/>
      <c r="AH84" s="34">
        <f t="shared" si="10"/>
        <v>0.14098601618151124</v>
      </c>
      <c r="AI84" s="36">
        <f>Test!E789</f>
        <v>3092789</v>
      </c>
      <c r="AJ84" s="37">
        <v>436040</v>
      </c>
      <c r="AK84" s="37">
        <v>54344</v>
      </c>
      <c r="AL84" s="37">
        <v>380824</v>
      </c>
      <c r="AM84" s="38"/>
      <c r="AN84" s="39">
        <f>Test!J789</f>
        <v>60.205872300000003</v>
      </c>
      <c r="AO84" s="39">
        <f>Test!K789</f>
        <v>64.290694599999995</v>
      </c>
      <c r="AP84" s="39">
        <f>Test!L789</f>
        <v>29.357998299999998</v>
      </c>
      <c r="AQ84" s="39">
        <f>Test!M789</f>
        <v>44.459400500000001</v>
      </c>
      <c r="AR84" s="39">
        <f>Test!N789</f>
        <v>47.338350800000001</v>
      </c>
      <c r="AS84" s="40"/>
      <c r="AT84" s="41"/>
      <c r="AU84" s="41"/>
      <c r="AW84" s="42">
        <f t="shared" si="11"/>
        <v>-1.8137249797094135E-4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">
        <v>1042</v>
      </c>
      <c r="J85" s="19">
        <v>0.36472065719840707</v>
      </c>
      <c r="K85" s="19">
        <v>4.8636356467771605E-2</v>
      </c>
      <c r="L85" s="19">
        <v>0.31586516819114113</v>
      </c>
      <c r="M85" s="20"/>
      <c r="N85" s="19">
        <v>0.42434250977165455</v>
      </c>
      <c r="O85" s="21">
        <v>3106434</v>
      </c>
      <c r="P85" s="22">
        <v>1318192</v>
      </c>
      <c r="Q85" s="22">
        <v>175784</v>
      </c>
      <c r="R85" s="22">
        <v>1141616</v>
      </c>
      <c r="S85" s="23"/>
      <c r="T85" s="24">
        <v>65.769265799999999</v>
      </c>
      <c r="U85" s="24">
        <v>70.597715899999997</v>
      </c>
      <c r="V85" s="24">
        <v>31.529705199999999</v>
      </c>
      <c r="W85" s="24">
        <v>45.603650399999999</v>
      </c>
      <c r="X85" s="24">
        <v>48.184564299999998</v>
      </c>
      <c r="Y85" s="23"/>
      <c r="Z85" s="26"/>
      <c r="AA85" s="26"/>
      <c r="AC85" s="18" t="str">
        <f t="shared" si="6"/>
        <v>·</v>
      </c>
      <c r="AD85" s="19">
        <f t="shared" si="7"/>
        <v>0.3644838169789536</v>
      </c>
      <c r="AE85" s="19">
        <f t="shared" si="8"/>
        <v>4.8488054648113815E-2</v>
      </c>
      <c r="AF85" s="19">
        <f t="shared" si="9"/>
        <v>0.31577662979134541</v>
      </c>
      <c r="AG85" s="20"/>
      <c r="AH85" s="19">
        <f t="shared" si="10"/>
        <v>0.42406695265375027</v>
      </c>
      <c r="AI85" s="21">
        <f>Test!E790</f>
        <v>3106434</v>
      </c>
      <c r="AJ85" s="22">
        <v>1317336</v>
      </c>
      <c r="AK85" s="22">
        <v>175248</v>
      </c>
      <c r="AL85" s="22">
        <v>1141296</v>
      </c>
      <c r="AM85" s="23"/>
      <c r="AN85" s="24">
        <f>Test!J790</f>
        <v>65.769265799999999</v>
      </c>
      <c r="AO85" s="24">
        <f>Test!K790</f>
        <v>70.597715899999997</v>
      </c>
      <c r="AP85" s="24">
        <f>Test!L790</f>
        <v>31.529705199999999</v>
      </c>
      <c r="AQ85" s="24">
        <f>Test!M790</f>
        <v>45.603650399999999</v>
      </c>
      <c r="AR85" s="24">
        <f>Test!N790</f>
        <v>48.184564299999998</v>
      </c>
      <c r="AS85" s="25"/>
      <c r="AT85" s="26"/>
      <c r="AU85" s="26"/>
      <c r="AW85" s="27">
        <f t="shared" si="11"/>
        <v>-3.2022991022617742E-4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">
        <v>1042</v>
      </c>
      <c r="J86" s="34">
        <v>1.1005765786604196</v>
      </c>
      <c r="K86" s="34">
        <v>0.17007119870756071</v>
      </c>
      <c r="L86" s="34">
        <v>0.93028624741336452</v>
      </c>
      <c r="M86" s="35"/>
      <c r="N86" s="34">
        <v>0.95304702341718883</v>
      </c>
      <c r="O86" s="36">
        <v>4173729</v>
      </c>
      <c r="P86" s="37">
        <v>3977760</v>
      </c>
      <c r="Q86" s="37">
        <v>614680</v>
      </c>
      <c r="R86" s="37">
        <v>3362288</v>
      </c>
      <c r="S86" s="38"/>
      <c r="T86" s="39">
        <v>69.765749200000002</v>
      </c>
      <c r="U86" s="39">
        <v>72.627085800000003</v>
      </c>
      <c r="V86" s="39">
        <v>33.469769200000002</v>
      </c>
      <c r="W86" s="39">
        <v>46.905246699999999</v>
      </c>
      <c r="X86" s="39">
        <v>48.963209200000001</v>
      </c>
      <c r="Y86" s="38"/>
      <c r="Z86" s="41"/>
      <c r="AA86" s="41"/>
      <c r="AC86" s="33" t="str">
        <f t="shared" si="6"/>
        <v>·</v>
      </c>
      <c r="AD86" s="34">
        <f t="shared" si="7"/>
        <v>1.1005765786604196</v>
      </c>
      <c r="AE86" s="34">
        <f t="shared" si="8"/>
        <v>0.17007119870756071</v>
      </c>
      <c r="AF86" s="34">
        <f t="shared" si="9"/>
        <v>0.93028624741336452</v>
      </c>
      <c r="AG86" s="35"/>
      <c r="AH86" s="34">
        <f t="shared" si="10"/>
        <v>0.95304702341718883</v>
      </c>
      <c r="AI86" s="36">
        <f>Test!E791</f>
        <v>4173729</v>
      </c>
      <c r="AJ86" s="37">
        <v>3977760</v>
      </c>
      <c r="AK86" s="37">
        <v>614680</v>
      </c>
      <c r="AL86" s="37">
        <v>3362288</v>
      </c>
      <c r="AM86" s="38"/>
      <c r="AN86" s="39">
        <f>Test!J791</f>
        <v>69.765749200000002</v>
      </c>
      <c r="AO86" s="39">
        <f>Test!K791</f>
        <v>72.627085800000003</v>
      </c>
      <c r="AP86" s="39">
        <f>Test!L791</f>
        <v>33.469769200000002</v>
      </c>
      <c r="AQ86" s="39">
        <f>Test!M791</f>
        <v>46.905246699999999</v>
      </c>
      <c r="AR86" s="39">
        <f>Test!N791</f>
        <v>48.963209200000001</v>
      </c>
      <c r="AS86" s="40"/>
      <c r="AT86" s="41"/>
      <c r="AU86" s="41"/>
      <c r="AW86" s="42">
        <f t="shared" si="11"/>
        <v>0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">
        <v>1042</v>
      </c>
      <c r="J87" s="19" t="s">
        <v>1042</v>
      </c>
      <c r="K87" s="19" t="s">
        <v>1042</v>
      </c>
      <c r="L87" s="19" t="s">
        <v>1042</v>
      </c>
      <c r="M87" s="20"/>
      <c r="N87" s="19" t="s">
        <v>1042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6"/>
        <v>·</v>
      </c>
      <c r="AD87" s="19">
        <f t="shared" si="7"/>
        <v>0</v>
      </c>
      <c r="AE87" s="19">
        <f t="shared" si="8"/>
        <v>0</v>
      </c>
      <c r="AF87" s="19">
        <f t="shared" si="9"/>
        <v>0</v>
      </c>
      <c r="AG87" s="20"/>
      <c r="AH87" s="19" t="e">
        <f t="shared" si="10"/>
        <v>#DIV/0!</v>
      </c>
      <c r="AI87" s="21"/>
      <c r="AJ87" s="22">
        <v>0</v>
      </c>
      <c r="AK87" s="22">
        <v>0</v>
      </c>
      <c r="AL87" s="22">
        <v>0</v>
      </c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1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">
        <v>1042</v>
      </c>
      <c r="J88" s="49" t="s">
        <v>1042</v>
      </c>
      <c r="K88" s="49" t="s">
        <v>1042</v>
      </c>
      <c r="L88" s="49" t="s">
        <v>1042</v>
      </c>
      <c r="M88" s="50"/>
      <c r="N88" s="49" t="s">
        <v>1042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6"/>
        <v>·</v>
      </c>
      <c r="AD88" s="49">
        <f t="shared" si="7"/>
        <v>0</v>
      </c>
      <c r="AE88" s="49">
        <f t="shared" si="8"/>
        <v>0</v>
      </c>
      <c r="AF88" s="49">
        <f t="shared" si="9"/>
        <v>0</v>
      </c>
      <c r="AG88" s="50"/>
      <c r="AH88" s="49" t="e">
        <f t="shared" si="10"/>
        <v>#DIV/0!</v>
      </c>
      <c r="AI88" s="51"/>
      <c r="AJ88" s="52">
        <v>0</v>
      </c>
      <c r="AK88" s="52">
        <v>0</v>
      </c>
      <c r="AL88" s="52">
        <v>0</v>
      </c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1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">
        <v>1042</v>
      </c>
      <c r="J89" s="19">
        <v>8.377276654336932E-2</v>
      </c>
      <c r="K89" s="19">
        <v>8.9934085737737139E-3</v>
      </c>
      <c r="L89" s="19">
        <v>7.4633207887846498E-2</v>
      </c>
      <c r="M89" s="20"/>
      <c r="N89" s="19">
        <v>6.9352752853589716E-2</v>
      </c>
      <c r="O89" s="21">
        <v>16794373</v>
      </c>
      <c r="P89" s="22">
        <v>1164736</v>
      </c>
      <c r="Q89" s="22">
        <v>125040</v>
      </c>
      <c r="R89" s="22">
        <v>1037664</v>
      </c>
      <c r="S89" s="23"/>
      <c r="T89" s="24">
        <v>55.130734699999998</v>
      </c>
      <c r="U89" s="24">
        <v>55.761971600000003</v>
      </c>
      <c r="V89" s="24">
        <v>24.341210799999999</v>
      </c>
      <c r="W89" s="24">
        <v>39.051796600000003</v>
      </c>
      <c r="X89" s="24">
        <v>43.684196900000003</v>
      </c>
      <c r="Y89" s="23"/>
      <c r="Z89" s="26"/>
      <c r="AA89" s="26"/>
      <c r="AC89" s="18" t="str">
        <f t="shared" si="6"/>
        <v>·</v>
      </c>
      <c r="AD89" s="19">
        <f t="shared" si="7"/>
        <v>8.3379197031887467E-2</v>
      </c>
      <c r="AE89" s="19">
        <f t="shared" si="8"/>
        <v>8.9450754758724337E-3</v>
      </c>
      <c r="AF89" s="19">
        <f t="shared" si="9"/>
        <v>7.428797147426594E-2</v>
      </c>
      <c r="AG89" s="20"/>
      <c r="AH89" s="19">
        <f t="shared" si="10"/>
        <v>6.9026929436424925E-2</v>
      </c>
      <c r="AI89" s="21">
        <f>Test!E794</f>
        <v>16794373</v>
      </c>
      <c r="AJ89" s="22">
        <v>1159264</v>
      </c>
      <c r="AK89" s="22">
        <v>124368</v>
      </c>
      <c r="AL89" s="22">
        <v>1032864</v>
      </c>
      <c r="AM89" s="23"/>
      <c r="AN89" s="24">
        <f>Test!J794</f>
        <v>55.130734699999998</v>
      </c>
      <c r="AO89" s="24">
        <f>Test!K794</f>
        <v>55.761971600000003</v>
      </c>
      <c r="AP89" s="24">
        <f>Test!L794</f>
        <v>24.341210799999999</v>
      </c>
      <c r="AQ89" s="24">
        <f>Test!M794</f>
        <v>39.051796600000003</v>
      </c>
      <c r="AR89" s="24">
        <f>Test!N794</f>
        <v>43.684196900000003</v>
      </c>
      <c r="AS89" s="25"/>
      <c r="AT89" s="26"/>
      <c r="AU89" s="26"/>
      <c r="AW89" s="27">
        <f t="shared" si="11"/>
        <v>-7.2938119327015105E-5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-5.7693748975814474E-3</v>
      </c>
      <c r="BA89" s="28">
        <f>IF( OR(ISBLANK(Q89:Q94),ISBLANK(AK89:AK94), ISBLANK(U89:U94),ISBLANK(AO89:AO94)), "·", bdRateExtend( Q89:Q94,U89:U94, AK89:AK94,AO89:AO94))</f>
        <v>-5.7537264933184007E-3</v>
      </c>
      <c r="BB89" s="28">
        <f>IF( OR(ISBLANK(R89:R94),ISBLANK(AL89:AL94), ISBLANK(V89:V94),ISBLANK(AP89:AP94)), "·", bdRateExtend( R89:R94,V89:V94, AL89:AL94,AP89:AP94))</f>
        <v>-3.9594762029560027E-3</v>
      </c>
      <c r="BC89" s="28">
        <f>IF( OR(ISBLANK(R89:R94),ISBLANK(AL89:AL94), ISBLANK(W89:W94),ISBLANK(AQ89:AQ94)), "·", bdRateExtend( R89:R94,W89:W94, AL89:AL94,AQ89:AQ94))</f>
        <v>-3.4921725968436457E-3</v>
      </c>
      <c r="BD89" s="28">
        <f>IF( OR(ISBLANK(R89:R94),ISBLANK(AL89:AL94), ISBLANK(X89:X94),ISBLANK(AR89:AR94)), "·", bdRateExtend( R89:R94,X89:X94, AL89:AL94,AR89:AR94))</f>
        <v>-3.6260178702429702E-3</v>
      </c>
      <c r="BE89" s="29"/>
      <c r="BG89" s="28">
        <f>IF( OR(ISBLANK(P89:P94),ISBLANK(AJ89:AJ94), ISBLANK(T89:T94),ISBLANK(AN89:AN94)), "·", bdRateExtend( P89:P94,T89:T94, AJ89:AJ94,AN89:AN94))</f>
        <v>-4.4093263209797895E-3</v>
      </c>
      <c r="BH89" s="28">
        <f>IF( OR(ISBLANK(P89:P94),ISBLANK(AJ89:AJ94), ISBLANK(U89:U94),ISBLANK(AO89:AO94)), "·", bdRateExtend( P89:P94,U89:U94, AJ89:AJ94,AO89:AO94))</f>
        <v>-4.3979495422609149E-3</v>
      </c>
      <c r="BI89" s="28">
        <f>IF( OR(ISBLANK(P89:P94),ISBLANK(AJ89:AJ94), ISBLANK(V89:V94),ISBLANK(AP89:AP94)), "·", bdRateExtend( P89:P94,V89:V94, AJ89:AJ94,AP89:AP94))</f>
        <v>-4.1466131689344987E-3</v>
      </c>
      <c r="BJ89" s="28">
        <f>IF( OR(ISBLANK(P89:P94),ISBLANK(AJ89:AJ94), ISBLANK(W89:W94),ISBLANK(AQ89:AQ94)), "·", bdRateExtend( P89:P94,W89:W94, AJ89:AJ94,AQ89:AQ94))</f>
        <v>-3.694287443055333E-3</v>
      </c>
      <c r="BK89" s="28">
        <f>IF( OR(ISBLANK(P89:P94),ISBLANK(AJ89:AJ94), ISBLANK(X89:X94),ISBLANK(AR89:AR94)), "·", bdRateExtend( P89:P94,X89:X94, AJ89:AJ94,AR89:AR94))</f>
        <v>-3.8189564596621262E-3</v>
      </c>
      <c r="BL89" s="29"/>
    </row>
    <row r="90" spans="1:64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">
        <v>1042</v>
      </c>
      <c r="J90" s="34">
        <v>0.28369514588971595</v>
      </c>
      <c r="K90" s="34">
        <v>2.7395084811640453E-2</v>
      </c>
      <c r="L90" s="34">
        <v>0.25616541887677907</v>
      </c>
      <c r="M90" s="35"/>
      <c r="N90" s="34">
        <v>0.2415773808174933</v>
      </c>
      <c r="O90" s="36">
        <v>16327522</v>
      </c>
      <c r="P90" s="37">
        <v>3944360</v>
      </c>
      <c r="Q90" s="37">
        <v>380888</v>
      </c>
      <c r="R90" s="37">
        <v>3561600</v>
      </c>
      <c r="S90" s="38"/>
      <c r="T90" s="39">
        <v>67.689477100000005</v>
      </c>
      <c r="U90" s="39">
        <v>71.308047000000002</v>
      </c>
      <c r="V90" s="39">
        <v>28.063596499999999</v>
      </c>
      <c r="W90" s="39">
        <v>41.876536600000001</v>
      </c>
      <c r="X90" s="39">
        <v>46.123760400000002</v>
      </c>
      <c r="Y90" s="38"/>
      <c r="Z90" s="41"/>
      <c r="AA90" s="41"/>
      <c r="AC90" s="33" t="str">
        <f t="shared" si="6"/>
        <v>·</v>
      </c>
      <c r="AD90" s="34">
        <f t="shared" si="7"/>
        <v>0.28226759331956031</v>
      </c>
      <c r="AE90" s="34">
        <f t="shared" si="8"/>
        <v>2.7210958724397483E-2</v>
      </c>
      <c r="AF90" s="34">
        <f t="shared" si="9"/>
        <v>0.25492199239386643</v>
      </c>
      <c r="AG90" s="35"/>
      <c r="AH90" s="34">
        <f t="shared" si="10"/>
        <v>0.24036176463274708</v>
      </c>
      <c r="AI90" s="36">
        <f>Test!E795</f>
        <v>16327522</v>
      </c>
      <c r="AJ90" s="37">
        <v>3924512</v>
      </c>
      <c r="AK90" s="37">
        <v>378328</v>
      </c>
      <c r="AL90" s="37">
        <v>3544312</v>
      </c>
      <c r="AM90" s="38"/>
      <c r="AN90" s="39">
        <f>Test!J795</f>
        <v>67.689477100000005</v>
      </c>
      <c r="AO90" s="39">
        <f>Test!K795</f>
        <v>71.308047000000002</v>
      </c>
      <c r="AP90" s="39">
        <f>Test!L795</f>
        <v>28.063596499999999</v>
      </c>
      <c r="AQ90" s="39">
        <f>Test!M795</f>
        <v>41.876536600000001</v>
      </c>
      <c r="AR90" s="39">
        <f>Test!N795</f>
        <v>46.123760400000002</v>
      </c>
      <c r="AS90" s="40"/>
      <c r="AT90" s="41"/>
      <c r="AU90" s="41"/>
      <c r="AW90" s="42">
        <f t="shared" si="11"/>
        <v>-1.6393718988580441E-4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">
        <v>1042</v>
      </c>
      <c r="J91" s="19">
        <v>0.77563804723927388</v>
      </c>
      <c r="K91" s="19">
        <v>9.5047037022865294E-2</v>
      </c>
      <c r="L91" s="19">
        <v>0.68046212195533851</v>
      </c>
      <c r="M91" s="20"/>
      <c r="N91" s="19">
        <v>0.77349201063169071</v>
      </c>
      <c r="O91" s="21">
        <v>13942091</v>
      </c>
      <c r="P91" s="22">
        <v>10784096</v>
      </c>
      <c r="Q91" s="22">
        <v>1321488</v>
      </c>
      <c r="R91" s="22">
        <v>9460816</v>
      </c>
      <c r="S91" s="23"/>
      <c r="T91" s="24">
        <v>71.530000299999998</v>
      </c>
      <c r="U91" s="24">
        <v>75.941246000000007</v>
      </c>
      <c r="V91" s="24">
        <v>30.142194</v>
      </c>
      <c r="W91" s="24">
        <v>43.588295899999999</v>
      </c>
      <c r="X91" s="24">
        <v>47.418911899999998</v>
      </c>
      <c r="Y91" s="23"/>
      <c r="Z91" s="26"/>
      <c r="AA91" s="26"/>
      <c r="AC91" s="18" t="str">
        <f t="shared" si="6"/>
        <v>·</v>
      </c>
      <c r="AD91" s="19">
        <f t="shared" si="7"/>
        <v>0.77372486211401492</v>
      </c>
      <c r="AE91" s="19">
        <f t="shared" si="8"/>
        <v>9.4533210160652886E-2</v>
      </c>
      <c r="AF91" s="19">
        <f t="shared" si="9"/>
        <v>0.6790627636922919</v>
      </c>
      <c r="AG91" s="20"/>
      <c r="AH91" s="19">
        <f t="shared" si="10"/>
        <v>0.77158411891014056</v>
      </c>
      <c r="AI91" s="21">
        <f>Test!E796</f>
        <v>13942091</v>
      </c>
      <c r="AJ91" s="22">
        <v>10757496</v>
      </c>
      <c r="AK91" s="22">
        <v>1314344</v>
      </c>
      <c r="AL91" s="22">
        <v>9441360</v>
      </c>
      <c r="AM91" s="23"/>
      <c r="AN91" s="24">
        <f>Test!J796</f>
        <v>71.530000299999998</v>
      </c>
      <c r="AO91" s="24">
        <f>Test!K796</f>
        <v>75.941246000000007</v>
      </c>
      <c r="AP91" s="24">
        <f>Test!L796</f>
        <v>30.142194</v>
      </c>
      <c r="AQ91" s="24">
        <f>Test!M796</f>
        <v>43.588295899999999</v>
      </c>
      <c r="AR91" s="24">
        <f>Test!N796</f>
        <v>47.418911899999998</v>
      </c>
      <c r="AS91" s="25"/>
      <c r="AT91" s="26"/>
      <c r="AU91" s="26"/>
      <c r="AW91" s="27">
        <f t="shared" si="11"/>
        <v>-3.6108997600249604E-4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">
        <v>1042</v>
      </c>
      <c r="J92" s="34">
        <v>1.9237303715117817</v>
      </c>
      <c r="K92" s="34">
        <v>0.34738896261923963</v>
      </c>
      <c r="L92" s="34">
        <v>1.5762125206314719</v>
      </c>
      <c r="M92" s="35"/>
      <c r="N92" s="34">
        <v>1.7254284990666025</v>
      </c>
      <c r="O92" s="36">
        <v>15501434</v>
      </c>
      <c r="P92" s="37">
        <v>26746616</v>
      </c>
      <c r="Q92" s="37">
        <v>4829928</v>
      </c>
      <c r="R92" s="37">
        <v>21914896</v>
      </c>
      <c r="S92" s="38"/>
      <c r="T92" s="39">
        <v>73.360866299999998</v>
      </c>
      <c r="U92" s="39">
        <v>78.287945100000002</v>
      </c>
      <c r="V92" s="39">
        <v>31.4752899</v>
      </c>
      <c r="W92" s="39">
        <v>45.4819478</v>
      </c>
      <c r="X92" s="39">
        <v>48.8336459</v>
      </c>
      <c r="Y92" s="38"/>
      <c r="Z92" s="41"/>
      <c r="AA92" s="41"/>
      <c r="AC92" s="33" t="str">
        <f t="shared" si="6"/>
        <v>·</v>
      </c>
      <c r="AD92" s="34">
        <f t="shared" si="7"/>
        <v>1.9237303715117817</v>
      </c>
      <c r="AE92" s="34">
        <f t="shared" si="8"/>
        <v>0.34738896261923963</v>
      </c>
      <c r="AF92" s="34">
        <f t="shared" si="9"/>
        <v>1.5762125206314719</v>
      </c>
      <c r="AG92" s="35"/>
      <c r="AH92" s="34">
        <f t="shared" si="10"/>
        <v>1.7254284990666025</v>
      </c>
      <c r="AI92" s="36">
        <f>Test!E797</f>
        <v>15501434</v>
      </c>
      <c r="AJ92" s="37">
        <v>26746616</v>
      </c>
      <c r="AK92" s="37">
        <v>4829928</v>
      </c>
      <c r="AL92" s="37">
        <v>21914896</v>
      </c>
      <c r="AM92" s="38"/>
      <c r="AN92" s="39">
        <f>Test!J797</f>
        <v>73.360866299999998</v>
      </c>
      <c r="AO92" s="39">
        <f>Test!K797</f>
        <v>78.287945100000002</v>
      </c>
      <c r="AP92" s="39">
        <f>Test!L797</f>
        <v>31.4752899</v>
      </c>
      <c r="AQ92" s="39">
        <f>Test!M797</f>
        <v>45.4819478</v>
      </c>
      <c r="AR92" s="39">
        <f>Test!N797</f>
        <v>48.8336459</v>
      </c>
      <c r="AS92" s="40"/>
      <c r="AT92" s="41"/>
      <c r="AU92" s="41"/>
      <c r="AW92" s="42">
        <f t="shared" si="11"/>
        <v>0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">
        <v>1042</v>
      </c>
      <c r="J93" s="19" t="s">
        <v>1042</v>
      </c>
      <c r="K93" s="19" t="s">
        <v>1042</v>
      </c>
      <c r="L93" s="19" t="s">
        <v>1042</v>
      </c>
      <c r="M93" s="20"/>
      <c r="N93" s="19" t="s">
        <v>1042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6"/>
        <v>·</v>
      </c>
      <c r="AD93" s="19">
        <f t="shared" si="7"/>
        <v>0</v>
      </c>
      <c r="AE93" s="19">
        <f t="shared" si="8"/>
        <v>0</v>
      </c>
      <c r="AF93" s="19">
        <f t="shared" si="9"/>
        <v>0</v>
      </c>
      <c r="AG93" s="20"/>
      <c r="AH93" s="19" t="e">
        <f t="shared" si="10"/>
        <v>#DIV/0!</v>
      </c>
      <c r="AI93" s="21"/>
      <c r="AJ93" s="22">
        <v>0</v>
      </c>
      <c r="AK93" s="22">
        <v>0</v>
      </c>
      <c r="AL93" s="22">
        <v>0</v>
      </c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1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">
        <v>1042</v>
      </c>
      <c r="J94" s="49" t="s">
        <v>1042</v>
      </c>
      <c r="K94" s="49" t="s">
        <v>1042</v>
      </c>
      <c r="L94" s="49" t="s">
        <v>1042</v>
      </c>
      <c r="M94" s="50"/>
      <c r="N94" s="49" t="s">
        <v>1042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6"/>
        <v>·</v>
      </c>
      <c r="AD94" s="49">
        <f t="shared" si="7"/>
        <v>0</v>
      </c>
      <c r="AE94" s="49">
        <f t="shared" si="8"/>
        <v>0</v>
      </c>
      <c r="AF94" s="49">
        <f t="shared" si="9"/>
        <v>0</v>
      </c>
      <c r="AG94" s="50"/>
      <c r="AH94" s="49" t="e">
        <f t="shared" si="10"/>
        <v>#DIV/0!</v>
      </c>
      <c r="AI94" s="51"/>
      <c r="AJ94" s="52">
        <v>0</v>
      </c>
      <c r="AK94" s="52">
        <v>0</v>
      </c>
      <c r="AL94" s="52">
        <v>0</v>
      </c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1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">
        <v>1042</v>
      </c>
      <c r="J95" s="19">
        <v>3.6136361058376962E-2</v>
      </c>
      <c r="K95" s="19">
        <v>3.402117455135298E-3</v>
      </c>
      <c r="L95" s="19">
        <v>3.2537904138081088E-2</v>
      </c>
      <c r="M95" s="20"/>
      <c r="N95" s="19">
        <v>8.1588065389284342E-2</v>
      </c>
      <c r="O95" s="21">
        <v>2147569</v>
      </c>
      <c r="P95" s="22">
        <v>175216</v>
      </c>
      <c r="Q95" s="22">
        <v>16496</v>
      </c>
      <c r="R95" s="22">
        <v>157768</v>
      </c>
      <c r="S95" s="23"/>
      <c r="T95" s="24">
        <v>50.946210200000003</v>
      </c>
      <c r="U95" s="24">
        <v>54.138122099999997</v>
      </c>
      <c r="V95" s="24">
        <v>23.661882599999998</v>
      </c>
      <c r="W95" s="24">
        <v>38.128851099999999</v>
      </c>
      <c r="X95" s="24">
        <v>40.735894100000003</v>
      </c>
      <c r="Y95" s="23"/>
      <c r="Z95" s="26"/>
      <c r="AA95" s="26"/>
      <c r="AC95" s="18" t="str">
        <f t="shared" si="6"/>
        <v>·</v>
      </c>
      <c r="AD95" s="19">
        <f t="shared" si="7"/>
        <v>3.601426760945358E-2</v>
      </c>
      <c r="AE95" s="19">
        <f t="shared" si="8"/>
        <v>3.365819402752671E-3</v>
      </c>
      <c r="AF95" s="19">
        <f t="shared" si="9"/>
        <v>3.2452108741540336E-2</v>
      </c>
      <c r="AG95" s="20"/>
      <c r="AH95" s="19">
        <f t="shared" si="10"/>
        <v>8.1312404863359458E-2</v>
      </c>
      <c r="AI95" s="21">
        <f>Test!E800</f>
        <v>2147569</v>
      </c>
      <c r="AJ95" s="22">
        <v>174624</v>
      </c>
      <c r="AK95" s="22">
        <v>16320</v>
      </c>
      <c r="AL95" s="22">
        <v>157352</v>
      </c>
      <c r="AM95" s="23"/>
      <c r="AN95" s="24">
        <f>Test!J800</f>
        <v>50.946210200000003</v>
      </c>
      <c r="AO95" s="24">
        <f>Test!K800</f>
        <v>54.138122099999997</v>
      </c>
      <c r="AP95" s="24">
        <f>Test!L800</f>
        <v>23.661882599999998</v>
      </c>
      <c r="AQ95" s="24">
        <f>Test!M800</f>
        <v>38.128851099999999</v>
      </c>
      <c r="AR95" s="24">
        <f>Test!N800</f>
        <v>40.735894100000003</v>
      </c>
      <c r="AS95" s="25"/>
      <c r="AT95" s="26"/>
      <c r="AU95" s="26"/>
      <c r="AW95" s="27">
        <f t="shared" si="11"/>
        <v>-6.8870934843999476E-4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-1.0743127580688405E-2</v>
      </c>
      <c r="BA95" s="28">
        <f>IF( OR(ISBLANK(Q95:Q100),ISBLANK(AK95:AK100), ISBLANK(U95:U100),ISBLANK(AO95:AO100)), "·", bdRateExtend( Q95:Q100,U95:U100, AK95:AK100,AO95:AO100))</f>
        <v>-1.0791585100419665E-2</v>
      </c>
      <c r="BB95" s="28">
        <f>IF( OR(ISBLANK(R95:R100),ISBLANK(AL95:AL100), ISBLANK(V95:V100),ISBLANK(AP95:AP100)), "·", bdRateExtend( R95:R100,V95:V100, AL95:AL100,AP95:AP100))</f>
        <v>-4.0107041982562208E-3</v>
      </c>
      <c r="BC95" s="28">
        <f>IF( OR(ISBLANK(R95:R100),ISBLANK(AL95:AL100), ISBLANK(W95:W100),ISBLANK(AQ95:AQ100)), "·", bdRateExtend( R95:R100,W95:W100, AL95:AL100,AQ95:AQ100))</f>
        <v>-3.9950896855259765E-3</v>
      </c>
      <c r="BD95" s="28">
        <f>IF( OR(ISBLANK(R95:R100),ISBLANK(AL95:AL100), ISBLANK(X95:X100),ISBLANK(AR95:AR100)), "·", bdRateExtend( R95:R100,X95:X100, AL95:AL100,AR95:AR100))</f>
        <v>-3.9053376859199407E-3</v>
      </c>
      <c r="BE95" s="29"/>
      <c r="BG95" s="28">
        <f>IF( OR(ISBLANK(P95:P100),ISBLANK(AJ95:AJ100), ISBLANK(T95:T100),ISBLANK(AN95:AN100)), "·", bdRateExtend( P95:P100,T95:T100, AJ95:AJ100,AN95:AN100))</f>
        <v>-4.4463143444176678E-3</v>
      </c>
      <c r="BH95" s="28">
        <f>IF( OR(ISBLANK(P95:P100),ISBLANK(AJ95:AJ100), ISBLANK(U95:U100),ISBLANK(AO95:AO100)), "·", bdRateExtend( P95:P100,U95:U100, AJ95:AJ100,AO95:AO100))</f>
        <v>-4.447222338678003E-3</v>
      </c>
      <c r="BI95" s="28">
        <f>IF( OR(ISBLANK(P95:P100),ISBLANK(AJ95:AJ100), ISBLANK(V95:V100),ISBLANK(AP95:AP100)), "·", bdRateExtend( P95:P100,V95:V100, AJ95:AJ100,AP95:AP100))</f>
        <v>-4.4983894939585323E-3</v>
      </c>
      <c r="BJ95" s="28">
        <f>IF( OR(ISBLANK(P95:P100),ISBLANK(AJ95:AJ100), ISBLANK(W95:W100),ISBLANK(AQ95:AQ100)), "·", bdRateExtend( P95:P100,W95:W100, AJ95:AJ100,AQ95:AQ100))</f>
        <v>-4.4685491037946834E-3</v>
      </c>
      <c r="BK95" s="28">
        <f>IF( OR(ISBLANK(P95:P100),ISBLANK(AJ95:AJ100), ISBLANK(X95:X100),ISBLANK(AR95:AR100)), "·", bdRateExtend( P95:P100,X95:X100, AJ95:AJ100,AR95:AR100))</f>
        <v>-4.3629602679517987E-3</v>
      </c>
      <c r="BL95" s="29"/>
    </row>
    <row r="96" spans="1:64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">
        <v>1042</v>
      </c>
      <c r="J96" s="34">
        <v>0.15717221672824616</v>
      </c>
      <c r="K96" s="34">
        <v>9.7922245859495601E-3</v>
      </c>
      <c r="L96" s="34">
        <v>0.14720015179185542</v>
      </c>
      <c r="M96" s="35"/>
      <c r="N96" s="34">
        <v>0.20657667433152921</v>
      </c>
      <c r="O96" s="36">
        <v>3689129</v>
      </c>
      <c r="P96" s="37">
        <v>762088</v>
      </c>
      <c r="Q96" s="37">
        <v>47480</v>
      </c>
      <c r="R96" s="37">
        <v>713736</v>
      </c>
      <c r="S96" s="38"/>
      <c r="T96" s="39">
        <v>61.937266399999999</v>
      </c>
      <c r="U96" s="39">
        <v>65.290520599999994</v>
      </c>
      <c r="V96" s="39">
        <v>27.377940599999999</v>
      </c>
      <c r="W96" s="39">
        <v>40.302767000000003</v>
      </c>
      <c r="X96" s="39">
        <v>42.025168499999999</v>
      </c>
      <c r="Y96" s="38"/>
      <c r="Z96" s="41"/>
      <c r="AA96" s="41"/>
      <c r="AC96" s="33" t="str">
        <f t="shared" si="6"/>
        <v>·</v>
      </c>
      <c r="AD96" s="34">
        <f t="shared" si="7"/>
        <v>0.15638190913318809</v>
      </c>
      <c r="AE96" s="34">
        <f t="shared" si="8"/>
        <v>9.6800306058578041E-3</v>
      </c>
      <c r="AF96" s="34">
        <f t="shared" si="9"/>
        <v>0.14652203817688908</v>
      </c>
      <c r="AG96" s="35"/>
      <c r="AH96" s="34">
        <f t="shared" si="10"/>
        <v>0.20553794676195927</v>
      </c>
      <c r="AI96" s="36">
        <f>Test!E801</f>
        <v>3689129</v>
      </c>
      <c r="AJ96" s="37">
        <v>758256</v>
      </c>
      <c r="AK96" s="37">
        <v>46936</v>
      </c>
      <c r="AL96" s="37">
        <v>710448</v>
      </c>
      <c r="AM96" s="38"/>
      <c r="AN96" s="39">
        <f>Test!J801</f>
        <v>61.937266399999999</v>
      </c>
      <c r="AO96" s="39">
        <f>Test!K801</f>
        <v>65.290520599999994</v>
      </c>
      <c r="AP96" s="39">
        <f>Test!L801</f>
        <v>27.377940599999999</v>
      </c>
      <c r="AQ96" s="39">
        <f>Test!M801</f>
        <v>40.302767000000003</v>
      </c>
      <c r="AR96" s="39">
        <f>Test!N801</f>
        <v>42.025168499999999</v>
      </c>
      <c r="AS96" s="40"/>
      <c r="AT96" s="41"/>
      <c r="AU96" s="41"/>
      <c r="AW96" s="42">
        <f t="shared" si="11"/>
        <v>-4.0257743789664374E-4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">
        <v>1042</v>
      </c>
      <c r="J97" s="19">
        <v>0.43756642182667888</v>
      </c>
      <c r="K97" s="19">
        <v>3.4710837546622887E-2</v>
      </c>
      <c r="L97" s="19">
        <v>0.40267574392961475</v>
      </c>
      <c r="M97" s="20"/>
      <c r="N97" s="19">
        <v>0.6389457152365049</v>
      </c>
      <c r="O97" s="21">
        <v>3320545</v>
      </c>
      <c r="P97" s="22">
        <v>2121648</v>
      </c>
      <c r="Q97" s="22">
        <v>168304</v>
      </c>
      <c r="R97" s="22">
        <v>1952472</v>
      </c>
      <c r="S97" s="23"/>
      <c r="T97" s="24">
        <v>66.667799700000003</v>
      </c>
      <c r="U97" s="24">
        <v>69.856256299999998</v>
      </c>
      <c r="V97" s="24">
        <v>29.3513357</v>
      </c>
      <c r="W97" s="24">
        <v>41.842602999999997</v>
      </c>
      <c r="X97" s="24">
        <v>43.073971899999997</v>
      </c>
      <c r="Y97" s="23"/>
      <c r="Z97" s="26"/>
      <c r="AA97" s="26"/>
      <c r="AC97" s="18" t="str">
        <f t="shared" si="6"/>
        <v>·</v>
      </c>
      <c r="AD97" s="19">
        <f t="shared" si="7"/>
        <v>0.43510805373349187</v>
      </c>
      <c r="AE97" s="19">
        <f t="shared" si="8"/>
        <v>3.4293409944222683E-2</v>
      </c>
      <c r="AF97" s="19">
        <f t="shared" si="9"/>
        <v>0.40063480343882796</v>
      </c>
      <c r="AG97" s="20"/>
      <c r="AH97" s="19">
        <f t="shared" si="10"/>
        <v>0.63535594307560961</v>
      </c>
      <c r="AI97" s="21">
        <f>Test!E802</f>
        <v>3320545</v>
      </c>
      <c r="AJ97" s="22">
        <v>2109728</v>
      </c>
      <c r="AK97" s="22">
        <v>166280</v>
      </c>
      <c r="AL97" s="22">
        <v>1942576</v>
      </c>
      <c r="AM97" s="23"/>
      <c r="AN97" s="24">
        <f>Test!J802</f>
        <v>66.667799700000003</v>
      </c>
      <c r="AO97" s="24">
        <f>Test!K802</f>
        <v>69.856256299999998</v>
      </c>
      <c r="AP97" s="24">
        <f>Test!L802</f>
        <v>29.3513357</v>
      </c>
      <c r="AQ97" s="24">
        <f>Test!M802</f>
        <v>41.842602999999997</v>
      </c>
      <c r="AR97" s="24">
        <f>Test!N802</f>
        <v>43.073971899999997</v>
      </c>
      <c r="AS97" s="25"/>
      <c r="AT97" s="26"/>
      <c r="AU97" s="26"/>
      <c r="AW97" s="27">
        <f t="shared" si="11"/>
        <v>-5.1116636670023308E-4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">
        <v>1042</v>
      </c>
      <c r="J98" s="34">
        <v>1.2031946410875392</v>
      </c>
      <c r="K98" s="34">
        <v>0.13308845897237326</v>
      </c>
      <c r="L98" s="34">
        <v>1.0699263417647247</v>
      </c>
      <c r="M98" s="35"/>
      <c r="N98" s="34">
        <v>1.3339244627189497</v>
      </c>
      <c r="O98" s="36">
        <v>4373549</v>
      </c>
      <c r="P98" s="37">
        <v>5833984</v>
      </c>
      <c r="Q98" s="37">
        <v>645312</v>
      </c>
      <c r="R98" s="37">
        <v>5187800</v>
      </c>
      <c r="S98" s="38"/>
      <c r="T98" s="39">
        <v>69.335817500000005</v>
      </c>
      <c r="U98" s="39">
        <v>72.212328900000003</v>
      </c>
      <c r="V98" s="39">
        <v>30.430522400000001</v>
      </c>
      <c r="W98" s="39">
        <v>43.033002799999998</v>
      </c>
      <c r="X98" s="39">
        <v>44.242074199999998</v>
      </c>
      <c r="Y98" s="38"/>
      <c r="Z98" s="41"/>
      <c r="AA98" s="41"/>
      <c r="AC98" s="33" t="str">
        <f t="shared" si="6"/>
        <v>·</v>
      </c>
      <c r="AD98" s="34">
        <f t="shared" si="7"/>
        <v>1.2031946410875392</v>
      </c>
      <c r="AE98" s="34">
        <f t="shared" si="8"/>
        <v>0.13308845897237326</v>
      </c>
      <c r="AF98" s="34">
        <f t="shared" si="9"/>
        <v>1.0699263417647247</v>
      </c>
      <c r="AG98" s="35"/>
      <c r="AH98" s="34">
        <f t="shared" si="10"/>
        <v>1.3339244627189497</v>
      </c>
      <c r="AI98" s="36">
        <f>Test!E803</f>
        <v>4373549</v>
      </c>
      <c r="AJ98" s="37">
        <v>5833984</v>
      </c>
      <c r="AK98" s="37">
        <v>645312</v>
      </c>
      <c r="AL98" s="37">
        <v>5187800</v>
      </c>
      <c r="AM98" s="38"/>
      <c r="AN98" s="39">
        <f>Test!J803</f>
        <v>69.335817500000005</v>
      </c>
      <c r="AO98" s="39">
        <f>Test!K803</f>
        <v>72.212328900000003</v>
      </c>
      <c r="AP98" s="39">
        <f>Test!L803</f>
        <v>30.430522400000001</v>
      </c>
      <c r="AQ98" s="39">
        <f>Test!M803</f>
        <v>43.033002799999998</v>
      </c>
      <c r="AR98" s="39">
        <f>Test!N803</f>
        <v>44.242074199999998</v>
      </c>
      <c r="AS98" s="40"/>
      <c r="AT98" s="41"/>
      <c r="AU98" s="41"/>
      <c r="AW98" s="42">
        <f t="shared" si="11"/>
        <v>0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">
        <v>1042</v>
      </c>
      <c r="J99" s="19" t="s">
        <v>1042</v>
      </c>
      <c r="K99" s="19" t="s">
        <v>1042</v>
      </c>
      <c r="L99" s="19" t="s">
        <v>1042</v>
      </c>
      <c r="M99" s="20"/>
      <c r="N99" s="19" t="s">
        <v>1042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6"/>
        <v>·</v>
      </c>
      <c r="AD99" s="19">
        <f t="shared" si="7"/>
        <v>0</v>
      </c>
      <c r="AE99" s="19">
        <f t="shared" si="8"/>
        <v>0</v>
      </c>
      <c r="AF99" s="19">
        <f t="shared" si="9"/>
        <v>0</v>
      </c>
      <c r="AG99" s="20"/>
      <c r="AH99" s="19" t="e">
        <f t="shared" si="10"/>
        <v>#DIV/0!</v>
      </c>
      <c r="AI99" s="21"/>
      <c r="AJ99" s="22">
        <v>0</v>
      </c>
      <c r="AK99" s="22">
        <v>0</v>
      </c>
      <c r="AL99" s="22">
        <v>0</v>
      </c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1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">
        <v>1042</v>
      </c>
      <c r="J100" s="49" t="s">
        <v>1042</v>
      </c>
      <c r="K100" s="49" t="s">
        <v>1042</v>
      </c>
      <c r="L100" s="49" t="s">
        <v>1042</v>
      </c>
      <c r="M100" s="50"/>
      <c r="N100" s="49" t="s">
        <v>1042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6"/>
        <v>·</v>
      </c>
      <c r="AD100" s="49">
        <f t="shared" si="7"/>
        <v>0</v>
      </c>
      <c r="AE100" s="49">
        <f t="shared" si="8"/>
        <v>0</v>
      </c>
      <c r="AF100" s="49">
        <f t="shared" si="9"/>
        <v>0</v>
      </c>
      <c r="AG100" s="50"/>
      <c r="AH100" s="49" t="e">
        <f t="shared" si="10"/>
        <v>#DIV/0!</v>
      </c>
      <c r="AI100" s="51"/>
      <c r="AJ100" s="52">
        <v>0</v>
      </c>
      <c r="AK100" s="52">
        <v>0</v>
      </c>
      <c r="AL100" s="52">
        <v>0</v>
      </c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1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">
        <v>1042</v>
      </c>
      <c r="J101" s="19">
        <v>2.1756017609027976E-2</v>
      </c>
      <c r="K101" s="19">
        <v>1.0558723070551389E-3</v>
      </c>
      <c r="L101" s="19">
        <v>2.0668566981079443E-2</v>
      </c>
      <c r="M101" s="20"/>
      <c r="N101" s="19">
        <v>0.12454122631858969</v>
      </c>
      <c r="O101" s="21">
        <v>12568561</v>
      </c>
      <c r="P101" s="22">
        <v>1565304</v>
      </c>
      <c r="Q101" s="22">
        <v>75968</v>
      </c>
      <c r="R101" s="22">
        <v>1487064</v>
      </c>
      <c r="S101" s="23"/>
      <c r="T101" s="24">
        <v>67.611583100000004</v>
      </c>
      <c r="U101" s="24">
        <v>72.976930999999993</v>
      </c>
      <c r="V101" s="24">
        <v>23.5050296</v>
      </c>
      <c r="W101" s="24">
        <v>37.671579100000002</v>
      </c>
      <c r="X101" s="24">
        <v>38.7701621</v>
      </c>
      <c r="Y101" s="23"/>
      <c r="Z101" s="26"/>
      <c r="AA101" s="26"/>
      <c r="AC101" s="18" t="str">
        <f t="shared" si="6"/>
        <v>·</v>
      </c>
      <c r="AD101" s="19">
        <f t="shared" si="7"/>
        <v>2.1423555709481339E-2</v>
      </c>
      <c r="AE101" s="19">
        <f t="shared" si="8"/>
        <v>1.014731536877127E-3</v>
      </c>
      <c r="AF101" s="19">
        <f t="shared" si="9"/>
        <v>2.0377245851710819E-2</v>
      </c>
      <c r="AG101" s="20"/>
      <c r="AH101" s="19">
        <f t="shared" si="10"/>
        <v>0.12263806493042441</v>
      </c>
      <c r="AI101" s="21">
        <f>Test!E806</f>
        <v>12568561</v>
      </c>
      <c r="AJ101" s="22">
        <v>1541384</v>
      </c>
      <c r="AK101" s="22">
        <v>73008</v>
      </c>
      <c r="AL101" s="22">
        <v>1466104</v>
      </c>
      <c r="AM101" s="23"/>
      <c r="AN101" s="24">
        <f>Test!J806</f>
        <v>67.611583100000004</v>
      </c>
      <c r="AO101" s="24">
        <f>Test!K806</f>
        <v>72.976930999999993</v>
      </c>
      <c r="AP101" s="24">
        <f>Test!L806</f>
        <v>23.5050296</v>
      </c>
      <c r="AQ101" s="24">
        <f>Test!M806</f>
        <v>37.671579100000002</v>
      </c>
      <c r="AR101" s="24">
        <f>Test!N806</f>
        <v>38.7701621</v>
      </c>
      <c r="AS101" s="25"/>
      <c r="AT101" s="26"/>
      <c r="AU101" s="26"/>
      <c r="AW101" s="27">
        <f t="shared" si="11"/>
        <v>-1.1672006316703828E-3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-5.9804462136824332E-3</v>
      </c>
      <c r="BA101" s="28">
        <f>IF( OR(ISBLANK(Q101:Q106),ISBLANK(AK101:AK106), ISBLANK(U101:U106),ISBLANK(AO101:AO106)), "·", bdRateExtend( Q101:Q106,U101:U106, AK101:AK106,AO101:AO106))</f>
        <v>-7.6653934261734502E-3</v>
      </c>
      <c r="BB101" s="28">
        <f>IF( OR(ISBLANK(R101:R106),ISBLANK(AL101:AL106), ISBLANK(V101:V106),ISBLANK(AP101:AP106)), "·", bdRateExtend( R101:R106,V101:V106, AL101:AL106,AP101:AP106))</f>
        <v>-2.2142554076931553E-3</v>
      </c>
      <c r="BC101" s="28">
        <f>IF( OR(ISBLANK(R101:R106),ISBLANK(AL101:AL106), ISBLANK(W101:W106),ISBLANK(AQ101:AQ106)), "·", bdRateExtend( R101:R106,W101:W106, AL101:AL106,AQ101:AQ106))</f>
        <v>-1.5503190635496322E-3</v>
      </c>
      <c r="BD101" s="28">
        <f>IF( OR(ISBLANK(R101:R106),ISBLANK(AL101:AL106), ISBLANK(X101:X106),ISBLANK(AR101:AR106)), "·", bdRateExtend( R101:R106,X101:X106, AL101:AL106,AR101:AR106))</f>
        <v>-1.6618072912785165E-3</v>
      </c>
      <c r="BE101" s="29"/>
      <c r="BG101" s="28">
        <f>IF( OR(ISBLANK(P101:P106),ISBLANK(AJ101:AJ106), ISBLANK(T101:T106),ISBLANK(AN101:AN106)), "·", bdRateExtend( P101:P106,T101:T106, AJ101:AJ106,AN101:AN106))</f>
        <v>-2.3224652109936628E-3</v>
      </c>
      <c r="BH101" s="28">
        <f>IF( OR(ISBLANK(P101:P106),ISBLANK(AJ101:AJ106), ISBLANK(U101:U106),ISBLANK(AO101:AO106)), "·", bdRateExtend( P101:P106,U101:U106, AJ101:AJ106,AO101:AO106))</f>
        <v>-2.9055918304602413E-3</v>
      </c>
      <c r="BI101" s="28">
        <f>IF( OR(ISBLANK(P101:P106),ISBLANK(AJ101:AJ106), ISBLANK(V101:V106),ISBLANK(AP101:AP106)), "·", bdRateExtend( P101:P106,V101:V106, AJ101:AJ106,AP101:AP106))</f>
        <v>-2.4031990234882894E-3</v>
      </c>
      <c r="BJ101" s="28">
        <f>IF( OR(ISBLANK(P101:P106),ISBLANK(AJ101:AJ106), ISBLANK(W101:W106),ISBLANK(AQ101:AQ106)), "·", bdRateExtend( P101:P106,W101:W106, AJ101:AJ106,AQ101:AQ106))</f>
        <v>-1.6804890427766228E-3</v>
      </c>
      <c r="BK101" s="28">
        <f>IF( OR(ISBLANK(P101:P106),ISBLANK(AJ101:AJ106), ISBLANK(X101:X106),ISBLANK(AR101:AR106)), "·", bdRateExtend( P101:P106,X101:X106, AJ101:AJ106,AR101:AR106))</f>
        <v>-1.8020682109525232E-3</v>
      </c>
      <c r="BL101" s="29"/>
    </row>
    <row r="102" spans="1:64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">
        <v>1042</v>
      </c>
      <c r="J102" s="34">
        <v>7.7731593556877268E-2</v>
      </c>
      <c r="K102" s="34">
        <v>3.4186868105220412E-3</v>
      </c>
      <c r="L102" s="34">
        <v>7.428132842546184E-2</v>
      </c>
      <c r="M102" s="35"/>
      <c r="N102" s="34">
        <v>0.43655662124483863</v>
      </c>
      <c r="O102" s="36">
        <v>12810801</v>
      </c>
      <c r="P102" s="37">
        <v>5592640</v>
      </c>
      <c r="Q102" s="37">
        <v>245968</v>
      </c>
      <c r="R102" s="37">
        <v>5344400</v>
      </c>
      <c r="S102" s="38"/>
      <c r="T102" s="39">
        <v>73.007217999999995</v>
      </c>
      <c r="U102" s="39">
        <v>77.685370000000006</v>
      </c>
      <c r="V102" s="39">
        <v>25.124640599999999</v>
      </c>
      <c r="W102" s="39">
        <v>38.966206700000001</v>
      </c>
      <c r="X102" s="39">
        <v>40.3093431</v>
      </c>
      <c r="Y102" s="38"/>
      <c r="Z102" s="41"/>
      <c r="AA102" s="41"/>
      <c r="AC102" s="33" t="str">
        <f t="shared" si="6"/>
        <v>·</v>
      </c>
      <c r="AD102" s="34">
        <f t="shared" si="7"/>
        <v>7.7731593556877268E-2</v>
      </c>
      <c r="AE102" s="34">
        <f t="shared" si="8"/>
        <v>3.4186868105220412E-3</v>
      </c>
      <c r="AF102" s="34">
        <f t="shared" si="9"/>
        <v>7.428132842546184E-2</v>
      </c>
      <c r="AG102" s="35"/>
      <c r="AH102" s="34">
        <f t="shared" si="10"/>
        <v>0.43655662124483863</v>
      </c>
      <c r="AI102" s="36">
        <f>Test!E807</f>
        <v>12810801</v>
      </c>
      <c r="AJ102" s="37">
        <v>5592640</v>
      </c>
      <c r="AK102" s="37">
        <v>245968</v>
      </c>
      <c r="AL102" s="37">
        <v>5344400</v>
      </c>
      <c r="AM102" s="38"/>
      <c r="AN102" s="39">
        <f>Test!J807</f>
        <v>73.007217999999995</v>
      </c>
      <c r="AO102" s="39">
        <f>Test!K807</f>
        <v>77.685370000000006</v>
      </c>
      <c r="AP102" s="39">
        <f>Test!L807</f>
        <v>25.124640599999999</v>
      </c>
      <c r="AQ102" s="39">
        <f>Test!M807</f>
        <v>38.966206700000001</v>
      </c>
      <c r="AR102" s="39">
        <f>Test!N807</f>
        <v>40.3093431</v>
      </c>
      <c r="AS102" s="40"/>
      <c r="AT102" s="41"/>
      <c r="AU102" s="41"/>
      <c r="AW102" s="42">
        <f t="shared" si="11"/>
        <v>0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">
        <v>1042</v>
      </c>
      <c r="J103" s="19">
        <v>0.24414534177931108</v>
      </c>
      <c r="K103" s="19">
        <v>1.518839401082675E-2</v>
      </c>
      <c r="L103" s="19">
        <v>0.22892536944759093</v>
      </c>
      <c r="M103" s="20"/>
      <c r="N103" s="19">
        <v>1.2239813436444611</v>
      </c>
      <c r="O103" s="21">
        <v>14351356</v>
      </c>
      <c r="P103" s="22">
        <v>17565792</v>
      </c>
      <c r="Q103" s="22">
        <v>1092776</v>
      </c>
      <c r="R103" s="22">
        <v>16470744</v>
      </c>
      <c r="S103" s="23"/>
      <c r="T103" s="24">
        <v>78.432040499999999</v>
      </c>
      <c r="U103" s="24">
        <v>80.750787200000005</v>
      </c>
      <c r="V103" s="24">
        <v>26.5338122</v>
      </c>
      <c r="W103" s="24">
        <v>40.477826499999999</v>
      </c>
      <c r="X103" s="24">
        <v>41.963101100000003</v>
      </c>
      <c r="Y103" s="23"/>
      <c r="Z103" s="26"/>
      <c r="AA103" s="26"/>
      <c r="AC103" s="18" t="str">
        <f t="shared" si="6"/>
        <v>·</v>
      </c>
      <c r="AD103" s="19">
        <f t="shared" si="7"/>
        <v>0.24414534177931108</v>
      </c>
      <c r="AE103" s="19">
        <f t="shared" si="8"/>
        <v>1.518839401082675E-2</v>
      </c>
      <c r="AF103" s="19">
        <f t="shared" si="9"/>
        <v>0.22892536944759093</v>
      </c>
      <c r="AG103" s="20"/>
      <c r="AH103" s="19">
        <f t="shared" si="10"/>
        <v>1.2239813436444611</v>
      </c>
      <c r="AI103" s="21">
        <f>Test!E808</f>
        <v>14351356</v>
      </c>
      <c r="AJ103" s="22">
        <v>17565792</v>
      </c>
      <c r="AK103" s="22">
        <v>1092776</v>
      </c>
      <c r="AL103" s="22">
        <v>16470744</v>
      </c>
      <c r="AM103" s="23"/>
      <c r="AN103" s="24">
        <f>Test!J808</f>
        <v>78.432040499999999</v>
      </c>
      <c r="AO103" s="24">
        <f>Test!K808</f>
        <v>80.750787200000005</v>
      </c>
      <c r="AP103" s="24">
        <f>Test!L808</f>
        <v>26.5338122</v>
      </c>
      <c r="AQ103" s="24">
        <f>Test!M808</f>
        <v>40.477826499999999</v>
      </c>
      <c r="AR103" s="24">
        <f>Test!N808</f>
        <v>41.963101100000003</v>
      </c>
      <c r="AS103" s="25"/>
      <c r="AT103" s="26"/>
      <c r="AU103" s="26"/>
      <c r="AW103" s="27">
        <f t="shared" si="11"/>
        <v>0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">
        <v>1042</v>
      </c>
      <c r="J104" s="34">
        <v>0.56976308503738815</v>
      </c>
      <c r="K104" s="34">
        <v>6.0400766141212855E-2</v>
      </c>
      <c r="L104" s="34">
        <v>0.50933074057528194</v>
      </c>
      <c r="M104" s="35"/>
      <c r="N104" s="34">
        <v>2.6977066310353841</v>
      </c>
      <c r="O104" s="36">
        <v>15195636</v>
      </c>
      <c r="P104" s="37">
        <v>40993368</v>
      </c>
      <c r="Q104" s="37">
        <v>4345720</v>
      </c>
      <c r="R104" s="37">
        <v>36645376</v>
      </c>
      <c r="S104" s="38"/>
      <c r="T104" s="39">
        <v>81.0018101</v>
      </c>
      <c r="U104" s="39">
        <v>82.862695900000006</v>
      </c>
      <c r="V104" s="39">
        <v>27.467487299999998</v>
      </c>
      <c r="W104" s="39">
        <v>42.015529000000001</v>
      </c>
      <c r="X104" s="39">
        <v>43.646991499999999</v>
      </c>
      <c r="Y104" s="38"/>
      <c r="Z104" s="41"/>
      <c r="AA104" s="41"/>
      <c r="AC104" s="33" t="str">
        <f t="shared" si="6"/>
        <v>·</v>
      </c>
      <c r="AD104" s="34">
        <f t="shared" si="7"/>
        <v>0.56976308503738815</v>
      </c>
      <c r="AE104" s="34">
        <f t="shared" si="8"/>
        <v>6.0400766141212855E-2</v>
      </c>
      <c r="AF104" s="34">
        <f t="shared" si="9"/>
        <v>0.50933074057528194</v>
      </c>
      <c r="AG104" s="35"/>
      <c r="AH104" s="34">
        <f t="shared" si="10"/>
        <v>2.6977066310353841</v>
      </c>
      <c r="AI104" s="36">
        <f>Test!E809</f>
        <v>15195636</v>
      </c>
      <c r="AJ104" s="37">
        <v>40993368</v>
      </c>
      <c r="AK104" s="37">
        <v>4345720</v>
      </c>
      <c r="AL104" s="37">
        <v>36645376</v>
      </c>
      <c r="AM104" s="38"/>
      <c r="AN104" s="39">
        <f>Test!J809</f>
        <v>81.0018101</v>
      </c>
      <c r="AO104" s="39">
        <f>Test!K809</f>
        <v>82.862695900000006</v>
      </c>
      <c r="AP104" s="39">
        <f>Test!L809</f>
        <v>27.467487299999998</v>
      </c>
      <c r="AQ104" s="39">
        <f>Test!M809</f>
        <v>42.015529000000001</v>
      </c>
      <c r="AR104" s="39">
        <f>Test!N809</f>
        <v>43.646991499999999</v>
      </c>
      <c r="AS104" s="40"/>
      <c r="AT104" s="41"/>
      <c r="AU104" s="41"/>
      <c r="AW104" s="42">
        <f t="shared" si="11"/>
        <v>0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">
        <v>1042</v>
      </c>
      <c r="J105" s="19" t="s">
        <v>1042</v>
      </c>
      <c r="K105" s="19" t="s">
        <v>1042</v>
      </c>
      <c r="L105" s="19" t="s">
        <v>1042</v>
      </c>
      <c r="M105" s="20"/>
      <c r="N105" s="19" t="s">
        <v>1042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6"/>
        <v>·</v>
      </c>
      <c r="AD105" s="19">
        <f t="shared" si="7"/>
        <v>0</v>
      </c>
      <c r="AE105" s="19">
        <f t="shared" si="8"/>
        <v>0</v>
      </c>
      <c r="AF105" s="19">
        <f t="shared" si="9"/>
        <v>0</v>
      </c>
      <c r="AG105" s="20"/>
      <c r="AH105" s="19" t="e">
        <f t="shared" si="10"/>
        <v>#DIV/0!</v>
      </c>
      <c r="AI105" s="21"/>
      <c r="AJ105" s="22">
        <v>0</v>
      </c>
      <c r="AK105" s="22">
        <v>0</v>
      </c>
      <c r="AL105" s="22">
        <v>0</v>
      </c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1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">
        <v>1042</v>
      </c>
      <c r="J106" s="49" t="s">
        <v>1042</v>
      </c>
      <c r="K106" s="49" t="s">
        <v>1042</v>
      </c>
      <c r="L106" s="49" t="s">
        <v>1042</v>
      </c>
      <c r="M106" s="50"/>
      <c r="N106" s="49" t="s">
        <v>1042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6"/>
        <v>·</v>
      </c>
      <c r="AD106" s="49">
        <f t="shared" si="7"/>
        <v>0</v>
      </c>
      <c r="AE106" s="49">
        <f t="shared" si="8"/>
        <v>0</v>
      </c>
      <c r="AF106" s="49">
        <f t="shared" si="9"/>
        <v>0</v>
      </c>
      <c r="AG106" s="50"/>
      <c r="AH106" s="49" t="e">
        <f t="shared" si="10"/>
        <v>#DIV/0!</v>
      </c>
      <c r="AI106" s="51"/>
      <c r="AJ106" s="52">
        <v>0</v>
      </c>
      <c r="AK106" s="52">
        <v>0</v>
      </c>
      <c r="AL106" s="52">
        <v>0</v>
      </c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1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">
        <v>1042</v>
      </c>
      <c r="J107" s="19">
        <v>0.15690337783847019</v>
      </c>
      <c r="K107" s="19">
        <v>9.0694100555469073E-3</v>
      </c>
      <c r="L107" s="19">
        <v>0.14759108329710521</v>
      </c>
      <c r="M107" s="20"/>
      <c r="N107" s="19">
        <v>0.14033392976717127</v>
      </c>
      <c r="O107" s="21">
        <v>3461686</v>
      </c>
      <c r="P107" s="22">
        <v>485792</v>
      </c>
      <c r="Q107" s="22">
        <v>28080</v>
      </c>
      <c r="R107" s="22">
        <v>456960</v>
      </c>
      <c r="S107" s="23"/>
      <c r="T107" s="24">
        <v>62.354093900000002</v>
      </c>
      <c r="U107" s="24">
        <v>62.729881399999996</v>
      </c>
      <c r="V107" s="24">
        <v>29.035560100000001</v>
      </c>
      <c r="W107" s="24">
        <v>36.464601700000003</v>
      </c>
      <c r="X107" s="24">
        <v>35.673292799999999</v>
      </c>
      <c r="Y107" s="23"/>
      <c r="Z107" s="26"/>
      <c r="AA107" s="26"/>
      <c r="AC107" s="18" t="str">
        <f t="shared" si="6"/>
        <v>·</v>
      </c>
      <c r="AD107" s="19">
        <f t="shared" si="7"/>
        <v>0.15589824948758479</v>
      </c>
      <c r="AE107" s="19">
        <f t="shared" si="8"/>
        <v>8.9479678126378748E-3</v>
      </c>
      <c r="AF107" s="19">
        <f t="shared" si="9"/>
        <v>0.14670739718912884</v>
      </c>
      <c r="AG107" s="20"/>
      <c r="AH107" s="19">
        <f t="shared" si="10"/>
        <v>0.13943494586164082</v>
      </c>
      <c r="AI107" s="21">
        <f>Test!E812</f>
        <v>3461686</v>
      </c>
      <c r="AJ107" s="22">
        <v>482680</v>
      </c>
      <c r="AK107" s="22">
        <v>27704</v>
      </c>
      <c r="AL107" s="22">
        <v>454224</v>
      </c>
      <c r="AM107" s="23"/>
      <c r="AN107" s="24">
        <f>Test!J812</f>
        <v>62.354093900000002</v>
      </c>
      <c r="AO107" s="24">
        <f>Test!K812</f>
        <v>62.729881399999996</v>
      </c>
      <c r="AP107" s="24">
        <f>Test!L812</f>
        <v>29.035560100000001</v>
      </c>
      <c r="AQ107" s="24">
        <f>Test!M812</f>
        <v>36.464601700000003</v>
      </c>
      <c r="AR107" s="24">
        <f>Test!N812</f>
        <v>35.673292799999999</v>
      </c>
      <c r="AS107" s="25"/>
      <c r="AT107" s="26"/>
      <c r="AU107" s="26"/>
      <c r="AW107" s="27">
        <f t="shared" si="11"/>
        <v>-4.0631177853694272E-4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-1.6377561114672368E-2</v>
      </c>
      <c r="BA107" s="28">
        <f>IF( OR(ISBLANK(Q107:Q112),ISBLANK(AK107:AK112), ISBLANK(U107:U112),ISBLANK(AO107:AO112)), "·", bdRateExtend( Q107:Q112,U107:U112, AK107:AK112,AO107:AO112))</f>
        <v>-1.5909557163927612E-2</v>
      </c>
      <c r="BB107" s="28">
        <f>IF( OR(ISBLANK(R107:R112),ISBLANK(AL107:AL112), ISBLANK(V107:V112),ISBLANK(AP107:AP112)), "·", bdRateExtend( R107:R112,V107:V112, AL107:AL112,AP107:AP112))</f>
        <v>-3.5482142405761641E-3</v>
      </c>
      <c r="BC107" s="28">
        <f>IF( OR(ISBLANK(R107:R112),ISBLANK(AL107:AL112), ISBLANK(W107:W112),ISBLANK(AQ107:AQ112)), "·", bdRateExtend( R107:R112,W107:W112, AL107:AL112,AQ107:AQ112))</f>
        <v>-3.3091970252226988E-3</v>
      </c>
      <c r="BD107" s="28">
        <f>IF( OR(ISBLANK(R107:R112),ISBLANK(AL107:AL112), ISBLANK(X107:X112),ISBLANK(AR107:AR112)), "·", bdRateExtend( R107:R112,X107:X112, AL107:AL112,AR107:AR112))</f>
        <v>-3.4835953858527446E-3</v>
      </c>
      <c r="BE107" s="29"/>
      <c r="BG107" s="28">
        <f>IF( OR(ISBLANK(P107:P112),ISBLANK(AJ107:AJ112), ISBLANK(T107:T112),ISBLANK(AN107:AN112)), "·", bdRateExtend( P107:P112,T107:T112, AJ107:AJ112,AN107:AN112))</f>
        <v>-5.5866487840059431E-3</v>
      </c>
      <c r="BH107" s="28">
        <f>IF( OR(ISBLANK(P107:P112),ISBLANK(AJ107:AJ112), ISBLANK(U107:U112),ISBLANK(AO107:AO112)), "·", bdRateExtend( P107:P112,U107:U112, AJ107:AJ112,AO107:AO112))</f>
        <v>-5.2862162280833402E-3</v>
      </c>
      <c r="BI107" s="28">
        <f>IF( OR(ISBLANK(P107:P112),ISBLANK(AJ107:AJ112), ISBLANK(V107:V112),ISBLANK(AP107:AP112)), "·", bdRateExtend( P107:P112,V107:V112, AJ107:AJ112,AP107:AP112))</f>
        <v>-4.468414254057862E-3</v>
      </c>
      <c r="BJ107" s="28">
        <f>IF( OR(ISBLANK(P107:P112),ISBLANK(AJ107:AJ112), ISBLANK(W107:W112),ISBLANK(AQ107:AQ112)), "·", bdRateExtend( P107:P112,W107:W112, AJ107:AJ112,AQ107:AQ112))</f>
        <v>-4.2033931550017334E-3</v>
      </c>
      <c r="BK107" s="28">
        <f>IF( OR(ISBLANK(P107:P112),ISBLANK(AJ107:AJ112), ISBLANK(X107:X112),ISBLANK(AR107:AR112)), "·", bdRateExtend( P107:P112,X107:X112, AJ107:AJ112,AR107:AR112))</f>
        <v>-4.3791456449085997E-3</v>
      </c>
      <c r="BL107" s="29"/>
    </row>
    <row r="108" spans="1:64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">
        <v>1042</v>
      </c>
      <c r="J108" s="34">
        <v>0.35048748079048564</v>
      </c>
      <c r="K108" s="34">
        <v>2.7740508933433501E-2</v>
      </c>
      <c r="L108" s="34">
        <v>0.32250408737123409</v>
      </c>
      <c r="M108" s="35"/>
      <c r="N108" s="34">
        <v>0.33732324095805033</v>
      </c>
      <c r="O108" s="36">
        <v>3216950</v>
      </c>
      <c r="P108" s="37">
        <v>1085152</v>
      </c>
      <c r="Q108" s="37">
        <v>85888</v>
      </c>
      <c r="R108" s="37">
        <v>998512</v>
      </c>
      <c r="S108" s="38"/>
      <c r="T108" s="39">
        <v>69.284953000000002</v>
      </c>
      <c r="U108" s="39">
        <v>70.312575499999994</v>
      </c>
      <c r="V108" s="39">
        <v>32.626904199999998</v>
      </c>
      <c r="W108" s="39">
        <v>39.970262900000002</v>
      </c>
      <c r="X108" s="39">
        <v>39.478062000000001</v>
      </c>
      <c r="Y108" s="38"/>
      <c r="Z108" s="41"/>
      <c r="AA108" s="41"/>
      <c r="AC108" s="33" t="str">
        <f t="shared" si="6"/>
        <v>·</v>
      </c>
      <c r="AD108" s="34">
        <f t="shared" si="7"/>
        <v>0.3483609496008232</v>
      </c>
      <c r="AE108" s="34">
        <f t="shared" si="8"/>
        <v>2.7213397921658125E-2</v>
      </c>
      <c r="AF108" s="34">
        <f t="shared" si="9"/>
        <v>0.32090466719334704</v>
      </c>
      <c r="AG108" s="35"/>
      <c r="AH108" s="34">
        <f t="shared" si="10"/>
        <v>0.33527658185548426</v>
      </c>
      <c r="AI108" s="36">
        <f>Test!E813</f>
        <v>3216950</v>
      </c>
      <c r="AJ108" s="37">
        <v>1078568</v>
      </c>
      <c r="AK108" s="37">
        <v>84256</v>
      </c>
      <c r="AL108" s="37">
        <v>993560</v>
      </c>
      <c r="AM108" s="38"/>
      <c r="AN108" s="39">
        <f>Test!J813</f>
        <v>69.284953000000002</v>
      </c>
      <c r="AO108" s="39">
        <f>Test!K813</f>
        <v>70.312575499999994</v>
      </c>
      <c r="AP108" s="39">
        <f>Test!L813</f>
        <v>32.626904199999998</v>
      </c>
      <c r="AQ108" s="39">
        <f>Test!M813</f>
        <v>39.970262900000002</v>
      </c>
      <c r="AR108" s="39">
        <f>Test!N813</f>
        <v>39.478062000000001</v>
      </c>
      <c r="AS108" s="40"/>
      <c r="AT108" s="41"/>
      <c r="AU108" s="41"/>
      <c r="AW108" s="42">
        <f t="shared" si="11"/>
        <v>-1.0299649208411754E-3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">
        <v>1042</v>
      </c>
      <c r="J109" s="19">
        <v>0.78467450572038178</v>
      </c>
      <c r="K109" s="19">
        <v>8.9438336086239495E-2</v>
      </c>
      <c r="L109" s="19">
        <v>0.69499328514832426</v>
      </c>
      <c r="M109" s="20"/>
      <c r="N109" s="19">
        <v>0.74452557428835686</v>
      </c>
      <c r="O109" s="21">
        <v>3263082</v>
      </c>
      <c r="P109" s="22">
        <v>2429448</v>
      </c>
      <c r="Q109" s="22">
        <v>276912</v>
      </c>
      <c r="R109" s="22">
        <v>2151784</v>
      </c>
      <c r="S109" s="23"/>
      <c r="T109" s="24">
        <v>73.061216599999995</v>
      </c>
      <c r="U109" s="24">
        <v>75.318983599999996</v>
      </c>
      <c r="V109" s="24">
        <v>35.6834609</v>
      </c>
      <c r="W109" s="24">
        <v>42.777434</v>
      </c>
      <c r="X109" s="24">
        <v>42.2776639</v>
      </c>
      <c r="Y109" s="23"/>
      <c r="Z109" s="26"/>
      <c r="AA109" s="26"/>
      <c r="AC109" s="18" t="str">
        <f t="shared" si="6"/>
        <v>·</v>
      </c>
      <c r="AD109" s="19">
        <f t="shared" si="7"/>
        <v>0.78324045370305173</v>
      </c>
      <c r="AE109" s="19">
        <f t="shared" si="8"/>
        <v>8.8495220795562962E-2</v>
      </c>
      <c r="AF109" s="19">
        <f t="shared" si="9"/>
        <v>0.69450234842167069</v>
      </c>
      <c r="AG109" s="20"/>
      <c r="AH109" s="19">
        <f t="shared" si="10"/>
        <v>0.74316489748035752</v>
      </c>
      <c r="AI109" s="21">
        <f>Test!E814</f>
        <v>3263082</v>
      </c>
      <c r="AJ109" s="22">
        <v>2425008</v>
      </c>
      <c r="AK109" s="22">
        <v>273992</v>
      </c>
      <c r="AL109" s="22">
        <v>2150264</v>
      </c>
      <c r="AM109" s="23"/>
      <c r="AN109" s="24">
        <f>Test!J814</f>
        <v>73.061216599999995</v>
      </c>
      <c r="AO109" s="24">
        <f>Test!K814</f>
        <v>75.318983599999996</v>
      </c>
      <c r="AP109" s="24">
        <f>Test!L814</f>
        <v>35.6834609</v>
      </c>
      <c r="AQ109" s="24">
        <f>Test!M814</f>
        <v>42.777434</v>
      </c>
      <c r="AR109" s="24">
        <f>Test!N814</f>
        <v>42.2776639</v>
      </c>
      <c r="AS109" s="25"/>
      <c r="AT109" s="26"/>
      <c r="AU109" s="26"/>
      <c r="AW109" s="27">
        <f t="shared" si="11"/>
        <v>-9.9542862229301532E-4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">
        <v>1042</v>
      </c>
      <c r="J110" s="34">
        <v>1.6665441478081291</v>
      </c>
      <c r="K110" s="34">
        <v>0.26988083802899238</v>
      </c>
      <c r="L110" s="34">
        <v>1.3964204252933186</v>
      </c>
      <c r="M110" s="35"/>
      <c r="N110" s="34">
        <v>1.5165845351304101</v>
      </c>
      <c r="O110" s="36">
        <v>3402266</v>
      </c>
      <c r="P110" s="37">
        <v>5159824</v>
      </c>
      <c r="Q110" s="37">
        <v>835584</v>
      </c>
      <c r="R110" s="37">
        <v>4323488</v>
      </c>
      <c r="S110" s="38"/>
      <c r="T110" s="39">
        <v>73.929904899999997</v>
      </c>
      <c r="U110" s="39">
        <v>76.708850200000001</v>
      </c>
      <c r="V110" s="39">
        <v>37.517703900000001</v>
      </c>
      <c r="W110" s="39">
        <v>45.151617700000003</v>
      </c>
      <c r="X110" s="39">
        <v>44.481180799999997</v>
      </c>
      <c r="Y110" s="38"/>
      <c r="Z110" s="41"/>
      <c r="AA110" s="41"/>
      <c r="AC110" s="33" t="str">
        <f t="shared" si="6"/>
        <v>·</v>
      </c>
      <c r="AD110" s="34">
        <f t="shared" si="7"/>
        <v>1.6665441478081291</v>
      </c>
      <c r="AE110" s="34">
        <f t="shared" si="8"/>
        <v>0.26988083802899238</v>
      </c>
      <c r="AF110" s="34">
        <f t="shared" si="9"/>
        <v>1.3964204252933186</v>
      </c>
      <c r="AG110" s="35"/>
      <c r="AH110" s="34">
        <f t="shared" si="10"/>
        <v>1.5165845351304101</v>
      </c>
      <c r="AI110" s="36">
        <f>Test!E815</f>
        <v>3402266</v>
      </c>
      <c r="AJ110" s="37">
        <v>5159824</v>
      </c>
      <c r="AK110" s="37">
        <v>835584</v>
      </c>
      <c r="AL110" s="37">
        <v>4323488</v>
      </c>
      <c r="AM110" s="38"/>
      <c r="AN110" s="39">
        <f>Test!J815</f>
        <v>73.929904899999997</v>
      </c>
      <c r="AO110" s="39">
        <f>Test!K815</f>
        <v>76.708850200000001</v>
      </c>
      <c r="AP110" s="39">
        <f>Test!L815</f>
        <v>37.517703900000001</v>
      </c>
      <c r="AQ110" s="39">
        <f>Test!M815</f>
        <v>45.151617700000003</v>
      </c>
      <c r="AR110" s="39">
        <f>Test!N815</f>
        <v>44.481180799999997</v>
      </c>
      <c r="AS110" s="40"/>
      <c r="AT110" s="41"/>
      <c r="AU110" s="41"/>
      <c r="AW110" s="42">
        <f t="shared" si="11"/>
        <v>0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">
        <v>1042</v>
      </c>
      <c r="J111" s="19" t="s">
        <v>1042</v>
      </c>
      <c r="K111" s="19" t="s">
        <v>1042</v>
      </c>
      <c r="L111" s="19" t="s">
        <v>1042</v>
      </c>
      <c r="M111" s="20"/>
      <c r="N111" s="19" t="s">
        <v>1042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6"/>
        <v>·</v>
      </c>
      <c r="AD111" s="19">
        <f t="shared" si="7"/>
        <v>0</v>
      </c>
      <c r="AE111" s="19">
        <f t="shared" si="8"/>
        <v>0</v>
      </c>
      <c r="AF111" s="19">
        <f t="shared" si="9"/>
        <v>0</v>
      </c>
      <c r="AG111" s="20"/>
      <c r="AH111" s="19" t="e">
        <f t="shared" si="10"/>
        <v>#DIV/0!</v>
      </c>
      <c r="AI111" s="21"/>
      <c r="AJ111" s="22">
        <v>0</v>
      </c>
      <c r="AK111" s="22">
        <v>0</v>
      </c>
      <c r="AL111" s="22">
        <v>0</v>
      </c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1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">
        <v>1042</v>
      </c>
      <c r="J112" s="49" t="s">
        <v>1042</v>
      </c>
      <c r="K112" s="49" t="s">
        <v>1042</v>
      </c>
      <c r="L112" s="49" t="s">
        <v>1042</v>
      </c>
      <c r="M112" s="50"/>
      <c r="N112" s="49" t="s">
        <v>1042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6"/>
        <v>·</v>
      </c>
      <c r="AD112" s="49">
        <f t="shared" si="7"/>
        <v>0</v>
      </c>
      <c r="AE112" s="49">
        <f t="shared" si="8"/>
        <v>0</v>
      </c>
      <c r="AF112" s="49">
        <f t="shared" si="9"/>
        <v>0</v>
      </c>
      <c r="AG112" s="50"/>
      <c r="AH112" s="49" t="e">
        <f t="shared" si="10"/>
        <v>#DIV/0!</v>
      </c>
      <c r="AI112" s="51"/>
      <c r="AJ112" s="52">
        <v>0</v>
      </c>
      <c r="AK112" s="52">
        <v>0</v>
      </c>
      <c r="AL112" s="52">
        <v>0</v>
      </c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1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">
        <v>1042</v>
      </c>
      <c r="J113" s="19">
        <v>3.5064635922692086E-2</v>
      </c>
      <c r="K113" s="19">
        <v>8.3200625728096621E-3</v>
      </c>
      <c r="L113" s="19">
        <v>2.6495342667331723E-2</v>
      </c>
      <c r="M113" s="20"/>
      <c r="N113" s="19">
        <v>3.2753014716876812E-2</v>
      </c>
      <c r="O113" s="21">
        <v>3230237</v>
      </c>
      <c r="P113" s="22">
        <v>105800</v>
      </c>
      <c r="Q113" s="22">
        <v>25104</v>
      </c>
      <c r="R113" s="22">
        <v>79944</v>
      </c>
      <c r="S113" s="23"/>
      <c r="T113" s="24">
        <v>63.958267300000003</v>
      </c>
      <c r="U113" s="24">
        <v>64.382754599999998</v>
      </c>
      <c r="V113" s="24">
        <v>34.754673799999999</v>
      </c>
      <c r="W113" s="24">
        <v>48.246020999999999</v>
      </c>
      <c r="X113" s="24">
        <v>48.1120977</v>
      </c>
      <c r="Y113" s="23"/>
      <c r="Z113" s="26"/>
      <c r="AA113" s="26"/>
      <c r="AC113" s="18" t="str">
        <f t="shared" si="6"/>
        <v>·</v>
      </c>
      <c r="AD113" s="19">
        <f t="shared" si="7"/>
        <v>3.4751771874383761E-2</v>
      </c>
      <c r="AE113" s="19">
        <f t="shared" si="8"/>
        <v>8.1901444510545079E-3</v>
      </c>
      <c r="AF113" s="19">
        <f t="shared" si="9"/>
        <v>2.6312396740778548E-2</v>
      </c>
      <c r="AG113" s="20"/>
      <c r="AH113" s="19">
        <f t="shared" si="10"/>
        <v>3.2460776097852882E-2</v>
      </c>
      <c r="AI113" s="21">
        <f>Test!E818</f>
        <v>3230237</v>
      </c>
      <c r="AJ113" s="22">
        <v>104856</v>
      </c>
      <c r="AK113" s="22">
        <v>24712</v>
      </c>
      <c r="AL113" s="22">
        <v>79392</v>
      </c>
      <c r="AM113" s="23"/>
      <c r="AN113" s="24">
        <f>Test!J818</f>
        <v>63.958267300000003</v>
      </c>
      <c r="AO113" s="24">
        <f>Test!K818</f>
        <v>64.382754599999998</v>
      </c>
      <c r="AP113" s="24">
        <f>Test!L818</f>
        <v>34.754673799999999</v>
      </c>
      <c r="AQ113" s="24">
        <f>Test!M818</f>
        <v>48.246020999999999</v>
      </c>
      <c r="AR113" s="24">
        <f>Test!N818</f>
        <v>48.1120977</v>
      </c>
      <c r="AS113" s="25"/>
      <c r="AT113" s="26"/>
      <c r="AU113" s="26"/>
      <c r="AW113" s="27">
        <f t="shared" si="11"/>
        <v>-1.6022896032553413E-3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-1.9204637975029581E-2</v>
      </c>
      <c r="BA113" s="28">
        <f>IF( OR(ISBLANK(Q113:Q118),ISBLANK(AK113:AK118), ISBLANK(U113:U118),ISBLANK(AO113:AO118)), "·", bdRateExtend( Q113:Q118,U113:U118, AK113:AK118,AO113:AO118))</f>
        <v>-1.8564842326430409E-2</v>
      </c>
      <c r="BB113" s="28">
        <f>IF( OR(ISBLANK(R113:R118),ISBLANK(AL113:AL118), ISBLANK(V113:V118),ISBLANK(AP113:AP118)), "·", bdRateExtend( R113:R118,V113:V118, AL113:AL118,AP113:AP118))</f>
        <v>-3.9613621683198819E-3</v>
      </c>
      <c r="BC113" s="28">
        <f>IF( OR(ISBLANK(R113:R118),ISBLANK(AL113:AL118), ISBLANK(W113:W118),ISBLANK(AQ113:AQ118)), "·", bdRateExtend( R113:R118,W113:W118, AL113:AL118,AQ113:AQ118))</f>
        <v>-3.9635345469737349E-3</v>
      </c>
      <c r="BD113" s="28">
        <f>IF( OR(ISBLANK(R113:R118),ISBLANK(AL113:AL118), ISBLANK(X113:X118),ISBLANK(AR113:AR118)), "·", bdRateExtend( R113:R118,X113:X118, AL113:AL118,AR113:AR118))</f>
        <v>-4.153601199856527E-3</v>
      </c>
      <c r="BE113" s="29"/>
      <c r="BG113" s="28">
        <f>IF( OR(ISBLANK(P113:P118),ISBLANK(AJ113:AJ118), ISBLANK(T113:T118),ISBLANK(AN113:AN118)), "·", bdRateExtend( P113:P118,T113:T118, AJ113:AJ118,AN113:AN118))</f>
        <v>-9.3117854062262362E-3</v>
      </c>
      <c r="BH113" s="28">
        <f>IF( OR(ISBLANK(P113:P118),ISBLANK(AJ113:AJ118), ISBLANK(U113:U118),ISBLANK(AO113:AO118)), "·", bdRateExtend( P113:P118,U113:U118, AJ113:AJ118,AO113:AO118))</f>
        <v>-8.9887553015721711E-3</v>
      </c>
      <c r="BI113" s="28">
        <f>IF( OR(ISBLANK(P113:P118),ISBLANK(AJ113:AJ118), ISBLANK(V113:V118),ISBLANK(AP113:AP118)), "·", bdRateExtend( P113:P118,V113:V118, AJ113:AJ118,AP113:AP118))</f>
        <v>-7.5897080806438533E-3</v>
      </c>
      <c r="BJ113" s="28">
        <f>IF( OR(ISBLANK(P113:P118),ISBLANK(AJ113:AJ118), ISBLANK(W113:W118),ISBLANK(AQ113:AQ118)), "·", bdRateExtend( P113:P118,W113:W118, AJ113:AJ118,AQ113:AQ118))</f>
        <v>-7.5901964141903422E-3</v>
      </c>
      <c r="BK113" s="28">
        <f>IF( OR(ISBLANK(P113:P118),ISBLANK(AJ113:AJ118), ISBLANK(X113:X118),ISBLANK(AR113:AR118)), "·", bdRateExtend( P113:P118,X113:X118, AJ113:AJ118,AR113:AR118))</f>
        <v>-7.7890575354763181E-3</v>
      </c>
      <c r="BL113" s="29"/>
    </row>
    <row r="114" spans="1:64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">
        <v>1042</v>
      </c>
      <c r="J114" s="34">
        <v>8.6448578771975468E-2</v>
      </c>
      <c r="K114" s="34">
        <v>2.5233280913138798E-2</v>
      </c>
      <c r="L114" s="34">
        <v>6.0966067176285964E-2</v>
      </c>
      <c r="M114" s="35"/>
      <c r="N114" s="34">
        <v>8.6088365661026234E-2</v>
      </c>
      <c r="O114" s="36">
        <v>3029910</v>
      </c>
      <c r="P114" s="37">
        <v>260840</v>
      </c>
      <c r="Q114" s="37">
        <v>76136</v>
      </c>
      <c r="R114" s="37">
        <v>183952</v>
      </c>
      <c r="S114" s="38"/>
      <c r="T114" s="39">
        <v>69.984952300000003</v>
      </c>
      <c r="U114" s="39">
        <v>71.128644199999997</v>
      </c>
      <c r="V114" s="39">
        <v>38.215899</v>
      </c>
      <c r="W114" s="39">
        <v>50.038007899999997</v>
      </c>
      <c r="X114" s="39">
        <v>50.321711299999997</v>
      </c>
      <c r="Y114" s="38"/>
      <c r="Z114" s="41"/>
      <c r="AA114" s="41"/>
      <c r="AC114" s="33" t="str">
        <f t="shared" si="6"/>
        <v>·</v>
      </c>
      <c r="AD114" s="34">
        <f t="shared" si="7"/>
        <v>8.5547106090409095E-2</v>
      </c>
      <c r="AE114" s="34">
        <f t="shared" si="8"/>
        <v>2.466058062132016E-2</v>
      </c>
      <c r="AF114" s="34">
        <f t="shared" si="9"/>
        <v>6.0637294786538232E-2</v>
      </c>
      <c r="AG114" s="35"/>
      <c r="AH114" s="34">
        <f t="shared" si="10"/>
        <v>8.5190649227204762E-2</v>
      </c>
      <c r="AI114" s="36">
        <f>Test!E819</f>
        <v>3029910</v>
      </c>
      <c r="AJ114" s="37">
        <v>258120</v>
      </c>
      <c r="AK114" s="37">
        <v>74408</v>
      </c>
      <c r="AL114" s="37">
        <v>182960</v>
      </c>
      <c r="AM114" s="38"/>
      <c r="AN114" s="39">
        <f>Test!J819</f>
        <v>69.984952300000003</v>
      </c>
      <c r="AO114" s="39">
        <f>Test!K819</f>
        <v>71.128644199999997</v>
      </c>
      <c r="AP114" s="39">
        <f>Test!L819</f>
        <v>38.215899</v>
      </c>
      <c r="AQ114" s="39">
        <f>Test!M819</f>
        <v>50.038007899999997</v>
      </c>
      <c r="AR114" s="39">
        <f>Test!N819</f>
        <v>50.321711299999997</v>
      </c>
      <c r="AS114" s="40"/>
      <c r="AT114" s="41"/>
      <c r="AU114" s="41"/>
      <c r="AW114" s="42">
        <f t="shared" si="11"/>
        <v>-3.6187251177893232E-3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">
        <v>1042</v>
      </c>
      <c r="J115" s="19">
        <v>0.21679092296551369</v>
      </c>
      <c r="K115" s="19">
        <v>8.274458660683362E-2</v>
      </c>
      <c r="L115" s="19">
        <v>0.13379710567612937</v>
      </c>
      <c r="M115" s="20"/>
      <c r="N115" s="19">
        <v>0.21031728934671487</v>
      </c>
      <c r="O115" s="21">
        <v>3110158</v>
      </c>
      <c r="P115" s="22">
        <v>654120</v>
      </c>
      <c r="Q115" s="22">
        <v>249664</v>
      </c>
      <c r="R115" s="22">
        <v>403704</v>
      </c>
      <c r="S115" s="23"/>
      <c r="T115" s="24">
        <v>73.094911499999995</v>
      </c>
      <c r="U115" s="24">
        <v>75.320075599999996</v>
      </c>
      <c r="V115" s="24">
        <v>41.424526</v>
      </c>
      <c r="W115" s="24">
        <v>51.688238400000003</v>
      </c>
      <c r="X115" s="24">
        <v>51.967080699999997</v>
      </c>
      <c r="Y115" s="23"/>
      <c r="Z115" s="26"/>
      <c r="AA115" s="26"/>
      <c r="AC115" s="18" t="str">
        <f t="shared" si="6"/>
        <v>·</v>
      </c>
      <c r="AD115" s="19">
        <f t="shared" si="7"/>
        <v>0.21552355843084098</v>
      </c>
      <c r="AE115" s="19">
        <f t="shared" si="8"/>
        <v>8.1768874998550026E-2</v>
      </c>
      <c r="AF115" s="19">
        <f t="shared" si="9"/>
        <v>0.13350545274974024</v>
      </c>
      <c r="AG115" s="20"/>
      <c r="AH115" s="19">
        <f t="shared" si="10"/>
        <v>0.20908776981748195</v>
      </c>
      <c r="AI115" s="21">
        <f>Test!E820</f>
        <v>3110158</v>
      </c>
      <c r="AJ115" s="22">
        <v>650296</v>
      </c>
      <c r="AK115" s="22">
        <v>246720</v>
      </c>
      <c r="AL115" s="22">
        <v>402824</v>
      </c>
      <c r="AM115" s="23"/>
      <c r="AN115" s="24">
        <f>Test!J820</f>
        <v>73.094911499999995</v>
      </c>
      <c r="AO115" s="24">
        <f>Test!K820</f>
        <v>75.320075599999996</v>
      </c>
      <c r="AP115" s="24">
        <f>Test!L820</f>
        <v>41.424526</v>
      </c>
      <c r="AQ115" s="24">
        <f>Test!M820</f>
        <v>51.688238400000003</v>
      </c>
      <c r="AR115" s="24">
        <f>Test!N820</f>
        <v>51.967080699999997</v>
      </c>
      <c r="AS115" s="25"/>
      <c r="AT115" s="26"/>
      <c r="AU115" s="26"/>
      <c r="AW115" s="27">
        <f t="shared" si="11"/>
        <v>-2.2827431343344085E-3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">
        <v>1042</v>
      </c>
      <c r="J116" s="34">
        <v>0.52070122643369787</v>
      </c>
      <c r="K116" s="34">
        <v>0.2508824986701621</v>
      </c>
      <c r="L116" s="34">
        <v>0.26956949708098504</v>
      </c>
      <c r="M116" s="35"/>
      <c r="N116" s="34">
        <v>0.48468828831830468</v>
      </c>
      <c r="O116" s="36">
        <v>3241473</v>
      </c>
      <c r="P116" s="37">
        <v>1571104</v>
      </c>
      <c r="Q116" s="37">
        <v>756984</v>
      </c>
      <c r="R116" s="37">
        <v>813368</v>
      </c>
      <c r="S116" s="38"/>
      <c r="T116" s="39">
        <v>73.989809399999999</v>
      </c>
      <c r="U116" s="39">
        <v>76.767349100000004</v>
      </c>
      <c r="V116" s="39">
        <v>44.093914900000001</v>
      </c>
      <c r="W116" s="39">
        <v>53.067833899999997</v>
      </c>
      <c r="X116" s="39">
        <v>53.395792800000002</v>
      </c>
      <c r="Y116" s="38"/>
      <c r="Z116" s="41"/>
      <c r="AA116" s="41"/>
      <c r="AC116" s="33" t="str">
        <f t="shared" si="6"/>
        <v>·</v>
      </c>
      <c r="AD116" s="34">
        <f t="shared" si="7"/>
        <v>0.52070122643369787</v>
      </c>
      <c r="AE116" s="34">
        <f t="shared" si="8"/>
        <v>0.2508824986701621</v>
      </c>
      <c r="AF116" s="34">
        <f t="shared" si="9"/>
        <v>0.26956949708098504</v>
      </c>
      <c r="AG116" s="35"/>
      <c r="AH116" s="34">
        <f t="shared" si="10"/>
        <v>0.48468828831830468</v>
      </c>
      <c r="AI116" s="36">
        <f>Test!E821</f>
        <v>3241473</v>
      </c>
      <c r="AJ116" s="37">
        <v>1571104</v>
      </c>
      <c r="AK116" s="37">
        <v>756984</v>
      </c>
      <c r="AL116" s="37">
        <v>813368</v>
      </c>
      <c r="AM116" s="38"/>
      <c r="AN116" s="39">
        <f>Test!J821</f>
        <v>73.989809399999999</v>
      </c>
      <c r="AO116" s="39">
        <f>Test!K821</f>
        <v>76.767349100000004</v>
      </c>
      <c r="AP116" s="39">
        <f>Test!L821</f>
        <v>44.093914900000001</v>
      </c>
      <c r="AQ116" s="39">
        <f>Test!M821</f>
        <v>53.067833899999997</v>
      </c>
      <c r="AR116" s="39">
        <f>Test!N821</f>
        <v>53.395792800000002</v>
      </c>
      <c r="AS116" s="40"/>
      <c r="AT116" s="41"/>
      <c r="AU116" s="41"/>
      <c r="AW116" s="42">
        <f t="shared" si="11"/>
        <v>0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">
        <v>1042</v>
      </c>
      <c r="J117" s="19" t="s">
        <v>1042</v>
      </c>
      <c r="K117" s="19" t="s">
        <v>1042</v>
      </c>
      <c r="L117" s="19" t="s">
        <v>1042</v>
      </c>
      <c r="M117" s="20"/>
      <c r="N117" s="19" t="s">
        <v>1042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6"/>
        <v>·</v>
      </c>
      <c r="AD117" s="19">
        <f t="shared" si="7"/>
        <v>0</v>
      </c>
      <c r="AE117" s="19">
        <f t="shared" si="8"/>
        <v>0</v>
      </c>
      <c r="AF117" s="19">
        <f t="shared" si="9"/>
        <v>0</v>
      </c>
      <c r="AG117" s="20"/>
      <c r="AH117" s="19" t="e">
        <f t="shared" si="10"/>
        <v>#DIV/0!</v>
      </c>
      <c r="AI117" s="21"/>
      <c r="AJ117" s="22">
        <v>0</v>
      </c>
      <c r="AK117" s="22">
        <v>0</v>
      </c>
      <c r="AL117" s="22">
        <v>0</v>
      </c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1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">
        <v>1042</v>
      </c>
      <c r="J118" s="49" t="s">
        <v>1042</v>
      </c>
      <c r="K118" s="49" t="s">
        <v>1042</v>
      </c>
      <c r="L118" s="49" t="s">
        <v>1042</v>
      </c>
      <c r="M118" s="50"/>
      <c r="N118" s="49" t="s">
        <v>1042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6"/>
        <v>·</v>
      </c>
      <c r="AD118" s="49">
        <f t="shared" si="7"/>
        <v>0</v>
      </c>
      <c r="AE118" s="49">
        <f t="shared" si="8"/>
        <v>0</v>
      </c>
      <c r="AF118" s="49">
        <f t="shared" si="9"/>
        <v>0</v>
      </c>
      <c r="AG118" s="50"/>
      <c r="AH118" s="49" t="e">
        <f t="shared" si="10"/>
        <v>#DIV/0!</v>
      </c>
      <c r="AI118" s="51"/>
      <c r="AJ118" s="52">
        <v>0</v>
      </c>
      <c r="AK118" s="52">
        <v>0</v>
      </c>
      <c r="AL118" s="52">
        <v>0</v>
      </c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1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">
        <v>1042</v>
      </c>
      <c r="J119" s="19">
        <v>7.9856578093942504E-2</v>
      </c>
      <c r="K119" s="19">
        <v>9.424785612475714E-3</v>
      </c>
      <c r="L119" s="19">
        <v>7.0160367895813383E-2</v>
      </c>
      <c r="M119" s="20"/>
      <c r="N119" s="19">
        <v>7.1176492918317277E-2</v>
      </c>
      <c r="O119" s="21">
        <v>3108442</v>
      </c>
      <c r="P119" s="22">
        <v>221248</v>
      </c>
      <c r="Q119" s="22">
        <v>26112</v>
      </c>
      <c r="R119" s="22">
        <v>194384</v>
      </c>
      <c r="S119" s="23"/>
      <c r="T119" s="24">
        <v>62.393483000000003</v>
      </c>
      <c r="U119" s="24">
        <v>63.111673000000003</v>
      </c>
      <c r="V119" s="24">
        <v>33.985761699999998</v>
      </c>
      <c r="W119" s="24">
        <v>41.6087925</v>
      </c>
      <c r="X119" s="24">
        <v>35.945455000000003</v>
      </c>
      <c r="Y119" s="23"/>
      <c r="Z119" s="26"/>
      <c r="AA119" s="26"/>
      <c r="AC119" s="18" t="str">
        <f t="shared" si="6"/>
        <v>·</v>
      </c>
      <c r="AD119" s="19">
        <f t="shared" si="7"/>
        <v>7.9180904125401047E-2</v>
      </c>
      <c r="AE119" s="19">
        <f t="shared" si="8"/>
        <v>9.2861858240569535E-3</v>
      </c>
      <c r="AF119" s="19">
        <f t="shared" si="9"/>
        <v>6.962329371569069E-2</v>
      </c>
      <c r="AG119" s="20"/>
      <c r="AH119" s="19">
        <f t="shared" si="10"/>
        <v>7.0574261961458509E-2</v>
      </c>
      <c r="AI119" s="21">
        <f>Test!E824</f>
        <v>3108442</v>
      </c>
      <c r="AJ119" s="22">
        <v>219376</v>
      </c>
      <c r="AK119" s="22">
        <v>25728</v>
      </c>
      <c r="AL119" s="22">
        <v>192896</v>
      </c>
      <c r="AM119" s="23"/>
      <c r="AN119" s="24">
        <f>Test!J824</f>
        <v>62.393483000000003</v>
      </c>
      <c r="AO119" s="24">
        <f>Test!K824</f>
        <v>63.111673000000003</v>
      </c>
      <c r="AP119" s="24">
        <f>Test!L824</f>
        <v>33.985761699999998</v>
      </c>
      <c r="AQ119" s="24">
        <f>Test!M824</f>
        <v>41.6087925</v>
      </c>
      <c r="AR119" s="24">
        <f>Test!N824</f>
        <v>35.945455000000003</v>
      </c>
      <c r="AS119" s="25"/>
      <c r="AT119" s="26"/>
      <c r="AU119" s="26"/>
      <c r="AW119" s="27">
        <f t="shared" si="11"/>
        <v>-7.4330796560014012E-4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-1.3969709154579735E-2</v>
      </c>
      <c r="BA119" s="28">
        <f>IF( OR(ISBLANK(Q119:Q124),ISBLANK(AK119:AK124), ISBLANK(U119:U124),ISBLANK(AO119:AO124)), "·", bdRateExtend( Q119:Q124,U119:U124, AK119:AK124,AO119:AO124))</f>
        <v>-1.32910509198364E-2</v>
      </c>
      <c r="BB119" s="28">
        <f>IF( OR(ISBLANK(R119:R124),ISBLANK(AL119:AL124), ISBLANK(V119:V124),ISBLANK(AP119:AP124)), "·", bdRateExtend( R119:R124,V119:V124, AL119:AL124,AP119:AP124))</f>
        <v>2.7966915479335608E-2</v>
      </c>
      <c r="BC119" s="28">
        <f>IF( OR(ISBLANK(R119:R124),ISBLANK(AL119:AL124), ISBLANK(W119:W124),ISBLANK(AQ119:AQ124)), "·", bdRateExtend( R119:R124,W119:W124, AL119:AL124,AQ119:AQ124))</f>
        <v>3.6014060446268203E-2</v>
      </c>
      <c r="BD119" s="28">
        <f>IF( OR(ISBLANK(R119:R124),ISBLANK(AL119:AL124), ISBLANK(X119:X124),ISBLANK(AR119:AR124)), "·", bdRateExtend( R119:R124,X119:X124, AL119:AL124,AR119:AR124))</f>
        <v>2.2409705428085624E-2</v>
      </c>
      <c r="BE119" s="29"/>
      <c r="BG119" s="28">
        <f>IF( OR(ISBLANK(P119:P124),ISBLANK(AJ119:AJ124), ISBLANK(T119:T124),ISBLANK(AN119:AN124)), "·", bdRateExtend( P119:P124,T119:T124, AJ119:AJ124,AN119:AN124))</f>
        <v>1.9192661755533802E-3</v>
      </c>
      <c r="BH119" s="28">
        <f>IF( OR(ISBLANK(P119:P124),ISBLANK(AJ119:AJ124), ISBLANK(U119:U124),ISBLANK(AO119:AO124)), "·", bdRateExtend( P119:P124,U119:U124, AJ119:AJ124,AO119:AO124))</f>
        <v>6.6290562094442063E-3</v>
      </c>
      <c r="BI119" s="28">
        <f>IF( OR(ISBLANK(P119:P124),ISBLANK(AJ119:AJ124), ISBLANK(V119:V124),ISBLANK(AP119:AP124)), "·", bdRateExtend( P119:P124,V119:V124, AJ119:AJ124,AP119:AP124))</f>
        <v>1.9354372259930752E-2</v>
      </c>
      <c r="BJ119" s="28">
        <f>IF( OR(ISBLANK(P119:P124),ISBLANK(AJ119:AJ124), ISBLANK(W119:W124),ISBLANK(AQ119:AQ124)), "·", bdRateExtend( P119:P124,W119:W124, AJ119:AJ124,AQ119:AQ124))</f>
        <v>2.5651844228363307E-2</v>
      </c>
      <c r="BK119" s="28">
        <f>IF( OR(ISBLANK(P119:P124),ISBLANK(AJ119:AJ124), ISBLANK(X119:X124),ISBLANK(AR119:AR124)), "·", bdRateExtend( P119:P124,X119:X124, AJ119:AJ124,AR119:AR124))</f>
        <v>1.5014481065299901E-2</v>
      </c>
      <c r="BL119" s="29"/>
    </row>
    <row r="120" spans="1:64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">
        <v>1042</v>
      </c>
      <c r="J120" s="34">
        <v>0.17831151529632744</v>
      </c>
      <c r="K120" s="34">
        <v>2.938893013596134E-2</v>
      </c>
      <c r="L120" s="34">
        <v>0.1486511605747127</v>
      </c>
      <c r="M120" s="35"/>
      <c r="N120" s="34">
        <v>0.16798692077931263</v>
      </c>
      <c r="O120" s="36">
        <v>2940848</v>
      </c>
      <c r="P120" s="37">
        <v>494024</v>
      </c>
      <c r="Q120" s="37">
        <v>81424</v>
      </c>
      <c r="R120" s="37">
        <v>411848</v>
      </c>
      <c r="S120" s="38"/>
      <c r="T120" s="39">
        <v>69.201573699999997</v>
      </c>
      <c r="U120" s="39">
        <v>70.270598699999994</v>
      </c>
      <c r="V120" s="39">
        <v>37.114567999999998</v>
      </c>
      <c r="W120" s="39">
        <v>43.384136400000003</v>
      </c>
      <c r="X120" s="39">
        <v>39.896834300000002</v>
      </c>
      <c r="Y120" s="38"/>
      <c r="Z120" s="41"/>
      <c r="AA120" s="41"/>
      <c r="AC120" s="33" t="str">
        <f t="shared" si="6"/>
        <v>·</v>
      </c>
      <c r="AD120" s="34">
        <f t="shared" si="7"/>
        <v>0.17726335439641056</v>
      </c>
      <c r="AE120" s="34">
        <f t="shared" si="8"/>
        <v>2.8918268354455965E-2</v>
      </c>
      <c r="AF120" s="34">
        <f t="shared" si="9"/>
        <v>0.14807366145630119</v>
      </c>
      <c r="AG120" s="35"/>
      <c r="AH120" s="34">
        <f t="shared" si="10"/>
        <v>0.16699945049863169</v>
      </c>
      <c r="AI120" s="36">
        <f>Test!E825</f>
        <v>2940848</v>
      </c>
      <c r="AJ120" s="37">
        <v>491120</v>
      </c>
      <c r="AK120" s="37">
        <v>80120</v>
      </c>
      <c r="AL120" s="37">
        <v>410248</v>
      </c>
      <c r="AM120" s="38"/>
      <c r="AN120" s="39">
        <f>Test!J825</f>
        <v>69.201573699999997</v>
      </c>
      <c r="AO120" s="39">
        <f>Test!K825</f>
        <v>70.270598699999994</v>
      </c>
      <c r="AP120" s="39">
        <f>Test!L825</f>
        <v>37.114567999999998</v>
      </c>
      <c r="AQ120" s="39">
        <f>Test!M825</f>
        <v>43.384136400000003</v>
      </c>
      <c r="AR120" s="39">
        <f>Test!N825</f>
        <v>39.896834300000002</v>
      </c>
      <c r="AS120" s="40"/>
      <c r="AT120" s="41"/>
      <c r="AU120" s="41"/>
      <c r="AW120" s="42">
        <f t="shared" si="11"/>
        <v>-1.6805848020710612E-3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">
        <v>1042</v>
      </c>
      <c r="J121" s="19">
        <v>0.39964960240990383</v>
      </c>
      <c r="K121" s="19">
        <v>9.7741725791146719E-2</v>
      </c>
      <c r="L121" s="19">
        <v>0.30163645203310369</v>
      </c>
      <c r="M121" s="20"/>
      <c r="N121" s="19">
        <v>0.45046736880475963</v>
      </c>
      <c r="O121" s="21">
        <v>2458016</v>
      </c>
      <c r="P121" s="22">
        <v>1107256</v>
      </c>
      <c r="Q121" s="22">
        <v>270800</v>
      </c>
      <c r="R121" s="22">
        <v>835704</v>
      </c>
      <c r="S121" s="23"/>
      <c r="T121" s="24">
        <v>72.643912</v>
      </c>
      <c r="U121" s="24">
        <v>75.093141900000006</v>
      </c>
      <c r="V121" s="24">
        <v>39.378431599999999</v>
      </c>
      <c r="W121" s="24">
        <v>44.969736500000003</v>
      </c>
      <c r="X121" s="24">
        <v>42.327535699999999</v>
      </c>
      <c r="Y121" s="23"/>
      <c r="Z121" s="26"/>
      <c r="AA121" s="26"/>
      <c r="AC121" s="18" t="str">
        <f t="shared" si="6"/>
        <v>·</v>
      </c>
      <c r="AD121" s="19">
        <f t="shared" si="7"/>
        <v>0.42778824695450424</v>
      </c>
      <c r="AE121" s="19">
        <f t="shared" si="8"/>
        <v>9.7271064009641348E-2</v>
      </c>
      <c r="AF121" s="19">
        <f t="shared" si="9"/>
        <v>0.3302457583592095</v>
      </c>
      <c r="AG121" s="20"/>
      <c r="AH121" s="19">
        <f t="shared" si="10"/>
        <v>0.48218400531160088</v>
      </c>
      <c r="AI121" s="21">
        <f>Test!E826</f>
        <v>2458016</v>
      </c>
      <c r="AJ121" s="22">
        <v>1185216</v>
      </c>
      <c r="AK121" s="22">
        <v>269496</v>
      </c>
      <c r="AL121" s="22">
        <v>914968</v>
      </c>
      <c r="AM121" s="23"/>
      <c r="AN121" s="24">
        <f>Test!J826</f>
        <v>72.643912</v>
      </c>
      <c r="AO121" s="24">
        <f>Test!K826</f>
        <v>75.093141900000006</v>
      </c>
      <c r="AP121" s="24">
        <f>Test!L826</f>
        <v>39.378431599999999</v>
      </c>
      <c r="AQ121" s="24">
        <f>Test!M826</f>
        <v>44.969736500000003</v>
      </c>
      <c r="AR121" s="24">
        <f>Test!N826</f>
        <v>42.327535699999999</v>
      </c>
      <c r="AS121" s="25"/>
      <c r="AT121" s="26"/>
      <c r="AU121" s="26"/>
      <c r="AW121" s="27">
        <f t="shared" si="11"/>
        <v>-1.7187216973421654E-2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">
        <v>1042</v>
      </c>
      <c r="J122" s="34">
        <v>1.0112384937812369</v>
      </c>
      <c r="K122" s="34">
        <v>0.30083372825851168</v>
      </c>
      <c r="L122" s="34">
        <v>0.71010446598115118</v>
      </c>
      <c r="M122" s="35"/>
      <c r="N122" s="34">
        <v>0.89386055195499214</v>
      </c>
      <c r="O122" s="36">
        <v>3134386</v>
      </c>
      <c r="P122" s="37">
        <v>2801704</v>
      </c>
      <c r="Q122" s="37">
        <v>833480</v>
      </c>
      <c r="R122" s="37">
        <v>1967392</v>
      </c>
      <c r="S122" s="38"/>
      <c r="T122" s="39">
        <v>73.771609699999999</v>
      </c>
      <c r="U122" s="39">
        <v>76.562188500000005</v>
      </c>
      <c r="V122" s="39">
        <v>42.077401199999997</v>
      </c>
      <c r="W122" s="39">
        <v>47.365673200000003</v>
      </c>
      <c r="X122" s="39">
        <v>44.8761546</v>
      </c>
      <c r="Y122" s="38"/>
      <c r="Z122" s="41"/>
      <c r="AA122" s="41"/>
      <c r="AC122" s="33" t="str">
        <f t="shared" si="6"/>
        <v>·</v>
      </c>
      <c r="AD122" s="34">
        <f t="shared" si="7"/>
        <v>1.0112384937812369</v>
      </c>
      <c r="AE122" s="34">
        <f t="shared" si="8"/>
        <v>0.30083372825851168</v>
      </c>
      <c r="AF122" s="34">
        <f t="shared" si="9"/>
        <v>0.71010446598115118</v>
      </c>
      <c r="AG122" s="35"/>
      <c r="AH122" s="34">
        <f t="shared" si="10"/>
        <v>0.89386055195499214</v>
      </c>
      <c r="AI122" s="36">
        <f>Test!E827</f>
        <v>3134386</v>
      </c>
      <c r="AJ122" s="37">
        <v>2801704</v>
      </c>
      <c r="AK122" s="37">
        <v>833480</v>
      </c>
      <c r="AL122" s="37">
        <v>1967392</v>
      </c>
      <c r="AM122" s="38"/>
      <c r="AN122" s="39">
        <f>Test!J827</f>
        <v>73.771609699999999</v>
      </c>
      <c r="AO122" s="39">
        <f>Test!K827</f>
        <v>76.562188500000005</v>
      </c>
      <c r="AP122" s="39">
        <f>Test!L827</f>
        <v>42.077401199999997</v>
      </c>
      <c r="AQ122" s="39">
        <f>Test!M827</f>
        <v>47.365673200000003</v>
      </c>
      <c r="AR122" s="39">
        <f>Test!N827</f>
        <v>44.8761546</v>
      </c>
      <c r="AS122" s="40"/>
      <c r="AT122" s="41"/>
      <c r="AU122" s="41"/>
      <c r="AW122" s="42">
        <f t="shared" si="11"/>
        <v>0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">
        <v>1042</v>
      </c>
      <c r="J123" s="19" t="s">
        <v>1042</v>
      </c>
      <c r="K123" s="19" t="s">
        <v>1042</v>
      </c>
      <c r="L123" s="19" t="s">
        <v>1042</v>
      </c>
      <c r="M123" s="20"/>
      <c r="N123" s="19" t="s">
        <v>1042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6"/>
        <v>·</v>
      </c>
      <c r="AD123" s="19">
        <f t="shared" si="7"/>
        <v>0</v>
      </c>
      <c r="AE123" s="19">
        <f t="shared" si="8"/>
        <v>0</v>
      </c>
      <c r="AF123" s="19">
        <f t="shared" si="9"/>
        <v>0</v>
      </c>
      <c r="AG123" s="20"/>
      <c r="AH123" s="19" t="e">
        <f t="shared" si="10"/>
        <v>#DIV/0!</v>
      </c>
      <c r="AI123" s="21"/>
      <c r="AJ123" s="22">
        <v>0</v>
      </c>
      <c r="AK123" s="22">
        <v>0</v>
      </c>
      <c r="AL123" s="22">
        <v>0</v>
      </c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1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">
        <v>1042</v>
      </c>
      <c r="J124" s="49" t="s">
        <v>1042</v>
      </c>
      <c r="K124" s="49" t="s">
        <v>1042</v>
      </c>
      <c r="L124" s="49" t="s">
        <v>1042</v>
      </c>
      <c r="M124" s="50"/>
      <c r="N124" s="49" t="s">
        <v>1042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6"/>
        <v>·</v>
      </c>
      <c r="AD124" s="49">
        <f t="shared" si="7"/>
        <v>0</v>
      </c>
      <c r="AE124" s="49">
        <f t="shared" si="8"/>
        <v>0</v>
      </c>
      <c r="AF124" s="49">
        <f t="shared" si="9"/>
        <v>0</v>
      </c>
      <c r="AG124" s="50"/>
      <c r="AH124" s="49" t="e">
        <f t="shared" si="10"/>
        <v>#DIV/0!</v>
      </c>
      <c r="AI124" s="51"/>
      <c r="AJ124" s="52">
        <v>0</v>
      </c>
      <c r="AK124" s="52">
        <v>0</v>
      </c>
      <c r="AL124" s="52">
        <v>0</v>
      </c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1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">
        <v>1042</v>
      </c>
      <c r="J125" s="19">
        <v>6.1319111569576742E-2</v>
      </c>
      <c r="K125" s="19">
        <v>9.3538983155886136E-3</v>
      </c>
      <c r="L125" s="19">
        <v>5.1737313188166989E-2</v>
      </c>
      <c r="M125" s="20"/>
      <c r="N125" s="19">
        <v>5.4463852310325703E-2</v>
      </c>
      <c r="O125" s="21">
        <v>4505447</v>
      </c>
      <c r="P125" s="22">
        <v>245384</v>
      </c>
      <c r="Q125" s="22">
        <v>37432</v>
      </c>
      <c r="R125" s="22">
        <v>207040</v>
      </c>
      <c r="S125" s="23"/>
      <c r="T125" s="24">
        <v>62.900395500000002</v>
      </c>
      <c r="U125" s="24">
        <v>63.260548999999997</v>
      </c>
      <c r="V125" s="24">
        <v>31.719136800000001</v>
      </c>
      <c r="W125" s="24">
        <v>46.480631099999997</v>
      </c>
      <c r="X125" s="24">
        <v>47.274007599999997</v>
      </c>
      <c r="Y125" s="23"/>
      <c r="Z125" s="26"/>
      <c r="AA125" s="26"/>
      <c r="AC125" s="18" t="str">
        <f t="shared" si="6"/>
        <v>·</v>
      </c>
      <c r="AD125" s="19">
        <f t="shared" si="7"/>
        <v>6.0837322833937321E-2</v>
      </c>
      <c r="AE125" s="19">
        <f t="shared" si="8"/>
        <v>9.2299526657560662E-3</v>
      </c>
      <c r="AF125" s="19">
        <f t="shared" si="9"/>
        <v>5.1379470102360117E-2</v>
      </c>
      <c r="AG125" s="20"/>
      <c r="AH125" s="19">
        <f t="shared" si="10"/>
        <v>5.4035925847091312E-2</v>
      </c>
      <c r="AI125" s="21">
        <f>Test!E830</f>
        <v>4505447</v>
      </c>
      <c r="AJ125" s="22">
        <v>243456</v>
      </c>
      <c r="AK125" s="22">
        <v>36936</v>
      </c>
      <c r="AL125" s="22">
        <v>205608</v>
      </c>
      <c r="AM125" s="23"/>
      <c r="AN125" s="24">
        <f>Test!J830</f>
        <v>62.900395500000002</v>
      </c>
      <c r="AO125" s="24">
        <f>Test!K830</f>
        <v>63.260548999999997</v>
      </c>
      <c r="AP125" s="24">
        <f>Test!L830</f>
        <v>31.719136800000001</v>
      </c>
      <c r="AQ125" s="24">
        <f>Test!M830</f>
        <v>46.480631099999997</v>
      </c>
      <c r="AR125" s="24">
        <f>Test!N830</f>
        <v>47.274007599999997</v>
      </c>
      <c r="AS125" s="25"/>
      <c r="AT125" s="26"/>
      <c r="AU125" s="26"/>
      <c r="AW125" s="27">
        <f t="shared" si="11"/>
        <v>-8.2928349936509105E-4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-1.5847996817437093E-2</v>
      </c>
      <c r="BA125" s="28">
        <f>IF( OR(ISBLANK(Q125:Q130),ISBLANK(AK125:AK130), ISBLANK(U125:U130),ISBLANK(AO125:AO130)), "·", bdRateExtend( Q125:Q130,U125:U130, AK125:AK130,AO125:AO130))</f>
        <v>-1.5313550305516399E-2</v>
      </c>
      <c r="BB125" s="28">
        <f>IF( OR(ISBLANK(R125:R130),ISBLANK(AL125:AL130), ISBLANK(V125:V130),ISBLANK(AP125:AP130)), "·", bdRateExtend( R125:R130,V125:V130, AL125:AL130,AP125:AP130))</f>
        <v>-3.8016981721046283E-3</v>
      </c>
      <c r="BC125" s="28">
        <f>IF( OR(ISBLANK(R125:R130),ISBLANK(AL125:AL130), ISBLANK(W125:W130),ISBLANK(AQ125:AQ130)), "·", bdRateExtend( R125:R130,W125:W130, AL125:AL130,AQ125:AQ130))</f>
        <v>-3.2079267149311974E-3</v>
      </c>
      <c r="BD125" s="28">
        <f>IF( OR(ISBLANK(R125:R130),ISBLANK(AL125:AL130), ISBLANK(X125:X130),ISBLANK(AR125:AR130)), "·", bdRateExtend( R125:R130,X125:X130, AL125:AL130,AR125:AR130))</f>
        <v>-3.2896886970923411E-3</v>
      </c>
      <c r="BE125" s="29"/>
      <c r="BG125" s="28">
        <f>IF( OR(ISBLANK(P125:P130),ISBLANK(AJ125:AJ130), ISBLANK(T125:T130),ISBLANK(AN125:AN130)), "·", bdRateExtend( P125:P130,T125:T130, AJ125:AJ130,AN125:AN130))</f>
        <v>-7.6113205117618321E-3</v>
      </c>
      <c r="BH125" s="28">
        <f>IF( OR(ISBLANK(P125:P130),ISBLANK(AJ125:AJ130), ISBLANK(U125:U130),ISBLANK(AO125:AO130)), "·", bdRateExtend( P125:P130,U125:U130, AJ125:AJ130,AO125:AO130))</f>
        <v>-7.2209473987661088E-3</v>
      </c>
      <c r="BI125" s="28">
        <f>IF( OR(ISBLANK(P125:P130),ISBLANK(AJ125:AJ130), ISBLANK(V125:V130),ISBLANK(AP125:AP130)), "·", bdRateExtend( P125:P130,V125:V130, AJ125:AJ130,AP125:AP130))</f>
        <v>-5.7813291611495954E-3</v>
      </c>
      <c r="BJ125" s="28">
        <f>IF( OR(ISBLANK(P125:P130),ISBLANK(AJ125:AJ130), ISBLANK(W125:W130),ISBLANK(AQ125:AQ130)), "·", bdRateExtend( P125:P130,W125:W130, AJ125:AJ130,AQ125:AQ130))</f>
        <v>-5.1545187552317628E-3</v>
      </c>
      <c r="BK125" s="28">
        <f>IF( OR(ISBLANK(P125:P130),ISBLANK(AJ125:AJ130), ISBLANK(X125:X130),ISBLANK(AR125:AR130)), "·", bdRateExtend( P125:P130,X125:X130, AJ125:AJ130,AR125:AR130))</f>
        <v>-5.2361444533155499E-3</v>
      </c>
      <c r="BL125" s="29"/>
    </row>
    <row r="126" spans="1:64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">
        <v>1042</v>
      </c>
      <c r="J126" s="34">
        <v>0.14351706776578471</v>
      </c>
      <c r="K126" s="34">
        <v>2.876338725468882E-2</v>
      </c>
      <c r="L126" s="34">
        <v>0.11452578044527474</v>
      </c>
      <c r="M126" s="35"/>
      <c r="N126" s="34">
        <v>0.13697561785348103</v>
      </c>
      <c r="O126" s="36">
        <v>4192863</v>
      </c>
      <c r="P126" s="37">
        <v>574320</v>
      </c>
      <c r="Q126" s="37">
        <v>115104</v>
      </c>
      <c r="R126" s="37">
        <v>458304</v>
      </c>
      <c r="S126" s="38"/>
      <c r="T126" s="39">
        <v>69.779321400000001</v>
      </c>
      <c r="U126" s="39">
        <v>70.862057800000002</v>
      </c>
      <c r="V126" s="39">
        <v>35.466060800000001</v>
      </c>
      <c r="W126" s="39">
        <v>48.101938199999999</v>
      </c>
      <c r="X126" s="39">
        <v>48.969806800000001</v>
      </c>
      <c r="Y126" s="38"/>
      <c r="Z126" s="41"/>
      <c r="AA126" s="41"/>
      <c r="AC126" s="33" t="str">
        <f t="shared" si="6"/>
        <v>·</v>
      </c>
      <c r="AD126" s="34">
        <f t="shared" si="7"/>
        <v>0.14231559461176274</v>
      </c>
      <c r="AE126" s="34">
        <f t="shared" si="8"/>
        <v>2.8239616927977083E-2</v>
      </c>
      <c r="AF126" s="34">
        <f t="shared" si="9"/>
        <v>0.11384807761796452</v>
      </c>
      <c r="AG126" s="35"/>
      <c r="AH126" s="34">
        <f t="shared" si="10"/>
        <v>0.13582890735995906</v>
      </c>
      <c r="AI126" s="36">
        <f>Test!E831</f>
        <v>4192863</v>
      </c>
      <c r="AJ126" s="37">
        <v>569512</v>
      </c>
      <c r="AK126" s="37">
        <v>113008</v>
      </c>
      <c r="AL126" s="37">
        <v>455592</v>
      </c>
      <c r="AM126" s="38"/>
      <c r="AN126" s="39">
        <f>Test!J831</f>
        <v>69.779321400000001</v>
      </c>
      <c r="AO126" s="39">
        <f>Test!K831</f>
        <v>70.862057800000002</v>
      </c>
      <c r="AP126" s="39">
        <f>Test!L831</f>
        <v>35.466060800000001</v>
      </c>
      <c r="AQ126" s="39">
        <f>Test!M831</f>
        <v>48.101938199999999</v>
      </c>
      <c r="AR126" s="39">
        <f>Test!N831</f>
        <v>48.969806800000001</v>
      </c>
      <c r="AS126" s="40"/>
      <c r="AT126" s="41"/>
      <c r="AU126" s="41"/>
      <c r="AW126" s="42">
        <f t="shared" si="11"/>
        <v>-1.9883528468566392E-3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">
        <v>1042</v>
      </c>
      <c r="J127" s="19">
        <v>0.34379124753795459</v>
      </c>
      <c r="K127" s="19">
        <v>9.2369495976014515E-2</v>
      </c>
      <c r="L127" s="19">
        <v>0.25119385149611895</v>
      </c>
      <c r="M127" s="20"/>
      <c r="N127" s="19">
        <v>0.32490162747430934</v>
      </c>
      <c r="O127" s="21">
        <v>4234414</v>
      </c>
      <c r="P127" s="22">
        <v>1375768</v>
      </c>
      <c r="Q127" s="22">
        <v>369640</v>
      </c>
      <c r="R127" s="22">
        <v>1005216</v>
      </c>
      <c r="S127" s="23"/>
      <c r="T127" s="24">
        <v>73.170900000000003</v>
      </c>
      <c r="U127" s="24">
        <v>75.436350500000003</v>
      </c>
      <c r="V127" s="24">
        <v>38.651902399999997</v>
      </c>
      <c r="W127" s="24">
        <v>49.786003800000003</v>
      </c>
      <c r="X127" s="24">
        <v>50.648782199999999</v>
      </c>
      <c r="Y127" s="23"/>
      <c r="Z127" s="26"/>
      <c r="AA127" s="26"/>
      <c r="AC127" s="18" t="str">
        <f t="shared" si="6"/>
        <v>·</v>
      </c>
      <c r="AD127" s="19">
        <f t="shared" si="7"/>
        <v>0.34281767444975381</v>
      </c>
      <c r="AE127" s="19">
        <f t="shared" si="8"/>
        <v>9.1501876427186685E-2</v>
      </c>
      <c r="AF127" s="19">
        <f t="shared" si="9"/>
        <v>0.25108789795674596</v>
      </c>
      <c r="AG127" s="20"/>
      <c r="AH127" s="19">
        <f t="shared" si="10"/>
        <v>0.32398154738766688</v>
      </c>
      <c r="AI127" s="21">
        <f>Test!E832</f>
        <v>4234414</v>
      </c>
      <c r="AJ127" s="22">
        <v>1371872</v>
      </c>
      <c r="AK127" s="22">
        <v>366168</v>
      </c>
      <c r="AL127" s="22">
        <v>1004792</v>
      </c>
      <c r="AM127" s="23"/>
      <c r="AN127" s="24">
        <f>Test!J832</f>
        <v>73.170900000000003</v>
      </c>
      <c r="AO127" s="24">
        <f>Test!K832</f>
        <v>75.436350500000003</v>
      </c>
      <c r="AP127" s="24">
        <f>Test!L832</f>
        <v>38.651902399999997</v>
      </c>
      <c r="AQ127" s="24">
        <f>Test!M832</f>
        <v>49.786003800000003</v>
      </c>
      <c r="AR127" s="24">
        <f>Test!N832</f>
        <v>50.648782199999999</v>
      </c>
      <c r="AS127" s="25"/>
      <c r="AT127" s="26"/>
      <c r="AU127" s="26"/>
      <c r="AW127" s="27">
        <f t="shared" si="11"/>
        <v>-1.7678227505047439E-3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">
        <v>1042</v>
      </c>
      <c r="J128" s="34">
        <v>0.78733875195726677</v>
      </c>
      <c r="K128" s="34">
        <v>0.27262245505345906</v>
      </c>
      <c r="L128" s="34">
        <v>0.51448839683798653</v>
      </c>
      <c r="M128" s="35"/>
      <c r="N128" s="34">
        <v>0.71180199267037803</v>
      </c>
      <c r="O128" s="36">
        <v>4426422</v>
      </c>
      <c r="P128" s="37">
        <v>3150736</v>
      </c>
      <c r="Q128" s="37">
        <v>1090968</v>
      </c>
      <c r="R128" s="37">
        <v>2058856</v>
      </c>
      <c r="S128" s="38"/>
      <c r="T128" s="39">
        <v>73.986686300000002</v>
      </c>
      <c r="U128" s="39">
        <v>76.7677829</v>
      </c>
      <c r="V128" s="39">
        <v>41.111941600000002</v>
      </c>
      <c r="W128" s="39">
        <v>51.452626700000003</v>
      </c>
      <c r="X128" s="39">
        <v>52.290506200000003</v>
      </c>
      <c r="Y128" s="38"/>
      <c r="Z128" s="41"/>
      <c r="AA128" s="41"/>
      <c r="AC128" s="33" t="str">
        <f t="shared" si="6"/>
        <v>·</v>
      </c>
      <c r="AD128" s="34">
        <f t="shared" si="7"/>
        <v>0.78733875195726677</v>
      </c>
      <c r="AE128" s="34">
        <f t="shared" si="8"/>
        <v>0.27262245505345906</v>
      </c>
      <c r="AF128" s="34">
        <f t="shared" si="9"/>
        <v>0.51448839683798653</v>
      </c>
      <c r="AG128" s="35"/>
      <c r="AH128" s="34">
        <f t="shared" si="10"/>
        <v>0.71180199267037803</v>
      </c>
      <c r="AI128" s="36">
        <f>Test!E833</f>
        <v>4426422</v>
      </c>
      <c r="AJ128" s="37">
        <v>3150736</v>
      </c>
      <c r="AK128" s="37">
        <v>1090968</v>
      </c>
      <c r="AL128" s="37">
        <v>2058856</v>
      </c>
      <c r="AM128" s="38"/>
      <c r="AN128" s="39">
        <f>Test!J833</f>
        <v>73.986686300000002</v>
      </c>
      <c r="AO128" s="39">
        <f>Test!K833</f>
        <v>76.7677829</v>
      </c>
      <c r="AP128" s="39">
        <f>Test!L833</f>
        <v>41.111941600000002</v>
      </c>
      <c r="AQ128" s="39">
        <f>Test!M833</f>
        <v>51.452626700000003</v>
      </c>
      <c r="AR128" s="39">
        <f>Test!N833</f>
        <v>52.290506200000003</v>
      </c>
      <c r="AS128" s="40"/>
      <c r="AT128" s="41"/>
      <c r="AU128" s="41"/>
      <c r="AW128" s="42">
        <f t="shared" si="11"/>
        <v>0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">
        <v>1042</v>
      </c>
      <c r="J129" s="19" t="s">
        <v>1042</v>
      </c>
      <c r="K129" s="19" t="s">
        <v>1042</v>
      </c>
      <c r="L129" s="19" t="s">
        <v>1042</v>
      </c>
      <c r="M129" s="20"/>
      <c r="N129" s="19" t="s">
        <v>1042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6"/>
        <v>·</v>
      </c>
      <c r="AD129" s="19">
        <f t="shared" si="7"/>
        <v>0</v>
      </c>
      <c r="AE129" s="19">
        <f t="shared" si="8"/>
        <v>0</v>
      </c>
      <c r="AF129" s="19">
        <f t="shared" si="9"/>
        <v>0</v>
      </c>
      <c r="AG129" s="20"/>
      <c r="AH129" s="19" t="e">
        <f t="shared" si="10"/>
        <v>#DIV/0!</v>
      </c>
      <c r="AI129" s="21"/>
      <c r="AJ129" s="22">
        <v>0</v>
      </c>
      <c r="AK129" s="22">
        <v>0</v>
      </c>
      <c r="AL129" s="22">
        <v>0</v>
      </c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1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">
        <v>1042</v>
      </c>
      <c r="J130" s="49" t="s">
        <v>1042</v>
      </c>
      <c r="K130" s="49" t="s">
        <v>1042</v>
      </c>
      <c r="L130" s="49" t="s">
        <v>1042</v>
      </c>
      <c r="M130" s="50"/>
      <c r="N130" s="49" t="s">
        <v>1042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6"/>
        <v>·</v>
      </c>
      <c r="AD130" s="49">
        <f t="shared" si="7"/>
        <v>0</v>
      </c>
      <c r="AE130" s="49">
        <f t="shared" si="8"/>
        <v>0</v>
      </c>
      <c r="AF130" s="49">
        <f t="shared" si="9"/>
        <v>0</v>
      </c>
      <c r="AG130" s="50"/>
      <c r="AH130" s="49" t="e">
        <f t="shared" si="10"/>
        <v>#DIV/0!</v>
      </c>
      <c r="AI130" s="51"/>
      <c r="AJ130" s="52">
        <v>0</v>
      </c>
      <c r="AK130" s="52">
        <v>0</v>
      </c>
      <c r="AL130" s="52">
        <v>0</v>
      </c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1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">
        <v>1042</v>
      </c>
      <c r="J131" s="19">
        <v>9.3597688132783893E-2</v>
      </c>
      <c r="K131" s="19">
        <v>3.5417676173919149E-3</v>
      </c>
      <c r="L131" s="19">
        <v>8.973737739126679E-2</v>
      </c>
      <c r="M131" s="20"/>
      <c r="N131" s="19">
        <v>0.27627091633466133</v>
      </c>
      <c r="O131" s="21">
        <v>502000</v>
      </c>
      <c r="P131" s="22">
        <v>138688</v>
      </c>
      <c r="Q131" s="22">
        <v>5248</v>
      </c>
      <c r="R131" s="22">
        <v>132968</v>
      </c>
      <c r="S131" s="23"/>
      <c r="T131" s="24">
        <v>46.070187799999999</v>
      </c>
      <c r="U131" s="24">
        <v>52.713215599999998</v>
      </c>
      <c r="V131" s="24">
        <v>18.648454999999998</v>
      </c>
      <c r="W131" s="24">
        <v>35.904927000000001</v>
      </c>
      <c r="X131" s="24">
        <v>35.701447799999997</v>
      </c>
      <c r="Y131" s="23"/>
      <c r="Z131" s="26"/>
      <c r="AA131" s="26"/>
      <c r="AC131" s="18" t="str">
        <f t="shared" si="6"/>
        <v>·</v>
      </c>
      <c r="AD131" s="19">
        <f t="shared" si="7"/>
        <v>9.2706847192433786E-2</v>
      </c>
      <c r="AE131" s="19">
        <f t="shared" si="8"/>
        <v>3.4553830413579655E-3</v>
      </c>
      <c r="AF131" s="19">
        <f t="shared" si="9"/>
        <v>8.8932921026950634E-2</v>
      </c>
      <c r="AG131" s="20"/>
      <c r="AH131" s="19">
        <f t="shared" si="10"/>
        <v>0.27364143426294818</v>
      </c>
      <c r="AI131" s="21">
        <f>Test!E836</f>
        <v>502000</v>
      </c>
      <c r="AJ131" s="22">
        <v>137368</v>
      </c>
      <c r="AK131" s="22">
        <v>5120</v>
      </c>
      <c r="AL131" s="22">
        <v>131776</v>
      </c>
      <c r="AM131" s="23"/>
      <c r="AN131" s="24">
        <f>Test!J836</f>
        <v>46.070187799999999</v>
      </c>
      <c r="AO131" s="24">
        <f>Test!K836</f>
        <v>52.713215599999998</v>
      </c>
      <c r="AP131" s="24">
        <f>Test!L836</f>
        <v>18.648454999999998</v>
      </c>
      <c r="AQ131" s="24">
        <f>Test!M836</f>
        <v>35.904927000000001</v>
      </c>
      <c r="AR131" s="24">
        <f>Test!N836</f>
        <v>35.701447799999997</v>
      </c>
      <c r="AS131" s="25"/>
      <c r="AT131" s="26"/>
      <c r="AU131" s="26"/>
      <c r="AW131" s="27">
        <f t="shared" si="11"/>
        <v>-5.6818736111263063E-4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-9.1443307994634182E-3</v>
      </c>
      <c r="BA131" s="28">
        <f>IF( OR(ISBLANK(Q131:Q136),ISBLANK(AK131:AK136), ISBLANK(U131:U136),ISBLANK(AO131:AO136)), "·", bdRateExtend( Q131:Q136,U131:U136, AK131:AK136,AO131:AO136))</f>
        <v>-1.024102334842425E-2</v>
      </c>
      <c r="BB131" s="28">
        <f>IF( OR(ISBLANK(R131:R136),ISBLANK(AL131:AL136), ISBLANK(V131:V136),ISBLANK(AP131:AP136)), "·", bdRateExtend( R131:R136,V131:V136, AL131:AL136,AP131:AP136))</f>
        <v>-3.6214366687085109E-3</v>
      </c>
      <c r="BC131" s="28">
        <f>IF( OR(ISBLANK(R131:R136),ISBLANK(AL131:AL136), ISBLANK(W131:W136),ISBLANK(AQ131:AQ136)), "·", bdRateExtend( R131:R136,W131:W136, AL131:AL136,AQ131:AQ136))</f>
        <v>-3.1198320141315738E-3</v>
      </c>
      <c r="BD131" s="28">
        <f>IF( OR(ISBLANK(R131:R136),ISBLANK(AL131:AL136), ISBLANK(X131:X136),ISBLANK(AR131:AR136)), "·", bdRateExtend( R131:R136,X131:X136, AL131:AL136,AR131:AR136))</f>
        <v>-2.8635396251027734E-3</v>
      </c>
      <c r="BE131" s="29"/>
      <c r="BG131" s="28">
        <f>IF( OR(ISBLANK(P131:P136),ISBLANK(AJ131:AJ136), ISBLANK(T131:T136),ISBLANK(AN131:AN136)), "·", bdRateExtend( P131:P136,T131:T136, AJ131:AJ136,AN131:AN136))</f>
        <v>-4.2468180565088387E-3</v>
      </c>
      <c r="BH131" s="28">
        <f>IF( OR(ISBLANK(P131:P136),ISBLANK(AJ131:AJ136), ISBLANK(U131:U136),ISBLANK(AO131:AO136)), "·", bdRateExtend( P131:P136,U131:U136, AJ131:AJ136,AO131:AO136))</f>
        <v>-4.639641941705297E-3</v>
      </c>
      <c r="BI131" s="28">
        <f>IF( OR(ISBLANK(P131:P136),ISBLANK(AJ131:AJ136), ISBLANK(V131:V136),ISBLANK(AP131:AP136)), "·", bdRateExtend( P131:P136,V131:V136, AJ131:AJ136,AP131:AP136))</f>
        <v>-3.8235413016641795E-3</v>
      </c>
      <c r="BJ131" s="28">
        <f>IF( OR(ISBLANK(P131:P136),ISBLANK(AJ131:AJ136), ISBLANK(W131:W136),ISBLANK(AQ131:AQ136)), "·", bdRateExtend( P131:P136,W131:W136, AJ131:AJ136,AQ131:AQ136))</f>
        <v>-3.301283507693209E-3</v>
      </c>
      <c r="BK131" s="28">
        <f>IF( OR(ISBLANK(P131:P136),ISBLANK(AJ131:AJ136), ISBLANK(X131:X136),ISBLANK(AR131:AR136)), "·", bdRateExtend( P131:P136,X131:X136, AJ131:AJ136,AR131:AR136))</f>
        <v>-3.033035036739129E-3</v>
      </c>
      <c r="BL131" s="29"/>
    </row>
    <row r="132" spans="1:64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">
        <v>1042</v>
      </c>
      <c r="J132" s="34">
        <v>0.31413211171145394</v>
      </c>
      <c r="K132" s="34">
        <v>1.3902517705463689E-2</v>
      </c>
      <c r="L132" s="34">
        <v>0.29991105088186504</v>
      </c>
      <c r="M132" s="35"/>
      <c r="N132" s="34">
        <v>0.87326786913664556</v>
      </c>
      <c r="O132" s="36">
        <v>533014</v>
      </c>
      <c r="P132" s="37">
        <v>465464</v>
      </c>
      <c r="Q132" s="37">
        <v>20600</v>
      </c>
      <c r="R132" s="37">
        <v>444392</v>
      </c>
      <c r="S132" s="38"/>
      <c r="T132" s="39">
        <v>51.536327300000004</v>
      </c>
      <c r="U132" s="39">
        <v>58.353511500000003</v>
      </c>
      <c r="V132" s="39">
        <v>19.773526400000002</v>
      </c>
      <c r="W132" s="39">
        <v>36.769221799999997</v>
      </c>
      <c r="X132" s="39">
        <v>36.428832399999997</v>
      </c>
      <c r="Y132" s="38"/>
      <c r="Z132" s="41"/>
      <c r="AA132" s="41"/>
      <c r="AC132" s="33" t="str">
        <f t="shared" si="6"/>
        <v>·</v>
      </c>
      <c r="AD132" s="34">
        <f t="shared" si="7"/>
        <v>0.31270136717089164</v>
      </c>
      <c r="AE132" s="34">
        <f t="shared" si="8"/>
        <v>1.3783738913417009E-2</v>
      </c>
      <c r="AF132" s="34">
        <f t="shared" si="9"/>
        <v>0.29859908513334943</v>
      </c>
      <c r="AG132" s="35"/>
      <c r="AH132" s="34">
        <f t="shared" si="10"/>
        <v>0.86929048767949813</v>
      </c>
      <c r="AI132" s="36">
        <f>Test!E837</f>
        <v>533014</v>
      </c>
      <c r="AJ132" s="37">
        <v>463344</v>
      </c>
      <c r="AK132" s="37">
        <v>20424</v>
      </c>
      <c r="AL132" s="37">
        <v>442448</v>
      </c>
      <c r="AM132" s="38"/>
      <c r="AN132" s="39">
        <f>Test!J837</f>
        <v>51.536327300000004</v>
      </c>
      <c r="AO132" s="39">
        <f>Test!K837</f>
        <v>58.353511500000003</v>
      </c>
      <c r="AP132" s="39">
        <f>Test!L837</f>
        <v>19.773526400000002</v>
      </c>
      <c r="AQ132" s="39">
        <f>Test!M837</f>
        <v>36.769221799999997</v>
      </c>
      <c r="AR132" s="39">
        <f>Test!N837</f>
        <v>36.428832399999997</v>
      </c>
      <c r="AS132" s="40"/>
      <c r="AT132" s="41"/>
      <c r="AU132" s="41"/>
      <c r="AW132" s="42">
        <f t="shared" si="11"/>
        <v>-1.7735277313041253E-4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">
        <v>1042</v>
      </c>
      <c r="J133" s="19">
        <v>1.0396275744965737</v>
      </c>
      <c r="K133" s="19">
        <v>6.7158608830393332E-2</v>
      </c>
      <c r="L133" s="19">
        <v>0.97215042254205508</v>
      </c>
      <c r="M133" s="20"/>
      <c r="N133" s="19">
        <v>2.0586677215274456</v>
      </c>
      <c r="O133" s="21">
        <v>748282</v>
      </c>
      <c r="P133" s="22">
        <v>1540464</v>
      </c>
      <c r="Q133" s="22">
        <v>99512</v>
      </c>
      <c r="R133" s="22">
        <v>1440480</v>
      </c>
      <c r="S133" s="23"/>
      <c r="T133" s="24">
        <v>58.046260500000002</v>
      </c>
      <c r="U133" s="24">
        <v>61.9190179</v>
      </c>
      <c r="V133" s="24">
        <v>20.825073700000001</v>
      </c>
      <c r="W133" s="24">
        <v>37.472096899999997</v>
      </c>
      <c r="X133" s="24">
        <v>37.221384499999999</v>
      </c>
      <c r="Y133" s="23"/>
      <c r="Z133" s="26"/>
      <c r="AA133" s="26"/>
      <c r="AC133" s="18" t="str">
        <f t="shared" ref="AC133:AC196" si="12">IF(OR(ISBLANK(AJ133),ISBLANK(G133)),"·",AJ133*G133/F133/1000000)</f>
        <v>·</v>
      </c>
      <c r="AD133" s="19">
        <f t="shared" ref="AD133:AD196" si="13">IF(ISBLANK(AJ133),"·",AJ133/D133)</f>
        <v>1.0383210077840601</v>
      </c>
      <c r="AE133" s="19">
        <f t="shared" ref="AE133:AE196" si="14">IF(AK133="","·",AK133/D133)</f>
        <v>6.6953445462312702E-2</v>
      </c>
      <c r="AF133" s="19">
        <f t="shared" ref="AF133:AF196" si="15">IF(ISBLANK(AL133),"·",AL133/D133)</f>
        <v>0.97104901919762221</v>
      </c>
      <c r="AG133" s="20"/>
      <c r="AH133" s="19">
        <f t="shared" ref="AH133:AH196" si="16">IF(ISBLANK(AJ133),"·",AJ133/AI133)</f>
        <v>2.0560804616441395</v>
      </c>
      <c r="AI133" s="21">
        <f>Test!E838</f>
        <v>748282</v>
      </c>
      <c r="AJ133" s="22">
        <v>1538528</v>
      </c>
      <c r="AK133" s="22">
        <v>99208</v>
      </c>
      <c r="AL133" s="22">
        <v>1438848</v>
      </c>
      <c r="AM133" s="23"/>
      <c r="AN133" s="24">
        <f>Test!J838</f>
        <v>58.046260500000002</v>
      </c>
      <c r="AO133" s="24">
        <f>Test!K838</f>
        <v>61.9190179</v>
      </c>
      <c r="AP133" s="24">
        <f>Test!L838</f>
        <v>20.825073700000001</v>
      </c>
      <c r="AQ133" s="24">
        <f>Test!M838</f>
        <v>37.472096899999997</v>
      </c>
      <c r="AR133" s="24">
        <f>Test!N838</f>
        <v>37.221384499999999</v>
      </c>
      <c r="AS133" s="25"/>
      <c r="AT133" s="26"/>
      <c r="AU133" s="26"/>
      <c r="AW133" s="27">
        <f t="shared" ref="AW133:AW196" si="17">(AK133/AJ133) - (Q133/P133)</f>
        <v>-1.1630394855031978E-4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">
        <v>1042</v>
      </c>
      <c r="J134" s="34">
        <v>2.5681108638052677</v>
      </c>
      <c r="K134" s="34">
        <v>0.29318925105922339</v>
      </c>
      <c r="L134" s="34">
        <v>2.2746030696219188</v>
      </c>
      <c r="M134" s="35"/>
      <c r="N134" s="34">
        <v>3.8445213402775322</v>
      </c>
      <c r="O134" s="36">
        <v>989795</v>
      </c>
      <c r="P134" s="37">
        <v>3805288</v>
      </c>
      <c r="Q134" s="37">
        <v>434432</v>
      </c>
      <c r="R134" s="37">
        <v>3370384</v>
      </c>
      <c r="S134" s="38"/>
      <c r="T134" s="39">
        <v>59.622194100000002</v>
      </c>
      <c r="U134" s="39">
        <v>63.776591400000001</v>
      </c>
      <c r="V134" s="39">
        <v>21.5585576</v>
      </c>
      <c r="W134" s="39">
        <v>38.426479700000002</v>
      </c>
      <c r="X134" s="39">
        <v>38.193480700000002</v>
      </c>
      <c r="Y134" s="38"/>
      <c r="Z134" s="41"/>
      <c r="AA134" s="41"/>
      <c r="AC134" s="33" t="str">
        <f t="shared" si="12"/>
        <v>·</v>
      </c>
      <c r="AD134" s="34">
        <f t="shared" si="13"/>
        <v>2.5681108638052677</v>
      </c>
      <c r="AE134" s="34">
        <f t="shared" si="14"/>
        <v>0.29318925105922339</v>
      </c>
      <c r="AF134" s="34">
        <f t="shared" si="15"/>
        <v>2.2746030696219188</v>
      </c>
      <c r="AG134" s="35"/>
      <c r="AH134" s="34">
        <f t="shared" si="16"/>
        <v>3.8445213402775322</v>
      </c>
      <c r="AI134" s="36">
        <f>Test!E839</f>
        <v>989795</v>
      </c>
      <c r="AJ134" s="37">
        <v>3805288</v>
      </c>
      <c r="AK134" s="37">
        <v>434432</v>
      </c>
      <c r="AL134" s="37">
        <v>3370384</v>
      </c>
      <c r="AM134" s="38"/>
      <c r="AN134" s="39">
        <f>Test!J839</f>
        <v>59.622194100000002</v>
      </c>
      <c r="AO134" s="39">
        <f>Test!K839</f>
        <v>63.776591400000001</v>
      </c>
      <c r="AP134" s="39">
        <f>Test!L839</f>
        <v>21.5585576</v>
      </c>
      <c r="AQ134" s="39">
        <f>Test!M839</f>
        <v>38.426479700000002</v>
      </c>
      <c r="AR134" s="39">
        <f>Test!N839</f>
        <v>38.193480700000002</v>
      </c>
      <c r="AS134" s="40"/>
      <c r="AT134" s="41"/>
      <c r="AU134" s="41"/>
      <c r="AW134" s="42">
        <f t="shared" si="17"/>
        <v>0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">
        <v>1042</v>
      </c>
      <c r="J135" s="19" t="s">
        <v>1042</v>
      </c>
      <c r="K135" s="19" t="s">
        <v>1042</v>
      </c>
      <c r="L135" s="19" t="s">
        <v>1042</v>
      </c>
      <c r="M135" s="20"/>
      <c r="N135" s="19" t="s">
        <v>1042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12"/>
        <v>·</v>
      </c>
      <c r="AD135" s="19">
        <f t="shared" si="13"/>
        <v>0</v>
      </c>
      <c r="AE135" s="19">
        <f t="shared" si="14"/>
        <v>0</v>
      </c>
      <c r="AF135" s="19">
        <f t="shared" si="15"/>
        <v>0</v>
      </c>
      <c r="AG135" s="20"/>
      <c r="AH135" s="19" t="e">
        <f t="shared" si="16"/>
        <v>#DIV/0!</v>
      </c>
      <c r="AI135" s="21"/>
      <c r="AJ135" s="22">
        <v>0</v>
      </c>
      <c r="AK135" s="22">
        <v>0</v>
      </c>
      <c r="AL135" s="22">
        <v>0</v>
      </c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17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">
        <v>1042</v>
      </c>
      <c r="J136" s="49" t="s">
        <v>1042</v>
      </c>
      <c r="K136" s="49" t="s">
        <v>1042</v>
      </c>
      <c r="L136" s="49" t="s">
        <v>1042</v>
      </c>
      <c r="M136" s="50"/>
      <c r="N136" s="49" t="s">
        <v>1042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12"/>
        <v>·</v>
      </c>
      <c r="AD136" s="49">
        <f t="shared" si="13"/>
        <v>0</v>
      </c>
      <c r="AE136" s="49">
        <f t="shared" si="14"/>
        <v>0</v>
      </c>
      <c r="AF136" s="49">
        <f t="shared" si="15"/>
        <v>0</v>
      </c>
      <c r="AG136" s="50"/>
      <c r="AH136" s="49" t="e">
        <f t="shared" si="16"/>
        <v>#DIV/0!</v>
      </c>
      <c r="AI136" s="51"/>
      <c r="AJ136" s="52">
        <v>0</v>
      </c>
      <c r="AK136" s="52">
        <v>0</v>
      </c>
      <c r="AL136" s="52">
        <v>0</v>
      </c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17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">
        <v>1042</v>
      </c>
      <c r="J137" s="19">
        <v>0.10696630532044418</v>
      </c>
      <c r="K137" s="19">
        <v>1.7104047175485176E-2</v>
      </c>
      <c r="L137" s="19">
        <v>8.8131316835604587E-2</v>
      </c>
      <c r="M137" s="20"/>
      <c r="N137" s="19">
        <v>4.973078405095837E-2</v>
      </c>
      <c r="O137" s="21">
        <v>586518</v>
      </c>
      <c r="P137" s="22">
        <v>29168</v>
      </c>
      <c r="Q137" s="22">
        <v>4664</v>
      </c>
      <c r="R137" s="22">
        <v>24032</v>
      </c>
      <c r="S137" s="23"/>
      <c r="T137" s="24">
        <v>51.549403699999999</v>
      </c>
      <c r="U137" s="24">
        <v>53.887101800000003</v>
      </c>
      <c r="V137" s="24">
        <v>28.249869700000001</v>
      </c>
      <c r="W137" s="24">
        <v>40.476439200000002</v>
      </c>
      <c r="X137" s="24">
        <v>41.5913714</v>
      </c>
      <c r="Y137" s="23"/>
      <c r="Z137" s="26"/>
      <c r="AA137" s="26"/>
      <c r="AC137" s="18" t="str">
        <f t="shared" si="12"/>
        <v>·</v>
      </c>
      <c r="AD137" s="19">
        <f t="shared" si="13"/>
        <v>0.10558741987061947</v>
      </c>
      <c r="AE137" s="19">
        <f t="shared" si="14"/>
        <v>1.689868125742618E-2</v>
      </c>
      <c r="AF137" s="19">
        <f t="shared" si="15"/>
        <v>8.6957797303838874E-2</v>
      </c>
      <c r="AG137" s="20"/>
      <c r="AH137" s="19">
        <f t="shared" si="16"/>
        <v>4.9089712506692036E-2</v>
      </c>
      <c r="AI137" s="21">
        <f>Test!E842</f>
        <v>586518</v>
      </c>
      <c r="AJ137" s="22">
        <v>28792</v>
      </c>
      <c r="AK137" s="22">
        <v>4608</v>
      </c>
      <c r="AL137" s="22">
        <v>23712</v>
      </c>
      <c r="AM137" s="23"/>
      <c r="AN137" s="24">
        <f>Test!J842</f>
        <v>51.549403699999999</v>
      </c>
      <c r="AO137" s="24">
        <f>Test!K842</f>
        <v>53.887101800000003</v>
      </c>
      <c r="AP137" s="24">
        <f>Test!L842</f>
        <v>28.249869700000001</v>
      </c>
      <c r="AQ137" s="24">
        <f>Test!M842</f>
        <v>40.476439200000002</v>
      </c>
      <c r="AR137" s="24">
        <f>Test!N842</f>
        <v>41.5913714</v>
      </c>
      <c r="AS137" s="25"/>
      <c r="AT137" s="26"/>
      <c r="AU137" s="26"/>
      <c r="AW137" s="27">
        <f t="shared" si="17"/>
        <v>1.431951369437745E-4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-1.0534192307273149E-2</v>
      </c>
      <c r="BA137" s="28">
        <f>IF( OR(ISBLANK(Q137:Q142),ISBLANK(AK137:AK142), ISBLANK(U137:U142),ISBLANK(AO137:AO142)), "·", bdRateExtend( Q137:Q142,U137:U142, AK137:AK142,AO137:AO142))</f>
        <v>-1.0414589004885566E-2</v>
      </c>
      <c r="BB137" s="28">
        <f>IF( OR(ISBLANK(R137:R142),ISBLANK(AL137:AL142), ISBLANK(V137:V142),ISBLANK(AP137:AP142)), "·", bdRateExtend( R137:R142,V137:V142, AL137:AL142,AP137:AP142))</f>
        <v>-4.9646838642293245E-3</v>
      </c>
      <c r="BC137" s="28">
        <f>IF( OR(ISBLANK(R137:R142),ISBLANK(AL137:AL142), ISBLANK(W137:W142),ISBLANK(AQ137:AQ142)), "·", bdRateExtend( R137:R142,W137:W142, AL137:AL142,AQ137:AQ142))</f>
        <v>-2.9847271653961061E-3</v>
      </c>
      <c r="BD137" s="28">
        <f>IF( OR(ISBLANK(R137:R142),ISBLANK(AL137:AL142), ISBLANK(X137:X142),ISBLANK(AR137:AR142)), "·", bdRateExtend( R137:R142,X137:X142, AL137:AL142,AR137:AR142))</f>
        <v>-2.6307715048994318E-3</v>
      </c>
      <c r="BE137" s="29"/>
      <c r="BG137" s="28">
        <f>IF( OR(ISBLANK(P137:P142),ISBLANK(AJ137:AJ142), ISBLANK(T137:T142),ISBLANK(AN137:AN142)), "·", bdRateExtend( P137:P142,T137:T142, AJ137:AJ142,AN137:AN142))</f>
        <v>-8.7033621714454057E-3</v>
      </c>
      <c r="BH137" s="28">
        <f>IF( OR(ISBLANK(P137:P142),ISBLANK(AJ137:AJ142), ISBLANK(U137:U142),ISBLANK(AO137:AO142)), "·", bdRateExtend( P137:P142,U137:U142, AJ137:AJ142,AO137:AO142))</f>
        <v>-8.2566337930938261E-3</v>
      </c>
      <c r="BI137" s="28">
        <f>IF( OR(ISBLANK(P137:P142),ISBLANK(AJ137:AJ142), ISBLANK(V137:V142),ISBLANK(AP137:AP142)), "·", bdRateExtend( P137:P142,V137:V142, AJ137:AJ142,AP137:AP142))</f>
        <v>-5.5873984614637218E-3</v>
      </c>
      <c r="BJ137" s="28">
        <f>IF( OR(ISBLANK(P137:P142),ISBLANK(AJ137:AJ142), ISBLANK(W137:W142),ISBLANK(AQ137:AQ142)), "·", bdRateExtend( P137:P142,W137:W142, AJ137:AJ142,AQ137:AQ142))</f>
        <v>-3.6496470718836438E-3</v>
      </c>
      <c r="BK137" s="28">
        <f>IF( OR(ISBLANK(P137:P142),ISBLANK(AJ137:AJ142), ISBLANK(X137:X142),ISBLANK(AR137:AR142)), "·", bdRateExtend( P137:P142,X137:X142, AJ137:AJ142,AR137:AR142))</f>
        <v>-3.2614259987308047E-3</v>
      </c>
      <c r="BL137" s="29"/>
    </row>
    <row r="138" spans="1:64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">
        <v>1042</v>
      </c>
      <c r="J138" s="34">
        <v>0.30050901409690339</v>
      </c>
      <c r="K138" s="34">
        <v>5.6504965454518781E-2</v>
      </c>
      <c r="L138" s="34">
        <v>0.24227310733303017</v>
      </c>
      <c r="M138" s="35"/>
      <c r="N138" s="34">
        <v>0.1418258538299246</v>
      </c>
      <c r="O138" s="36">
        <v>577779</v>
      </c>
      <c r="P138" s="37">
        <v>81944</v>
      </c>
      <c r="Q138" s="37">
        <v>15408</v>
      </c>
      <c r="R138" s="37">
        <v>66064</v>
      </c>
      <c r="S138" s="38"/>
      <c r="T138" s="39">
        <v>56.8496819</v>
      </c>
      <c r="U138" s="39">
        <v>59.1435344</v>
      </c>
      <c r="V138" s="39">
        <v>30.974156900000001</v>
      </c>
      <c r="W138" s="39">
        <v>41.977618399999997</v>
      </c>
      <c r="X138" s="39">
        <v>42.8982928</v>
      </c>
      <c r="Y138" s="38"/>
      <c r="Z138" s="41"/>
      <c r="AA138" s="41"/>
      <c r="AC138" s="33" t="str">
        <f t="shared" si="12"/>
        <v>·</v>
      </c>
      <c r="AD138" s="34">
        <f t="shared" si="13"/>
        <v>0.29863138284607826</v>
      </c>
      <c r="AE138" s="34">
        <f t="shared" si="14"/>
        <v>5.5888867700341786E-2</v>
      </c>
      <c r="AF138" s="34">
        <f t="shared" si="15"/>
        <v>0.24101157383638203</v>
      </c>
      <c r="AG138" s="35"/>
      <c r="AH138" s="34">
        <f t="shared" si="16"/>
        <v>0.140939701858323</v>
      </c>
      <c r="AI138" s="36">
        <f>Test!E843</f>
        <v>577779</v>
      </c>
      <c r="AJ138" s="37">
        <v>81432</v>
      </c>
      <c r="AK138" s="37">
        <v>15240</v>
      </c>
      <c r="AL138" s="37">
        <v>65720</v>
      </c>
      <c r="AM138" s="38"/>
      <c r="AN138" s="39">
        <f>Test!J843</f>
        <v>56.8496819</v>
      </c>
      <c r="AO138" s="39">
        <f>Test!K843</f>
        <v>59.1435344</v>
      </c>
      <c r="AP138" s="39">
        <f>Test!L843</f>
        <v>30.974156900000001</v>
      </c>
      <c r="AQ138" s="39">
        <f>Test!M843</f>
        <v>41.977618399999997</v>
      </c>
      <c r="AR138" s="39">
        <f>Test!N843</f>
        <v>42.8982928</v>
      </c>
      <c r="AS138" s="40"/>
      <c r="AT138" s="41"/>
      <c r="AU138" s="41"/>
      <c r="AW138" s="42">
        <f t="shared" si="17"/>
        <v>-8.8083560059373789E-4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">
        <v>1042</v>
      </c>
      <c r="J139" s="19">
        <v>0.95765061389740502</v>
      </c>
      <c r="K139" s="19">
        <v>0.24283052911061889</v>
      </c>
      <c r="L139" s="19">
        <v>0.7130891434774318</v>
      </c>
      <c r="M139" s="20"/>
      <c r="N139" s="19">
        <v>0.37244434429023549</v>
      </c>
      <c r="O139" s="21">
        <v>701141</v>
      </c>
      <c r="P139" s="22">
        <v>261136</v>
      </c>
      <c r="Q139" s="22">
        <v>66216</v>
      </c>
      <c r="R139" s="22">
        <v>194448</v>
      </c>
      <c r="S139" s="23"/>
      <c r="T139" s="24">
        <v>58.268028899999997</v>
      </c>
      <c r="U139" s="24">
        <v>61.254691600000001</v>
      </c>
      <c r="V139" s="24">
        <v>32.914193099999999</v>
      </c>
      <c r="W139" s="24">
        <v>44.310955900000003</v>
      </c>
      <c r="X139" s="24">
        <v>44.8891274</v>
      </c>
      <c r="Y139" s="23"/>
      <c r="Z139" s="26"/>
      <c r="AA139" s="26"/>
      <c r="AC139" s="18" t="str">
        <f t="shared" si="12"/>
        <v>·</v>
      </c>
      <c r="AD139" s="19">
        <f t="shared" si="13"/>
        <v>0.95823737366328787</v>
      </c>
      <c r="AE139" s="19">
        <f t="shared" si="14"/>
        <v>0.24250781123938331</v>
      </c>
      <c r="AF139" s="19">
        <f t="shared" si="15"/>
        <v>0.71399862111455015</v>
      </c>
      <c r="AG139" s="20"/>
      <c r="AH139" s="19">
        <f t="shared" si="16"/>
        <v>0.37267254375368147</v>
      </c>
      <c r="AI139" s="21">
        <f>Test!E844</f>
        <v>701141</v>
      </c>
      <c r="AJ139" s="22">
        <v>261296</v>
      </c>
      <c r="AK139" s="22">
        <v>66128</v>
      </c>
      <c r="AL139" s="22">
        <v>194696</v>
      </c>
      <c r="AM139" s="23"/>
      <c r="AN139" s="24">
        <f>Test!J844</f>
        <v>58.268028899999997</v>
      </c>
      <c r="AO139" s="24">
        <f>Test!K844</f>
        <v>61.254691600000001</v>
      </c>
      <c r="AP139" s="24">
        <f>Test!L844</f>
        <v>32.914193099999999</v>
      </c>
      <c r="AQ139" s="24">
        <f>Test!M844</f>
        <v>44.310955900000003</v>
      </c>
      <c r="AR139" s="24">
        <f>Test!N844</f>
        <v>44.8891274</v>
      </c>
      <c r="AS139" s="25"/>
      <c r="AT139" s="26"/>
      <c r="AU139" s="26"/>
      <c r="AW139" s="27">
        <f t="shared" si="17"/>
        <v>-4.9205132662177853E-4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">
        <v>1042</v>
      </c>
      <c r="J140" s="34">
        <v>2.8778806237256309</v>
      </c>
      <c r="K140" s="34">
        <v>1.0444030452831849</v>
      </c>
      <c r="L140" s="34">
        <v>1.8317466371330917</v>
      </c>
      <c r="M140" s="35"/>
      <c r="N140" s="34">
        <v>0.8655454770056118</v>
      </c>
      <c r="O140" s="36">
        <v>906656</v>
      </c>
      <c r="P140" s="37">
        <v>784752</v>
      </c>
      <c r="Q140" s="37">
        <v>284792</v>
      </c>
      <c r="R140" s="37">
        <v>499488</v>
      </c>
      <c r="S140" s="38"/>
      <c r="T140" s="39">
        <v>58.5266935</v>
      </c>
      <c r="U140" s="39">
        <v>61.444343799999999</v>
      </c>
      <c r="V140" s="39">
        <v>33.8947377</v>
      </c>
      <c r="W140" s="39">
        <v>45.681979699999999</v>
      </c>
      <c r="X140" s="39">
        <v>46.460459700000001</v>
      </c>
      <c r="Y140" s="38"/>
      <c r="Z140" s="41"/>
      <c r="AA140" s="41"/>
      <c r="AC140" s="33" t="str">
        <f t="shared" si="12"/>
        <v>·</v>
      </c>
      <c r="AD140" s="34">
        <f t="shared" si="13"/>
        <v>2.8778806237256309</v>
      </c>
      <c r="AE140" s="34">
        <f t="shared" si="14"/>
        <v>1.0444030452831849</v>
      </c>
      <c r="AF140" s="34">
        <f t="shared" si="15"/>
        <v>1.8317466371330917</v>
      </c>
      <c r="AG140" s="35"/>
      <c r="AH140" s="34">
        <f t="shared" si="16"/>
        <v>0.8655454770056118</v>
      </c>
      <c r="AI140" s="36">
        <f>Test!E845</f>
        <v>906656</v>
      </c>
      <c r="AJ140" s="37">
        <v>784752</v>
      </c>
      <c r="AK140" s="37">
        <v>284792</v>
      </c>
      <c r="AL140" s="37">
        <v>499488</v>
      </c>
      <c r="AM140" s="38"/>
      <c r="AN140" s="39">
        <f>Test!J845</f>
        <v>58.5266935</v>
      </c>
      <c r="AO140" s="39">
        <f>Test!K845</f>
        <v>61.444343799999999</v>
      </c>
      <c r="AP140" s="39">
        <f>Test!L845</f>
        <v>33.8947377</v>
      </c>
      <c r="AQ140" s="39">
        <f>Test!M845</f>
        <v>45.681979699999999</v>
      </c>
      <c r="AR140" s="39">
        <f>Test!N845</f>
        <v>46.460459700000001</v>
      </c>
      <c r="AS140" s="40"/>
      <c r="AT140" s="41"/>
      <c r="AU140" s="41"/>
      <c r="AW140" s="42">
        <f t="shared" si="17"/>
        <v>0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">
        <v>1042</v>
      </c>
      <c r="J141" s="19" t="s">
        <v>1042</v>
      </c>
      <c r="K141" s="19" t="s">
        <v>1042</v>
      </c>
      <c r="L141" s="19" t="s">
        <v>1042</v>
      </c>
      <c r="M141" s="20"/>
      <c r="N141" s="19" t="s">
        <v>1042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12"/>
        <v>·</v>
      </c>
      <c r="AD141" s="19">
        <f t="shared" si="13"/>
        <v>0</v>
      </c>
      <c r="AE141" s="19">
        <f t="shared" si="14"/>
        <v>0</v>
      </c>
      <c r="AF141" s="19">
        <f t="shared" si="15"/>
        <v>0</v>
      </c>
      <c r="AG141" s="20"/>
      <c r="AH141" s="19" t="e">
        <f t="shared" si="16"/>
        <v>#DIV/0!</v>
      </c>
      <c r="AI141" s="21"/>
      <c r="AJ141" s="22">
        <v>0</v>
      </c>
      <c r="AK141" s="22">
        <v>0</v>
      </c>
      <c r="AL141" s="22">
        <v>0</v>
      </c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17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">
        <v>1042</v>
      </c>
      <c r="J142" s="49" t="s">
        <v>1042</v>
      </c>
      <c r="K142" s="49" t="s">
        <v>1042</v>
      </c>
      <c r="L142" s="49" t="s">
        <v>1042</v>
      </c>
      <c r="M142" s="50"/>
      <c r="N142" s="49" t="s">
        <v>1042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12"/>
        <v>·</v>
      </c>
      <c r="AD142" s="49">
        <f t="shared" si="13"/>
        <v>0</v>
      </c>
      <c r="AE142" s="49">
        <f t="shared" si="14"/>
        <v>0</v>
      </c>
      <c r="AF142" s="49">
        <f t="shared" si="15"/>
        <v>0</v>
      </c>
      <c r="AG142" s="50"/>
      <c r="AH142" s="49" t="e">
        <f t="shared" si="16"/>
        <v>#DIV/0!</v>
      </c>
      <c r="AI142" s="51"/>
      <c r="AJ142" s="52">
        <v>0</v>
      </c>
      <c r="AK142" s="52">
        <v>0</v>
      </c>
      <c r="AL142" s="52">
        <v>0</v>
      </c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17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">
        <v>1042</v>
      </c>
      <c r="J143" s="19">
        <v>5.1603856534324963E-2</v>
      </c>
      <c r="K143" s="19">
        <v>6.8774575567736511E-4</v>
      </c>
      <c r="L143" s="19">
        <v>5.0801486486034698E-2</v>
      </c>
      <c r="M143" s="20"/>
      <c r="N143" s="19">
        <v>0.52743647946108219</v>
      </c>
      <c r="O143" s="21">
        <v>409710</v>
      </c>
      <c r="P143" s="22">
        <v>216096</v>
      </c>
      <c r="Q143" s="22">
        <v>2880</v>
      </c>
      <c r="R143" s="22">
        <v>212736</v>
      </c>
      <c r="S143" s="23"/>
      <c r="T143" s="24">
        <v>50.357263199999998</v>
      </c>
      <c r="U143" s="24">
        <v>55.418456599999999</v>
      </c>
      <c r="V143" s="24">
        <v>15.7254646</v>
      </c>
      <c r="W143" s="24">
        <v>35.249150200000003</v>
      </c>
      <c r="X143" s="24">
        <v>32.358565800000001</v>
      </c>
      <c r="Y143" s="23"/>
      <c r="Z143" s="26"/>
      <c r="AA143" s="26"/>
      <c r="AC143" s="18" t="str">
        <f t="shared" si="12"/>
        <v>·</v>
      </c>
      <c r="AD143" s="19">
        <f t="shared" si="13"/>
        <v>5.1305833373531437E-2</v>
      </c>
      <c r="AE143" s="19">
        <f t="shared" si="14"/>
        <v>6.8201454104672033E-4</v>
      </c>
      <c r="AF143" s="19">
        <f t="shared" si="15"/>
        <v>5.0509194539871821E-2</v>
      </c>
      <c r="AG143" s="20"/>
      <c r="AH143" s="19">
        <f t="shared" si="16"/>
        <v>0.52439042249395917</v>
      </c>
      <c r="AI143" s="21">
        <f>Test!E848</f>
        <v>409710</v>
      </c>
      <c r="AJ143" s="22">
        <v>214848</v>
      </c>
      <c r="AK143" s="22">
        <v>2856</v>
      </c>
      <c r="AL143" s="22">
        <v>211512</v>
      </c>
      <c r="AM143" s="23"/>
      <c r="AN143" s="24">
        <f>Test!J848</f>
        <v>50.357263199999998</v>
      </c>
      <c r="AO143" s="24">
        <f>Test!K848</f>
        <v>55.418456599999999</v>
      </c>
      <c r="AP143" s="24">
        <f>Test!L848</f>
        <v>15.7254646</v>
      </c>
      <c r="AQ143" s="24">
        <f>Test!M848</f>
        <v>35.249150200000003</v>
      </c>
      <c r="AR143" s="24">
        <f>Test!N848</f>
        <v>32.358565800000001</v>
      </c>
      <c r="AS143" s="25"/>
      <c r="AT143" s="26"/>
      <c r="AU143" s="26"/>
      <c r="AW143" s="27">
        <f t="shared" si="17"/>
        <v>-3.4291183860692825E-5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-4.0628287890229764E-3</v>
      </c>
      <c r="BA143" s="28">
        <f>IF( OR(ISBLANK(Q143:Q148),ISBLANK(AK143:AK148), ISBLANK(U143:U148),ISBLANK(AO143:AO148)), "·", bdRateExtend( Q143:Q148,U143:U148, AK143:AK148,AO143:AO148))</f>
        <v>-3.9210099124520337E-3</v>
      </c>
      <c r="BB143" s="28">
        <f>IF( OR(ISBLANK(R143:R148),ISBLANK(AL143:AL148), ISBLANK(V143:V148),ISBLANK(AP143:AP148)), "·", bdRateExtend( R143:R148,V143:V148, AL143:AL148,AP143:AP148))</f>
        <v>-1.3779660772159641E-3</v>
      </c>
      <c r="BC143" s="28">
        <f>IF( OR(ISBLANK(R143:R148),ISBLANK(AL143:AL148), ISBLANK(W143:W148),ISBLANK(AQ143:AQ148)), "·", bdRateExtend( R143:R148,W143:W148, AL143:AL148,AQ143:AQ148))</f>
        <v>-1.1428230286276708E-3</v>
      </c>
      <c r="BD143" s="28">
        <f>IF( OR(ISBLANK(R143:R148),ISBLANK(AL143:AL148), ISBLANK(X143:X148),ISBLANK(AR143:AR148)), "·", bdRateExtend( R143:R148,X143:X148, AL143:AL148,AR143:AR148))</f>
        <v>-1.192185147833924E-3</v>
      </c>
      <c r="BE143" s="29"/>
      <c r="BG143" s="28">
        <f>IF( OR(ISBLANK(P143:P148),ISBLANK(AJ143:AJ148), ISBLANK(T143:T148),ISBLANK(AN143:AN148)), "·", bdRateExtend( P143:P148,T143:T148, AJ143:AJ148,AN143:AN148))</f>
        <v>-1.648963897415201E-3</v>
      </c>
      <c r="BH143" s="28">
        <f>IF( OR(ISBLANK(P143:P148),ISBLANK(AJ143:AJ148), ISBLANK(U143:U148),ISBLANK(AO143:AO148)), "·", bdRateExtend( P143:P148,U143:U148, AJ143:AJ148,AO143:AO148))</f>
        <v>-1.5805684695360256E-3</v>
      </c>
      <c r="BI143" s="28">
        <f>IF( OR(ISBLANK(P143:P148),ISBLANK(AJ143:AJ148), ISBLANK(V143:V148),ISBLANK(AP143:AP148)), "·", bdRateExtend( P143:P148,V143:V148, AJ143:AJ148,AP143:AP148))</f>
        <v>-1.4356557139064696E-3</v>
      </c>
      <c r="BJ143" s="28">
        <f>IF( OR(ISBLANK(P143:P148),ISBLANK(AJ143:AJ148), ISBLANK(W143:W148),ISBLANK(AQ143:AQ148)), "·", bdRateExtend( P143:P148,W143:W148, AJ143:AJ148,AQ143:AQ148))</f>
        <v>-1.2065207257223598E-3</v>
      </c>
      <c r="BK143" s="28">
        <f>IF( OR(ISBLANK(P143:P148),ISBLANK(AJ143:AJ148), ISBLANK(X143:X148),ISBLANK(AR143:AR148)), "·", bdRateExtend( P143:P148,X143:X148, AJ143:AJ148,AR143:AR148))</f>
        <v>-1.2546215784364767E-3</v>
      </c>
      <c r="BL143" s="29"/>
    </row>
    <row r="144" spans="1:64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">
        <v>1042</v>
      </c>
      <c r="J144" s="34">
        <v>0.18160308759636201</v>
      </c>
      <c r="K144" s="34">
        <v>3.2190322175454449E-3</v>
      </c>
      <c r="L144" s="34">
        <v>0.17826943108620369</v>
      </c>
      <c r="M144" s="35"/>
      <c r="N144" s="34">
        <v>1.5285692175650387</v>
      </c>
      <c r="O144" s="36">
        <v>497511</v>
      </c>
      <c r="P144" s="37">
        <v>760480</v>
      </c>
      <c r="Q144" s="37">
        <v>13480</v>
      </c>
      <c r="R144" s="37">
        <v>746520</v>
      </c>
      <c r="S144" s="38"/>
      <c r="T144" s="39">
        <v>55.099773399999997</v>
      </c>
      <c r="U144" s="39">
        <v>59.153181400000001</v>
      </c>
      <c r="V144" s="39">
        <v>16.3924825</v>
      </c>
      <c r="W144" s="39">
        <v>35.851512900000003</v>
      </c>
      <c r="X144" s="39">
        <v>33.126812999999999</v>
      </c>
      <c r="Y144" s="38"/>
      <c r="Z144" s="41"/>
      <c r="AA144" s="41"/>
      <c r="AC144" s="33" t="str">
        <f t="shared" si="12"/>
        <v>·</v>
      </c>
      <c r="AD144" s="34">
        <f t="shared" si="13"/>
        <v>0.18150183613788728</v>
      </c>
      <c r="AE144" s="34">
        <f t="shared" si="14"/>
        <v>3.2094801931610373E-3</v>
      </c>
      <c r="AF144" s="34">
        <f t="shared" si="15"/>
        <v>0.17817773165211337</v>
      </c>
      <c r="AG144" s="35"/>
      <c r="AH144" s="34">
        <f t="shared" si="16"/>
        <v>1.5277169751020581</v>
      </c>
      <c r="AI144" s="36">
        <f>Test!E849</f>
        <v>497511</v>
      </c>
      <c r="AJ144" s="37">
        <v>760056</v>
      </c>
      <c r="AK144" s="37">
        <v>13440</v>
      </c>
      <c r="AL144" s="37">
        <v>746136</v>
      </c>
      <c r="AM144" s="38"/>
      <c r="AN144" s="39">
        <f>Test!J849</f>
        <v>55.099773399999997</v>
      </c>
      <c r="AO144" s="39">
        <f>Test!K849</f>
        <v>59.153181400000001</v>
      </c>
      <c r="AP144" s="39">
        <f>Test!L849</f>
        <v>16.3924825</v>
      </c>
      <c r="AQ144" s="39">
        <f>Test!M849</f>
        <v>35.851512900000003</v>
      </c>
      <c r="AR144" s="39">
        <f>Test!N849</f>
        <v>33.126812999999999</v>
      </c>
      <c r="AS144" s="40"/>
      <c r="AT144" s="41"/>
      <c r="AU144" s="41"/>
      <c r="AW144" s="42">
        <f t="shared" si="17"/>
        <v>-4.2739384583555945E-5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">
        <v>1042</v>
      </c>
      <c r="J145" s="19">
        <v>0.49919261513890795</v>
      </c>
      <c r="K145" s="19">
        <v>1.7012155428630379E-2</v>
      </c>
      <c r="L145" s="19">
        <v>0.48206583541766468</v>
      </c>
      <c r="M145" s="20"/>
      <c r="N145" s="19">
        <v>3.0156291023869222</v>
      </c>
      <c r="O145" s="21">
        <v>693194</v>
      </c>
      <c r="P145" s="22">
        <v>2090416</v>
      </c>
      <c r="Q145" s="22">
        <v>71240</v>
      </c>
      <c r="R145" s="22">
        <v>2018696</v>
      </c>
      <c r="S145" s="23"/>
      <c r="T145" s="24">
        <v>58.075682999999998</v>
      </c>
      <c r="U145" s="24">
        <v>61.283220399999998</v>
      </c>
      <c r="V145" s="24">
        <v>16.908732700000002</v>
      </c>
      <c r="W145" s="24">
        <v>36.6647307</v>
      </c>
      <c r="X145" s="24">
        <v>34.079582199999997</v>
      </c>
      <c r="Y145" s="23"/>
      <c r="Z145" s="26"/>
      <c r="AA145" s="26"/>
      <c r="AC145" s="18" t="str">
        <f t="shared" si="12"/>
        <v>·</v>
      </c>
      <c r="AD145" s="19">
        <f t="shared" si="13"/>
        <v>0.49857555436367518</v>
      </c>
      <c r="AE145" s="19">
        <f t="shared" si="14"/>
        <v>1.693956004330888E-2</v>
      </c>
      <c r="AF145" s="19">
        <f t="shared" si="15"/>
        <v>0.48152137002775341</v>
      </c>
      <c r="AG145" s="20"/>
      <c r="AH145" s="19">
        <f t="shared" si="16"/>
        <v>3.0119014301912594</v>
      </c>
      <c r="AI145" s="21">
        <f>Test!E850</f>
        <v>693194</v>
      </c>
      <c r="AJ145" s="22">
        <v>2087832</v>
      </c>
      <c r="AK145" s="22">
        <v>70936</v>
      </c>
      <c r="AL145" s="22">
        <v>2016416</v>
      </c>
      <c r="AM145" s="23"/>
      <c r="AN145" s="24">
        <f>Test!J850</f>
        <v>58.075682999999998</v>
      </c>
      <c r="AO145" s="24">
        <f>Test!K850</f>
        <v>61.283220399999998</v>
      </c>
      <c r="AP145" s="24">
        <f>Test!L850</f>
        <v>16.908732700000002</v>
      </c>
      <c r="AQ145" s="24">
        <f>Test!M850</f>
        <v>36.6647307</v>
      </c>
      <c r="AR145" s="24">
        <f>Test!N850</f>
        <v>34.079582199999997</v>
      </c>
      <c r="AS145" s="25"/>
      <c r="AT145" s="26"/>
      <c r="AU145" s="26"/>
      <c r="AW145" s="27">
        <f t="shared" si="17"/>
        <v>-1.0342737465468543E-4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">
        <v>1042</v>
      </c>
      <c r="J146" s="34">
        <v>1.0972601450856985</v>
      </c>
      <c r="K146" s="34">
        <v>7.6452492767923541E-2</v>
      </c>
      <c r="L146" s="34">
        <v>1.020693028025162</v>
      </c>
      <c r="M146" s="35"/>
      <c r="N146" s="34">
        <v>5.1311750195146084</v>
      </c>
      <c r="O146" s="36">
        <v>895483</v>
      </c>
      <c r="P146" s="37">
        <v>4594880</v>
      </c>
      <c r="Q146" s="37">
        <v>320152</v>
      </c>
      <c r="R146" s="37">
        <v>4274248</v>
      </c>
      <c r="S146" s="38"/>
      <c r="T146" s="39">
        <v>60.4682295</v>
      </c>
      <c r="U146" s="39">
        <v>64.084518900000006</v>
      </c>
      <c r="V146" s="39">
        <v>17.607965499999999</v>
      </c>
      <c r="W146" s="39">
        <v>37.8853352</v>
      </c>
      <c r="X146" s="39">
        <v>35.365803</v>
      </c>
      <c r="Y146" s="38"/>
      <c r="Z146" s="41"/>
      <c r="AA146" s="41"/>
      <c r="AC146" s="33" t="str">
        <f t="shared" si="12"/>
        <v>·</v>
      </c>
      <c r="AD146" s="34">
        <f t="shared" si="13"/>
        <v>1.0972601450856985</v>
      </c>
      <c r="AE146" s="34">
        <f t="shared" si="14"/>
        <v>7.6452492767923541E-2</v>
      </c>
      <c r="AF146" s="34">
        <f t="shared" si="15"/>
        <v>1.020693028025162</v>
      </c>
      <c r="AG146" s="35"/>
      <c r="AH146" s="34">
        <f t="shared" si="16"/>
        <v>5.1311750195146084</v>
      </c>
      <c r="AI146" s="36">
        <f>Test!E851</f>
        <v>895483</v>
      </c>
      <c r="AJ146" s="37">
        <v>4594880</v>
      </c>
      <c r="AK146" s="37">
        <v>320152</v>
      </c>
      <c r="AL146" s="37">
        <v>4274248</v>
      </c>
      <c r="AM146" s="38"/>
      <c r="AN146" s="39">
        <f>Test!J851</f>
        <v>60.4682295</v>
      </c>
      <c r="AO146" s="39">
        <f>Test!K851</f>
        <v>64.084518900000006</v>
      </c>
      <c r="AP146" s="39">
        <f>Test!L851</f>
        <v>17.607965499999999</v>
      </c>
      <c r="AQ146" s="39">
        <f>Test!M851</f>
        <v>37.8853352</v>
      </c>
      <c r="AR146" s="39">
        <f>Test!N851</f>
        <v>35.365803</v>
      </c>
      <c r="AS146" s="40"/>
      <c r="AT146" s="41"/>
      <c r="AU146" s="41"/>
      <c r="AW146" s="42">
        <f t="shared" si="17"/>
        <v>0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">
        <v>1042</v>
      </c>
      <c r="J147" s="19" t="s">
        <v>1042</v>
      </c>
      <c r="K147" s="19" t="s">
        <v>1042</v>
      </c>
      <c r="L147" s="19" t="s">
        <v>1042</v>
      </c>
      <c r="M147" s="20"/>
      <c r="N147" s="19" t="s">
        <v>1042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12"/>
        <v>·</v>
      </c>
      <c r="AD147" s="19">
        <f t="shared" si="13"/>
        <v>0</v>
      </c>
      <c r="AE147" s="19">
        <f t="shared" si="14"/>
        <v>0</v>
      </c>
      <c r="AF147" s="19">
        <f t="shared" si="15"/>
        <v>0</v>
      </c>
      <c r="AG147" s="20"/>
      <c r="AH147" s="19" t="e">
        <f t="shared" si="16"/>
        <v>#DIV/0!</v>
      </c>
      <c r="AI147" s="21"/>
      <c r="AJ147" s="22">
        <v>0</v>
      </c>
      <c r="AK147" s="22">
        <v>0</v>
      </c>
      <c r="AL147" s="22">
        <v>0</v>
      </c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17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">
        <v>1042</v>
      </c>
      <c r="J148" s="49" t="s">
        <v>1042</v>
      </c>
      <c r="K148" s="49" t="s">
        <v>1042</v>
      </c>
      <c r="L148" s="49" t="s">
        <v>1042</v>
      </c>
      <c r="M148" s="50"/>
      <c r="N148" s="49" t="s">
        <v>1042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12"/>
        <v>·</v>
      </c>
      <c r="AD148" s="49">
        <f t="shared" si="13"/>
        <v>0</v>
      </c>
      <c r="AE148" s="49">
        <f t="shared" si="14"/>
        <v>0</v>
      </c>
      <c r="AF148" s="49">
        <f t="shared" si="15"/>
        <v>0</v>
      </c>
      <c r="AG148" s="50"/>
      <c r="AH148" s="49" t="e">
        <f t="shared" si="16"/>
        <v>#DIV/0!</v>
      </c>
      <c r="AI148" s="51"/>
      <c r="AJ148" s="52">
        <v>0</v>
      </c>
      <c r="AK148" s="52">
        <v>0</v>
      </c>
      <c r="AL148" s="52">
        <v>0</v>
      </c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17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2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">
        <v>1042</v>
      </c>
      <c r="J149" s="19">
        <v>9.4362283625928023E-2</v>
      </c>
      <c r="K149" s="19">
        <v>3.0600555725118221E-3</v>
      </c>
      <c r="L149" s="19">
        <v>9.0755223300816937E-2</v>
      </c>
      <c r="M149" s="20"/>
      <c r="N149" s="19">
        <v>0.27597079851963913</v>
      </c>
      <c r="O149" s="21">
        <v>345051</v>
      </c>
      <c r="P149" s="22">
        <v>95224</v>
      </c>
      <c r="Q149" s="22">
        <v>3088</v>
      </c>
      <c r="R149" s="22">
        <v>91584</v>
      </c>
      <c r="S149" s="23"/>
      <c r="T149" s="24">
        <v>41.675676500000002</v>
      </c>
      <c r="U149" s="24">
        <v>46.334807499999997</v>
      </c>
      <c r="V149" s="24">
        <v>17.003480199999998</v>
      </c>
      <c r="W149" s="24">
        <v>29.1911205</v>
      </c>
      <c r="X149" s="24">
        <v>31.8535568</v>
      </c>
      <c r="Y149" s="23"/>
      <c r="Z149" s="26"/>
      <c r="AA149" s="26"/>
      <c r="AC149" s="18" t="str">
        <f t="shared" si="12"/>
        <v>·</v>
      </c>
      <c r="AD149" s="19">
        <f t="shared" si="13"/>
        <v>9.4362283625928023E-2</v>
      </c>
      <c r="AE149" s="19">
        <f t="shared" si="14"/>
        <v>3.0600555725118221E-3</v>
      </c>
      <c r="AF149" s="19">
        <f t="shared" si="15"/>
        <v>9.0755223300816937E-2</v>
      </c>
      <c r="AG149" s="20"/>
      <c r="AH149" s="19">
        <f t="shared" si="16"/>
        <v>0.27597079851963913</v>
      </c>
      <c r="AI149" s="21">
        <f>Test!E854</f>
        <v>345051</v>
      </c>
      <c r="AJ149" s="22">
        <v>95224</v>
      </c>
      <c r="AK149" s="22">
        <v>3088</v>
      </c>
      <c r="AL149" s="22">
        <v>91584</v>
      </c>
      <c r="AM149" s="23"/>
      <c r="AN149" s="24">
        <f>Test!J854</f>
        <v>41.675676500000002</v>
      </c>
      <c r="AO149" s="24">
        <f>Test!K854</f>
        <v>46.334807499999997</v>
      </c>
      <c r="AP149" s="24">
        <f>Test!L854</f>
        <v>17.003480199999998</v>
      </c>
      <c r="AQ149" s="24">
        <f>Test!M854</f>
        <v>29.1911205</v>
      </c>
      <c r="AR149" s="24">
        <f>Test!N854</f>
        <v>31.8535568</v>
      </c>
      <c r="AS149" s="25"/>
      <c r="AT149" s="26"/>
      <c r="AU149" s="26"/>
      <c r="AW149" s="27">
        <f t="shared" si="17"/>
        <v>0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-1.7111257674307101E-3</v>
      </c>
      <c r="BA149" s="28">
        <f>IF( OR(ISBLANK(Q149:Q154),ISBLANK(AK149:AK154), ISBLANK(U149:U154),ISBLANK(AO149:AO154)), "·", bdRateExtend( Q149:Q154,U149:U154, AK149:AK154,AO149:AO154))</f>
        <v>-1.614214786612056E-3</v>
      </c>
      <c r="BB149" s="28">
        <f>IF( OR(ISBLANK(R149:R154),ISBLANK(AL149:AL154), ISBLANK(V149:V154),ISBLANK(AP149:AP154)), "·", bdRateExtend( R149:R154,V149:V154, AL149:AL154,AP149:AP154))</f>
        <v>-1.4020611922072046E-4</v>
      </c>
      <c r="BC149" s="28">
        <f>IF( OR(ISBLANK(R149:R154),ISBLANK(AL149:AL154), ISBLANK(W149:W154),ISBLANK(AQ149:AQ154)), "·", bdRateExtend( R149:R154,W149:W154, AL149:AL154,AQ149:AQ154))</f>
        <v>-1.6059002456825233E-4</v>
      </c>
      <c r="BD149" s="28">
        <f>IF( OR(ISBLANK(R149:R154),ISBLANK(AL149:AL154), ISBLANK(X149:X154),ISBLANK(AR149:AR154)), "·", bdRateExtend( R149:R154,X149:X154, AL149:AL154,AR149:AR154))</f>
        <v>-1.706427812337985E-4</v>
      </c>
      <c r="BE149" s="29"/>
      <c r="BG149" s="28">
        <f>IF( OR(ISBLANK(P149:P154),ISBLANK(AJ149:AJ154), ISBLANK(T149:T154),ISBLANK(AN149:AN154)), "·", bdRateExtend( P149:P154,T149:T154, AJ149:AJ154,AN149:AN154))</f>
        <v>-1.6026851611872228E-4</v>
      </c>
      <c r="BH149" s="28">
        <f>IF( OR(ISBLANK(P149:P154),ISBLANK(AJ149:AJ154), ISBLANK(U149:U154),ISBLANK(AO149:AO154)), "·", bdRateExtend( P149:P154,U149:U154, AJ149:AJ154,AO149:AO154))</f>
        <v>-1.3688024924740638E-4</v>
      </c>
      <c r="BI149" s="28">
        <f>IF( OR(ISBLANK(P149:P154),ISBLANK(AJ149:AJ154), ISBLANK(V149:V154),ISBLANK(AP149:AP154)), "·", bdRateExtend( P149:P154,V149:V154, AJ149:AJ154,AP149:AP154))</f>
        <v>-1.6377079836926711E-4</v>
      </c>
      <c r="BJ149" s="28">
        <f>IF( OR(ISBLANK(P149:P154),ISBLANK(AJ149:AJ154), ISBLANK(W149:W154),ISBLANK(AQ149:AQ154)), "·", bdRateExtend( P149:P154,W149:W154, AJ149:AJ154,AQ149:AQ154))</f>
        <v>-1.8464539089091403E-4</v>
      </c>
      <c r="BK149" s="28">
        <f>IF( OR(ISBLANK(P149:P154),ISBLANK(AJ149:AJ154), ISBLANK(X149:X154),ISBLANK(AR149:AR154)), "·", bdRateExtend( P149:P154,X149:X154, AJ149:AJ154,AR149:AR154))</f>
        <v>-1.9462682373283524E-4</v>
      </c>
      <c r="BL149" s="29"/>
    </row>
    <row r="150" spans="1:64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">
        <v>1042</v>
      </c>
      <c r="J150" s="34">
        <v>0.79595533587280953</v>
      </c>
      <c r="K150" s="34">
        <v>1.0646773662910303E-2</v>
      </c>
      <c r="L150" s="34">
        <v>0.78476155745729992</v>
      </c>
      <c r="M150" s="35"/>
      <c r="N150" s="34">
        <v>0.67207580038807202</v>
      </c>
      <c r="O150" s="36">
        <v>1195139</v>
      </c>
      <c r="P150" s="37">
        <v>803224</v>
      </c>
      <c r="Q150" s="37">
        <v>10744</v>
      </c>
      <c r="R150" s="37">
        <v>791928</v>
      </c>
      <c r="S150" s="38"/>
      <c r="T150" s="39">
        <v>52.081678599999996</v>
      </c>
      <c r="U150" s="39">
        <v>56.607746300000002</v>
      </c>
      <c r="V150" s="39">
        <v>20.835680799999999</v>
      </c>
      <c r="W150" s="39">
        <v>33.017079799999998</v>
      </c>
      <c r="X150" s="39">
        <v>34.9493741</v>
      </c>
      <c r="Y150" s="38"/>
      <c r="Z150" s="41"/>
      <c r="AA150" s="41"/>
      <c r="AC150" s="33" t="str">
        <f t="shared" si="12"/>
        <v>·</v>
      </c>
      <c r="AD150" s="34">
        <f t="shared" si="13"/>
        <v>0.79589191503192847</v>
      </c>
      <c r="AE150" s="34">
        <f t="shared" si="14"/>
        <v>1.0622990847579901E-2</v>
      </c>
      <c r="AF150" s="34">
        <f t="shared" si="15"/>
        <v>0.78472191943174929</v>
      </c>
      <c r="AG150" s="35"/>
      <c r="AH150" s="34">
        <f t="shared" si="16"/>
        <v>0.67202225013157468</v>
      </c>
      <c r="AI150" s="36">
        <f>Test!E855</f>
        <v>1195139</v>
      </c>
      <c r="AJ150" s="37">
        <v>803160</v>
      </c>
      <c r="AK150" s="37">
        <v>10720</v>
      </c>
      <c r="AL150" s="37">
        <v>791888</v>
      </c>
      <c r="AM150" s="38"/>
      <c r="AN150" s="39">
        <f>Test!J855</f>
        <v>52.081678599999996</v>
      </c>
      <c r="AO150" s="39">
        <f>Test!K855</f>
        <v>56.607746300000002</v>
      </c>
      <c r="AP150" s="39">
        <f>Test!L855</f>
        <v>20.835680799999999</v>
      </c>
      <c r="AQ150" s="39">
        <f>Test!M855</f>
        <v>33.017079799999998</v>
      </c>
      <c r="AR150" s="39">
        <f>Test!N855</f>
        <v>34.9493741</v>
      </c>
      <c r="AS150" s="40"/>
      <c r="AT150" s="41"/>
      <c r="AU150" s="41"/>
      <c r="AW150" s="42">
        <f t="shared" si="17"/>
        <v>-2.8816088901652617E-5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">
        <v>1042</v>
      </c>
      <c r="J151" s="19">
        <v>2.209272919697324</v>
      </c>
      <c r="K151" s="19">
        <v>4.148515754133255E-2</v>
      </c>
      <c r="L151" s="19">
        <v>2.1672407574033921</v>
      </c>
      <c r="M151" s="20"/>
      <c r="N151" s="19">
        <v>1.6026062097317377</v>
      </c>
      <c r="O151" s="21">
        <v>1391139</v>
      </c>
      <c r="P151" s="22">
        <v>2229448</v>
      </c>
      <c r="Q151" s="22">
        <v>41864</v>
      </c>
      <c r="R151" s="22">
        <v>2187032</v>
      </c>
      <c r="S151" s="23"/>
      <c r="T151" s="24">
        <v>58.9832173</v>
      </c>
      <c r="U151" s="24">
        <v>61.661114499999996</v>
      </c>
      <c r="V151" s="24">
        <v>23.2592274</v>
      </c>
      <c r="W151" s="24">
        <v>35.803140999999997</v>
      </c>
      <c r="X151" s="24">
        <v>37.209230300000002</v>
      </c>
      <c r="Y151" s="23"/>
      <c r="Z151" s="26"/>
      <c r="AA151" s="26"/>
      <c r="AC151" s="18" t="str">
        <f t="shared" si="12"/>
        <v>·</v>
      </c>
      <c r="AD151" s="19">
        <f t="shared" si="13"/>
        <v>2.2081154893512442</v>
      </c>
      <c r="AE151" s="19">
        <f t="shared" si="14"/>
        <v>4.1382098674900808E-2</v>
      </c>
      <c r="AF151" s="19">
        <f t="shared" si="15"/>
        <v>2.1661863859237442</v>
      </c>
      <c r="AG151" s="20"/>
      <c r="AH151" s="19">
        <f t="shared" si="16"/>
        <v>1.6017666099505512</v>
      </c>
      <c r="AI151" s="21">
        <f>Test!E856</f>
        <v>1391139</v>
      </c>
      <c r="AJ151" s="22">
        <v>2228280</v>
      </c>
      <c r="AK151" s="22">
        <v>41760</v>
      </c>
      <c r="AL151" s="22">
        <v>2185968</v>
      </c>
      <c r="AM151" s="23"/>
      <c r="AN151" s="24">
        <f>Test!J856</f>
        <v>58.9832173</v>
      </c>
      <c r="AO151" s="24">
        <f>Test!K856</f>
        <v>61.661114499999996</v>
      </c>
      <c r="AP151" s="24">
        <f>Test!L856</f>
        <v>23.2592274</v>
      </c>
      <c r="AQ151" s="24">
        <f>Test!M856</f>
        <v>35.803140999999997</v>
      </c>
      <c r="AR151" s="24">
        <f>Test!N856</f>
        <v>37.209230300000002</v>
      </c>
      <c r="AS151" s="25"/>
      <c r="AT151" s="26"/>
      <c r="AU151" s="26"/>
      <c r="AW151" s="27">
        <f>(AK151/AJ151) - (Q151/P151)</f>
        <v>-3.6830020016150045E-5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">
        <v>1042</v>
      </c>
      <c r="J152" s="34">
        <v>4.7669878668003793</v>
      </c>
      <c r="K152" s="34">
        <v>0.16117613949413953</v>
      </c>
      <c r="L152" s="34">
        <v>4.6052647225536401</v>
      </c>
      <c r="M152" s="35"/>
      <c r="N152" s="34">
        <v>2.9482963937223396</v>
      </c>
      <c r="O152" s="36">
        <v>1631627</v>
      </c>
      <c r="P152" s="37">
        <v>4810520</v>
      </c>
      <c r="Q152" s="37">
        <v>162648</v>
      </c>
      <c r="R152" s="37">
        <v>4647320</v>
      </c>
      <c r="S152" s="38"/>
      <c r="T152" s="39">
        <v>63.162532800000001</v>
      </c>
      <c r="U152" s="39">
        <v>66.103521400000005</v>
      </c>
      <c r="V152" s="39">
        <v>25.1129894</v>
      </c>
      <c r="W152" s="39">
        <v>38.130240399999998</v>
      </c>
      <c r="X152" s="39">
        <v>39.537908100000003</v>
      </c>
      <c r="Y152" s="38"/>
      <c r="Z152" s="41"/>
      <c r="AA152" s="41"/>
      <c r="AC152" s="33" t="str">
        <f t="shared" si="12"/>
        <v>·</v>
      </c>
      <c r="AD152" s="34">
        <f t="shared" si="13"/>
        <v>4.7669878668003793</v>
      </c>
      <c r="AE152" s="34">
        <f t="shared" si="14"/>
        <v>0.16117613949413953</v>
      </c>
      <c r="AF152" s="34">
        <f t="shared" si="15"/>
        <v>4.6052647225536401</v>
      </c>
      <c r="AG152" s="35"/>
      <c r="AH152" s="34">
        <f t="shared" si="16"/>
        <v>2.9482963937223396</v>
      </c>
      <c r="AI152" s="36">
        <f>Test!E857</f>
        <v>1631627</v>
      </c>
      <c r="AJ152" s="37">
        <v>4810520</v>
      </c>
      <c r="AK152" s="37">
        <v>162648</v>
      </c>
      <c r="AL152" s="37">
        <v>4647320</v>
      </c>
      <c r="AM152" s="38"/>
      <c r="AN152" s="39">
        <f>Test!J857</f>
        <v>63.162532800000001</v>
      </c>
      <c r="AO152" s="39">
        <f>Test!K857</f>
        <v>66.103521400000005</v>
      </c>
      <c r="AP152" s="39">
        <f>Test!L857</f>
        <v>25.1129894</v>
      </c>
      <c r="AQ152" s="39">
        <f>Test!M857</f>
        <v>38.130240399999998</v>
      </c>
      <c r="AR152" s="39">
        <f>Test!N857</f>
        <v>39.537908100000003</v>
      </c>
      <c r="AS152" s="40"/>
      <c r="AT152" s="41"/>
      <c r="AU152" s="41"/>
      <c r="AW152" s="42">
        <f>(AK152/AJ152) - (Q152/P152)</f>
        <v>0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">
        <v>1042</v>
      </c>
      <c r="J153" s="19" t="s">
        <v>1042</v>
      </c>
      <c r="K153" s="19" t="s">
        <v>1042</v>
      </c>
      <c r="L153" s="19" t="s">
        <v>1042</v>
      </c>
      <c r="M153" s="20"/>
      <c r="N153" s="19" t="s">
        <v>1042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12"/>
        <v>·</v>
      </c>
      <c r="AD153" s="19">
        <f t="shared" si="13"/>
        <v>0</v>
      </c>
      <c r="AE153" s="19">
        <f t="shared" si="14"/>
        <v>0</v>
      </c>
      <c r="AF153" s="19">
        <f t="shared" si="15"/>
        <v>0</v>
      </c>
      <c r="AG153" s="20"/>
      <c r="AH153" s="19" t="e">
        <f t="shared" si="16"/>
        <v>#DIV/0!</v>
      </c>
      <c r="AI153" s="21"/>
      <c r="AJ153" s="22">
        <v>0</v>
      </c>
      <c r="AK153" s="22">
        <v>0</v>
      </c>
      <c r="AL153" s="22">
        <v>0</v>
      </c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17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">
        <v>1042</v>
      </c>
      <c r="J154" s="49" t="s">
        <v>1042</v>
      </c>
      <c r="K154" s="49" t="s">
        <v>1042</v>
      </c>
      <c r="L154" s="49" t="s">
        <v>1042</v>
      </c>
      <c r="M154" s="50"/>
      <c r="N154" s="49" t="s">
        <v>1042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12"/>
        <v>·</v>
      </c>
      <c r="AD154" s="49">
        <f t="shared" si="13"/>
        <v>0</v>
      </c>
      <c r="AE154" s="49">
        <f t="shared" si="14"/>
        <v>0</v>
      </c>
      <c r="AF154" s="49">
        <f t="shared" si="15"/>
        <v>0</v>
      </c>
      <c r="AG154" s="50"/>
      <c r="AH154" s="49" t="e">
        <f t="shared" si="16"/>
        <v>#DIV/0!</v>
      </c>
      <c r="AI154" s="51"/>
      <c r="AJ154" s="52">
        <v>0</v>
      </c>
      <c r="AK154" s="52">
        <v>0</v>
      </c>
      <c r="AL154" s="52">
        <v>0</v>
      </c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17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">
        <v>1042</v>
      </c>
      <c r="J155" s="19">
        <v>9.3426199760902648E-2</v>
      </c>
      <c r="K155" s="19">
        <v>3.4764351928759851E-3</v>
      </c>
      <c r="L155" s="19">
        <v>8.9885168930977477E-2</v>
      </c>
      <c r="M155" s="20"/>
      <c r="N155" s="19">
        <v>0.194796134384675</v>
      </c>
      <c r="O155" s="21">
        <v>22571413</v>
      </c>
      <c r="P155" s="22">
        <v>4396824</v>
      </c>
      <c r="Q155" s="22">
        <v>163608</v>
      </c>
      <c r="R155" s="22">
        <v>4230176</v>
      </c>
      <c r="S155" s="23"/>
      <c r="T155" s="24">
        <v>64.9611673</v>
      </c>
      <c r="U155" s="24">
        <v>67.066179500000004</v>
      </c>
      <c r="V155" s="24">
        <v>22.1008824</v>
      </c>
      <c r="W155" s="24">
        <v>35.874953300000001</v>
      </c>
      <c r="X155" s="24">
        <v>38.864947200000003</v>
      </c>
      <c r="Y155" s="23"/>
      <c r="Z155" s="26"/>
      <c r="AA155" s="26"/>
      <c r="AC155" s="18" t="str">
        <f t="shared" si="12"/>
        <v>·</v>
      </c>
      <c r="AD155" s="19">
        <f t="shared" si="13"/>
        <v>9.3605027682417755E-2</v>
      </c>
      <c r="AE155" s="19">
        <f t="shared" si="14"/>
        <v>3.3378945502573394E-3</v>
      </c>
      <c r="AF155" s="19">
        <f t="shared" si="15"/>
        <v>9.0202537495111243E-2</v>
      </c>
      <c r="AG155" s="20"/>
      <c r="AH155" s="19">
        <f t="shared" si="16"/>
        <v>0.19516899540139557</v>
      </c>
      <c r="AI155" s="21">
        <f>Test!E860</f>
        <v>22571413</v>
      </c>
      <c r="AJ155" s="22">
        <v>4405240</v>
      </c>
      <c r="AK155" s="22">
        <v>157088</v>
      </c>
      <c r="AL155" s="22">
        <v>4245112</v>
      </c>
      <c r="AM155" s="23"/>
      <c r="AN155" s="24">
        <f>Test!J860</f>
        <v>64.9611673</v>
      </c>
      <c r="AO155" s="24">
        <f>Test!K860</f>
        <v>67.066179500000004</v>
      </c>
      <c r="AP155" s="24">
        <f>Test!L860</f>
        <v>22.1008824</v>
      </c>
      <c r="AQ155" s="24">
        <f>Test!M860</f>
        <v>35.874953300000001</v>
      </c>
      <c r="AR155" s="24">
        <f>Test!N860</f>
        <v>38.864947200000003</v>
      </c>
      <c r="AS155" s="25"/>
      <c r="AT155" s="26"/>
      <c r="AU155" s="26"/>
      <c r="AW155" s="27">
        <f t="shared" si="17"/>
        <v>-1.5511444395235607E-3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-5.6779321598066868E-2</v>
      </c>
      <c r="BA155" s="28">
        <f>IF( OR(ISBLANK(Q155:Q160),ISBLANK(AK155:AK160), ISBLANK(U155:U160),ISBLANK(AO155:AO160)), "·", bdRateExtend( Q155:Q160,U155:U160, AK155:AK160,AO155:AO160))</f>
        <v>-5.2459665582382575E-2</v>
      </c>
      <c r="BB155" s="28">
        <f>IF( OR(ISBLANK(R155:R160),ISBLANK(AL155:AL160), ISBLANK(V155:V160),ISBLANK(AP155:AP160)), "·", bdRateExtend( R155:R160,V155:V160, AL155:AL160,AP155:AP160))</f>
        <v>-1.5141013868442244E-2</v>
      </c>
      <c r="BC155" s="28">
        <f>IF( OR(ISBLANK(R155:R160),ISBLANK(AL155:AL160), ISBLANK(W155:W160),ISBLANK(AQ155:AQ160)), "·", bdRateExtend( R155:R160,W155:W160, AL155:AL160,AQ155:AQ160))</f>
        <v>-1.3977560556864166E-2</v>
      </c>
      <c r="BD155" s="28">
        <f>IF( OR(ISBLANK(R155:R160),ISBLANK(AL155:AL160), ISBLANK(X155:X160),ISBLANK(AR155:AR160)), "·", bdRateExtend( R155:R160,X155:X160, AL155:AL160,AR155:AR160))</f>
        <v>-1.4131882565554532E-2</v>
      </c>
      <c r="BE155" s="29"/>
      <c r="BG155" s="28">
        <f>IF( OR(ISBLANK(P155:P160),ISBLANK(AJ155:AJ160), ISBLANK(T155:T160),ISBLANK(AN155:AN160)), "·", bdRateExtend( P155:P160,T155:T160, AJ155:AJ160,AN155:AN160))</f>
        <v>-1.7159482621412869E-2</v>
      </c>
      <c r="BH155" s="28">
        <f>IF( OR(ISBLANK(P155:P160),ISBLANK(AJ155:AJ160), ISBLANK(U155:U160),ISBLANK(AO155:AO160)), "·", bdRateExtend( P155:P160,U155:U160, AJ155:AJ160,AO155:AO160))</f>
        <v>-1.5562713241535797E-2</v>
      </c>
      <c r="BI155" s="28">
        <f>IF( OR(ISBLANK(P155:P160),ISBLANK(AJ155:AJ160), ISBLANK(V155:V160),ISBLANK(AP155:AP160)), "·", bdRateExtend( P155:P160,V155:V160, AJ155:AJ160,AP155:AP160))</f>
        <v>-1.7186122983157803E-2</v>
      </c>
      <c r="BJ155" s="28">
        <f>IF( OR(ISBLANK(P155:P160),ISBLANK(AJ155:AJ160), ISBLANK(W155:W160),ISBLANK(AQ155:AQ160)), "·", bdRateExtend( P155:P160,W155:W160, AJ155:AJ160,AQ155:AQ160))</f>
        <v>-1.5902009805614292E-2</v>
      </c>
      <c r="BK155" s="28">
        <f>IF( OR(ISBLANK(P155:P160),ISBLANK(AJ155:AJ160), ISBLANK(X155:X160),ISBLANK(AR155:AR160)), "·", bdRateExtend( P155:P160,X155:X160, AJ155:AJ160,AR155:AR160))</f>
        <v>-1.6072587629697321E-2</v>
      </c>
      <c r="BL155" s="29"/>
    </row>
    <row r="156" spans="1:64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">
        <v>1042</v>
      </c>
      <c r="J156" s="34">
        <v>0.23733100007092772</v>
      </c>
      <c r="K156" s="34">
        <v>1.107135221319314E-2</v>
      </c>
      <c r="L156" s="34">
        <v>0.22618995256512886</v>
      </c>
      <c r="M156" s="35"/>
      <c r="N156" s="34">
        <v>0.4759508355484387</v>
      </c>
      <c r="O156" s="36">
        <v>23467281</v>
      </c>
      <c r="P156" s="37">
        <v>11169272</v>
      </c>
      <c r="Q156" s="37">
        <v>521040</v>
      </c>
      <c r="R156" s="37">
        <v>10644952</v>
      </c>
      <c r="S156" s="38"/>
      <c r="T156" s="39">
        <v>71.458594399999996</v>
      </c>
      <c r="U156" s="39">
        <v>73.940550500000001</v>
      </c>
      <c r="V156" s="39">
        <v>25.0297035</v>
      </c>
      <c r="W156" s="39">
        <v>38.459733300000003</v>
      </c>
      <c r="X156" s="39">
        <v>41.171851500000002</v>
      </c>
      <c r="Y156" s="38"/>
      <c r="Z156" s="41"/>
      <c r="AA156" s="41"/>
      <c r="AC156" s="33" t="str">
        <f t="shared" si="12"/>
        <v>·</v>
      </c>
      <c r="AD156" s="34">
        <f t="shared" si="13"/>
        <v>0.23012943648253636</v>
      </c>
      <c r="AE156" s="34">
        <f t="shared" si="14"/>
        <v>1.0113976876716804E-2</v>
      </c>
      <c r="AF156" s="34">
        <f t="shared" si="15"/>
        <v>0.21994576431321389</v>
      </c>
      <c r="AG156" s="35"/>
      <c r="AH156" s="34">
        <f t="shared" si="16"/>
        <v>0.46150859999503135</v>
      </c>
      <c r="AI156" s="36">
        <f>Test!E861</f>
        <v>23467281</v>
      </c>
      <c r="AJ156" s="37">
        <v>10830352</v>
      </c>
      <c r="AK156" s="37">
        <v>475984</v>
      </c>
      <c r="AL156" s="37">
        <v>10351088</v>
      </c>
      <c r="AM156" s="38"/>
      <c r="AN156" s="39">
        <f>Test!J861</f>
        <v>71.458594399999996</v>
      </c>
      <c r="AO156" s="39">
        <f>Test!K861</f>
        <v>73.940550500000001</v>
      </c>
      <c r="AP156" s="39">
        <f>Test!L861</f>
        <v>25.0297035</v>
      </c>
      <c r="AQ156" s="39">
        <f>Test!M861</f>
        <v>38.459733300000003</v>
      </c>
      <c r="AR156" s="39">
        <f>Test!N861</f>
        <v>41.171851500000002</v>
      </c>
      <c r="AS156" s="40"/>
      <c r="AT156" s="41"/>
      <c r="AU156" s="41"/>
      <c r="AW156" s="42">
        <f t="shared" si="17"/>
        <v>-2.7003351703729639E-3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">
        <v>1042</v>
      </c>
      <c r="J157" s="19">
        <v>0.52877427526351306</v>
      </c>
      <c r="K157" s="19">
        <v>3.6368533578320789E-2</v>
      </c>
      <c r="L157" s="19">
        <v>0.49233774627777205</v>
      </c>
      <c r="M157" s="20"/>
      <c r="N157" s="19">
        <v>1.0432022262872189</v>
      </c>
      <c r="O157" s="21">
        <v>23854604</v>
      </c>
      <c r="P157" s="22">
        <v>24885176</v>
      </c>
      <c r="Q157" s="22">
        <v>1711576</v>
      </c>
      <c r="R157" s="22">
        <v>23170400</v>
      </c>
      <c r="S157" s="23"/>
      <c r="T157" s="24">
        <v>78.1355133</v>
      </c>
      <c r="U157" s="24">
        <v>79.2440316</v>
      </c>
      <c r="V157" s="24">
        <v>27.828978299999999</v>
      </c>
      <c r="W157" s="24">
        <v>41.395846499999998</v>
      </c>
      <c r="X157" s="24">
        <v>43.693831400000001</v>
      </c>
      <c r="Y157" s="23"/>
      <c r="Z157" s="26"/>
      <c r="AA157" s="26"/>
      <c r="AC157" s="18" t="str">
        <f t="shared" si="12"/>
        <v>·</v>
      </c>
      <c r="AD157" s="19">
        <f t="shared" si="13"/>
        <v>0.52350718101622618</v>
      </c>
      <c r="AE157" s="19">
        <f t="shared" si="14"/>
        <v>3.5216181411067041E-2</v>
      </c>
      <c r="AF157" s="19">
        <f t="shared" si="15"/>
        <v>0.48822300419773895</v>
      </c>
      <c r="AG157" s="20"/>
      <c r="AH157" s="19">
        <f t="shared" si="16"/>
        <v>1.0328109408146118</v>
      </c>
      <c r="AI157" s="21">
        <f>Test!E862</f>
        <v>23854604</v>
      </c>
      <c r="AJ157" s="22">
        <v>24637296</v>
      </c>
      <c r="AK157" s="22">
        <v>1657344</v>
      </c>
      <c r="AL157" s="22">
        <v>22976752</v>
      </c>
      <c r="AM157" s="23"/>
      <c r="AN157" s="24">
        <f>Test!J862</f>
        <v>78.1355133</v>
      </c>
      <c r="AO157" s="24">
        <f>Test!K862</f>
        <v>79.2440316</v>
      </c>
      <c r="AP157" s="24">
        <f>Test!L862</f>
        <v>27.828978299999999</v>
      </c>
      <c r="AQ157" s="24">
        <f>Test!M862</f>
        <v>41.395846499999998</v>
      </c>
      <c r="AR157" s="24">
        <f>Test!N862</f>
        <v>43.693831400000001</v>
      </c>
      <c r="AS157" s="25"/>
      <c r="AT157" s="26"/>
      <c r="AU157" s="26"/>
      <c r="AW157" s="27">
        <f t="shared" si="17"/>
        <v>-1.5092190564126862E-3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">
        <v>1042</v>
      </c>
      <c r="J158" s="34">
        <v>0.96340839898821129</v>
      </c>
      <c r="K158" s="34">
        <v>0.10635467653925984</v>
      </c>
      <c r="L158" s="34">
        <v>0.85698572704153131</v>
      </c>
      <c r="M158" s="35"/>
      <c r="N158" s="34">
        <v>1.9730149095151037</v>
      </c>
      <c r="O158" s="36">
        <v>22980023</v>
      </c>
      <c r="P158" s="37">
        <v>45339928</v>
      </c>
      <c r="Q158" s="37">
        <v>5005264</v>
      </c>
      <c r="R158" s="37">
        <v>40331464</v>
      </c>
      <c r="S158" s="38"/>
      <c r="T158" s="39">
        <v>81.786106099999998</v>
      </c>
      <c r="U158" s="39">
        <v>84.453123700000006</v>
      </c>
      <c r="V158" s="39">
        <v>29.396022299999998</v>
      </c>
      <c r="W158" s="39">
        <v>43.598332499999998</v>
      </c>
      <c r="X158" s="39">
        <v>45.5317656</v>
      </c>
      <c r="Y158" s="38"/>
      <c r="Z158" s="41"/>
      <c r="AA158" s="41"/>
      <c r="AC158" s="33" t="str">
        <f t="shared" si="12"/>
        <v>·</v>
      </c>
      <c r="AD158" s="34">
        <f t="shared" si="13"/>
        <v>0.96340839898821129</v>
      </c>
      <c r="AE158" s="34">
        <f t="shared" si="14"/>
        <v>0.10635467653925984</v>
      </c>
      <c r="AF158" s="34">
        <f t="shared" si="15"/>
        <v>0.85698572704153131</v>
      </c>
      <c r="AG158" s="35"/>
      <c r="AH158" s="34">
        <f t="shared" si="16"/>
        <v>1.9730149095151037</v>
      </c>
      <c r="AI158" s="36">
        <f>Test!E863</f>
        <v>22980023</v>
      </c>
      <c r="AJ158" s="37">
        <v>45339928</v>
      </c>
      <c r="AK158" s="37">
        <v>5005264</v>
      </c>
      <c r="AL158" s="37">
        <v>40331464</v>
      </c>
      <c r="AM158" s="38"/>
      <c r="AN158" s="39">
        <f>Test!J863</f>
        <v>81.786106099999998</v>
      </c>
      <c r="AO158" s="39">
        <f>Test!K863</f>
        <v>84.453123700000006</v>
      </c>
      <c r="AP158" s="39">
        <f>Test!L863</f>
        <v>29.396022299999998</v>
      </c>
      <c r="AQ158" s="39">
        <f>Test!M863</f>
        <v>43.598332499999998</v>
      </c>
      <c r="AR158" s="39">
        <f>Test!N863</f>
        <v>45.5317656</v>
      </c>
      <c r="AS158" s="40"/>
      <c r="AT158" s="41"/>
      <c r="AU158" s="41"/>
      <c r="AW158" s="42">
        <f t="shared" si="17"/>
        <v>0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">
        <v>1042</v>
      </c>
      <c r="J159" s="19" t="s">
        <v>1042</v>
      </c>
      <c r="K159" s="19" t="s">
        <v>1042</v>
      </c>
      <c r="L159" s="19" t="s">
        <v>1042</v>
      </c>
      <c r="M159" s="20"/>
      <c r="N159" s="19" t="s">
        <v>1042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12"/>
        <v>·</v>
      </c>
      <c r="AD159" s="19">
        <f t="shared" si="13"/>
        <v>0</v>
      </c>
      <c r="AE159" s="19">
        <f t="shared" si="14"/>
        <v>0</v>
      </c>
      <c r="AF159" s="19">
        <f t="shared" si="15"/>
        <v>0</v>
      </c>
      <c r="AG159" s="20"/>
      <c r="AH159" s="19" t="e">
        <f t="shared" si="16"/>
        <v>#DIV/0!</v>
      </c>
      <c r="AI159" s="21"/>
      <c r="AJ159" s="22">
        <v>0</v>
      </c>
      <c r="AK159" s="22">
        <v>0</v>
      </c>
      <c r="AL159" s="22">
        <v>0</v>
      </c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17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">
        <v>1042</v>
      </c>
      <c r="J160" s="49" t="s">
        <v>1042</v>
      </c>
      <c r="K160" s="49" t="s">
        <v>1042</v>
      </c>
      <c r="L160" s="49" t="s">
        <v>1042</v>
      </c>
      <c r="M160" s="50"/>
      <c r="N160" s="49" t="s">
        <v>1042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12"/>
        <v>·</v>
      </c>
      <c r="AD160" s="49">
        <f t="shared" si="13"/>
        <v>0</v>
      </c>
      <c r="AE160" s="49">
        <f t="shared" si="14"/>
        <v>0</v>
      </c>
      <c r="AF160" s="49">
        <f t="shared" si="15"/>
        <v>0</v>
      </c>
      <c r="AG160" s="50"/>
      <c r="AH160" s="49" t="e">
        <f t="shared" si="16"/>
        <v>#DIV/0!</v>
      </c>
      <c r="AI160" s="51"/>
      <c r="AJ160" s="52">
        <v>0</v>
      </c>
      <c r="AK160" s="52">
        <v>0</v>
      </c>
      <c r="AL160" s="52">
        <v>0</v>
      </c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17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">
        <v>1042</v>
      </c>
      <c r="J161" s="19">
        <v>0.12159411956034955</v>
      </c>
      <c r="K161" s="19">
        <v>5.1691270650954793E-3</v>
      </c>
      <c r="L161" s="19">
        <v>0.11634757172043984</v>
      </c>
      <c r="M161" s="20"/>
      <c r="N161" s="19">
        <v>0.19122110121007926</v>
      </c>
      <c r="O161" s="21">
        <v>27596787</v>
      </c>
      <c r="P161" s="22">
        <v>5277088</v>
      </c>
      <c r="Q161" s="22">
        <v>224336</v>
      </c>
      <c r="R161" s="22">
        <v>5049392</v>
      </c>
      <c r="S161" s="23"/>
      <c r="T161" s="24">
        <v>65.326841299999998</v>
      </c>
      <c r="U161" s="24">
        <v>67.323438499999995</v>
      </c>
      <c r="V161" s="24">
        <v>22.570817999999999</v>
      </c>
      <c r="W161" s="24">
        <v>35.409225399999997</v>
      </c>
      <c r="X161" s="24">
        <v>36.878027099999997</v>
      </c>
      <c r="Y161" s="23"/>
      <c r="Z161" s="26"/>
      <c r="AA161" s="26"/>
      <c r="AC161" s="18" t="str">
        <f t="shared" si="12"/>
        <v>·</v>
      </c>
      <c r="AD161" s="19">
        <f t="shared" si="13"/>
        <v>0.12819977066860488</v>
      </c>
      <c r="AE161" s="19">
        <f t="shared" si="14"/>
        <v>4.914191513742971E-3</v>
      </c>
      <c r="AF161" s="19">
        <f t="shared" si="15"/>
        <v>0.12320815838004771</v>
      </c>
      <c r="AG161" s="20"/>
      <c r="AH161" s="19">
        <f t="shared" si="16"/>
        <v>0.20160926704981996</v>
      </c>
      <c r="AI161" s="21">
        <f>Test!E866</f>
        <v>27596787</v>
      </c>
      <c r="AJ161" s="22">
        <v>5563768</v>
      </c>
      <c r="AK161" s="22">
        <v>213272</v>
      </c>
      <c r="AL161" s="22">
        <v>5347136</v>
      </c>
      <c r="AM161" s="23"/>
      <c r="AN161" s="24">
        <f>Test!J866</f>
        <v>65.326841299999998</v>
      </c>
      <c r="AO161" s="24">
        <f>Test!K866</f>
        <v>67.323438499999995</v>
      </c>
      <c r="AP161" s="24">
        <f>Test!L866</f>
        <v>22.570817999999999</v>
      </c>
      <c r="AQ161" s="24">
        <f>Test!M866</f>
        <v>35.409225399999997</v>
      </c>
      <c r="AR161" s="24">
        <f>Test!N866</f>
        <v>36.878027099999997</v>
      </c>
      <c r="AS161" s="25"/>
      <c r="AT161" s="26"/>
      <c r="AU161" s="26"/>
      <c r="AW161" s="27">
        <f t="shared" si="17"/>
        <v>-4.1790287601586457E-3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-5.6686339171441724E-2</v>
      </c>
      <c r="BA161" s="28">
        <f>IF( OR(ISBLANK(Q161:Q166),ISBLANK(AK161:AK166), ISBLANK(U161:U166),ISBLANK(AO161:AO166)), "·", bdRateExtend( Q161:Q166,U161:U166, AK161:AK166,AO161:AO166))</f>
        <v>-5.2152067270526792E-2</v>
      </c>
      <c r="BB161" s="28">
        <f>IF( OR(ISBLANK(R161:R166),ISBLANK(AL161:AL166), ISBLANK(V161:V166),ISBLANK(AP161:AP166)), "·", bdRateExtend( R161:R166,V161:V166, AL161:AL166,AP161:AP166))</f>
        <v>8.7473196847929646E-2</v>
      </c>
      <c r="BC161" s="28">
        <f>IF( OR(ISBLANK(R161:R166),ISBLANK(AL161:AL166), ISBLANK(W161:W166),ISBLANK(AQ161:AQ166)), "·", bdRateExtend( R161:R166,W161:W166, AL161:AL166,AQ161:AQ166))</f>
        <v>7.7737909301452524E-2</v>
      </c>
      <c r="BD161" s="28">
        <f>IF( OR(ISBLANK(R161:R166),ISBLANK(AL161:AL166), ISBLANK(X161:X166),ISBLANK(AR161:AR166)), "·", bdRateExtend( R161:R166,X161:X166, AL161:AL166,AR161:AR166))</f>
        <v>7.9145301055335349E-2</v>
      </c>
      <c r="BE161" s="29"/>
      <c r="BG161" s="28">
        <f>IF( OR(ISBLANK(P161:P166),ISBLANK(AJ161:AJ166), ISBLANK(T161:T166),ISBLANK(AN161:AN166)), "·", bdRateExtend( P161:P166,T161:T166, AJ161:AJ166,AN161:AN166))</f>
        <v>8.6036991021044562E-2</v>
      </c>
      <c r="BH161" s="28">
        <f>IF( OR(ISBLANK(P161:P166),ISBLANK(AJ161:AJ166), ISBLANK(U161:U166),ISBLANK(AO161:AO166)), "·", bdRateExtend( P161:P166,U161:U166, AJ161:AJ166,AO161:AO166))</f>
        <v>7.8586841328297741E-2</v>
      </c>
      <c r="BI161" s="28">
        <f>IF( OR(ISBLANK(P161:P166),ISBLANK(AJ161:AJ166), ISBLANK(V161:V166),ISBLANK(AP161:AP166)), "·", bdRateExtend( P161:P166,V161:V166, AJ161:AJ166,AP161:AP166))</f>
        <v>8.0363627207258759E-2</v>
      </c>
      <c r="BJ161" s="28">
        <f>IF( OR(ISBLANK(P161:P166),ISBLANK(AJ161:AJ166), ISBLANK(W161:W166),ISBLANK(AQ161:AQ166)), "·", bdRateExtend( P161:P166,W161:W166, AJ161:AJ166,AQ161:AQ166))</f>
        <v>7.149395929627711E-2</v>
      </c>
      <c r="BK161" s="28">
        <f>IF( OR(ISBLANK(P161:P166),ISBLANK(AJ161:AJ166), ISBLANK(X161:X166),ISBLANK(AR161:AR166)), "·", bdRateExtend( P161:P166,X161:X166, AJ161:AJ166,AR161:AR166))</f>
        <v>7.2776058025955992E-2</v>
      </c>
      <c r="BL161" s="29"/>
    </row>
    <row r="162" spans="1:64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">
        <v>1042</v>
      </c>
      <c r="J162" s="34">
        <v>0.27665336903414173</v>
      </c>
      <c r="K162" s="34">
        <v>1.5017971297353749E-2</v>
      </c>
      <c r="L162" s="34">
        <v>0.26155982031375508</v>
      </c>
      <c r="M162" s="35"/>
      <c r="N162" s="34">
        <v>0.49476973115291079</v>
      </c>
      <c r="O162" s="36">
        <v>24266917</v>
      </c>
      <c r="P162" s="37">
        <v>12006536</v>
      </c>
      <c r="Q162" s="37">
        <v>651768</v>
      </c>
      <c r="R162" s="37">
        <v>11351488</v>
      </c>
      <c r="S162" s="38"/>
      <c r="T162" s="39">
        <v>71.591594099999995</v>
      </c>
      <c r="U162" s="39">
        <v>74.276004</v>
      </c>
      <c r="V162" s="39">
        <v>25.0562817</v>
      </c>
      <c r="W162" s="39">
        <v>37.937561299999999</v>
      </c>
      <c r="X162" s="39">
        <v>39.377364800000002</v>
      </c>
      <c r="Y162" s="38"/>
      <c r="Z162" s="41"/>
      <c r="AA162" s="41"/>
      <c r="AC162" s="33" t="str">
        <f t="shared" si="12"/>
        <v>·</v>
      </c>
      <c r="AD162" s="34">
        <f t="shared" si="13"/>
        <v>0.3256937154884223</v>
      </c>
      <c r="AE162" s="34">
        <f t="shared" si="14"/>
        <v>1.3422365995468487E-2</v>
      </c>
      <c r="AF162" s="34">
        <f t="shared" si="15"/>
        <v>0.31219577206992094</v>
      </c>
      <c r="AG162" s="35"/>
      <c r="AH162" s="34">
        <f t="shared" si="16"/>
        <v>0.58247399123671129</v>
      </c>
      <c r="AI162" s="36">
        <f>Test!E867</f>
        <v>24266917</v>
      </c>
      <c r="AJ162" s="37">
        <v>14134848</v>
      </c>
      <c r="AK162" s="37">
        <v>582520</v>
      </c>
      <c r="AL162" s="37">
        <v>13549048</v>
      </c>
      <c r="AM162" s="38"/>
      <c r="AN162" s="39">
        <f>Test!J867</f>
        <v>71.591594099999995</v>
      </c>
      <c r="AO162" s="39">
        <f>Test!K867</f>
        <v>74.276004</v>
      </c>
      <c r="AP162" s="39">
        <f>Test!L867</f>
        <v>25.0562817</v>
      </c>
      <c r="AQ162" s="39">
        <f>Test!M867</f>
        <v>37.937561299999999</v>
      </c>
      <c r="AR162" s="39">
        <f>Test!N867</f>
        <v>39.377364800000002</v>
      </c>
      <c r="AS162" s="40"/>
      <c r="AT162" s="41"/>
      <c r="AU162" s="41"/>
      <c r="AW162" s="42">
        <f t="shared" si="17"/>
        <v>-1.3072811984590919E-2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">
        <v>1042</v>
      </c>
      <c r="J163" s="19">
        <v>0.59277990444248696</v>
      </c>
      <c r="K163" s="19">
        <v>5.1826388336523407E-2</v>
      </c>
      <c r="L163" s="19">
        <v>0.54087793868293066</v>
      </c>
      <c r="M163" s="20"/>
      <c r="N163" s="19">
        <v>1.0876920909606413</v>
      </c>
      <c r="O163" s="21">
        <v>23652076</v>
      </c>
      <c r="P163" s="22">
        <v>25726176</v>
      </c>
      <c r="Q163" s="22">
        <v>2249224</v>
      </c>
      <c r="R163" s="22">
        <v>23473672</v>
      </c>
      <c r="S163" s="23"/>
      <c r="T163" s="24">
        <v>77.076353600000004</v>
      </c>
      <c r="U163" s="24">
        <v>79.355503200000001</v>
      </c>
      <c r="V163" s="24">
        <v>27.397638799999999</v>
      </c>
      <c r="W163" s="24">
        <v>40.537110300000002</v>
      </c>
      <c r="X163" s="24">
        <v>41.908985199999996</v>
      </c>
      <c r="Y163" s="23"/>
      <c r="Z163" s="26"/>
      <c r="AA163" s="26"/>
      <c r="AC163" s="18" t="str">
        <f t="shared" si="12"/>
        <v>·</v>
      </c>
      <c r="AD163" s="19">
        <f t="shared" si="13"/>
        <v>0.59277990444248696</v>
      </c>
      <c r="AE163" s="19">
        <f t="shared" si="14"/>
        <v>5.1826388336523407E-2</v>
      </c>
      <c r="AF163" s="19">
        <f t="shared" si="15"/>
        <v>0.54087793868293066</v>
      </c>
      <c r="AG163" s="20"/>
      <c r="AH163" s="19">
        <f t="shared" si="16"/>
        <v>1.0876920909606413</v>
      </c>
      <c r="AI163" s="21">
        <f>Test!E868</f>
        <v>23652076</v>
      </c>
      <c r="AJ163" s="22">
        <v>25726176</v>
      </c>
      <c r="AK163" s="22">
        <v>2249224</v>
      </c>
      <c r="AL163" s="22">
        <v>23473672</v>
      </c>
      <c r="AM163" s="23"/>
      <c r="AN163" s="24">
        <f>Test!J868</f>
        <v>77.076353600000004</v>
      </c>
      <c r="AO163" s="24">
        <f>Test!K868</f>
        <v>79.355503200000001</v>
      </c>
      <c r="AP163" s="24">
        <f>Test!L868</f>
        <v>27.397638799999999</v>
      </c>
      <c r="AQ163" s="24">
        <f>Test!M868</f>
        <v>40.537110300000002</v>
      </c>
      <c r="AR163" s="24">
        <f>Test!N868</f>
        <v>41.908985199999996</v>
      </c>
      <c r="AS163" s="25"/>
      <c r="AT163" s="26"/>
      <c r="AU163" s="26"/>
      <c r="AW163" s="27">
        <f t="shared" si="17"/>
        <v>0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">
        <v>1042</v>
      </c>
      <c r="J164" s="34">
        <v>1.2950488216327654</v>
      </c>
      <c r="K164" s="34">
        <v>0.16061713942956188</v>
      </c>
      <c r="L164" s="34">
        <v>1.1343579481319519</v>
      </c>
      <c r="M164" s="35"/>
      <c r="N164" s="34">
        <v>1.9823929050451017</v>
      </c>
      <c r="O164" s="36">
        <v>28351639</v>
      </c>
      <c r="P164" s="37">
        <v>56204088</v>
      </c>
      <c r="Q164" s="37">
        <v>6970656</v>
      </c>
      <c r="R164" s="37">
        <v>49230232</v>
      </c>
      <c r="S164" s="38"/>
      <c r="T164" s="39">
        <v>80.904048299999999</v>
      </c>
      <c r="U164" s="39">
        <v>84.685882599999999</v>
      </c>
      <c r="V164" s="39">
        <v>29.223653500000001</v>
      </c>
      <c r="W164" s="39">
        <v>42.9829711</v>
      </c>
      <c r="X164" s="39">
        <v>44.233789700000003</v>
      </c>
      <c r="Y164" s="38"/>
      <c r="Z164" s="41"/>
      <c r="AA164" s="41"/>
      <c r="AC164" s="33" t="str">
        <f t="shared" si="12"/>
        <v>·</v>
      </c>
      <c r="AD164" s="34">
        <f t="shared" si="13"/>
        <v>1.2950488216327654</v>
      </c>
      <c r="AE164" s="34">
        <f t="shared" si="14"/>
        <v>0.16061713942956188</v>
      </c>
      <c r="AF164" s="34">
        <f t="shared" si="15"/>
        <v>1.1343579481319519</v>
      </c>
      <c r="AG164" s="35"/>
      <c r="AH164" s="34">
        <f t="shared" si="16"/>
        <v>1.9823929050451017</v>
      </c>
      <c r="AI164" s="36">
        <f>Test!E869</f>
        <v>28351639</v>
      </c>
      <c r="AJ164" s="37">
        <v>56204088</v>
      </c>
      <c r="AK164" s="37">
        <v>6970656</v>
      </c>
      <c r="AL164" s="37">
        <v>49230232</v>
      </c>
      <c r="AM164" s="38"/>
      <c r="AN164" s="39">
        <f>Test!J869</f>
        <v>80.904048299999999</v>
      </c>
      <c r="AO164" s="39">
        <f>Test!K869</f>
        <v>84.685882599999999</v>
      </c>
      <c r="AP164" s="39">
        <f>Test!L869</f>
        <v>29.223653500000001</v>
      </c>
      <c r="AQ164" s="39">
        <f>Test!M869</f>
        <v>42.9829711</v>
      </c>
      <c r="AR164" s="39">
        <f>Test!N869</f>
        <v>44.233789700000003</v>
      </c>
      <c r="AS164" s="40"/>
      <c r="AT164" s="41"/>
      <c r="AU164" s="41"/>
      <c r="AW164" s="42">
        <f t="shared" si="17"/>
        <v>0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">
        <v>1042</v>
      </c>
      <c r="J165" s="19" t="s">
        <v>1042</v>
      </c>
      <c r="K165" s="19" t="s">
        <v>1042</v>
      </c>
      <c r="L165" s="19" t="s">
        <v>1042</v>
      </c>
      <c r="M165" s="20"/>
      <c r="N165" s="19" t="s">
        <v>1042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12"/>
        <v>·</v>
      </c>
      <c r="AD165" s="19">
        <f t="shared" si="13"/>
        <v>0</v>
      </c>
      <c r="AE165" s="19">
        <f t="shared" si="14"/>
        <v>0</v>
      </c>
      <c r="AF165" s="19">
        <f t="shared" si="15"/>
        <v>0</v>
      </c>
      <c r="AG165" s="20"/>
      <c r="AH165" s="19" t="e">
        <f t="shared" si="16"/>
        <v>#DIV/0!</v>
      </c>
      <c r="AI165" s="21"/>
      <c r="AJ165" s="22">
        <v>0</v>
      </c>
      <c r="AK165" s="22">
        <v>0</v>
      </c>
      <c r="AL165" s="22">
        <v>0</v>
      </c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17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">
        <v>1042</v>
      </c>
      <c r="J166" s="49" t="s">
        <v>1042</v>
      </c>
      <c r="K166" s="49" t="s">
        <v>1042</v>
      </c>
      <c r="L166" s="49" t="s">
        <v>1042</v>
      </c>
      <c r="M166" s="50"/>
      <c r="N166" s="49" t="s">
        <v>1042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12"/>
        <v>·</v>
      </c>
      <c r="AD166" s="49">
        <f t="shared" si="13"/>
        <v>0</v>
      </c>
      <c r="AE166" s="49">
        <f t="shared" si="14"/>
        <v>0</v>
      </c>
      <c r="AF166" s="49">
        <f t="shared" si="15"/>
        <v>0</v>
      </c>
      <c r="AG166" s="50"/>
      <c r="AH166" s="49" t="e">
        <f t="shared" si="16"/>
        <v>#DIV/0!</v>
      </c>
      <c r="AI166" s="51"/>
      <c r="AJ166" s="52">
        <v>0</v>
      </c>
      <c r="AK166" s="52">
        <v>0</v>
      </c>
      <c r="AL166" s="52">
        <v>0</v>
      </c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17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">
        <v>1042</v>
      </c>
      <c r="J167" s="19">
        <v>0.10994676379938358</v>
      </c>
      <c r="K167" s="19">
        <v>3.2021774806868671E-3</v>
      </c>
      <c r="L167" s="19">
        <v>0.10579994396189409</v>
      </c>
      <c r="M167" s="20"/>
      <c r="N167" s="19">
        <v>0.30374203821656048</v>
      </c>
      <c r="O167" s="21">
        <v>180864</v>
      </c>
      <c r="P167" s="22">
        <v>54936</v>
      </c>
      <c r="Q167" s="22">
        <v>1600</v>
      </c>
      <c r="R167" s="22">
        <v>52864</v>
      </c>
      <c r="S167" s="23"/>
      <c r="T167" s="24">
        <v>46.9690777</v>
      </c>
      <c r="U167" s="24">
        <v>50.206985899999999</v>
      </c>
      <c r="V167" s="24">
        <v>20.688886700000001</v>
      </c>
      <c r="W167" s="24">
        <v>29.968215900000001</v>
      </c>
      <c r="X167" s="24">
        <v>32.444459299999998</v>
      </c>
      <c r="Y167" s="23"/>
      <c r="Z167" s="26"/>
      <c r="AA167" s="26"/>
      <c r="AC167" s="18" t="str">
        <f t="shared" si="12"/>
        <v>·</v>
      </c>
      <c r="AD167" s="19">
        <f t="shared" si="13"/>
        <v>0.10993075291198015</v>
      </c>
      <c r="AE167" s="19">
        <f t="shared" si="14"/>
        <v>3.1861665932834326E-3</v>
      </c>
      <c r="AF167" s="19">
        <f t="shared" si="15"/>
        <v>0.10579994396189409</v>
      </c>
      <c r="AG167" s="20"/>
      <c r="AH167" s="19">
        <f t="shared" si="16"/>
        <v>0.30369780608634112</v>
      </c>
      <c r="AI167" s="21">
        <f>Test!E872</f>
        <v>180864</v>
      </c>
      <c r="AJ167" s="22">
        <v>54928</v>
      </c>
      <c r="AK167" s="22">
        <v>1592</v>
      </c>
      <c r="AL167" s="22">
        <v>52864</v>
      </c>
      <c r="AM167" s="23"/>
      <c r="AN167" s="24">
        <f>Test!J872</f>
        <v>46.9690777</v>
      </c>
      <c r="AO167" s="24">
        <f>Test!K872</f>
        <v>50.206985899999999</v>
      </c>
      <c r="AP167" s="24">
        <f>Test!L872</f>
        <v>20.688886700000001</v>
      </c>
      <c r="AQ167" s="24">
        <f>Test!M872</f>
        <v>29.968215900000001</v>
      </c>
      <c r="AR167" s="24">
        <f>Test!N872</f>
        <v>32.444459299999998</v>
      </c>
      <c r="AS167" s="25"/>
      <c r="AT167" s="26"/>
      <c r="AU167" s="26"/>
      <c r="AW167" s="27">
        <f t="shared" si="17"/>
        <v>-1.4140332074468256E-4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-8.1207258405477933E-3</v>
      </c>
      <c r="BA167" s="28">
        <f>IF( OR(ISBLANK(Q167:Q172),ISBLANK(AK167:AK172), ISBLANK(U167:U172),ISBLANK(AO167:AO172)), "·", bdRateExtend( Q167:Q172,U167:U172, AK167:AK172,AO167:AO172))</f>
        <v>-7.8718299672875247E-3</v>
      </c>
      <c r="BB167" s="28">
        <f>IF( OR(ISBLANK(R167:R172),ISBLANK(AL167:AL172), ISBLANK(V167:V172),ISBLANK(AP167:AP172)), "·", bdRateExtend( R167:R172,V167:V172, AL167:AL172,AP167:AP172))</f>
        <v>-3.7056563612308802E-3</v>
      </c>
      <c r="BC167" s="28">
        <f>IF( OR(ISBLANK(R167:R172),ISBLANK(AL167:AL172), ISBLANK(W167:W172),ISBLANK(AQ167:AQ172)), "·", bdRateExtend( R167:R172,W167:W172, AL167:AL172,AQ167:AQ172))</f>
        <v>-3.5505090087651903E-3</v>
      </c>
      <c r="BD167" s="28">
        <f>IF( OR(ISBLANK(R167:R172),ISBLANK(AL167:AL172), ISBLANK(X167:X172),ISBLANK(AR167:AR172)), "·", bdRateExtend( R167:R172,X167:X172, AL167:AL172,AR167:AR172))</f>
        <v>-3.290276906773304E-3</v>
      </c>
      <c r="BE167" s="29"/>
      <c r="BG167" s="28">
        <f>IF( OR(ISBLANK(P167:P172),ISBLANK(AJ167:AJ172), ISBLANK(T167:T172),ISBLANK(AN167:AN172)), "·", bdRateExtend( P167:P172,T167:T172, AJ167:AJ172,AN167:AN172))</f>
        <v>-4.4812947419067273E-3</v>
      </c>
      <c r="BH167" s="28">
        <f>IF( OR(ISBLANK(P167:P172),ISBLANK(AJ167:AJ172), ISBLANK(U167:U172),ISBLANK(AO167:AO172)), "·", bdRateExtend( P167:P172,U167:U172, AJ167:AJ172,AO167:AO172))</f>
        <v>-4.3667570756767971E-3</v>
      </c>
      <c r="BI167" s="28">
        <f>IF( OR(ISBLANK(P167:P172),ISBLANK(AJ167:AJ172), ISBLANK(V167:V172),ISBLANK(AP167:AP172)), "·", bdRateExtend( P167:P172,V167:V172, AJ167:AJ172,AP167:AP172))</f>
        <v>-3.804182531253586E-3</v>
      </c>
      <c r="BJ167" s="28">
        <f>IF( OR(ISBLANK(P167:P172),ISBLANK(AJ167:AJ172), ISBLANK(W167:W172),ISBLANK(AQ167:AQ172)), "·", bdRateExtend( P167:P172,W167:W172, AJ167:AJ172,AQ167:AQ172))</f>
        <v>-3.6452344418167471E-3</v>
      </c>
      <c r="BK167" s="28">
        <f>IF( OR(ISBLANK(P167:P172),ISBLANK(AJ167:AJ172), ISBLANK(X167:X172),ISBLANK(AR167:AR172)), "·", bdRateExtend( P167:P172,X167:X172, AJ167:AJ172,AR167:AR172))</f>
        <v>-3.3786320126896197E-3</v>
      </c>
      <c r="BL167" s="29"/>
    </row>
    <row r="168" spans="1:64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">
        <v>1042</v>
      </c>
      <c r="J168" s="34">
        <v>0.33094504262898772</v>
      </c>
      <c r="K168" s="34">
        <v>1.1591882480086458E-2</v>
      </c>
      <c r="L168" s="34">
        <v>0.31840851779209861</v>
      </c>
      <c r="M168" s="35"/>
      <c r="N168" s="34">
        <v>0.87931254519930235</v>
      </c>
      <c r="O168" s="36">
        <v>188056</v>
      </c>
      <c r="P168" s="37">
        <v>165360</v>
      </c>
      <c r="Q168" s="37">
        <v>5792</v>
      </c>
      <c r="R168" s="37">
        <v>159096</v>
      </c>
      <c r="S168" s="38"/>
      <c r="T168" s="39">
        <v>55.3890916</v>
      </c>
      <c r="U168" s="39">
        <v>57.808177800000003</v>
      </c>
      <c r="V168" s="39">
        <v>23.557178100000002</v>
      </c>
      <c r="W168" s="39">
        <v>33.068265400000001</v>
      </c>
      <c r="X168" s="39">
        <v>34.811134699999997</v>
      </c>
      <c r="Y168" s="38"/>
      <c r="Z168" s="41"/>
      <c r="AA168" s="41"/>
      <c r="AC168" s="33" t="str">
        <f t="shared" si="12"/>
        <v>·</v>
      </c>
      <c r="AD168" s="34">
        <f t="shared" si="13"/>
        <v>0.32862346395548975</v>
      </c>
      <c r="AE168" s="34">
        <f t="shared" si="14"/>
        <v>1.1463795380858984E-2</v>
      </c>
      <c r="AF168" s="34">
        <f t="shared" si="15"/>
        <v>0.3162150262178281</v>
      </c>
      <c r="AG168" s="35"/>
      <c r="AH168" s="34">
        <f t="shared" si="16"/>
        <v>0.87314416982175524</v>
      </c>
      <c r="AI168" s="36">
        <f>Test!E873</f>
        <v>188056</v>
      </c>
      <c r="AJ168" s="37">
        <v>164200</v>
      </c>
      <c r="AK168" s="37">
        <v>5728</v>
      </c>
      <c r="AL168" s="37">
        <v>158000</v>
      </c>
      <c r="AM168" s="38"/>
      <c r="AN168" s="39">
        <f>Test!J873</f>
        <v>55.3890916</v>
      </c>
      <c r="AO168" s="39">
        <f>Test!K873</f>
        <v>57.808177800000003</v>
      </c>
      <c r="AP168" s="39">
        <f>Test!L873</f>
        <v>23.557178100000002</v>
      </c>
      <c r="AQ168" s="39">
        <f>Test!M873</f>
        <v>33.068265400000001</v>
      </c>
      <c r="AR168" s="39">
        <f>Test!N873</f>
        <v>34.811134699999997</v>
      </c>
      <c r="AS168" s="40"/>
      <c r="AT168" s="41"/>
      <c r="AU168" s="41"/>
      <c r="AW168" s="42">
        <f t="shared" si="17"/>
        <v>-1.4232115719027549E-4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">
        <v>1042</v>
      </c>
      <c r="J169" s="19">
        <v>0.90525557379017729</v>
      </c>
      <c r="K169" s="19">
        <v>4.816074930953048E-2</v>
      </c>
      <c r="L169" s="19">
        <v>0.85615018212384419</v>
      </c>
      <c r="M169" s="20"/>
      <c r="N169" s="19">
        <v>2.041321045933334</v>
      </c>
      <c r="O169" s="21">
        <v>221582</v>
      </c>
      <c r="P169" s="22">
        <v>452320</v>
      </c>
      <c r="Q169" s="22">
        <v>24064</v>
      </c>
      <c r="R169" s="22">
        <v>427784</v>
      </c>
      <c r="S169" s="23"/>
      <c r="T169" s="24">
        <v>60.194902200000001</v>
      </c>
      <c r="U169" s="24">
        <v>62.6789445</v>
      </c>
      <c r="V169" s="24">
        <v>25.717613400000001</v>
      </c>
      <c r="W169" s="24">
        <v>35.570179000000003</v>
      </c>
      <c r="X169" s="24">
        <v>37.009129700000003</v>
      </c>
      <c r="Y169" s="23"/>
      <c r="Z169" s="26"/>
      <c r="AA169" s="26"/>
      <c r="AC169" s="18" t="str">
        <f t="shared" si="12"/>
        <v>·</v>
      </c>
      <c r="AD169" s="19">
        <f t="shared" si="13"/>
        <v>0.90375055037425445</v>
      </c>
      <c r="AE169" s="19">
        <f t="shared" si="14"/>
        <v>4.8032662210303008E-2</v>
      </c>
      <c r="AF169" s="19">
        <f t="shared" si="15"/>
        <v>0.85477324580714886</v>
      </c>
      <c r="AG169" s="20"/>
      <c r="AH169" s="19">
        <f t="shared" si="16"/>
        <v>2.0379272684604346</v>
      </c>
      <c r="AI169" s="21">
        <f>Test!E874</f>
        <v>221582</v>
      </c>
      <c r="AJ169" s="22">
        <v>451568</v>
      </c>
      <c r="AK169" s="22">
        <v>24000</v>
      </c>
      <c r="AL169" s="22">
        <v>427096</v>
      </c>
      <c r="AM169" s="23"/>
      <c r="AN169" s="24">
        <f>Test!J874</f>
        <v>60.194902200000001</v>
      </c>
      <c r="AO169" s="24">
        <f>Test!K874</f>
        <v>62.6789445</v>
      </c>
      <c r="AP169" s="24">
        <f>Test!L874</f>
        <v>25.717613400000001</v>
      </c>
      <c r="AQ169" s="24">
        <f>Test!M874</f>
        <v>35.570179000000003</v>
      </c>
      <c r="AR169" s="24">
        <f>Test!N874</f>
        <v>37.009129700000003</v>
      </c>
      <c r="AS169" s="25"/>
      <c r="AT169" s="26"/>
      <c r="AU169" s="26"/>
      <c r="AW169" s="27">
        <f t="shared" si="17"/>
        <v>-5.3131848087285827E-5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">
        <v>1042</v>
      </c>
      <c r="J170" s="34">
        <v>2.1752391626305889</v>
      </c>
      <c r="K170" s="34">
        <v>0.19983188568226393</v>
      </c>
      <c r="L170" s="34">
        <v>1.9744626345915222</v>
      </c>
      <c r="M170" s="35"/>
      <c r="N170" s="34">
        <v>3.8915822263596977</v>
      </c>
      <c r="O170" s="36">
        <v>279290</v>
      </c>
      <c r="P170" s="37">
        <v>1086880</v>
      </c>
      <c r="Q170" s="37">
        <v>99848</v>
      </c>
      <c r="R170" s="37">
        <v>986560</v>
      </c>
      <c r="S170" s="38"/>
      <c r="T170" s="39">
        <v>61.732668099999998</v>
      </c>
      <c r="U170" s="39">
        <v>64.405444000000003</v>
      </c>
      <c r="V170" s="39">
        <v>27.224632700000001</v>
      </c>
      <c r="W170" s="39">
        <v>37.555721599999998</v>
      </c>
      <c r="X170" s="39">
        <v>39.095377499999998</v>
      </c>
      <c r="Y170" s="38"/>
      <c r="Z170" s="41"/>
      <c r="AA170" s="41"/>
      <c r="AC170" s="33" t="str">
        <f t="shared" si="12"/>
        <v>·</v>
      </c>
      <c r="AD170" s="34">
        <f t="shared" si="13"/>
        <v>2.1752391626305889</v>
      </c>
      <c r="AE170" s="34">
        <f t="shared" si="14"/>
        <v>0.19983188568226393</v>
      </c>
      <c r="AF170" s="34">
        <f t="shared" si="15"/>
        <v>1.9744626345915222</v>
      </c>
      <c r="AG170" s="35"/>
      <c r="AH170" s="34">
        <f t="shared" si="16"/>
        <v>3.8915822263596977</v>
      </c>
      <c r="AI170" s="36">
        <f>Test!E875</f>
        <v>279290</v>
      </c>
      <c r="AJ170" s="37">
        <v>1086880</v>
      </c>
      <c r="AK170" s="37">
        <v>99848</v>
      </c>
      <c r="AL170" s="37">
        <v>986560</v>
      </c>
      <c r="AM170" s="38"/>
      <c r="AN170" s="39">
        <f>Test!J875</f>
        <v>61.732668099999998</v>
      </c>
      <c r="AO170" s="39">
        <f>Test!K875</f>
        <v>64.405444000000003</v>
      </c>
      <c r="AP170" s="39">
        <f>Test!L875</f>
        <v>27.224632700000001</v>
      </c>
      <c r="AQ170" s="39">
        <f>Test!M875</f>
        <v>37.555721599999998</v>
      </c>
      <c r="AR170" s="39">
        <f>Test!N875</f>
        <v>39.095377499999998</v>
      </c>
      <c r="AS170" s="40"/>
      <c r="AT170" s="41"/>
      <c r="AU170" s="41"/>
      <c r="AW170" s="42">
        <f t="shared" si="17"/>
        <v>0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">
        <v>1042</v>
      </c>
      <c r="J171" s="19" t="s">
        <v>1042</v>
      </c>
      <c r="K171" s="19" t="s">
        <v>1042</v>
      </c>
      <c r="L171" s="19" t="s">
        <v>1042</v>
      </c>
      <c r="M171" s="20"/>
      <c r="N171" s="19" t="s">
        <v>1042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12"/>
        <v>·</v>
      </c>
      <c r="AD171" s="19">
        <f t="shared" si="13"/>
        <v>0</v>
      </c>
      <c r="AE171" s="19">
        <f t="shared" si="14"/>
        <v>0</v>
      </c>
      <c r="AF171" s="19">
        <f t="shared" si="15"/>
        <v>0</v>
      </c>
      <c r="AG171" s="20"/>
      <c r="AH171" s="19" t="e">
        <f t="shared" si="16"/>
        <v>#DIV/0!</v>
      </c>
      <c r="AI171" s="21"/>
      <c r="AJ171" s="22">
        <v>0</v>
      </c>
      <c r="AK171" s="22">
        <v>0</v>
      </c>
      <c r="AL171" s="22">
        <v>0</v>
      </c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17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">
        <v>1042</v>
      </c>
      <c r="J172" s="49" t="s">
        <v>1042</v>
      </c>
      <c r="K172" s="49" t="s">
        <v>1042</v>
      </c>
      <c r="L172" s="49" t="s">
        <v>1042</v>
      </c>
      <c r="M172" s="50"/>
      <c r="N172" s="49" t="s">
        <v>1042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12"/>
        <v>·</v>
      </c>
      <c r="AD172" s="49">
        <f t="shared" si="13"/>
        <v>0</v>
      </c>
      <c r="AE172" s="49">
        <f t="shared" si="14"/>
        <v>0</v>
      </c>
      <c r="AF172" s="49">
        <f t="shared" si="15"/>
        <v>0</v>
      </c>
      <c r="AG172" s="50"/>
      <c r="AH172" s="49" t="e">
        <f t="shared" si="16"/>
        <v>#DIV/0!</v>
      </c>
      <c r="AI172" s="51"/>
      <c r="AJ172" s="52">
        <v>0</v>
      </c>
      <c r="AK172" s="52">
        <v>0</v>
      </c>
      <c r="AL172" s="52">
        <v>0</v>
      </c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17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">
        <v>1042</v>
      </c>
      <c r="J173" s="19">
        <v>3.8550102882056798E-2</v>
      </c>
      <c r="K173" s="19">
        <v>4.1587079673562309E-3</v>
      </c>
      <c r="L173" s="19">
        <v>3.4345115978666477E-2</v>
      </c>
      <c r="M173" s="20"/>
      <c r="N173" s="19">
        <v>0.1004357334246935</v>
      </c>
      <c r="O173" s="21">
        <v>24483318</v>
      </c>
      <c r="P173" s="22">
        <v>2459000</v>
      </c>
      <c r="Q173" s="22">
        <v>265272</v>
      </c>
      <c r="R173" s="22">
        <v>2190776</v>
      </c>
      <c r="S173" s="23"/>
      <c r="T173" s="24">
        <v>67.275510199999999</v>
      </c>
      <c r="U173" s="24">
        <v>70.862850699999996</v>
      </c>
      <c r="V173" s="24">
        <v>27.4662221</v>
      </c>
      <c r="W173" s="24">
        <v>40.075922300000002</v>
      </c>
      <c r="X173" s="24">
        <v>38.385284800000001</v>
      </c>
      <c r="Y173" s="23"/>
      <c r="Z173" s="26"/>
      <c r="AA173" s="26"/>
      <c r="AC173" s="18" t="str">
        <f t="shared" si="12"/>
        <v>·</v>
      </c>
      <c r="AD173" s="19">
        <f t="shared" si="13"/>
        <v>3.9337973549173774E-2</v>
      </c>
      <c r="AE173" s="19">
        <f t="shared" si="14"/>
        <v>4.047713771176905E-3</v>
      </c>
      <c r="AF173" s="19">
        <f t="shared" si="15"/>
        <v>3.5243980841962778E-2</v>
      </c>
      <c r="AG173" s="20"/>
      <c r="AH173" s="19">
        <f t="shared" si="16"/>
        <v>0.10248839638483641</v>
      </c>
      <c r="AI173" s="21">
        <f>Test!E878</f>
        <v>24483318</v>
      </c>
      <c r="AJ173" s="22">
        <v>2509256</v>
      </c>
      <c r="AK173" s="22">
        <v>258192</v>
      </c>
      <c r="AL173" s="22">
        <v>2248112</v>
      </c>
      <c r="AM173" s="23"/>
      <c r="AN173" s="24">
        <f>Test!J878</f>
        <v>67.275510199999999</v>
      </c>
      <c r="AO173" s="24">
        <f>Test!K878</f>
        <v>70.862850699999996</v>
      </c>
      <c r="AP173" s="24">
        <f>Test!L878</f>
        <v>27.4662221</v>
      </c>
      <c r="AQ173" s="24">
        <f>Test!M878</f>
        <v>40.075922300000002</v>
      </c>
      <c r="AR173" s="24">
        <f>Test!N878</f>
        <v>38.385284800000001</v>
      </c>
      <c r="AS173" s="25"/>
      <c r="AT173" s="26"/>
      <c r="AU173" s="26"/>
      <c r="AW173" s="27">
        <f t="shared" si="17"/>
        <v>-4.9821607389301248E-3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-2.9665222293327798E-2</v>
      </c>
      <c r="BA173" s="28">
        <f>IF( OR(ISBLANK(Q173:Q178),ISBLANK(AK173:AK178), ISBLANK(U173:U178),ISBLANK(AO173:AO178)), "·", bdRateExtend( Q173:Q178,U173:U178, AK173:AK178,AO173:AO178))</f>
        <v>-3.0159611051500335E-2</v>
      </c>
      <c r="BB173" s="28">
        <f>IF( OR(ISBLANK(R173:R178),ISBLANK(AL173:AL178), ISBLANK(V173:V178),ISBLANK(AP173:AP178)), "·", bdRateExtend( R173:R178,V173:V178, AL173:AL178,AP173:AP178))</f>
        <v>2.6763573074699565E-3</v>
      </c>
      <c r="BC173" s="28">
        <f>IF( OR(ISBLANK(R173:R178),ISBLANK(AL173:AL178), ISBLANK(W173:W178),ISBLANK(AQ173:AQ178)), "·", bdRateExtend( R173:R178,W173:W178, AL173:AL178,AQ173:AQ178))</f>
        <v>2.7513590027945511E-3</v>
      </c>
      <c r="BD173" s="28">
        <f>IF( OR(ISBLANK(R173:R178),ISBLANK(AL173:AL178), ISBLANK(X173:X178),ISBLANK(AR173:AR178)), "·", bdRateExtend( R173:R178,X173:X178, AL173:AL178,AR173:AR178))</f>
        <v>2.6519467878864944E-3</v>
      </c>
      <c r="BE173" s="29"/>
      <c r="BG173" s="28">
        <f>IF( OR(ISBLANK(P173:P178),ISBLANK(AJ173:AJ178), ISBLANK(T173:T178),ISBLANK(AN173:AN178)), "·", bdRateExtend( P173:P178,T173:T178, AJ173:AJ178,AN173:AN178))</f>
        <v>-1.8568121181506969E-3</v>
      </c>
      <c r="BH173" s="28">
        <f>IF( OR(ISBLANK(P173:P178),ISBLANK(AJ173:AJ178), ISBLANK(U173:U178),ISBLANK(AO173:AO178)), "·", bdRateExtend( P173:P178,U173:U178, AJ173:AJ178,AO173:AO178))</f>
        <v>-1.4530975674207358E-3</v>
      </c>
      <c r="BI173" s="28">
        <f>IF( OR(ISBLANK(P173:P178),ISBLANK(AJ173:AJ178), ISBLANK(V173:V178),ISBLANK(AP173:AP178)), "·", bdRateExtend( P173:P178,V173:V178, AJ173:AJ178,AP173:AP178))</f>
        <v>-1.5901896975611951E-3</v>
      </c>
      <c r="BJ173" s="28">
        <f>IF( OR(ISBLANK(P173:P178),ISBLANK(AJ173:AJ178), ISBLANK(W173:W178),ISBLANK(AQ173:AQ178)), "·", bdRateExtend( P173:P178,W173:W178, AJ173:AJ178,AQ173:AQ178))</f>
        <v>-1.4995809934214011E-3</v>
      </c>
      <c r="BK173" s="28">
        <f>IF( OR(ISBLANK(P173:P178),ISBLANK(AJ173:AJ178), ISBLANK(X173:X178),ISBLANK(AR173:AR178)), "·", bdRateExtend( P173:P178,X173:X178, AJ173:AJ178,AR173:AR178))</f>
        <v>-1.5429320204050079E-3</v>
      </c>
      <c r="BL173" s="29"/>
    </row>
    <row r="174" spans="1:64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">
        <v>1042</v>
      </c>
      <c r="J174" s="34">
        <v>9.4484656063554148E-2</v>
      </c>
      <c r="K174" s="34">
        <v>1.1975834807651369E-2</v>
      </c>
      <c r="L174" s="34">
        <v>8.2463796491576924E-2</v>
      </c>
      <c r="M174" s="35"/>
      <c r="N174" s="34">
        <v>0.23847396075709387</v>
      </c>
      <c r="O174" s="36">
        <v>25272797</v>
      </c>
      <c r="P174" s="37">
        <v>6026904</v>
      </c>
      <c r="Q174" s="37">
        <v>763904</v>
      </c>
      <c r="R174" s="37">
        <v>5260128</v>
      </c>
      <c r="S174" s="38"/>
      <c r="T174" s="39">
        <v>72.542174000000003</v>
      </c>
      <c r="U174" s="39">
        <v>76.754673699999998</v>
      </c>
      <c r="V174" s="39">
        <v>30.568652799999999</v>
      </c>
      <c r="W174" s="39">
        <v>43.363876699999999</v>
      </c>
      <c r="X174" s="39">
        <v>41.609129699999997</v>
      </c>
      <c r="Y174" s="38"/>
      <c r="Z174" s="41"/>
      <c r="AA174" s="41"/>
      <c r="AC174" s="33" t="str">
        <f t="shared" si="12"/>
        <v>·</v>
      </c>
      <c r="AD174" s="34">
        <f t="shared" si="13"/>
        <v>9.3477807016178291E-2</v>
      </c>
      <c r="AE174" s="34">
        <f t="shared" si="14"/>
        <v>1.1436917224620225E-2</v>
      </c>
      <c r="AF174" s="34">
        <f t="shared" si="15"/>
        <v>8.1995865027232218E-2</v>
      </c>
      <c r="AG174" s="35"/>
      <c r="AH174" s="34">
        <f t="shared" si="16"/>
        <v>0.23593273035825832</v>
      </c>
      <c r="AI174" s="36">
        <f>Test!E879</f>
        <v>25272797</v>
      </c>
      <c r="AJ174" s="37">
        <v>5962680</v>
      </c>
      <c r="AK174" s="37">
        <v>729528</v>
      </c>
      <c r="AL174" s="37">
        <v>5230280</v>
      </c>
      <c r="AM174" s="38"/>
      <c r="AN174" s="39">
        <f>Test!J879</f>
        <v>72.542174000000003</v>
      </c>
      <c r="AO174" s="39">
        <f>Test!K879</f>
        <v>76.754673699999998</v>
      </c>
      <c r="AP174" s="39">
        <f>Test!L879</f>
        <v>30.568652799999999</v>
      </c>
      <c r="AQ174" s="39">
        <f>Test!M879</f>
        <v>43.363876699999999</v>
      </c>
      <c r="AR174" s="39">
        <f>Test!N879</f>
        <v>41.609129699999997</v>
      </c>
      <c r="AS174" s="40"/>
      <c r="AT174" s="41"/>
      <c r="AU174" s="41"/>
      <c r="AW174" s="42">
        <f t="shared" si="17"/>
        <v>-4.3999800108533438E-3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">
        <v>1042</v>
      </c>
      <c r="J175" s="19">
        <v>0.2406248822744291</v>
      </c>
      <c r="K175" s="19">
        <v>4.7664043268673101E-2</v>
      </c>
      <c r="L175" s="19">
        <v>0.19291456006972191</v>
      </c>
      <c r="M175" s="20"/>
      <c r="N175" s="19">
        <v>0.59718468821616844</v>
      </c>
      <c r="O175" s="21">
        <v>25701878</v>
      </c>
      <c r="P175" s="22">
        <v>15348768</v>
      </c>
      <c r="Q175" s="22">
        <v>3040352</v>
      </c>
      <c r="R175" s="22">
        <v>12305464</v>
      </c>
      <c r="S175" s="23"/>
      <c r="T175" s="24">
        <v>77.384885699999998</v>
      </c>
      <c r="U175" s="24">
        <v>80.935910199999995</v>
      </c>
      <c r="V175" s="24">
        <v>33.212288600000001</v>
      </c>
      <c r="W175" s="24">
        <v>46.049863100000003</v>
      </c>
      <c r="X175" s="24">
        <v>44.458010199999997</v>
      </c>
      <c r="Y175" s="23"/>
      <c r="Z175" s="26"/>
      <c r="AA175" s="26"/>
      <c r="AC175" s="18" t="str">
        <f t="shared" si="12"/>
        <v>·</v>
      </c>
      <c r="AD175" s="19">
        <f t="shared" si="13"/>
        <v>0.24060832720788033</v>
      </c>
      <c r="AE175" s="19">
        <f t="shared" si="14"/>
        <v>4.6904893133674838E-2</v>
      </c>
      <c r="AF175" s="19">
        <f t="shared" si="15"/>
        <v>0.19365715513817139</v>
      </c>
      <c r="AG175" s="20"/>
      <c r="AH175" s="19">
        <f t="shared" si="16"/>
        <v>0.59714360172435643</v>
      </c>
      <c r="AI175" s="21">
        <f>Test!E880</f>
        <v>25701878</v>
      </c>
      <c r="AJ175" s="22">
        <v>15347712</v>
      </c>
      <c r="AK175" s="22">
        <v>2991928</v>
      </c>
      <c r="AL175" s="22">
        <v>12352832</v>
      </c>
      <c r="AM175" s="23"/>
      <c r="AN175" s="24">
        <f>Test!J880</f>
        <v>77.384885699999998</v>
      </c>
      <c r="AO175" s="24">
        <f>Test!K880</f>
        <v>80.935910199999995</v>
      </c>
      <c r="AP175" s="24">
        <f>Test!L880</f>
        <v>33.212288600000001</v>
      </c>
      <c r="AQ175" s="24">
        <f>Test!M880</f>
        <v>46.049863100000003</v>
      </c>
      <c r="AR175" s="24">
        <f>Test!N880</f>
        <v>44.458010199999997</v>
      </c>
      <c r="AS175" s="25"/>
      <c r="AT175" s="26"/>
      <c r="AU175" s="26"/>
      <c r="AW175" s="27">
        <f t="shared" si="17"/>
        <v>-3.1414990611761118E-3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">
        <v>1042</v>
      </c>
      <c r="J176" s="34">
        <v>0.57720882487262049</v>
      </c>
      <c r="K176" s="34">
        <v>0.16350899936396249</v>
      </c>
      <c r="L176" s="34">
        <v>0.41365480074433209</v>
      </c>
      <c r="M176" s="35"/>
      <c r="N176" s="34">
        <v>1.3070247299447153</v>
      </c>
      <c r="O176" s="36">
        <v>28169695</v>
      </c>
      <c r="P176" s="37">
        <v>36818488</v>
      </c>
      <c r="Q176" s="37">
        <v>10429768</v>
      </c>
      <c r="R176" s="37">
        <v>26385848</v>
      </c>
      <c r="S176" s="38"/>
      <c r="T176" s="39">
        <v>80.510354399999997</v>
      </c>
      <c r="U176" s="39">
        <v>84.038455299999995</v>
      </c>
      <c r="V176" s="39">
        <v>35.319184100000001</v>
      </c>
      <c r="W176" s="39">
        <v>48.306746699999998</v>
      </c>
      <c r="X176" s="39">
        <v>46.9433188</v>
      </c>
      <c r="Y176" s="38"/>
      <c r="Z176" s="41"/>
      <c r="AA176" s="41"/>
      <c r="AC176" s="33" t="str">
        <f t="shared" si="12"/>
        <v>·</v>
      </c>
      <c r="AD176" s="34">
        <f t="shared" si="13"/>
        <v>0.57720882487262049</v>
      </c>
      <c r="AE176" s="34">
        <f t="shared" si="14"/>
        <v>0.16350899936396249</v>
      </c>
      <c r="AF176" s="34">
        <f t="shared" si="15"/>
        <v>0.41365480074433209</v>
      </c>
      <c r="AG176" s="35"/>
      <c r="AH176" s="34">
        <f t="shared" si="16"/>
        <v>1.3070247299447153</v>
      </c>
      <c r="AI176" s="36">
        <f>Test!E881</f>
        <v>28169695</v>
      </c>
      <c r="AJ176" s="37">
        <v>36818488</v>
      </c>
      <c r="AK176" s="37">
        <v>10429768</v>
      </c>
      <c r="AL176" s="37">
        <v>26385848</v>
      </c>
      <c r="AM176" s="38"/>
      <c r="AN176" s="39">
        <f>Test!J881</f>
        <v>80.510354399999997</v>
      </c>
      <c r="AO176" s="39">
        <f>Test!K881</f>
        <v>84.038455299999995</v>
      </c>
      <c r="AP176" s="39">
        <f>Test!L881</f>
        <v>35.319184100000001</v>
      </c>
      <c r="AQ176" s="39">
        <f>Test!M881</f>
        <v>48.306746699999998</v>
      </c>
      <c r="AR176" s="39">
        <f>Test!N881</f>
        <v>46.9433188</v>
      </c>
      <c r="AS176" s="40"/>
      <c r="AT176" s="41"/>
      <c r="AU176" s="41"/>
      <c r="AW176" s="42">
        <f t="shared" si="17"/>
        <v>0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">
        <v>1042</v>
      </c>
      <c r="J177" s="19" t="s">
        <v>1042</v>
      </c>
      <c r="K177" s="19" t="s">
        <v>1042</v>
      </c>
      <c r="L177" s="19" t="s">
        <v>1042</v>
      </c>
      <c r="M177" s="20"/>
      <c r="N177" s="19" t="s">
        <v>1042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12"/>
        <v>·</v>
      </c>
      <c r="AD177" s="19">
        <f t="shared" si="13"/>
        <v>0</v>
      </c>
      <c r="AE177" s="19">
        <f t="shared" si="14"/>
        <v>0</v>
      </c>
      <c r="AF177" s="19">
        <f t="shared" si="15"/>
        <v>0</v>
      </c>
      <c r="AG177" s="20"/>
      <c r="AH177" s="19" t="e">
        <f t="shared" si="16"/>
        <v>#DIV/0!</v>
      </c>
      <c r="AI177" s="21"/>
      <c r="AJ177" s="22">
        <v>0</v>
      </c>
      <c r="AK177" s="22">
        <v>0</v>
      </c>
      <c r="AL177" s="22">
        <v>0</v>
      </c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17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">
        <v>1042</v>
      </c>
      <c r="J178" s="49" t="s">
        <v>1042</v>
      </c>
      <c r="K178" s="49" t="s">
        <v>1042</v>
      </c>
      <c r="L178" s="49" t="s">
        <v>1042</v>
      </c>
      <c r="M178" s="50"/>
      <c r="N178" s="49" t="s">
        <v>1042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12"/>
        <v>·</v>
      </c>
      <c r="AD178" s="49">
        <f t="shared" si="13"/>
        <v>0</v>
      </c>
      <c r="AE178" s="49">
        <f t="shared" si="14"/>
        <v>0</v>
      </c>
      <c r="AF178" s="49">
        <f t="shared" si="15"/>
        <v>0</v>
      </c>
      <c r="AG178" s="50"/>
      <c r="AH178" s="49" t="e">
        <f t="shared" si="16"/>
        <v>#DIV/0!</v>
      </c>
      <c r="AI178" s="51"/>
      <c r="AJ178" s="52">
        <v>0</v>
      </c>
      <c r="AK178" s="52">
        <v>0</v>
      </c>
      <c r="AL178" s="52">
        <v>0</v>
      </c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17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">
        <v>1042</v>
      </c>
      <c r="J179" s="19">
        <v>9.3817678425452425E-2</v>
      </c>
      <c r="K179" s="19">
        <v>3.1475714832028445E-3</v>
      </c>
      <c r="L179" s="19">
        <v>9.0353344971328534E-2</v>
      </c>
      <c r="M179" s="20"/>
      <c r="N179" s="19">
        <v>0.19632962281981547</v>
      </c>
      <c r="O179" s="21">
        <v>953417</v>
      </c>
      <c r="P179" s="22">
        <v>187184</v>
      </c>
      <c r="Q179" s="22">
        <v>6280</v>
      </c>
      <c r="R179" s="22">
        <v>180272</v>
      </c>
      <c r="S179" s="23"/>
      <c r="T179" s="24">
        <v>39.726738400000002</v>
      </c>
      <c r="U179" s="24">
        <v>44.547941100000003</v>
      </c>
      <c r="V179" s="24">
        <v>17.214817499999999</v>
      </c>
      <c r="W179" s="24">
        <v>29.758672499999999</v>
      </c>
      <c r="X179" s="24">
        <v>28.623838899999999</v>
      </c>
      <c r="Y179" s="23"/>
      <c r="Z179" s="26"/>
      <c r="AA179" s="26"/>
      <c r="AC179" s="18" t="str">
        <f t="shared" si="12"/>
        <v>·</v>
      </c>
      <c r="AD179" s="19">
        <f t="shared" si="13"/>
        <v>9.3817678425452425E-2</v>
      </c>
      <c r="AE179" s="19">
        <f t="shared" si="14"/>
        <v>3.1475714832028445E-3</v>
      </c>
      <c r="AF179" s="19">
        <f t="shared" si="15"/>
        <v>9.0353344971328534E-2</v>
      </c>
      <c r="AG179" s="20"/>
      <c r="AH179" s="19">
        <f t="shared" si="16"/>
        <v>0.19632962281981547</v>
      </c>
      <c r="AI179" s="21">
        <f>Test!E884</f>
        <v>953417</v>
      </c>
      <c r="AJ179" s="22">
        <v>187184</v>
      </c>
      <c r="AK179" s="22">
        <v>6280</v>
      </c>
      <c r="AL179" s="22">
        <v>180272</v>
      </c>
      <c r="AM179" s="23"/>
      <c r="AN179" s="24">
        <f>Test!J884</f>
        <v>39.726738400000002</v>
      </c>
      <c r="AO179" s="24">
        <f>Test!K884</f>
        <v>44.547941100000003</v>
      </c>
      <c r="AP179" s="24">
        <f>Test!L884</f>
        <v>17.214817499999999</v>
      </c>
      <c r="AQ179" s="24">
        <f>Test!M884</f>
        <v>29.758672499999999</v>
      </c>
      <c r="AR179" s="24">
        <f>Test!N884</f>
        <v>28.623838899999999</v>
      </c>
      <c r="AS179" s="25"/>
      <c r="AT179" s="26"/>
      <c r="AU179" s="26"/>
      <c r="AW179" s="27">
        <f t="shared" si="17"/>
        <v>0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-1.7706738371018771E-2</v>
      </c>
      <c r="BA179" s="28">
        <f>IF( OR(ISBLANK(Q179:Q184),ISBLANK(AK179:AK184), ISBLANK(U179:U184),ISBLANK(AO179:AO184)), "·", bdRateExtend( Q179:Q184,U179:U184, AK179:AK184,AO179:AO184))</f>
        <v>-1.7888798094671476E-2</v>
      </c>
      <c r="BB179" s="28">
        <f>IF( OR(ISBLANK(R179:R184),ISBLANK(AL179:AL184), ISBLANK(V179:V184),ISBLANK(AP179:AP184)), "·", bdRateExtend( R179:R184,V179:V184, AL179:AL184,AP179:AP184))</f>
        <v>-7.1135071955047424E-3</v>
      </c>
      <c r="BC179" s="28">
        <f>IF( OR(ISBLANK(R179:R184),ISBLANK(AL179:AL184), ISBLANK(W179:W184),ISBLANK(AQ179:AQ184)), "·", bdRateExtend( R179:R184,W179:W184, AL179:AL184,AQ179:AQ184))</f>
        <v>-6.8587735947608364E-3</v>
      </c>
      <c r="BD179" s="28">
        <f>IF( OR(ISBLANK(R179:R184),ISBLANK(AL179:AL184), ISBLANK(X179:X184),ISBLANK(AR179:AR184)), "·", bdRateExtend( R179:R184,X179:X184, AL179:AL184,AR179:AR184))</f>
        <v>-6.7927632763046253E-3</v>
      </c>
      <c r="BE179" s="29"/>
      <c r="BG179" s="28">
        <f>IF( OR(ISBLANK(P179:P184),ISBLANK(AJ179:AJ184), ISBLANK(T179:T184),ISBLANK(AN179:AN184)), "·", bdRateExtend( P179:P184,T179:T184, AJ179:AJ184,AN179:AN184))</f>
        <v>-6.8830522473515288E-3</v>
      </c>
      <c r="BH179" s="28">
        <f>IF( OR(ISBLANK(P179:P184),ISBLANK(AJ179:AJ184), ISBLANK(U179:U184),ISBLANK(AO179:AO184)), "·", bdRateExtend( P179:P184,U179:U184, AJ179:AJ184,AO179:AO184))</f>
        <v>-6.2302969671638175E-3</v>
      </c>
      <c r="BI179" s="28">
        <f>IF( OR(ISBLANK(P179:P184),ISBLANK(AJ179:AJ184), ISBLANK(V179:V184),ISBLANK(AP179:AP184)), "·", bdRateExtend( P179:P184,V179:V184, AJ179:AJ184,AP179:AP184))</f>
        <v>-7.3816961726997921E-3</v>
      </c>
      <c r="BJ179" s="28">
        <f>IF( OR(ISBLANK(P179:P184),ISBLANK(AJ179:AJ184), ISBLANK(W179:W184),ISBLANK(AQ179:AQ184)), "·", bdRateExtend( P179:P184,W179:W184, AJ179:AJ184,AQ179:AQ184))</f>
        <v>-7.1413826020659821E-3</v>
      </c>
      <c r="BK179" s="28">
        <f>IF( OR(ISBLANK(P179:P184),ISBLANK(AJ179:AJ184), ISBLANK(X179:X184),ISBLANK(AR179:AR184)), "·", bdRateExtend( P179:P184,X179:X184, AJ179:AJ184,AR179:AR184))</f>
        <v>-7.080530156032272E-3</v>
      </c>
      <c r="BL179" s="29"/>
    </row>
    <row r="180" spans="1:64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">
        <v>1042</v>
      </c>
      <c r="J180" s="34">
        <v>0.45517492327794512</v>
      </c>
      <c r="K180" s="34">
        <v>1.0765897366114188E-2</v>
      </c>
      <c r="L180" s="34">
        <v>0.44409226394090984</v>
      </c>
      <c r="M180" s="35"/>
      <c r="N180" s="34">
        <v>0.51028882428367062</v>
      </c>
      <c r="O180" s="36">
        <v>1779698</v>
      </c>
      <c r="P180" s="37">
        <v>908160</v>
      </c>
      <c r="Q180" s="37">
        <v>21480</v>
      </c>
      <c r="R180" s="37">
        <v>886048</v>
      </c>
      <c r="S180" s="38"/>
      <c r="T180" s="39">
        <v>48.455887099999998</v>
      </c>
      <c r="U180" s="39">
        <v>49.678536200000003</v>
      </c>
      <c r="V180" s="39">
        <v>22.645814000000001</v>
      </c>
      <c r="W180" s="39">
        <v>35.118223499999999</v>
      </c>
      <c r="X180" s="39">
        <v>33.776225699999998</v>
      </c>
      <c r="Y180" s="38"/>
      <c r="Z180" s="41"/>
      <c r="AA180" s="41"/>
      <c r="AC180" s="33" t="str">
        <f t="shared" si="12"/>
        <v>·</v>
      </c>
      <c r="AD180" s="34">
        <f t="shared" si="13"/>
        <v>0.45013078961441749</v>
      </c>
      <c r="AE180" s="34">
        <f t="shared" si="14"/>
        <v>1.0529328299223782E-2</v>
      </c>
      <c r="AF180" s="34">
        <f t="shared" si="15"/>
        <v>0.43928469934427267</v>
      </c>
      <c r="AG180" s="35"/>
      <c r="AH180" s="34">
        <f t="shared" si="16"/>
        <v>0.50463393227390263</v>
      </c>
      <c r="AI180" s="36">
        <f>Test!E885</f>
        <v>1779698</v>
      </c>
      <c r="AJ180" s="37">
        <v>898096</v>
      </c>
      <c r="AK180" s="37">
        <v>21008</v>
      </c>
      <c r="AL180" s="37">
        <v>876456</v>
      </c>
      <c r="AM180" s="38"/>
      <c r="AN180" s="39">
        <f>Test!J885</f>
        <v>48.455887099999998</v>
      </c>
      <c r="AO180" s="39">
        <f>Test!K885</f>
        <v>49.678536200000003</v>
      </c>
      <c r="AP180" s="39">
        <f>Test!L885</f>
        <v>22.645814000000001</v>
      </c>
      <c r="AQ180" s="39">
        <f>Test!M885</f>
        <v>35.118223499999999</v>
      </c>
      <c r="AR180" s="39">
        <f>Test!N885</f>
        <v>33.776225699999998</v>
      </c>
      <c r="AS180" s="40"/>
      <c r="AT180" s="41"/>
      <c r="AU180" s="41"/>
      <c r="AW180" s="42">
        <f t="shared" si="17"/>
        <v>-2.605111916728492E-4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">
        <v>1042</v>
      </c>
      <c r="J181" s="19">
        <v>1.3569882351997731</v>
      </c>
      <c r="K181" s="19">
        <v>3.8560757903135991E-2</v>
      </c>
      <c r="L181" s="19">
        <v>1.3181107153257161</v>
      </c>
      <c r="M181" s="20"/>
      <c r="N181" s="19">
        <v>1.0829072949556149</v>
      </c>
      <c r="O181" s="21">
        <v>2500166</v>
      </c>
      <c r="P181" s="22">
        <v>2707448</v>
      </c>
      <c r="Q181" s="22">
        <v>76936</v>
      </c>
      <c r="R181" s="22">
        <v>2629880</v>
      </c>
      <c r="S181" s="23"/>
      <c r="T181" s="24">
        <v>60.2514927</v>
      </c>
      <c r="U181" s="24">
        <v>61.146888799999999</v>
      </c>
      <c r="V181" s="24">
        <v>27.756602900000001</v>
      </c>
      <c r="W181" s="24">
        <v>41.074112200000002</v>
      </c>
      <c r="X181" s="24">
        <v>39.895759099999999</v>
      </c>
      <c r="Y181" s="23"/>
      <c r="Z181" s="26"/>
      <c r="AA181" s="26"/>
      <c r="AC181" s="18" t="str">
        <f t="shared" si="12"/>
        <v>·</v>
      </c>
      <c r="AD181" s="19">
        <f t="shared" si="13"/>
        <v>1.3509336709454594</v>
      </c>
      <c r="AE181" s="19">
        <f t="shared" si="14"/>
        <v>3.7766848153232599E-2</v>
      </c>
      <c r="AF181" s="19">
        <f t="shared" si="15"/>
        <v>1.3128500608213056</v>
      </c>
      <c r="AG181" s="20"/>
      <c r="AH181" s="19">
        <f t="shared" si="16"/>
        <v>1.0780756157791123</v>
      </c>
      <c r="AI181" s="21">
        <f>Test!E886</f>
        <v>2500166</v>
      </c>
      <c r="AJ181" s="22">
        <v>2695368</v>
      </c>
      <c r="AK181" s="22">
        <v>75352</v>
      </c>
      <c r="AL181" s="22">
        <v>2619384</v>
      </c>
      <c r="AM181" s="23"/>
      <c r="AN181" s="24">
        <f>Test!J886</f>
        <v>60.2514927</v>
      </c>
      <c r="AO181" s="24">
        <f>Test!K886</f>
        <v>61.146888799999999</v>
      </c>
      <c r="AP181" s="24">
        <f>Test!L886</f>
        <v>27.756602900000001</v>
      </c>
      <c r="AQ181" s="24">
        <f>Test!M886</f>
        <v>41.074112200000002</v>
      </c>
      <c r="AR181" s="24">
        <f>Test!N886</f>
        <v>39.895759099999999</v>
      </c>
      <c r="AS181" s="25"/>
      <c r="AT181" s="26"/>
      <c r="AU181" s="26"/>
      <c r="AW181" s="27">
        <f t="shared" si="17"/>
        <v>-4.6031916788975141E-4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">
        <v>1042</v>
      </c>
      <c r="J182" s="34">
        <v>2.2776829663756164</v>
      </c>
      <c r="K182" s="34">
        <v>0.12898627648809211</v>
      </c>
      <c r="L182" s="34">
        <v>2.1483398314645878</v>
      </c>
      <c r="M182" s="35"/>
      <c r="N182" s="34">
        <v>1.6520746507833564</v>
      </c>
      <c r="O182" s="36">
        <v>2750728</v>
      </c>
      <c r="P182" s="37">
        <v>4544408</v>
      </c>
      <c r="Q182" s="37">
        <v>257352</v>
      </c>
      <c r="R182" s="37">
        <v>4286344</v>
      </c>
      <c r="S182" s="38"/>
      <c r="T182" s="39">
        <v>64.702781700000003</v>
      </c>
      <c r="U182" s="39">
        <v>67.478378399999997</v>
      </c>
      <c r="V182" s="39">
        <v>28.9913791</v>
      </c>
      <c r="W182" s="39">
        <v>42.909469100000003</v>
      </c>
      <c r="X182" s="39">
        <v>41.865646499999997</v>
      </c>
      <c r="Y182" s="38"/>
      <c r="Z182" s="41"/>
      <c r="AA182" s="41"/>
      <c r="AC182" s="33" t="str">
        <f t="shared" si="12"/>
        <v>·</v>
      </c>
      <c r="AD182" s="34">
        <f t="shared" si="13"/>
        <v>2.2776829663756164</v>
      </c>
      <c r="AE182" s="34">
        <f t="shared" si="14"/>
        <v>0.12898627648809211</v>
      </c>
      <c r="AF182" s="34">
        <f t="shared" si="15"/>
        <v>2.1483398314645878</v>
      </c>
      <c r="AG182" s="35"/>
      <c r="AH182" s="34">
        <f t="shared" si="16"/>
        <v>1.6520746507833564</v>
      </c>
      <c r="AI182" s="36">
        <f>Test!E887</f>
        <v>2750728</v>
      </c>
      <c r="AJ182" s="37">
        <v>4544408</v>
      </c>
      <c r="AK182" s="37">
        <v>257352</v>
      </c>
      <c r="AL182" s="37">
        <v>4286344</v>
      </c>
      <c r="AM182" s="38"/>
      <c r="AN182" s="39">
        <f>Test!J887</f>
        <v>64.702781700000003</v>
      </c>
      <c r="AO182" s="39">
        <f>Test!K887</f>
        <v>67.478378399999997</v>
      </c>
      <c r="AP182" s="39">
        <f>Test!L887</f>
        <v>28.9913791</v>
      </c>
      <c r="AQ182" s="39">
        <f>Test!M887</f>
        <v>42.909469100000003</v>
      </c>
      <c r="AR182" s="39">
        <f>Test!N887</f>
        <v>41.865646499999997</v>
      </c>
      <c r="AS182" s="40"/>
      <c r="AT182" s="41"/>
      <c r="AU182" s="41"/>
      <c r="AW182" s="42">
        <f t="shared" si="17"/>
        <v>0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">
        <v>1042</v>
      </c>
      <c r="J183" s="19" t="s">
        <v>1042</v>
      </c>
      <c r="K183" s="19" t="s">
        <v>1042</v>
      </c>
      <c r="L183" s="19" t="s">
        <v>1042</v>
      </c>
      <c r="M183" s="20"/>
      <c r="N183" s="19" t="s">
        <v>1042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12"/>
        <v>·</v>
      </c>
      <c r="AD183" s="19">
        <f t="shared" si="13"/>
        <v>0</v>
      </c>
      <c r="AE183" s="19">
        <f t="shared" si="14"/>
        <v>0</v>
      </c>
      <c r="AF183" s="19">
        <f t="shared" si="15"/>
        <v>0</v>
      </c>
      <c r="AG183" s="20"/>
      <c r="AH183" s="19" t="e">
        <f t="shared" si="16"/>
        <v>#DIV/0!</v>
      </c>
      <c r="AI183" s="21"/>
      <c r="AJ183" s="22">
        <v>0</v>
      </c>
      <c r="AK183" s="22">
        <v>0</v>
      </c>
      <c r="AL183" s="22">
        <v>0</v>
      </c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17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">
        <v>1042</v>
      </c>
      <c r="J184" s="49" t="s">
        <v>1042</v>
      </c>
      <c r="K184" s="49" t="s">
        <v>1042</v>
      </c>
      <c r="L184" s="49" t="s">
        <v>1042</v>
      </c>
      <c r="M184" s="50"/>
      <c r="N184" s="49" t="s">
        <v>1042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12"/>
        <v>·</v>
      </c>
      <c r="AD184" s="49">
        <f t="shared" si="13"/>
        <v>0</v>
      </c>
      <c r="AE184" s="49">
        <f t="shared" si="14"/>
        <v>0</v>
      </c>
      <c r="AF184" s="49">
        <f t="shared" si="15"/>
        <v>0</v>
      </c>
      <c r="AG184" s="50"/>
      <c r="AH184" s="49" t="e">
        <f t="shared" si="16"/>
        <v>#DIV/0!</v>
      </c>
      <c r="AI184" s="51"/>
      <c r="AJ184" s="52">
        <v>0</v>
      </c>
      <c r="AK184" s="52">
        <v>0</v>
      </c>
      <c r="AL184" s="52">
        <v>0</v>
      </c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17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">
        <v>1042</v>
      </c>
      <c r="J185" s="19">
        <v>9.1005075293096871E-2</v>
      </c>
      <c r="K185" s="19">
        <v>3.4549626539967281E-3</v>
      </c>
      <c r="L185" s="19">
        <v>8.7231273422921932E-2</v>
      </c>
      <c r="M185" s="20"/>
      <c r="N185" s="19">
        <v>0.27691616450992751</v>
      </c>
      <c r="O185" s="21">
        <v>502997</v>
      </c>
      <c r="P185" s="22">
        <v>139288</v>
      </c>
      <c r="Q185" s="22">
        <v>5288</v>
      </c>
      <c r="R185" s="22">
        <v>133512</v>
      </c>
      <c r="S185" s="23"/>
      <c r="T185" s="24">
        <v>46.175350600000002</v>
      </c>
      <c r="U185" s="24">
        <v>52.802708899999999</v>
      </c>
      <c r="V185" s="24">
        <v>18.635821700000001</v>
      </c>
      <c r="W185" s="24">
        <v>35.912267800000002</v>
      </c>
      <c r="X185" s="24">
        <v>35.609902499999997</v>
      </c>
      <c r="Y185" s="23"/>
      <c r="Z185" s="26"/>
      <c r="AA185" s="26"/>
      <c r="AC185" s="18" t="str">
        <f t="shared" si="12"/>
        <v>·</v>
      </c>
      <c r="AD185" s="19">
        <f t="shared" si="13"/>
        <v>9.0231498178434968E-2</v>
      </c>
      <c r="AE185" s="19">
        <f t="shared" si="14"/>
        <v>3.3765595680512652E-3</v>
      </c>
      <c r="AF185" s="19">
        <f t="shared" si="15"/>
        <v>8.6536099394205493E-2</v>
      </c>
      <c r="AG185" s="20"/>
      <c r="AH185" s="19">
        <f t="shared" si="16"/>
        <v>0.27456227373125486</v>
      </c>
      <c r="AI185" s="21">
        <f>Test!E890</f>
        <v>502997</v>
      </c>
      <c r="AJ185" s="22">
        <v>138104</v>
      </c>
      <c r="AK185" s="22">
        <v>5168</v>
      </c>
      <c r="AL185" s="22">
        <v>132448</v>
      </c>
      <c r="AM185" s="23"/>
      <c r="AN185" s="24">
        <f>Test!J890</f>
        <v>46.175350600000002</v>
      </c>
      <c r="AO185" s="24">
        <f>Test!K890</f>
        <v>52.802708899999999</v>
      </c>
      <c r="AP185" s="24">
        <f>Test!L890</f>
        <v>18.635821700000001</v>
      </c>
      <c r="AQ185" s="24">
        <f>Test!M890</f>
        <v>35.912267800000002</v>
      </c>
      <c r="AR185" s="24">
        <f>Test!N890</f>
        <v>35.609902499999997</v>
      </c>
      <c r="AS185" s="25"/>
      <c r="AT185" s="26"/>
      <c r="AU185" s="26"/>
      <c r="AW185" s="27">
        <f t="shared" si="17"/>
        <v>-5.4343122462586352E-4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-8.8285514672723497E-3</v>
      </c>
      <c r="BA185" s="28">
        <f>IF( OR(ISBLANK(Q185:Q190),ISBLANK(AK185:AK190), ISBLANK(U185:U190),ISBLANK(AO185:AO190)), "·", bdRateExtend( Q185:Q190,U185:U190, AK185:AK190,AO185:AO190))</f>
        <v>-9.8930288945985323E-3</v>
      </c>
      <c r="BB185" s="28">
        <f>IF( OR(ISBLANK(R185:R190),ISBLANK(AL185:AL190), ISBLANK(V185:V190),ISBLANK(AP185:AP190)), "·", bdRateExtend( R185:R190,V185:V190, AL185:AL190,AP185:AP190))</f>
        <v>-3.8761912479028382E-3</v>
      </c>
      <c r="BC185" s="28">
        <f>IF( OR(ISBLANK(R185:R190),ISBLANK(AL185:AL190), ISBLANK(W185:W190),ISBLANK(AQ185:AQ190)), "·", bdRateExtend( R185:R190,W185:W190, AL185:AL190,AQ185:AQ190))</f>
        <v>-3.2570224961229188E-3</v>
      </c>
      <c r="BD185" s="28">
        <f>IF( OR(ISBLANK(R185:R190),ISBLANK(AL185:AL190), ISBLANK(X185:X190),ISBLANK(AR185:AR190)), "·", bdRateExtend( R185:R190,X185:X190, AL185:AL190,AR185:AR190))</f>
        <v>-3.1819151160537018E-3</v>
      </c>
      <c r="BE185" s="29"/>
      <c r="BG185" s="28">
        <f>IF( OR(ISBLANK(P185:P190),ISBLANK(AJ185:AJ190), ISBLANK(T185:T190),ISBLANK(AN185:AN190)), "·", bdRateExtend( P185:P190,T185:T190, AJ185:AJ190,AN185:AN190))</f>
        <v>-4.4824192383488004E-3</v>
      </c>
      <c r="BH185" s="28">
        <f>IF( OR(ISBLANK(P185:P190),ISBLANK(AJ185:AJ190), ISBLANK(U185:U190),ISBLANK(AO185:AO190)), "·", bdRateExtend( P185:P190,U185:U190, AJ185:AJ190,AO185:AO190))</f>
        <v>-4.8283770960231287E-3</v>
      </c>
      <c r="BI185" s="28">
        <f>IF( OR(ISBLANK(P185:P190),ISBLANK(AJ185:AJ190), ISBLANK(V185:V190),ISBLANK(AP185:AP190)), "·", bdRateExtend( P185:P190,V185:V190, AJ185:AJ190,AP185:AP190))</f>
        <v>-4.0595196757070573E-3</v>
      </c>
      <c r="BJ185" s="28">
        <f>IF( OR(ISBLANK(P185:P190),ISBLANK(AJ185:AJ190), ISBLANK(W185:W190),ISBLANK(AQ185:AQ190)), "·", bdRateExtend( P185:P190,W185:W190, AJ185:AJ190,AQ185:AQ190))</f>
        <v>-3.4198551892608009E-3</v>
      </c>
      <c r="BK185" s="28">
        <f>IF( OR(ISBLANK(P185:P190),ISBLANK(AJ185:AJ190), ISBLANK(X185:X190),ISBLANK(AR185:AR190)), "·", bdRateExtend( P185:P190,X185:X190, AJ185:AJ190,AR185:AR190))</f>
        <v>-3.3403408074637042E-3</v>
      </c>
      <c r="BL185" s="29"/>
    </row>
    <row r="186" spans="1:64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">
        <v>1042</v>
      </c>
      <c r="J186" s="34">
        <v>0.30488869375231942</v>
      </c>
      <c r="K186" s="34">
        <v>1.3485330782619605E-2</v>
      </c>
      <c r="L186" s="34">
        <v>0.29108452375352162</v>
      </c>
      <c r="M186" s="35"/>
      <c r="N186" s="34">
        <v>0.87514440460294363</v>
      </c>
      <c r="O186" s="36">
        <v>533224</v>
      </c>
      <c r="P186" s="37">
        <v>466648</v>
      </c>
      <c r="Q186" s="37">
        <v>20640</v>
      </c>
      <c r="R186" s="37">
        <v>445520</v>
      </c>
      <c r="S186" s="38"/>
      <c r="T186" s="39">
        <v>51.5707801</v>
      </c>
      <c r="U186" s="39">
        <v>58.4443713</v>
      </c>
      <c r="V186" s="39">
        <v>19.7963612</v>
      </c>
      <c r="W186" s="39">
        <v>36.7656724</v>
      </c>
      <c r="X186" s="39">
        <v>36.418388</v>
      </c>
      <c r="Y186" s="38"/>
      <c r="Z186" s="41"/>
      <c r="AA186" s="41"/>
      <c r="AC186" s="33" t="str">
        <f t="shared" si="12"/>
        <v>·</v>
      </c>
      <c r="AD186" s="34">
        <f t="shared" si="13"/>
        <v>0.3032840439266356</v>
      </c>
      <c r="AE186" s="34">
        <f t="shared" si="14"/>
        <v>1.3370339589899591E-2</v>
      </c>
      <c r="AF186" s="34">
        <f t="shared" si="15"/>
        <v>0.28959486512055782</v>
      </c>
      <c r="AG186" s="35"/>
      <c r="AH186" s="34">
        <f t="shared" si="16"/>
        <v>0.87053846038437876</v>
      </c>
      <c r="AI186" s="36">
        <f>Test!E891</f>
        <v>533224</v>
      </c>
      <c r="AJ186" s="37">
        <v>464192</v>
      </c>
      <c r="AK186" s="37">
        <v>20464</v>
      </c>
      <c r="AL186" s="37">
        <v>443240</v>
      </c>
      <c r="AM186" s="38"/>
      <c r="AN186" s="39">
        <f>Test!J891</f>
        <v>51.5707801</v>
      </c>
      <c r="AO186" s="39">
        <f>Test!K891</f>
        <v>58.4443713</v>
      </c>
      <c r="AP186" s="39">
        <f>Test!L891</f>
        <v>19.7963612</v>
      </c>
      <c r="AQ186" s="39">
        <f>Test!M891</f>
        <v>36.7656724</v>
      </c>
      <c r="AR186" s="39">
        <f>Test!N891</f>
        <v>36.418388</v>
      </c>
      <c r="AS186" s="40"/>
      <c r="AT186" s="41"/>
      <c r="AU186" s="41"/>
      <c r="AW186" s="42">
        <f t="shared" si="17"/>
        <v>-1.451345205922619E-4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">
        <v>1042</v>
      </c>
      <c r="J187" s="19">
        <v>1.0102708042588557</v>
      </c>
      <c r="K187" s="19">
        <v>6.5074561334734132E-2</v>
      </c>
      <c r="L187" s="19">
        <v>0.94487740370794326</v>
      </c>
      <c r="M187" s="20"/>
      <c r="N187" s="19">
        <v>2.0647628611030249</v>
      </c>
      <c r="O187" s="21">
        <v>748886</v>
      </c>
      <c r="P187" s="22">
        <v>1546272</v>
      </c>
      <c r="Q187" s="22">
        <v>99600</v>
      </c>
      <c r="R187" s="22">
        <v>1446184</v>
      </c>
      <c r="S187" s="23"/>
      <c r="T187" s="24">
        <v>58.057163199999998</v>
      </c>
      <c r="U187" s="24">
        <v>61.929736900000002</v>
      </c>
      <c r="V187" s="24">
        <v>20.7803532</v>
      </c>
      <c r="W187" s="24">
        <v>37.432873800000003</v>
      </c>
      <c r="X187" s="24">
        <v>37.190035899999998</v>
      </c>
      <c r="Y187" s="23"/>
      <c r="Z187" s="26"/>
      <c r="AA187" s="26"/>
      <c r="AC187" s="18" t="str">
        <f t="shared" si="12"/>
        <v>·</v>
      </c>
      <c r="AD187" s="19">
        <f t="shared" si="13"/>
        <v>1.0089536324149719</v>
      </c>
      <c r="AE187" s="19">
        <f t="shared" si="14"/>
        <v>6.4881167056068667E-2</v>
      </c>
      <c r="AF187" s="19">
        <f t="shared" si="15"/>
        <v>0.94375362614272496</v>
      </c>
      <c r="AG187" s="20"/>
      <c r="AH187" s="19">
        <f t="shared" si="16"/>
        <v>2.0620708625878974</v>
      </c>
      <c r="AI187" s="21">
        <f>Test!E892</f>
        <v>748886</v>
      </c>
      <c r="AJ187" s="22">
        <v>1544256</v>
      </c>
      <c r="AK187" s="22">
        <v>99304</v>
      </c>
      <c r="AL187" s="22">
        <v>1444464</v>
      </c>
      <c r="AM187" s="23"/>
      <c r="AN187" s="24">
        <f>Test!J892</f>
        <v>58.057163199999998</v>
      </c>
      <c r="AO187" s="24">
        <f>Test!K892</f>
        <v>61.929736900000002</v>
      </c>
      <c r="AP187" s="24">
        <f>Test!L892</f>
        <v>20.7803532</v>
      </c>
      <c r="AQ187" s="24">
        <f>Test!M892</f>
        <v>37.432873800000003</v>
      </c>
      <c r="AR187" s="24">
        <f>Test!N892</f>
        <v>37.190035899999998</v>
      </c>
      <c r="AS187" s="25"/>
      <c r="AT187" s="26"/>
      <c r="AU187" s="26"/>
      <c r="AW187" s="27">
        <f t="shared" si="17"/>
        <v>-1.0758800089241682E-4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">
        <v>1042</v>
      </c>
      <c r="J188" s="34">
        <v>2.4971853292145578</v>
      </c>
      <c r="K188" s="34">
        <v>0.28384007861216082</v>
      </c>
      <c r="L188" s="34">
        <v>2.213026411386219</v>
      </c>
      <c r="M188" s="35"/>
      <c r="N188" s="34">
        <v>3.8599808721453392</v>
      </c>
      <c r="O188" s="36">
        <v>990179</v>
      </c>
      <c r="P188" s="37">
        <v>3822072</v>
      </c>
      <c r="Q188" s="37">
        <v>434432</v>
      </c>
      <c r="R188" s="37">
        <v>3387152</v>
      </c>
      <c r="S188" s="38"/>
      <c r="T188" s="39">
        <v>59.6374797</v>
      </c>
      <c r="U188" s="39">
        <v>63.799921300000001</v>
      </c>
      <c r="V188" s="39">
        <v>21.521408999999998</v>
      </c>
      <c r="W188" s="39">
        <v>38.381872799999996</v>
      </c>
      <c r="X188" s="39">
        <v>38.137464899999998</v>
      </c>
      <c r="Y188" s="38"/>
      <c r="Z188" s="41"/>
      <c r="AA188" s="41"/>
      <c r="AC188" s="33" t="str">
        <f t="shared" si="12"/>
        <v>·</v>
      </c>
      <c r="AD188" s="34">
        <f t="shared" si="13"/>
        <v>2.4971853292145578</v>
      </c>
      <c r="AE188" s="34">
        <f t="shared" si="14"/>
        <v>0.28384007861216082</v>
      </c>
      <c r="AF188" s="34">
        <f t="shared" si="15"/>
        <v>2.213026411386219</v>
      </c>
      <c r="AG188" s="35"/>
      <c r="AH188" s="34">
        <f t="shared" si="16"/>
        <v>3.8599808721453392</v>
      </c>
      <c r="AI188" s="36">
        <f>Test!E893</f>
        <v>990179</v>
      </c>
      <c r="AJ188" s="37">
        <v>3822072</v>
      </c>
      <c r="AK188" s="37">
        <v>434432</v>
      </c>
      <c r="AL188" s="37">
        <v>3387152</v>
      </c>
      <c r="AM188" s="38"/>
      <c r="AN188" s="39">
        <f>Test!J893</f>
        <v>59.6374797</v>
      </c>
      <c r="AO188" s="39">
        <f>Test!K893</f>
        <v>63.799921300000001</v>
      </c>
      <c r="AP188" s="39">
        <f>Test!L893</f>
        <v>21.521408999999998</v>
      </c>
      <c r="AQ188" s="39">
        <f>Test!M893</f>
        <v>38.381872799999996</v>
      </c>
      <c r="AR188" s="39">
        <f>Test!N893</f>
        <v>38.137464899999998</v>
      </c>
      <c r="AS188" s="40"/>
      <c r="AT188" s="41"/>
      <c r="AU188" s="41"/>
      <c r="AW188" s="42">
        <f t="shared" si="17"/>
        <v>0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">
        <v>1042</v>
      </c>
      <c r="J189" s="19" t="s">
        <v>1042</v>
      </c>
      <c r="K189" s="19" t="s">
        <v>1042</v>
      </c>
      <c r="L189" s="19" t="s">
        <v>1042</v>
      </c>
      <c r="M189" s="20"/>
      <c r="N189" s="19" t="s">
        <v>1042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12"/>
        <v>·</v>
      </c>
      <c r="AD189" s="19">
        <f t="shared" si="13"/>
        <v>0</v>
      </c>
      <c r="AE189" s="19">
        <f t="shared" si="14"/>
        <v>0</v>
      </c>
      <c r="AF189" s="19">
        <f t="shared" si="15"/>
        <v>0</v>
      </c>
      <c r="AG189" s="20"/>
      <c r="AH189" s="19" t="e">
        <f t="shared" si="16"/>
        <v>#DIV/0!</v>
      </c>
      <c r="AI189" s="21"/>
      <c r="AJ189" s="22">
        <v>0</v>
      </c>
      <c r="AK189" s="22">
        <v>0</v>
      </c>
      <c r="AL189" s="22">
        <v>0</v>
      </c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17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">
        <v>1042</v>
      </c>
      <c r="J190" s="49" t="s">
        <v>1042</v>
      </c>
      <c r="K190" s="49" t="s">
        <v>1042</v>
      </c>
      <c r="L190" s="49" t="s">
        <v>1042</v>
      </c>
      <c r="M190" s="50"/>
      <c r="N190" s="49" t="s">
        <v>1042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12"/>
        <v>·</v>
      </c>
      <c r="AD190" s="49">
        <f t="shared" si="13"/>
        <v>0</v>
      </c>
      <c r="AE190" s="49">
        <f t="shared" si="14"/>
        <v>0</v>
      </c>
      <c r="AF190" s="49">
        <f t="shared" si="15"/>
        <v>0</v>
      </c>
      <c r="AG190" s="50"/>
      <c r="AH190" s="49" t="e">
        <f t="shared" si="16"/>
        <v>#DIV/0!</v>
      </c>
      <c r="AI190" s="51"/>
      <c r="AJ190" s="52">
        <v>0</v>
      </c>
      <c r="AK190" s="52">
        <v>0</v>
      </c>
      <c r="AL190" s="52">
        <v>0</v>
      </c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17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">
        <v>1042</v>
      </c>
      <c r="J191" s="19">
        <v>0.10714036869840735</v>
      </c>
      <c r="K191" s="19">
        <v>1.7103733557275871E-2</v>
      </c>
      <c r="L191" s="19">
        <v>8.8247050669443952E-2</v>
      </c>
      <c r="M191" s="20"/>
      <c r="N191" s="19">
        <v>4.9719713961886541E-2</v>
      </c>
      <c r="O191" s="21">
        <v>587614</v>
      </c>
      <c r="P191" s="22">
        <v>29216</v>
      </c>
      <c r="Q191" s="22">
        <v>4664</v>
      </c>
      <c r="R191" s="22">
        <v>24064</v>
      </c>
      <c r="S191" s="23"/>
      <c r="T191" s="24">
        <v>51.5627925</v>
      </c>
      <c r="U191" s="24">
        <v>53.869493400000003</v>
      </c>
      <c r="V191" s="24">
        <v>28.302418100000001</v>
      </c>
      <c r="W191" s="24">
        <v>40.494515499999999</v>
      </c>
      <c r="X191" s="24">
        <v>41.560790099999998</v>
      </c>
      <c r="Y191" s="23"/>
      <c r="Z191" s="26"/>
      <c r="AA191" s="26"/>
      <c r="AC191" s="18" t="str">
        <f t="shared" si="12"/>
        <v>·</v>
      </c>
      <c r="AD191" s="19">
        <f t="shared" si="13"/>
        <v>0.10587885833311941</v>
      </c>
      <c r="AE191" s="19">
        <f t="shared" si="14"/>
        <v>1.689837140478714E-2</v>
      </c>
      <c r="AF191" s="19">
        <f t="shared" si="15"/>
        <v>8.719090245664475E-2</v>
      </c>
      <c r="AG191" s="20"/>
      <c r="AH191" s="19">
        <f t="shared" si="16"/>
        <v>4.9134295643058198E-2</v>
      </c>
      <c r="AI191" s="21">
        <f>Test!E896</f>
        <v>587614</v>
      </c>
      <c r="AJ191" s="22">
        <v>28872</v>
      </c>
      <c r="AK191" s="22">
        <v>4608</v>
      </c>
      <c r="AL191" s="22">
        <v>23776</v>
      </c>
      <c r="AM191" s="23"/>
      <c r="AN191" s="24">
        <f>Test!J896</f>
        <v>51.5627925</v>
      </c>
      <c r="AO191" s="24">
        <f>Test!K896</f>
        <v>53.869493400000003</v>
      </c>
      <c r="AP191" s="24">
        <f>Test!L896</f>
        <v>28.302418100000001</v>
      </c>
      <c r="AQ191" s="24">
        <f>Test!M896</f>
        <v>40.494515499999999</v>
      </c>
      <c r="AR191" s="24">
        <f>Test!N896</f>
        <v>41.560790099999998</v>
      </c>
      <c r="AS191" s="25"/>
      <c r="AT191" s="26"/>
      <c r="AU191" s="26"/>
      <c r="AW191" s="27">
        <f t="shared" si="17"/>
        <v>-3.7556710633046553E-5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-1.0751653009336115E-2</v>
      </c>
      <c r="BA191" s="28">
        <f>IF( OR(ISBLANK(Q191:Q196),ISBLANK(AK191:AK196), ISBLANK(U191:U196),ISBLANK(AO191:AO196)), "·", bdRateExtend( Q191:Q196,U191:U196, AK191:AK196,AO191:AO196))</f>
        <v>-1.0619224078424749E-2</v>
      </c>
      <c r="BB191" s="28">
        <f>IF( OR(ISBLANK(R191:R196),ISBLANK(AL191:AL196), ISBLANK(V191:V196),ISBLANK(AP191:AP196)), "·", bdRateExtend( R191:R196,V191:V196, AL191:AL196,AP191:AP196))</f>
        <v>-4.9859493299745372E-3</v>
      </c>
      <c r="BC191" s="28">
        <f>IF( OR(ISBLANK(R191:R196),ISBLANK(AL191:AL196), ISBLANK(W191:W196),ISBLANK(AQ191:AQ196)), "·", bdRateExtend( R191:R196,W191:W196, AL191:AL196,AQ191:AQ196))</f>
        <v>-3.3060651903055183E-3</v>
      </c>
      <c r="BD191" s="28">
        <f>IF( OR(ISBLANK(R191:R196),ISBLANK(AL191:AL196), ISBLANK(X191:X196),ISBLANK(AR191:AR196)), "·", bdRateExtend( R191:R196,X191:X196, AL191:AL196,AR191:AR196))</f>
        <v>-3.0272420356600716E-3</v>
      </c>
      <c r="BE191" s="29"/>
      <c r="BG191" s="28">
        <f>IF( OR(ISBLANK(P191:P196),ISBLANK(AJ191:AJ196), ISBLANK(T191:T196),ISBLANK(AN191:AN196)), "·", bdRateExtend( P191:P196,T191:T196, AJ191:AJ196,AN191:AN196))</f>
        <v>-8.2822715512408385E-3</v>
      </c>
      <c r="BH191" s="28">
        <f>IF( OR(ISBLANK(P191:P196),ISBLANK(AJ191:AJ196), ISBLANK(U191:U196),ISBLANK(AO191:AO196)), "·", bdRateExtend( P191:P196,U191:U196, AJ191:AJ196,AO191:AO196))</f>
        <v>-7.8512576645586307E-3</v>
      </c>
      <c r="BI191" s="28">
        <f>IF( OR(ISBLANK(P191:P196),ISBLANK(AJ191:AJ196), ISBLANK(V191:V196),ISBLANK(AP191:AP196)), "·", bdRateExtend( P191:P196,V191:V196, AJ191:AJ196,AP191:AP196))</f>
        <v>-5.6177046407226428E-3</v>
      </c>
      <c r="BJ191" s="28">
        <f>IF( OR(ISBLANK(P191:P196),ISBLANK(AJ191:AJ196), ISBLANK(W191:W196),ISBLANK(AQ191:AQ196)), "·", bdRateExtend( P191:P196,W191:W196, AJ191:AJ196,AQ191:AQ196))</f>
        <v>-3.8851356709104223E-3</v>
      </c>
      <c r="BK191" s="28">
        <f>IF( OR(ISBLANK(P191:P196),ISBLANK(AJ191:AJ196), ISBLANK(X191:X196),ISBLANK(AR191:AR196)), "·", bdRateExtend( P191:P196,X191:X196, AJ191:AJ196,AR191:AR196))</f>
        <v>-3.5584954381496781E-3</v>
      </c>
      <c r="BL191" s="29"/>
    </row>
    <row r="192" spans="1:64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">
        <v>1042</v>
      </c>
      <c r="J192" s="34">
        <v>0.30223441356270331</v>
      </c>
      <c r="K192" s="34">
        <v>5.6533266835112526E-2</v>
      </c>
      <c r="L192" s="34">
        <v>0.24391156225590324</v>
      </c>
      <c r="M192" s="35"/>
      <c r="N192" s="34">
        <v>0.14230854238037352</v>
      </c>
      <c r="O192" s="36">
        <v>579136</v>
      </c>
      <c r="P192" s="37">
        <v>82416</v>
      </c>
      <c r="Q192" s="37">
        <v>15416</v>
      </c>
      <c r="R192" s="37">
        <v>66512</v>
      </c>
      <c r="S192" s="38"/>
      <c r="T192" s="39">
        <v>56.907617199999997</v>
      </c>
      <c r="U192" s="39">
        <v>59.135485199999998</v>
      </c>
      <c r="V192" s="39">
        <v>31.045447899999999</v>
      </c>
      <c r="W192" s="39">
        <v>41.970649999999999</v>
      </c>
      <c r="X192" s="39">
        <v>42.868326699999997</v>
      </c>
      <c r="Y192" s="38"/>
      <c r="Z192" s="41"/>
      <c r="AA192" s="41"/>
      <c r="AC192" s="33" t="str">
        <f t="shared" si="12"/>
        <v>·</v>
      </c>
      <c r="AD192" s="34">
        <f t="shared" si="13"/>
        <v>0.30035681673994918</v>
      </c>
      <c r="AE192" s="34">
        <f t="shared" si="14"/>
        <v>5.58878429272908E-2</v>
      </c>
      <c r="AF192" s="34">
        <f t="shared" si="15"/>
        <v>0.24267938934097086</v>
      </c>
      <c r="AG192" s="35"/>
      <c r="AH192" s="34">
        <f t="shared" si="16"/>
        <v>0.1414244667919107</v>
      </c>
      <c r="AI192" s="36">
        <f>Test!E897</f>
        <v>579136</v>
      </c>
      <c r="AJ192" s="37">
        <v>81904</v>
      </c>
      <c r="AK192" s="37">
        <v>15240</v>
      </c>
      <c r="AL192" s="37">
        <v>66176</v>
      </c>
      <c r="AM192" s="38"/>
      <c r="AN192" s="39">
        <f>Test!J897</f>
        <v>56.907617199999997</v>
      </c>
      <c r="AO192" s="39">
        <f>Test!K897</f>
        <v>59.135485199999998</v>
      </c>
      <c r="AP192" s="39">
        <f>Test!L897</f>
        <v>31.045447899999999</v>
      </c>
      <c r="AQ192" s="39">
        <f>Test!M897</f>
        <v>41.970649999999999</v>
      </c>
      <c r="AR192" s="39">
        <f>Test!N897</f>
        <v>42.868326699999997</v>
      </c>
      <c r="AS192" s="40"/>
      <c r="AT192" s="41"/>
      <c r="AU192" s="41"/>
      <c r="AW192" s="42">
        <f t="shared" si="17"/>
        <v>-9.7955970746171905E-4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">
        <v>1042</v>
      </c>
      <c r="J193" s="19">
        <v>0.96124156089904622</v>
      </c>
      <c r="K193" s="19">
        <v>0.24306077619559277</v>
      </c>
      <c r="L193" s="19">
        <v>0.71639120023176583</v>
      </c>
      <c r="M193" s="20"/>
      <c r="N193" s="19">
        <v>0.37356219457100631</v>
      </c>
      <c r="O193" s="21">
        <v>701677</v>
      </c>
      <c r="P193" s="22">
        <v>262120</v>
      </c>
      <c r="Q193" s="22">
        <v>66280</v>
      </c>
      <c r="R193" s="22">
        <v>195352</v>
      </c>
      <c r="S193" s="23"/>
      <c r="T193" s="24">
        <v>58.2802948</v>
      </c>
      <c r="U193" s="24">
        <v>61.263579999999997</v>
      </c>
      <c r="V193" s="24">
        <v>32.914219000000003</v>
      </c>
      <c r="W193" s="24">
        <v>44.305363</v>
      </c>
      <c r="X193" s="24">
        <v>44.867106300000003</v>
      </c>
      <c r="Y193" s="23"/>
      <c r="Z193" s="26"/>
      <c r="AA193" s="26"/>
      <c r="AC193" s="18" t="str">
        <f t="shared" si="12"/>
        <v>·</v>
      </c>
      <c r="AD193" s="19">
        <f t="shared" si="13"/>
        <v>0.96086017404442425</v>
      </c>
      <c r="AE193" s="19">
        <f t="shared" si="14"/>
        <v>0.24276740169203745</v>
      </c>
      <c r="AF193" s="19">
        <f t="shared" si="15"/>
        <v>0.71630318788069924</v>
      </c>
      <c r="AG193" s="20"/>
      <c r="AH193" s="19">
        <f t="shared" si="16"/>
        <v>0.37341397822644889</v>
      </c>
      <c r="AI193" s="21">
        <f>Test!E898</f>
        <v>701677</v>
      </c>
      <c r="AJ193" s="22">
        <v>262016</v>
      </c>
      <c r="AK193" s="22">
        <v>66200</v>
      </c>
      <c r="AL193" s="22">
        <v>195328</v>
      </c>
      <c r="AM193" s="23"/>
      <c r="AN193" s="24">
        <f>Test!J898</f>
        <v>58.2802948</v>
      </c>
      <c r="AO193" s="24">
        <f>Test!K898</f>
        <v>61.263579999999997</v>
      </c>
      <c r="AP193" s="24">
        <f>Test!L898</f>
        <v>32.914219000000003</v>
      </c>
      <c r="AQ193" s="24">
        <f>Test!M898</f>
        <v>44.305363</v>
      </c>
      <c r="AR193" s="24">
        <f>Test!N898</f>
        <v>44.867106300000003</v>
      </c>
      <c r="AS193" s="25"/>
      <c r="AT193" s="26"/>
      <c r="AU193" s="26"/>
      <c r="AW193" s="27">
        <f t="shared" si="17"/>
        <v>-2.0495857645946858E-4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">
        <v>1042</v>
      </c>
      <c r="J194" s="34">
        <v>2.889592172768245</v>
      </c>
      <c r="K194" s="34">
        <v>1.0463788418308035</v>
      </c>
      <c r="L194" s="34">
        <v>1.8414237464657541</v>
      </c>
      <c r="M194" s="35"/>
      <c r="N194" s="34">
        <v>0.86826208741683319</v>
      </c>
      <c r="O194" s="36">
        <v>907514</v>
      </c>
      <c r="P194" s="37">
        <v>787960</v>
      </c>
      <c r="Q194" s="37">
        <v>285336</v>
      </c>
      <c r="R194" s="37">
        <v>502136</v>
      </c>
      <c r="S194" s="38"/>
      <c r="T194" s="39">
        <v>58.552081200000003</v>
      </c>
      <c r="U194" s="39">
        <v>61.470979100000001</v>
      </c>
      <c r="V194" s="39">
        <v>33.9164192</v>
      </c>
      <c r="W194" s="39">
        <v>45.686600300000002</v>
      </c>
      <c r="X194" s="39">
        <v>46.4487211</v>
      </c>
      <c r="Y194" s="38"/>
      <c r="Z194" s="41"/>
      <c r="AA194" s="41"/>
      <c r="AC194" s="33" t="str">
        <f t="shared" si="12"/>
        <v>·</v>
      </c>
      <c r="AD194" s="34">
        <f t="shared" si="13"/>
        <v>2.889592172768245</v>
      </c>
      <c r="AE194" s="34">
        <f t="shared" si="14"/>
        <v>1.0463788418308035</v>
      </c>
      <c r="AF194" s="34">
        <f t="shared" si="15"/>
        <v>1.8414237464657541</v>
      </c>
      <c r="AG194" s="35"/>
      <c r="AH194" s="34">
        <f t="shared" si="16"/>
        <v>0.86826208741683319</v>
      </c>
      <c r="AI194" s="36">
        <f>Test!E899</f>
        <v>907514</v>
      </c>
      <c r="AJ194" s="37">
        <v>787960</v>
      </c>
      <c r="AK194" s="37">
        <v>285336</v>
      </c>
      <c r="AL194" s="37">
        <v>502136</v>
      </c>
      <c r="AM194" s="38"/>
      <c r="AN194" s="39">
        <f>Test!J899</f>
        <v>58.552081200000003</v>
      </c>
      <c r="AO194" s="39">
        <f>Test!K899</f>
        <v>61.470979100000001</v>
      </c>
      <c r="AP194" s="39">
        <f>Test!L899</f>
        <v>33.9164192</v>
      </c>
      <c r="AQ194" s="39">
        <f>Test!M899</f>
        <v>45.686600300000002</v>
      </c>
      <c r="AR194" s="39">
        <f>Test!N899</f>
        <v>46.4487211</v>
      </c>
      <c r="AS194" s="40"/>
      <c r="AT194" s="41"/>
      <c r="AU194" s="41"/>
      <c r="AW194" s="42">
        <f t="shared" si="17"/>
        <v>0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">
        <v>1042</v>
      </c>
      <c r="J195" s="19" t="s">
        <v>1042</v>
      </c>
      <c r="K195" s="19" t="s">
        <v>1042</v>
      </c>
      <c r="L195" s="19" t="s">
        <v>1042</v>
      </c>
      <c r="M195" s="20"/>
      <c r="N195" s="19" t="s">
        <v>1042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12"/>
        <v>·</v>
      </c>
      <c r="AD195" s="19">
        <f t="shared" si="13"/>
        <v>0</v>
      </c>
      <c r="AE195" s="19">
        <f t="shared" si="14"/>
        <v>0</v>
      </c>
      <c r="AF195" s="19">
        <f t="shared" si="15"/>
        <v>0</v>
      </c>
      <c r="AG195" s="20"/>
      <c r="AH195" s="19" t="e">
        <f t="shared" si="16"/>
        <v>#DIV/0!</v>
      </c>
      <c r="AI195" s="21"/>
      <c r="AJ195" s="22">
        <v>0</v>
      </c>
      <c r="AK195" s="22">
        <v>0</v>
      </c>
      <c r="AL195" s="22">
        <v>0</v>
      </c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17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">
        <v>1042</v>
      </c>
      <c r="J196" s="49" t="s">
        <v>1042</v>
      </c>
      <c r="K196" s="49" t="s">
        <v>1042</v>
      </c>
      <c r="L196" s="49" t="s">
        <v>1042</v>
      </c>
      <c r="M196" s="50"/>
      <c r="N196" s="49" t="s">
        <v>1042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12"/>
        <v>·</v>
      </c>
      <c r="AD196" s="49">
        <f t="shared" si="13"/>
        <v>0</v>
      </c>
      <c r="AE196" s="49">
        <f t="shared" si="14"/>
        <v>0</v>
      </c>
      <c r="AF196" s="49">
        <f t="shared" si="15"/>
        <v>0</v>
      </c>
      <c r="AG196" s="50"/>
      <c r="AH196" s="49" t="e">
        <f t="shared" si="16"/>
        <v>#DIV/0!</v>
      </c>
      <c r="AI196" s="51"/>
      <c r="AJ196" s="52">
        <v>0</v>
      </c>
      <c r="AK196" s="52">
        <v>0</v>
      </c>
      <c r="AL196" s="52">
        <v>0</v>
      </c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17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">
        <v>1042</v>
      </c>
      <c r="J197" s="19">
        <v>0.17413458599242665</v>
      </c>
      <c r="K197" s="19">
        <v>5.5196850884908829E-3</v>
      </c>
      <c r="L197" s="19">
        <v>0.16821065633597215</v>
      </c>
      <c r="M197" s="20"/>
      <c r="N197" s="19">
        <v>0.18951636447084161</v>
      </c>
      <c r="O197" s="21">
        <v>1472886</v>
      </c>
      <c r="P197" s="22">
        <v>279136</v>
      </c>
      <c r="Q197" s="22">
        <v>8848</v>
      </c>
      <c r="R197" s="22">
        <v>269640</v>
      </c>
      <c r="S197" s="23"/>
      <c r="T197" s="24">
        <v>49.829944099999999</v>
      </c>
      <c r="U197" s="24">
        <v>51.444852400000002</v>
      </c>
      <c r="V197" s="24">
        <v>19.313449599999998</v>
      </c>
      <c r="W197" s="24">
        <v>37.273462799999997</v>
      </c>
      <c r="X197" s="24">
        <v>36.447182900000001</v>
      </c>
      <c r="Y197" s="23"/>
      <c r="Z197" s="26"/>
      <c r="AA197" s="26"/>
      <c r="AC197" s="18" t="str">
        <f t="shared" ref="AC197:AC260" si="18">IF(OR(ISBLANK(AJ197),ISBLANK(G197)),"·",AJ197*G197/F197/1000000)</f>
        <v>·</v>
      </c>
      <c r="AD197" s="19">
        <f t="shared" ref="AD197:AD260" si="19">IF(ISBLANK(AJ197),"·",AJ197/D197)</f>
        <v>0.17373034142446303</v>
      </c>
      <c r="AE197" s="19">
        <f t="shared" ref="AE197:AE260" si="20">IF(AK197="","·",AK197/D197)</f>
        <v>5.504713067455193E-3</v>
      </c>
      <c r="AF197" s="19">
        <f t="shared" ref="AF197:AF260" si="21">IF(ISBLANK(AL197),"·",AL197/D197)</f>
        <v>0.16782138378904424</v>
      </c>
      <c r="AG197" s="20"/>
      <c r="AH197" s="19">
        <f t="shared" ref="AH197:AH260" si="22">IF(ISBLANK(AJ197),"·",AJ197/AI197)</f>
        <v>0.18907641188795332</v>
      </c>
      <c r="AI197" s="21">
        <f>Test!E902</f>
        <v>1472886</v>
      </c>
      <c r="AJ197" s="22">
        <v>278488</v>
      </c>
      <c r="AK197" s="22">
        <v>8824</v>
      </c>
      <c r="AL197" s="22">
        <v>269016</v>
      </c>
      <c r="AM197" s="23"/>
      <c r="AN197" s="24">
        <f>Test!J902</f>
        <v>49.829944099999999</v>
      </c>
      <c r="AO197" s="24">
        <f>Test!K902</f>
        <v>51.444852400000002</v>
      </c>
      <c r="AP197" s="24">
        <f>Test!L902</f>
        <v>19.313449599999998</v>
      </c>
      <c r="AQ197" s="24">
        <f>Test!M902</f>
        <v>37.273462799999997</v>
      </c>
      <c r="AR197" s="24">
        <f>Test!N902</f>
        <v>36.447182900000001</v>
      </c>
      <c r="AS197" s="25"/>
      <c r="AT197" s="26"/>
      <c r="AU197" s="26"/>
      <c r="AW197" s="27">
        <f t="shared" ref="AW197:AW260" si="23">(AK197/AJ197) - (Q197/P197)</f>
        <v>-1.2423583312944075E-5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-3.0318261197757046E-3</v>
      </c>
      <c r="BA197" s="28">
        <f>IF( OR(ISBLANK(Q197:Q202),ISBLANK(AK197:AK202), ISBLANK(U197:U202),ISBLANK(AO197:AO202)), "·", bdRateExtend( Q197:Q202,U197:U202, AK197:AK202,AO197:AO202))</f>
        <v>-3.0751382431042362E-3</v>
      </c>
      <c r="BB197" s="28">
        <f>IF( OR(ISBLANK(R197:R202),ISBLANK(AL197:AL202), ISBLANK(V197:V202),ISBLANK(AP197:AP202)), "·", bdRateExtend( R197:R202,V197:V202, AL197:AL202,AP197:AP202))</f>
        <v>-2.7610694415090009E-3</v>
      </c>
      <c r="BC197" s="28">
        <f>IF( OR(ISBLANK(R197:R202),ISBLANK(AL197:AL202), ISBLANK(W197:W202),ISBLANK(AQ197:AQ202)), "·", bdRateExtend( R197:R202,W197:W202, AL197:AL202,AQ197:AQ202))</f>
        <v>-2.40600590845641E-3</v>
      </c>
      <c r="BD197" s="28">
        <f>IF( OR(ISBLANK(R197:R202),ISBLANK(AL197:AL202), ISBLANK(X197:X202),ISBLANK(AR197:AR202)), "·", bdRateExtend( R197:R202,X197:X202, AL197:AL202,AR197:AR202))</f>
        <v>-2.3656108015797095E-3</v>
      </c>
      <c r="BE197" s="29"/>
      <c r="BG197" s="28">
        <f>IF( OR(ISBLANK(P197:P202),ISBLANK(AJ197:AJ202), ISBLANK(T197:T202),ISBLANK(AN197:AN202)), "·", bdRateExtend( P197:P202,T197:T202, AJ197:AJ202,AN197:AN202))</f>
        <v>-2.6494198777836653E-3</v>
      </c>
      <c r="BH197" s="28">
        <f>IF( OR(ISBLANK(P197:P202),ISBLANK(AJ197:AJ202), ISBLANK(U197:U202),ISBLANK(AO197:AO202)), "·", bdRateExtend( P197:P202,U197:U202, AJ197:AJ202,AO197:AO202))</f>
        <v>-2.7401037086431934E-3</v>
      </c>
      <c r="BI197" s="28">
        <f>IF( OR(ISBLANK(P197:P202),ISBLANK(AJ197:AJ202), ISBLANK(V197:V202),ISBLANK(AP197:AP202)), "·", bdRateExtend( P197:P202,V197:V202, AJ197:AJ202,AP197:AP202))</f>
        <v>-2.7738204961799129E-3</v>
      </c>
      <c r="BJ197" s="28">
        <f>IF( OR(ISBLANK(P197:P202),ISBLANK(AJ197:AJ202), ISBLANK(W197:W202),ISBLANK(AQ197:AQ202)), "·", bdRateExtend( P197:P202,W197:W202, AJ197:AJ202,AQ197:AQ202))</f>
        <v>-2.4358585895040141E-3</v>
      </c>
      <c r="BK197" s="28">
        <f>IF( OR(ISBLANK(P197:P202),ISBLANK(AJ197:AJ202), ISBLANK(X197:X202),ISBLANK(AR197:AR202)), "·", bdRateExtend( P197:P202,X197:X202, AJ197:AJ202,AR197:AR202))</f>
        <v>-2.3963779671227758E-3</v>
      </c>
      <c r="BL197" s="29"/>
    </row>
    <row r="198" spans="1:64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">
        <v>1042</v>
      </c>
      <c r="J198" s="34">
        <v>0.57059869369116467</v>
      </c>
      <c r="K198" s="34">
        <v>2.0781165197537102E-2</v>
      </c>
      <c r="L198" s="34">
        <v>0.54941328392566391</v>
      </c>
      <c r="M198" s="35"/>
      <c r="N198" s="34">
        <v>0.55963871381432628</v>
      </c>
      <c r="O198" s="36">
        <v>1634383</v>
      </c>
      <c r="P198" s="37">
        <v>914664</v>
      </c>
      <c r="Q198" s="37">
        <v>33312</v>
      </c>
      <c r="R198" s="37">
        <v>880704</v>
      </c>
      <c r="S198" s="38"/>
      <c r="T198" s="39">
        <v>58.6125902</v>
      </c>
      <c r="U198" s="39">
        <v>61.657561899999997</v>
      </c>
      <c r="V198" s="39">
        <v>25.174356599999999</v>
      </c>
      <c r="W198" s="39">
        <v>40.172727600000002</v>
      </c>
      <c r="X198" s="39">
        <v>38.783631300000003</v>
      </c>
      <c r="Y198" s="38"/>
      <c r="Z198" s="41"/>
      <c r="AA198" s="41"/>
      <c r="AC198" s="33" t="str">
        <f t="shared" si="18"/>
        <v>·</v>
      </c>
      <c r="AD198" s="34">
        <f t="shared" si="19"/>
        <v>0.56867728432491782</v>
      </c>
      <c r="AE198" s="34">
        <f t="shared" si="20"/>
        <v>2.0711295766037217E-2</v>
      </c>
      <c r="AF198" s="34">
        <f t="shared" si="21"/>
        <v>0.54756174399091695</v>
      </c>
      <c r="AG198" s="35"/>
      <c r="AH198" s="34">
        <f t="shared" si="22"/>
        <v>0.5577542106103649</v>
      </c>
      <c r="AI198" s="36">
        <f>Test!E903</f>
        <v>1634383</v>
      </c>
      <c r="AJ198" s="37">
        <v>911584</v>
      </c>
      <c r="AK198" s="37">
        <v>33200</v>
      </c>
      <c r="AL198" s="37">
        <v>877736</v>
      </c>
      <c r="AM198" s="38"/>
      <c r="AN198" s="39">
        <f>Test!J903</f>
        <v>58.6125902</v>
      </c>
      <c r="AO198" s="39">
        <f>Test!K903</f>
        <v>61.657561899999997</v>
      </c>
      <c r="AP198" s="39">
        <f>Test!L903</f>
        <v>25.174356599999999</v>
      </c>
      <c r="AQ198" s="39">
        <f>Test!M903</f>
        <v>40.172727600000002</v>
      </c>
      <c r="AR198" s="39">
        <f>Test!N903</f>
        <v>38.783631300000003</v>
      </c>
      <c r="AS198" s="40"/>
      <c r="AT198" s="41"/>
      <c r="AU198" s="41"/>
      <c r="AW198" s="42">
        <f t="shared" si="23"/>
        <v>1.9020546719594744E-7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">
        <v>1042</v>
      </c>
      <c r="J199" s="19">
        <v>1.2710147911091147</v>
      </c>
      <c r="K199" s="19">
        <v>8.0948727066294857E-2</v>
      </c>
      <c r="L199" s="19">
        <v>1.1896618194748563</v>
      </c>
      <c r="M199" s="20"/>
      <c r="N199" s="19">
        <v>1.2039477960581131</v>
      </c>
      <c r="O199" s="21">
        <v>1692286</v>
      </c>
      <c r="P199" s="22">
        <v>2037424</v>
      </c>
      <c r="Q199" s="22">
        <v>129760</v>
      </c>
      <c r="R199" s="22">
        <v>1907016</v>
      </c>
      <c r="S199" s="23"/>
      <c r="T199" s="24">
        <v>64.325395599999993</v>
      </c>
      <c r="U199" s="24">
        <v>67.850334900000007</v>
      </c>
      <c r="V199" s="24">
        <v>28.2900162</v>
      </c>
      <c r="W199" s="24">
        <v>42.5829424</v>
      </c>
      <c r="X199" s="24">
        <v>40.692032300000001</v>
      </c>
      <c r="Y199" s="23"/>
      <c r="Z199" s="26"/>
      <c r="AA199" s="26"/>
      <c r="AC199" s="18" t="str">
        <f t="shared" si="18"/>
        <v>·</v>
      </c>
      <c r="AD199" s="19">
        <f t="shared" si="19"/>
        <v>1.2680054148809412</v>
      </c>
      <c r="AE199" s="19">
        <f t="shared" si="20"/>
        <v>8.0654277319259629E-2</v>
      </c>
      <c r="AF199" s="19">
        <f t="shared" si="21"/>
        <v>1.1869468929937179</v>
      </c>
      <c r="AG199" s="20"/>
      <c r="AH199" s="19">
        <f t="shared" si="22"/>
        <v>1.2010972140642893</v>
      </c>
      <c r="AI199" s="21">
        <f>Test!E904</f>
        <v>1692286</v>
      </c>
      <c r="AJ199" s="22">
        <v>2032600</v>
      </c>
      <c r="AK199" s="22">
        <v>129288</v>
      </c>
      <c r="AL199" s="22">
        <v>1902664</v>
      </c>
      <c r="AM199" s="23"/>
      <c r="AN199" s="24">
        <f>Test!J904</f>
        <v>64.325395599999993</v>
      </c>
      <c r="AO199" s="24">
        <f>Test!K904</f>
        <v>67.850334900000007</v>
      </c>
      <c r="AP199" s="24">
        <f>Test!L904</f>
        <v>28.2900162</v>
      </c>
      <c r="AQ199" s="24">
        <f>Test!M904</f>
        <v>42.5829424</v>
      </c>
      <c r="AR199" s="24">
        <f>Test!N904</f>
        <v>40.692032300000001</v>
      </c>
      <c r="AS199" s="25"/>
      <c r="AT199" s="26"/>
      <c r="AU199" s="26"/>
      <c r="AW199" s="27">
        <f t="shared" si="23"/>
        <v>-8.106258425781554E-5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">
        <v>1042</v>
      </c>
      <c r="J200" s="34">
        <v>2.9005096725494233</v>
      </c>
      <c r="K200" s="34">
        <v>0.29225884129033869</v>
      </c>
      <c r="L200" s="34">
        <v>2.6078465866911209</v>
      </c>
      <c r="M200" s="35"/>
      <c r="N200" s="34">
        <v>2.1332183256750774</v>
      </c>
      <c r="O200" s="36">
        <v>2179565</v>
      </c>
      <c r="P200" s="37">
        <v>4649488</v>
      </c>
      <c r="Q200" s="37">
        <v>468488</v>
      </c>
      <c r="R200" s="37">
        <v>4180352</v>
      </c>
      <c r="S200" s="38"/>
      <c r="T200" s="39">
        <v>68.743561400000004</v>
      </c>
      <c r="U200" s="39">
        <v>71.651416900000001</v>
      </c>
      <c r="V200" s="39">
        <v>30.196945500000002</v>
      </c>
      <c r="W200" s="39">
        <v>45.3007688</v>
      </c>
      <c r="X200" s="39">
        <v>43.0648196</v>
      </c>
      <c r="Y200" s="38"/>
      <c r="Z200" s="41"/>
      <c r="AA200" s="41"/>
      <c r="AC200" s="33" t="str">
        <f t="shared" si="18"/>
        <v>·</v>
      </c>
      <c r="AD200" s="34">
        <f t="shared" si="19"/>
        <v>2.9005096725494233</v>
      </c>
      <c r="AE200" s="34">
        <f t="shared" si="20"/>
        <v>0.29225884129033869</v>
      </c>
      <c r="AF200" s="34">
        <f t="shared" si="21"/>
        <v>2.6078465866911209</v>
      </c>
      <c r="AG200" s="35"/>
      <c r="AH200" s="34">
        <f t="shared" si="22"/>
        <v>2.1332183256750774</v>
      </c>
      <c r="AI200" s="36">
        <f>Test!E905</f>
        <v>2179565</v>
      </c>
      <c r="AJ200" s="37">
        <v>4649488</v>
      </c>
      <c r="AK200" s="37">
        <v>468488</v>
      </c>
      <c r="AL200" s="37">
        <v>4180352</v>
      </c>
      <c r="AM200" s="38"/>
      <c r="AN200" s="39">
        <f>Test!J905</f>
        <v>68.743561400000004</v>
      </c>
      <c r="AO200" s="39">
        <f>Test!K905</f>
        <v>71.651416900000001</v>
      </c>
      <c r="AP200" s="39">
        <f>Test!L905</f>
        <v>30.196945500000002</v>
      </c>
      <c r="AQ200" s="39">
        <f>Test!M905</f>
        <v>45.3007688</v>
      </c>
      <c r="AR200" s="39">
        <f>Test!N905</f>
        <v>43.0648196</v>
      </c>
      <c r="AS200" s="40"/>
      <c r="AT200" s="41"/>
      <c r="AU200" s="41"/>
      <c r="AW200" s="42">
        <f t="shared" si="23"/>
        <v>0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">
        <v>1042</v>
      </c>
      <c r="J201" s="19" t="s">
        <v>1042</v>
      </c>
      <c r="K201" s="19" t="s">
        <v>1042</v>
      </c>
      <c r="L201" s="19" t="s">
        <v>1042</v>
      </c>
      <c r="M201" s="20"/>
      <c r="N201" s="19" t="s">
        <v>1042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18"/>
        <v>·</v>
      </c>
      <c r="AD201" s="19">
        <f t="shared" si="19"/>
        <v>0</v>
      </c>
      <c r="AE201" s="19">
        <f t="shared" si="20"/>
        <v>0</v>
      </c>
      <c r="AF201" s="19">
        <f t="shared" si="21"/>
        <v>0</v>
      </c>
      <c r="AG201" s="20"/>
      <c r="AH201" s="19" t="e">
        <f t="shared" si="22"/>
        <v>#DIV/0!</v>
      </c>
      <c r="AI201" s="21"/>
      <c r="AJ201" s="22">
        <v>0</v>
      </c>
      <c r="AK201" s="22">
        <v>0</v>
      </c>
      <c r="AL201" s="22">
        <v>0</v>
      </c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2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">
        <v>1042</v>
      </c>
      <c r="J202" s="49" t="s">
        <v>1042</v>
      </c>
      <c r="K202" s="49" t="s">
        <v>1042</v>
      </c>
      <c r="L202" s="49" t="s">
        <v>1042</v>
      </c>
      <c r="M202" s="50"/>
      <c r="N202" s="49" t="s">
        <v>1042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18"/>
        <v>·</v>
      </c>
      <c r="AD202" s="49">
        <f t="shared" si="19"/>
        <v>0</v>
      </c>
      <c r="AE202" s="49">
        <f t="shared" si="20"/>
        <v>0</v>
      </c>
      <c r="AF202" s="49">
        <f t="shared" si="21"/>
        <v>0</v>
      </c>
      <c r="AG202" s="50"/>
      <c r="AH202" s="49" t="e">
        <f t="shared" si="22"/>
        <v>#DIV/0!</v>
      </c>
      <c r="AI202" s="51"/>
      <c r="AJ202" s="52">
        <v>0</v>
      </c>
      <c r="AK202" s="52">
        <v>0</v>
      </c>
      <c r="AL202" s="52">
        <v>0</v>
      </c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2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">
        <v>1042</v>
      </c>
      <c r="J203" s="19">
        <v>0.10166624633855391</v>
      </c>
      <c r="K203" s="19">
        <v>8.9626197655151476E-3</v>
      </c>
      <c r="L203" s="19">
        <v>9.2568345127157836E-2</v>
      </c>
      <c r="M203" s="20"/>
      <c r="N203" s="19">
        <v>0.10896298809719136</v>
      </c>
      <c r="O203" s="21">
        <v>8331563</v>
      </c>
      <c r="P203" s="22">
        <v>907832</v>
      </c>
      <c r="Q203" s="22">
        <v>80032</v>
      </c>
      <c r="R203" s="22">
        <v>826592</v>
      </c>
      <c r="S203" s="23"/>
      <c r="T203" s="24">
        <v>64.054314500000004</v>
      </c>
      <c r="U203" s="24">
        <v>70.582370100000006</v>
      </c>
      <c r="V203" s="24">
        <v>23.899775999999999</v>
      </c>
      <c r="W203" s="24">
        <v>39.538483100000001</v>
      </c>
      <c r="X203" s="24">
        <v>40.854298300000004</v>
      </c>
      <c r="Y203" s="23"/>
      <c r="Z203" s="26"/>
      <c r="AA203" s="26"/>
      <c r="AC203" s="18" t="str">
        <f t="shared" si="18"/>
        <v>·</v>
      </c>
      <c r="AD203" s="19">
        <f t="shared" si="19"/>
        <v>0.10136163910941805</v>
      </c>
      <c r="AE203" s="19">
        <f t="shared" si="20"/>
        <v>8.9052819341483968E-3</v>
      </c>
      <c r="AF203" s="19">
        <f t="shared" si="21"/>
        <v>9.2321075729388732E-2</v>
      </c>
      <c r="AG203" s="20"/>
      <c r="AH203" s="19">
        <f t="shared" si="22"/>
        <v>0.10863651874204155</v>
      </c>
      <c r="AI203" s="21">
        <f>Test!E908</f>
        <v>8331563</v>
      </c>
      <c r="AJ203" s="22">
        <v>905112</v>
      </c>
      <c r="AK203" s="22">
        <v>79520</v>
      </c>
      <c r="AL203" s="22">
        <v>824384</v>
      </c>
      <c r="AM203" s="23"/>
      <c r="AN203" s="24">
        <f>Test!J908</f>
        <v>64.054314500000004</v>
      </c>
      <c r="AO203" s="24">
        <f>Test!K908</f>
        <v>70.582370100000006</v>
      </c>
      <c r="AP203" s="24">
        <f>Test!L908</f>
        <v>23.899775999999999</v>
      </c>
      <c r="AQ203" s="24">
        <f>Test!M908</f>
        <v>39.538483100000001</v>
      </c>
      <c r="AR203" s="24">
        <f>Test!N908</f>
        <v>40.854298300000004</v>
      </c>
      <c r="AS203" s="25"/>
      <c r="AT203" s="26"/>
      <c r="AU203" s="26"/>
      <c r="AW203" s="27">
        <f t="shared" si="23"/>
        <v>-3.0074973909481606E-4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-4.0649714572829065E-3</v>
      </c>
      <c r="BA203" s="28">
        <f>IF( OR(ISBLANK(Q203:Q208),ISBLANK(AK203:AK208), ISBLANK(U203:U208),ISBLANK(AO203:AO208)), "·", bdRateExtend( Q203:Q208,U203:U208, AK203:AK208,AO203:AO208))</f>
        <v>-4.3142187032829682E-3</v>
      </c>
      <c r="BB203" s="28">
        <f>IF( OR(ISBLANK(R203:R208),ISBLANK(AL203:AL208), ISBLANK(V203:V208),ISBLANK(AP203:AP208)), "·", bdRateExtend( R203:R208,V203:V208, AL203:AL208,AP203:AP208))</f>
        <v>-1.766925833328159E-3</v>
      </c>
      <c r="BC203" s="28">
        <f>IF( OR(ISBLANK(R203:R208),ISBLANK(AL203:AL208), ISBLANK(W203:W208),ISBLANK(AQ203:AQ208)), "·", bdRateExtend( R203:R208,W203:W208, AL203:AL208,AQ203:AQ208))</f>
        <v>-1.5650262063526821E-3</v>
      </c>
      <c r="BD203" s="28">
        <f>IF( OR(ISBLANK(R203:R208),ISBLANK(AL203:AL208), ISBLANK(X203:X208),ISBLANK(AR203:AR208)), "·", bdRateExtend( R203:R208,X203:X208, AL203:AL208,AR203:AR208))</f>
        <v>-1.5023978938147886E-3</v>
      </c>
      <c r="BE203" s="29"/>
      <c r="BG203" s="28">
        <f>IF( OR(ISBLANK(P203:P208),ISBLANK(AJ203:AJ208), ISBLANK(T203:T208),ISBLANK(AN203:AN208)), "·", bdRateExtend( P203:P208,T203:T208, AJ203:AJ208,AN203:AN208))</f>
        <v>-2.1215840523168827E-3</v>
      </c>
      <c r="BH203" s="28">
        <f>IF( OR(ISBLANK(P203:P208),ISBLANK(AJ203:AJ208), ISBLANK(U203:U208),ISBLANK(AO203:AO208)), "·", bdRateExtend( P203:P208,U203:U208, AJ203:AJ208,AO203:AO208))</f>
        <v>-2.2488013294149622E-3</v>
      </c>
      <c r="BI203" s="28">
        <f>IF( OR(ISBLANK(P203:P208),ISBLANK(AJ203:AJ208), ISBLANK(V203:V208),ISBLANK(AP203:AP208)), "·", bdRateExtend( P203:P208,V203:V208, AJ203:AJ208,AP203:AP208))</f>
        <v>-1.9912366627073963E-3</v>
      </c>
      <c r="BJ203" s="28">
        <f>IF( OR(ISBLANK(P203:P208),ISBLANK(AJ203:AJ208), ISBLANK(W203:W208),ISBLANK(AQ203:AQ208)), "·", bdRateExtend( P203:P208,W203:W208, AJ203:AJ208,AQ203:AQ208))</f>
        <v>-1.7732248580130117E-3</v>
      </c>
      <c r="BK203" s="28">
        <f>IF( OR(ISBLANK(P203:P208),ISBLANK(AJ203:AJ208), ISBLANK(X203:X208),ISBLANK(AR203:AR208)), "·", bdRateExtend( P203:P208,X203:X208, AJ203:AJ208,AR203:AR208))</f>
        <v>-1.7057096768978708E-3</v>
      </c>
      <c r="BL203" s="29"/>
    </row>
    <row r="204" spans="1:64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">
        <v>1042</v>
      </c>
      <c r="J204" s="34">
        <v>0.31959032119488456</v>
      </c>
      <c r="K204" s="34">
        <v>3.2481881469264014E-2</v>
      </c>
      <c r="L204" s="34">
        <v>0.28697315827973963</v>
      </c>
      <c r="M204" s="35"/>
      <c r="N204" s="34">
        <v>0.34102548843452157</v>
      </c>
      <c r="O204" s="36">
        <v>8368266</v>
      </c>
      <c r="P204" s="37">
        <v>2853792</v>
      </c>
      <c r="Q204" s="37">
        <v>290048</v>
      </c>
      <c r="R204" s="37">
        <v>2562536</v>
      </c>
      <c r="S204" s="38"/>
      <c r="T204" s="39">
        <v>69.430590100000003</v>
      </c>
      <c r="U204" s="39">
        <v>75.726335800000001</v>
      </c>
      <c r="V204" s="39">
        <v>26.340359500000002</v>
      </c>
      <c r="W204" s="39">
        <v>41.194896100000001</v>
      </c>
      <c r="X204" s="39">
        <v>42.284161900000001</v>
      </c>
      <c r="Y204" s="38"/>
      <c r="Z204" s="41"/>
      <c r="AA204" s="41"/>
      <c r="AC204" s="33" t="str">
        <f t="shared" si="18"/>
        <v>·</v>
      </c>
      <c r="AD204" s="34">
        <f t="shared" si="19"/>
        <v>0.31873114962799842</v>
      </c>
      <c r="AE204" s="34">
        <f t="shared" si="20"/>
        <v>3.2325098336620554E-2</v>
      </c>
      <c r="AF204" s="34">
        <f t="shared" si="21"/>
        <v>0.28627076984549693</v>
      </c>
      <c r="AG204" s="35"/>
      <c r="AH204" s="34">
        <f t="shared" si="22"/>
        <v>0.34010869157361873</v>
      </c>
      <c r="AI204" s="36">
        <f>Test!E909</f>
        <v>8368266</v>
      </c>
      <c r="AJ204" s="37">
        <v>2846120</v>
      </c>
      <c r="AK204" s="37">
        <v>288648</v>
      </c>
      <c r="AL204" s="37">
        <v>2556264</v>
      </c>
      <c r="AM204" s="38"/>
      <c r="AN204" s="39">
        <f>Test!J909</f>
        <v>69.430590100000003</v>
      </c>
      <c r="AO204" s="39">
        <f>Test!K909</f>
        <v>75.726335800000001</v>
      </c>
      <c r="AP204" s="39">
        <f>Test!L909</f>
        <v>26.340359500000002</v>
      </c>
      <c r="AQ204" s="39">
        <f>Test!M909</f>
        <v>41.194896100000001</v>
      </c>
      <c r="AR204" s="39">
        <f>Test!N909</f>
        <v>42.284161900000001</v>
      </c>
      <c r="AS204" s="40"/>
      <c r="AT204" s="41"/>
      <c r="AU204" s="41"/>
      <c r="AW204" s="42">
        <f t="shared" si="23"/>
        <v>-2.1792778167439852E-4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">
        <v>1042</v>
      </c>
      <c r="J205" s="19">
        <v>0.91870346620629162</v>
      </c>
      <c r="K205" s="19">
        <v>0.14694969456406001</v>
      </c>
      <c r="L205" s="19">
        <v>0.77161849019635076</v>
      </c>
      <c r="M205" s="20"/>
      <c r="N205" s="19">
        <v>1.0075346559909844</v>
      </c>
      <c r="O205" s="21">
        <v>8142243</v>
      </c>
      <c r="P205" s="22">
        <v>8203592</v>
      </c>
      <c r="Q205" s="22">
        <v>1312192</v>
      </c>
      <c r="R205" s="22">
        <v>6890192</v>
      </c>
      <c r="S205" s="23"/>
      <c r="T205" s="24">
        <v>75.702578599999995</v>
      </c>
      <c r="U205" s="24">
        <v>79.140433000000002</v>
      </c>
      <c r="V205" s="24">
        <v>28.921973699999999</v>
      </c>
      <c r="W205" s="24">
        <v>42.903979300000003</v>
      </c>
      <c r="X205" s="24">
        <v>43.766064999999998</v>
      </c>
      <c r="Y205" s="23"/>
      <c r="Z205" s="26"/>
      <c r="AA205" s="26"/>
      <c r="AC205" s="18" t="str">
        <f t="shared" si="18"/>
        <v>·</v>
      </c>
      <c r="AD205" s="19">
        <f t="shared" si="19"/>
        <v>0.91798405560336194</v>
      </c>
      <c r="AE205" s="19">
        <f t="shared" si="20"/>
        <v>0.14669077841929454</v>
      </c>
      <c r="AF205" s="19">
        <f t="shared" si="21"/>
        <v>0.77115799573818655</v>
      </c>
      <c r="AG205" s="20"/>
      <c r="AH205" s="19">
        <f t="shared" si="22"/>
        <v>1.0067456842052001</v>
      </c>
      <c r="AI205" s="21">
        <f>Test!E910</f>
        <v>8142243</v>
      </c>
      <c r="AJ205" s="22">
        <v>8197168</v>
      </c>
      <c r="AK205" s="22">
        <v>1309880</v>
      </c>
      <c r="AL205" s="22">
        <v>6886080</v>
      </c>
      <c r="AM205" s="23"/>
      <c r="AN205" s="24">
        <f>Test!J910</f>
        <v>75.702578599999995</v>
      </c>
      <c r="AO205" s="24">
        <f>Test!K910</f>
        <v>79.140433000000002</v>
      </c>
      <c r="AP205" s="24">
        <f>Test!L910</f>
        <v>28.921973699999999</v>
      </c>
      <c r="AQ205" s="24">
        <f>Test!M910</f>
        <v>42.903979300000003</v>
      </c>
      <c r="AR205" s="24">
        <f>Test!N910</f>
        <v>43.766064999999998</v>
      </c>
      <c r="AS205" s="25"/>
      <c r="AT205" s="26"/>
      <c r="AU205" s="26"/>
      <c r="AW205" s="27">
        <f t="shared" si="23"/>
        <v>-1.5669554377401029E-4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">
        <v>1042</v>
      </c>
      <c r="J206" s="34">
        <v>2.3296531105997493</v>
      </c>
      <c r="K206" s="34">
        <v>0.60872081537979816</v>
      </c>
      <c r="L206" s="34">
        <v>1.7207970137740702</v>
      </c>
      <c r="M206" s="35"/>
      <c r="N206" s="34">
        <v>2.3945540206572424</v>
      </c>
      <c r="O206" s="36">
        <v>8687510</v>
      </c>
      <c r="P206" s="37">
        <v>20802712</v>
      </c>
      <c r="Q206" s="37">
        <v>5435592</v>
      </c>
      <c r="R206" s="37">
        <v>15365912</v>
      </c>
      <c r="S206" s="38"/>
      <c r="T206" s="39">
        <v>77.357249400000001</v>
      </c>
      <c r="U206" s="39">
        <v>80.610934400000005</v>
      </c>
      <c r="V206" s="39">
        <v>30.1094075</v>
      </c>
      <c r="W206" s="39">
        <v>44.270799799999999</v>
      </c>
      <c r="X206" s="39">
        <v>45.119959000000001</v>
      </c>
      <c r="Y206" s="38"/>
      <c r="Z206" s="41"/>
      <c r="AA206" s="41"/>
      <c r="AC206" s="33" t="str">
        <f t="shared" si="18"/>
        <v>·</v>
      </c>
      <c r="AD206" s="34">
        <f t="shared" si="19"/>
        <v>2.3296531105997493</v>
      </c>
      <c r="AE206" s="34">
        <f t="shared" si="20"/>
        <v>0.60872081537979816</v>
      </c>
      <c r="AF206" s="34">
        <f t="shared" si="21"/>
        <v>1.7207970137740702</v>
      </c>
      <c r="AG206" s="35"/>
      <c r="AH206" s="34">
        <f t="shared" si="22"/>
        <v>2.3945540206572424</v>
      </c>
      <c r="AI206" s="36">
        <f>Test!E911</f>
        <v>8687510</v>
      </c>
      <c r="AJ206" s="37">
        <v>20802712</v>
      </c>
      <c r="AK206" s="37">
        <v>5435592</v>
      </c>
      <c r="AL206" s="37">
        <v>15365912</v>
      </c>
      <c r="AM206" s="38"/>
      <c r="AN206" s="39">
        <f>Test!J911</f>
        <v>77.357249400000001</v>
      </c>
      <c r="AO206" s="39">
        <f>Test!K911</f>
        <v>80.610934400000005</v>
      </c>
      <c r="AP206" s="39">
        <f>Test!L911</f>
        <v>30.1094075</v>
      </c>
      <c r="AQ206" s="39">
        <f>Test!M911</f>
        <v>44.270799799999999</v>
      </c>
      <c r="AR206" s="39">
        <f>Test!N911</f>
        <v>45.119959000000001</v>
      </c>
      <c r="AS206" s="40"/>
      <c r="AT206" s="41"/>
      <c r="AU206" s="41"/>
      <c r="AW206" s="42">
        <f t="shared" si="23"/>
        <v>0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">
        <v>1042</v>
      </c>
      <c r="J207" s="19" t="s">
        <v>1042</v>
      </c>
      <c r="K207" s="19" t="s">
        <v>1042</v>
      </c>
      <c r="L207" s="19" t="s">
        <v>1042</v>
      </c>
      <c r="M207" s="20"/>
      <c r="N207" s="19" t="s">
        <v>1042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18"/>
        <v>·</v>
      </c>
      <c r="AD207" s="19">
        <f t="shared" si="19"/>
        <v>0</v>
      </c>
      <c r="AE207" s="19">
        <f t="shared" si="20"/>
        <v>0</v>
      </c>
      <c r="AF207" s="19">
        <f t="shared" si="21"/>
        <v>0</v>
      </c>
      <c r="AG207" s="20"/>
      <c r="AH207" s="19" t="e">
        <f t="shared" si="22"/>
        <v>#DIV/0!</v>
      </c>
      <c r="AI207" s="21"/>
      <c r="AJ207" s="22">
        <v>0</v>
      </c>
      <c r="AK207" s="22">
        <v>0</v>
      </c>
      <c r="AL207" s="22">
        <v>0</v>
      </c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2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">
        <v>1042</v>
      </c>
      <c r="J208" s="49" t="s">
        <v>1042</v>
      </c>
      <c r="K208" s="49" t="s">
        <v>1042</v>
      </c>
      <c r="L208" s="49" t="s">
        <v>1042</v>
      </c>
      <c r="M208" s="50"/>
      <c r="N208" s="49" t="s">
        <v>1042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18"/>
        <v>·</v>
      </c>
      <c r="AD208" s="49">
        <f t="shared" si="19"/>
        <v>0</v>
      </c>
      <c r="AE208" s="49">
        <f t="shared" si="20"/>
        <v>0</v>
      </c>
      <c r="AF208" s="49">
        <f t="shared" si="21"/>
        <v>0</v>
      </c>
      <c r="AG208" s="50"/>
      <c r="AH208" s="49" t="e">
        <f t="shared" si="22"/>
        <v>#DIV/0!</v>
      </c>
      <c r="AI208" s="51"/>
      <c r="AJ208" s="52">
        <v>0</v>
      </c>
      <c r="AK208" s="52">
        <v>0</v>
      </c>
      <c r="AL208" s="52">
        <v>0</v>
      </c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2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">
        <v>1042</v>
      </c>
      <c r="J209" s="19">
        <v>2.8586690624510358E-2</v>
      </c>
      <c r="K209" s="19">
        <v>4.9798553145483995E-3</v>
      </c>
      <c r="L209" s="19">
        <v>2.350903991142821E-2</v>
      </c>
      <c r="M209" s="20"/>
      <c r="N209" s="19">
        <v>4.0083128381002232E-2</v>
      </c>
      <c r="O209" s="21">
        <v>14060180</v>
      </c>
      <c r="P209" s="22">
        <v>563576</v>
      </c>
      <c r="Q209" s="22">
        <v>98176</v>
      </c>
      <c r="R209" s="22">
        <v>463472</v>
      </c>
      <c r="S209" s="23"/>
      <c r="T209" s="24">
        <v>68.124311899999995</v>
      </c>
      <c r="U209" s="24">
        <v>70.939592700000006</v>
      </c>
      <c r="V209" s="24">
        <v>29.238155899999999</v>
      </c>
      <c r="W209" s="24">
        <v>42.956527299999998</v>
      </c>
      <c r="X209" s="24">
        <v>44.853298600000002</v>
      </c>
      <c r="Y209" s="23"/>
      <c r="Z209" s="26"/>
      <c r="AA209" s="26"/>
      <c r="AC209" s="18" t="str">
        <f t="shared" si="18"/>
        <v>·</v>
      </c>
      <c r="AD209" s="19">
        <f t="shared" si="19"/>
        <v>2.804049723684884E-2</v>
      </c>
      <c r="AE209" s="19">
        <f t="shared" si="20"/>
        <v>4.8293072114113838E-3</v>
      </c>
      <c r="AF209" s="19">
        <f t="shared" si="21"/>
        <v>2.3113394626903708E-2</v>
      </c>
      <c r="AG209" s="20"/>
      <c r="AH209" s="19">
        <f t="shared" si="22"/>
        <v>3.9317277588195886E-2</v>
      </c>
      <c r="AI209" s="21">
        <f>Test!E914</f>
        <v>14060180</v>
      </c>
      <c r="AJ209" s="22">
        <v>552808</v>
      </c>
      <c r="AK209" s="22">
        <v>95208</v>
      </c>
      <c r="AL209" s="22">
        <v>455672</v>
      </c>
      <c r="AM209" s="23"/>
      <c r="AN209" s="24">
        <f>Test!J914</f>
        <v>68.124311899999995</v>
      </c>
      <c r="AO209" s="24">
        <f>Test!K914</f>
        <v>70.939592700000006</v>
      </c>
      <c r="AP209" s="24">
        <f>Test!L914</f>
        <v>29.238155899999999</v>
      </c>
      <c r="AQ209" s="24">
        <f>Test!M914</f>
        <v>42.956527299999998</v>
      </c>
      <c r="AR209" s="24">
        <f>Test!N914</f>
        <v>44.853298600000002</v>
      </c>
      <c r="AS209" s="25"/>
      <c r="AT209" s="26"/>
      <c r="AU209" s="26"/>
      <c r="AW209" s="27">
        <f t="shared" si="23"/>
        <v>-1.9757205607708883E-3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-2.7640038314522331E-2</v>
      </c>
      <c r="BA209" s="28">
        <f>IF( OR(ISBLANK(Q209:Q214),ISBLANK(AK209:AK214), ISBLANK(U209:U214),ISBLANK(AO209:AO214)), "·", bdRateExtend( Q209:Q214,U209:U214, AK209:AK214,AO209:AO214))</f>
        <v>-2.6333146039938526E-2</v>
      </c>
      <c r="BB209" s="28">
        <f>IF( OR(ISBLANK(R209:R214),ISBLANK(AL209:AL214), ISBLANK(V209:V214),ISBLANK(AP209:AP214)), "·", bdRateExtend( R209:R214,V209:V214, AL209:AL214,AP209:AP214))</f>
        <v>-7.6780004773904231E-3</v>
      </c>
      <c r="BC209" s="28">
        <f>IF( OR(ISBLANK(R209:R214),ISBLANK(AL209:AL214), ISBLANK(W209:W214),ISBLANK(AQ209:AQ214)), "·", bdRateExtend( R209:R214,W209:W214, AL209:AL214,AQ209:AQ214))</f>
        <v>-7.5143523884951824E-3</v>
      </c>
      <c r="BD209" s="28">
        <f>IF( OR(ISBLANK(R209:R214),ISBLANK(AL209:AL214), ISBLANK(X209:X214),ISBLANK(AR209:AR214)), "·", bdRateExtend( R209:R214,X209:X214, AL209:AL214,AR209:AR214))</f>
        <v>-7.9433164906459464E-3</v>
      </c>
      <c r="BE209" s="29"/>
      <c r="BG209" s="28">
        <f>IF( OR(ISBLANK(P209:P214),ISBLANK(AJ209:AJ214), ISBLANK(T209:T214),ISBLANK(AN209:AN214)), "·", bdRateExtend( P209:P214,T209:T214, AJ209:AJ214,AN209:AN214))</f>
        <v>-1.419745384042792E-2</v>
      </c>
      <c r="BH209" s="28">
        <f>IF( OR(ISBLANK(P209:P214),ISBLANK(AJ209:AJ214), ISBLANK(U209:U214),ISBLANK(AO209:AO214)), "·", bdRateExtend( P209:P214,U209:U214, AJ209:AJ214,AO209:AO214))</f>
        <v>-1.3487132880203756E-2</v>
      </c>
      <c r="BI209" s="28">
        <f>IF( OR(ISBLANK(P209:P214),ISBLANK(AJ209:AJ214), ISBLANK(V209:V214),ISBLANK(AP209:AP214)), "·", bdRateExtend( P209:P214,V209:V214, AJ209:AJ214,AP209:AP214))</f>
        <v>-1.000589088679138E-2</v>
      </c>
      <c r="BJ209" s="28">
        <f>IF( OR(ISBLANK(P209:P214),ISBLANK(AJ209:AJ214), ISBLANK(W209:W214),ISBLANK(AQ209:AQ214)), "·", bdRateExtend( P209:P214,W209:W214, AJ209:AJ214,AQ209:AQ214))</f>
        <v>-9.7887034471396683E-3</v>
      </c>
      <c r="BK209" s="28">
        <f>IF( OR(ISBLANK(P209:P214),ISBLANK(AJ209:AJ214), ISBLANK(X209:X214),ISBLANK(AR209:AR214)), "·", bdRateExtend( P209:P214,X209:X214, AJ209:AJ214,AR209:AR214))</f>
        <v>-1.0275318377927278E-2</v>
      </c>
      <c r="BL209" s="29"/>
    </row>
    <row r="210" spans="1:64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">
        <v>1042</v>
      </c>
      <c r="J210" s="34">
        <v>9.7744674779322499E-2</v>
      </c>
      <c r="K210" s="34">
        <v>1.7047239387563418E-2</v>
      </c>
      <c r="L210" s="34">
        <v>8.0599639993225336E-2</v>
      </c>
      <c r="M210" s="35"/>
      <c r="N210" s="34">
        <v>0.13944577144266385</v>
      </c>
      <c r="O210" s="36">
        <v>13818992</v>
      </c>
      <c r="P210" s="37">
        <v>1927000</v>
      </c>
      <c r="Q210" s="37">
        <v>336080</v>
      </c>
      <c r="R210" s="37">
        <v>1588992</v>
      </c>
      <c r="S210" s="38"/>
      <c r="T210" s="39">
        <v>74.471132999999995</v>
      </c>
      <c r="U210" s="39">
        <v>76.897411000000005</v>
      </c>
      <c r="V210" s="39">
        <v>31.080524400000002</v>
      </c>
      <c r="W210" s="39">
        <v>43.952646199999997</v>
      </c>
      <c r="X210" s="39">
        <v>45.802743499999998</v>
      </c>
      <c r="Y210" s="38"/>
      <c r="Z210" s="41"/>
      <c r="AA210" s="41"/>
      <c r="AC210" s="33" t="str">
        <f t="shared" si="18"/>
        <v>·</v>
      </c>
      <c r="AD210" s="34">
        <f t="shared" si="19"/>
        <v>9.6144644669701879E-2</v>
      </c>
      <c r="AE210" s="34">
        <f t="shared" si="20"/>
        <v>1.6487249138697969E-2</v>
      </c>
      <c r="AF210" s="34">
        <f t="shared" si="21"/>
        <v>7.9559600132470154E-2</v>
      </c>
      <c r="AG210" s="35"/>
      <c r="AH210" s="34">
        <f t="shared" si="22"/>
        <v>0.13716311580468388</v>
      </c>
      <c r="AI210" s="36">
        <f>Test!E915</f>
        <v>13818992</v>
      </c>
      <c r="AJ210" s="37">
        <v>1895456</v>
      </c>
      <c r="AK210" s="37">
        <v>325040</v>
      </c>
      <c r="AL210" s="37">
        <v>1568488</v>
      </c>
      <c r="AM210" s="38"/>
      <c r="AN210" s="39">
        <f>Test!J915</f>
        <v>74.471132999999995</v>
      </c>
      <c r="AO210" s="39">
        <f>Test!K915</f>
        <v>76.897411000000005</v>
      </c>
      <c r="AP210" s="39">
        <f>Test!L915</f>
        <v>31.080524400000002</v>
      </c>
      <c r="AQ210" s="39">
        <f>Test!M915</f>
        <v>43.952646199999997</v>
      </c>
      <c r="AR210" s="39">
        <f>Test!N915</f>
        <v>45.802743499999998</v>
      </c>
      <c r="AS210" s="40"/>
      <c r="AT210" s="41"/>
      <c r="AU210" s="41"/>
      <c r="AW210" s="42">
        <f t="shared" si="23"/>
        <v>-2.9220108837947345E-3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">
        <v>1042</v>
      </c>
      <c r="J211" s="19">
        <v>0.35502245565970325</v>
      </c>
      <c r="K211" s="19">
        <v>6.6683476518883511E-2</v>
      </c>
      <c r="L211" s="19">
        <v>0.28824118374228602</v>
      </c>
      <c r="M211" s="20"/>
      <c r="N211" s="19">
        <v>0.47762820406959439</v>
      </c>
      <c r="O211" s="21">
        <v>14653942</v>
      </c>
      <c r="P211" s="22">
        <v>6999136</v>
      </c>
      <c r="Q211" s="22">
        <v>1314640</v>
      </c>
      <c r="R211" s="22">
        <v>5682568</v>
      </c>
      <c r="S211" s="23"/>
      <c r="T211" s="24">
        <v>79.275107500000004</v>
      </c>
      <c r="U211" s="24">
        <v>81.044130600000003</v>
      </c>
      <c r="V211" s="24">
        <v>33.3936493</v>
      </c>
      <c r="W211" s="24">
        <v>45.0815877</v>
      </c>
      <c r="X211" s="24">
        <v>46.775804299999997</v>
      </c>
      <c r="Y211" s="23"/>
      <c r="Z211" s="26"/>
      <c r="AA211" s="26"/>
      <c r="AC211" s="18" t="str">
        <f t="shared" si="18"/>
        <v>·</v>
      </c>
      <c r="AD211" s="19">
        <f t="shared" si="19"/>
        <v>0.35306411294881584</v>
      </c>
      <c r="AE211" s="19">
        <f t="shared" si="20"/>
        <v>6.5707145693687671E-2</v>
      </c>
      <c r="AF211" s="19">
        <f t="shared" si="21"/>
        <v>0.28725917185659439</v>
      </c>
      <c r="AG211" s="20"/>
      <c r="AH211" s="19">
        <f t="shared" si="22"/>
        <v>0.47499355463533294</v>
      </c>
      <c r="AI211" s="21">
        <f>Test!E916</f>
        <v>14653942</v>
      </c>
      <c r="AJ211" s="22">
        <v>6960528</v>
      </c>
      <c r="AK211" s="22">
        <v>1295392</v>
      </c>
      <c r="AL211" s="22">
        <v>5663208</v>
      </c>
      <c r="AM211" s="23"/>
      <c r="AN211" s="24">
        <f>Test!J916</f>
        <v>79.275107500000004</v>
      </c>
      <c r="AO211" s="24">
        <f>Test!K916</f>
        <v>81.044130600000003</v>
      </c>
      <c r="AP211" s="24">
        <f>Test!L916</f>
        <v>33.3936493</v>
      </c>
      <c r="AQ211" s="24">
        <f>Test!M916</f>
        <v>45.0815877</v>
      </c>
      <c r="AR211" s="24">
        <f>Test!N916</f>
        <v>46.775804299999997</v>
      </c>
      <c r="AS211" s="25"/>
      <c r="AT211" s="26"/>
      <c r="AU211" s="26"/>
      <c r="AW211" s="27">
        <f t="shared" si="23"/>
        <v>-1.7234758507001513E-3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">
        <v>1042</v>
      </c>
      <c r="J212" s="34">
        <v>1.0446013465432193</v>
      </c>
      <c r="K212" s="34">
        <v>0.24046387076317793</v>
      </c>
      <c r="L212" s="34">
        <v>0.80403562248115346</v>
      </c>
      <c r="M212" s="35"/>
      <c r="N212" s="34">
        <v>1.3450791185435944</v>
      </c>
      <c r="O212" s="36">
        <v>15310570</v>
      </c>
      <c r="P212" s="37">
        <v>20593928</v>
      </c>
      <c r="Q212" s="37">
        <v>4740656</v>
      </c>
      <c r="R212" s="37">
        <v>15851264</v>
      </c>
      <c r="S212" s="38"/>
      <c r="T212" s="39">
        <v>80.747432799999999</v>
      </c>
      <c r="U212" s="39">
        <v>83.198644099999996</v>
      </c>
      <c r="V212" s="39">
        <v>35.681815</v>
      </c>
      <c r="W212" s="39">
        <v>46.384214299999996</v>
      </c>
      <c r="X212" s="39">
        <v>47.8341499</v>
      </c>
      <c r="Y212" s="38"/>
      <c r="Z212" s="41"/>
      <c r="AA212" s="41"/>
      <c r="AC212" s="33" t="str">
        <f t="shared" si="18"/>
        <v>·</v>
      </c>
      <c r="AD212" s="34">
        <f t="shared" si="19"/>
        <v>1.0446013465432193</v>
      </c>
      <c r="AE212" s="34">
        <f t="shared" si="20"/>
        <v>0.24046387076317793</v>
      </c>
      <c r="AF212" s="34">
        <f t="shared" si="21"/>
        <v>0.80403562248115346</v>
      </c>
      <c r="AG212" s="35"/>
      <c r="AH212" s="34">
        <f t="shared" si="22"/>
        <v>1.3450791185435944</v>
      </c>
      <c r="AI212" s="36">
        <f>Test!E917</f>
        <v>15310570</v>
      </c>
      <c r="AJ212" s="37">
        <v>20593928</v>
      </c>
      <c r="AK212" s="37">
        <v>4740656</v>
      </c>
      <c r="AL212" s="37">
        <v>15851264</v>
      </c>
      <c r="AM212" s="38"/>
      <c r="AN212" s="39">
        <f>Test!J917</f>
        <v>80.747432799999999</v>
      </c>
      <c r="AO212" s="39">
        <f>Test!K917</f>
        <v>83.198644099999996</v>
      </c>
      <c r="AP212" s="39">
        <f>Test!L917</f>
        <v>35.681815</v>
      </c>
      <c r="AQ212" s="39">
        <f>Test!M917</f>
        <v>46.384214299999996</v>
      </c>
      <c r="AR212" s="39">
        <f>Test!N917</f>
        <v>47.8341499</v>
      </c>
      <c r="AS212" s="40"/>
      <c r="AT212" s="41"/>
      <c r="AU212" s="41"/>
      <c r="AW212" s="42">
        <f t="shared" si="23"/>
        <v>0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">
        <v>1042</v>
      </c>
      <c r="J213" s="19" t="s">
        <v>1042</v>
      </c>
      <c r="K213" s="19" t="s">
        <v>1042</v>
      </c>
      <c r="L213" s="19" t="s">
        <v>1042</v>
      </c>
      <c r="M213" s="20"/>
      <c r="N213" s="19" t="s">
        <v>1042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18"/>
        <v>·</v>
      </c>
      <c r="AD213" s="19">
        <f t="shared" si="19"/>
        <v>0</v>
      </c>
      <c r="AE213" s="19">
        <f t="shared" si="20"/>
        <v>0</v>
      </c>
      <c r="AF213" s="19">
        <f t="shared" si="21"/>
        <v>0</v>
      </c>
      <c r="AG213" s="20"/>
      <c r="AH213" s="19" t="e">
        <f t="shared" si="22"/>
        <v>#DIV/0!</v>
      </c>
      <c r="AI213" s="21"/>
      <c r="AJ213" s="22">
        <v>0</v>
      </c>
      <c r="AK213" s="22">
        <v>0</v>
      </c>
      <c r="AL213" s="22">
        <v>0</v>
      </c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2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">
        <v>1042</v>
      </c>
      <c r="J214" s="49" t="s">
        <v>1042</v>
      </c>
      <c r="K214" s="49" t="s">
        <v>1042</v>
      </c>
      <c r="L214" s="49" t="s">
        <v>1042</v>
      </c>
      <c r="M214" s="50"/>
      <c r="N214" s="49" t="s">
        <v>1042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18"/>
        <v>·</v>
      </c>
      <c r="AD214" s="49">
        <f t="shared" si="19"/>
        <v>0</v>
      </c>
      <c r="AE214" s="49">
        <f t="shared" si="20"/>
        <v>0</v>
      </c>
      <c r="AF214" s="49">
        <f t="shared" si="21"/>
        <v>0</v>
      </c>
      <c r="AG214" s="50"/>
      <c r="AH214" s="49" t="e">
        <f t="shared" si="22"/>
        <v>#DIV/0!</v>
      </c>
      <c r="AI214" s="51"/>
      <c r="AJ214" s="52">
        <v>0</v>
      </c>
      <c r="AK214" s="52">
        <v>0</v>
      </c>
      <c r="AL214" s="52">
        <v>0</v>
      </c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2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2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">
        <v>1042</v>
      </c>
      <c r="J215" s="19">
        <v>3.5056805365711652E-2</v>
      </c>
      <c r="K215" s="19">
        <v>4.7613447549055927E-3</v>
      </c>
      <c r="L215" s="19">
        <v>3.0050893619693372E-2</v>
      </c>
      <c r="M215" s="20"/>
      <c r="N215" s="19">
        <v>5.7136418990829926E-2</v>
      </c>
      <c r="O215" s="21">
        <v>2227791</v>
      </c>
      <c r="P215" s="22">
        <v>127288</v>
      </c>
      <c r="Q215" s="22">
        <v>17288</v>
      </c>
      <c r="R215" s="22">
        <v>109112</v>
      </c>
      <c r="S215" s="23"/>
      <c r="T215" s="24">
        <v>48.708791499999997</v>
      </c>
      <c r="U215" s="24">
        <v>49.516698499999997</v>
      </c>
      <c r="V215" s="24">
        <v>25.415937799999998</v>
      </c>
      <c r="W215" s="24">
        <v>42.465883499999997</v>
      </c>
      <c r="X215" s="24">
        <v>46.212762599999998</v>
      </c>
      <c r="Y215" s="23"/>
      <c r="Z215" s="26"/>
      <c r="AA215" s="26"/>
      <c r="AC215" s="18" t="str">
        <f t="shared" si="18"/>
        <v>·</v>
      </c>
      <c r="AD215" s="19">
        <f t="shared" si="19"/>
        <v>3.4964266504209557E-2</v>
      </c>
      <c r="AE215" s="19">
        <f t="shared" si="20"/>
        <v>4.7503282237743904E-3</v>
      </c>
      <c r="AF215" s="19">
        <f t="shared" si="21"/>
        <v>2.9969371289322474E-2</v>
      </c>
      <c r="AG215" s="20"/>
      <c r="AH215" s="19">
        <f t="shared" si="22"/>
        <v>5.6985596943339836E-2</v>
      </c>
      <c r="AI215" s="21">
        <f>Test!E920</f>
        <v>2227791</v>
      </c>
      <c r="AJ215" s="22">
        <v>126952</v>
      </c>
      <c r="AK215" s="22">
        <v>17248</v>
      </c>
      <c r="AL215" s="22">
        <v>108816</v>
      </c>
      <c r="AM215" s="23"/>
      <c r="AN215" s="24">
        <f>Test!J920</f>
        <v>48.708791499999997</v>
      </c>
      <c r="AO215" s="24">
        <f>Test!K920</f>
        <v>49.516698499999997</v>
      </c>
      <c r="AP215" s="24">
        <f>Test!L920</f>
        <v>25.415937799999998</v>
      </c>
      <c r="AQ215" s="24">
        <f>Test!M920</f>
        <v>42.465883499999997</v>
      </c>
      <c r="AR215" s="24">
        <f>Test!N920</f>
        <v>46.212762599999998</v>
      </c>
      <c r="AS215" s="25"/>
      <c r="AT215" s="26"/>
      <c r="AU215" s="26"/>
      <c r="AW215" s="27">
        <f t="shared" si="23"/>
        <v>4.4385624635628895E-5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-2.4016964854530753E-3</v>
      </c>
      <c r="BA215" s="28">
        <f>IF( OR(ISBLANK(Q215:Q220),ISBLANK(AK215:AK220), ISBLANK(U215:U220),ISBLANK(AO215:AO220)), "·", bdRateExtend( Q215:Q220,U215:U220, AK215:AK220,AO215:AO220))</f>
        <v>-2.4851812607508128E-3</v>
      </c>
      <c r="BB215" s="28">
        <f>IF( OR(ISBLANK(R215:R220),ISBLANK(AL215:AL220), ISBLANK(V215:V220),ISBLANK(AP215:AP220)), "·", bdRateExtend( R215:R220,V215:V220, AL215:AL220,AP215:AP220))</f>
        <v>-1.8394195633760768E-3</v>
      </c>
      <c r="BC215" s="28">
        <f>IF( OR(ISBLANK(R215:R220),ISBLANK(AL215:AL220), ISBLANK(W215:W220),ISBLANK(AQ215:AQ220)), "·", bdRateExtend( R215:R220,W215:W220, AL215:AL220,AQ215:AQ220))</f>
        <v>-1.8021526455880288E-3</v>
      </c>
      <c r="BD215" s="28">
        <f>IF( OR(ISBLANK(R215:R220),ISBLANK(AL215:AL220), ISBLANK(X215:X220),ISBLANK(AR215:AR220)), "·", bdRateExtend( R215:R220,X215:X220, AL215:AL220,AR215:AR220))</f>
        <v>-1.80146352801136E-3</v>
      </c>
      <c r="BE215" s="29"/>
      <c r="BG215" s="28">
        <f>IF( OR(ISBLANK(P215:P220),ISBLANK(AJ215:AJ220), ISBLANK(T215:T220),ISBLANK(AN215:AN220)), "·", bdRateExtend( P215:P220,T215:T220, AJ215:AJ220,AN215:AN220))</f>
        <v>-2.0043755637296767E-3</v>
      </c>
      <c r="BH215" s="28">
        <f>IF( OR(ISBLANK(P215:P220),ISBLANK(AJ215:AJ220), ISBLANK(U215:U220),ISBLANK(AO215:AO220)), "·", bdRateExtend( P215:P220,U215:U220, AJ215:AJ220,AO215:AO220))</f>
        <v>-2.1313554608339835E-3</v>
      </c>
      <c r="BI215" s="28">
        <f>IF( OR(ISBLANK(P215:P220),ISBLANK(AJ215:AJ220), ISBLANK(V215:V220),ISBLANK(AP215:AP220)), "·", bdRateExtend( P215:P220,V215:V220, AJ215:AJ220,AP215:AP220))</f>
        <v>-1.8960692298142234E-3</v>
      </c>
      <c r="BJ215" s="28">
        <f>IF( OR(ISBLANK(P215:P220),ISBLANK(AJ215:AJ220), ISBLANK(W215:W220),ISBLANK(AQ215:AQ220)), "·", bdRateExtend( P215:P220,W215:W220, AJ215:AJ220,AQ215:AQ220))</f>
        <v>-1.8594391229678209E-3</v>
      </c>
      <c r="BK215" s="28">
        <f>IF( OR(ISBLANK(P215:P220),ISBLANK(AJ215:AJ220), ISBLANK(X215:X220),ISBLANK(AR215:AR220)), "·", bdRateExtend( P215:P220,X215:X220, AJ215:AJ220,AR215:AR220))</f>
        <v>-1.8618823525752282E-3</v>
      </c>
      <c r="BL215" s="29"/>
    </row>
    <row r="216" spans="1:64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">
        <v>1042</v>
      </c>
      <c r="J216" s="34">
        <v>0.12139335984094332</v>
      </c>
      <c r="K216" s="34">
        <v>1.5013328625602363E-2</v>
      </c>
      <c r="L216" s="34">
        <v>0.10613546422422827</v>
      </c>
      <c r="M216" s="35"/>
      <c r="N216" s="34">
        <v>0.14226059721513054</v>
      </c>
      <c r="O216" s="36">
        <v>3098314</v>
      </c>
      <c r="P216" s="37">
        <v>440768</v>
      </c>
      <c r="Q216" s="37">
        <v>54512</v>
      </c>
      <c r="R216" s="37">
        <v>385368</v>
      </c>
      <c r="S216" s="38"/>
      <c r="T216" s="39">
        <v>60.263868700000003</v>
      </c>
      <c r="U216" s="39">
        <v>64.144637700000004</v>
      </c>
      <c r="V216" s="39">
        <v>29.308612</v>
      </c>
      <c r="W216" s="39">
        <v>44.433652299999999</v>
      </c>
      <c r="X216" s="39">
        <v>47.363955400000002</v>
      </c>
      <c r="Y216" s="38"/>
      <c r="Z216" s="41"/>
      <c r="AA216" s="41"/>
      <c r="AC216" s="33" t="str">
        <f t="shared" si="18"/>
        <v>·</v>
      </c>
      <c r="AD216" s="34">
        <f t="shared" si="19"/>
        <v>0.12114438623737815</v>
      </c>
      <c r="AE216" s="34">
        <f t="shared" si="20"/>
        <v>1.4973669113530035E-2</v>
      </c>
      <c r="AF216" s="34">
        <f t="shared" si="21"/>
        <v>0.10592615013273543</v>
      </c>
      <c r="AG216" s="35"/>
      <c r="AH216" s="34">
        <f t="shared" si="22"/>
        <v>0.14196882562580809</v>
      </c>
      <c r="AI216" s="36">
        <f>Test!E921</f>
        <v>3098314</v>
      </c>
      <c r="AJ216" s="37">
        <v>439864</v>
      </c>
      <c r="AK216" s="37">
        <v>54368</v>
      </c>
      <c r="AL216" s="37">
        <v>384608</v>
      </c>
      <c r="AM216" s="38"/>
      <c r="AN216" s="39">
        <f>Test!J921</f>
        <v>60.263868700000003</v>
      </c>
      <c r="AO216" s="39">
        <f>Test!K921</f>
        <v>64.144637700000004</v>
      </c>
      <c r="AP216" s="39">
        <f>Test!L921</f>
        <v>29.308612</v>
      </c>
      <c r="AQ216" s="39">
        <f>Test!M921</f>
        <v>44.433652299999999</v>
      </c>
      <c r="AR216" s="39">
        <f>Test!N921</f>
        <v>47.363955400000002</v>
      </c>
      <c r="AS216" s="40"/>
      <c r="AT216" s="41"/>
      <c r="AU216" s="41"/>
      <c r="AW216" s="42">
        <f t="shared" si="23"/>
        <v>-7.3199361400363983E-5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">
        <v>1042</v>
      </c>
      <c r="J217" s="19">
        <v>0.36898328709603412</v>
      </c>
      <c r="K217" s="19">
        <v>4.8472736977289696E-2</v>
      </c>
      <c r="L217" s="19">
        <v>0.32028801618989416</v>
      </c>
      <c r="M217" s="20"/>
      <c r="N217" s="19">
        <v>0.43038978277867762</v>
      </c>
      <c r="O217" s="21">
        <v>3112862</v>
      </c>
      <c r="P217" s="22">
        <v>1339744</v>
      </c>
      <c r="Q217" s="22">
        <v>176000</v>
      </c>
      <c r="R217" s="22">
        <v>1162936</v>
      </c>
      <c r="S217" s="23"/>
      <c r="T217" s="24">
        <v>66.016551899999996</v>
      </c>
      <c r="U217" s="24">
        <v>70.581139300000004</v>
      </c>
      <c r="V217" s="24">
        <v>31.5912565</v>
      </c>
      <c r="W217" s="24">
        <v>45.556744999999999</v>
      </c>
      <c r="X217" s="24">
        <v>48.133508999999997</v>
      </c>
      <c r="Y217" s="23"/>
      <c r="Z217" s="26"/>
      <c r="AA217" s="26"/>
      <c r="AC217" s="18" t="str">
        <f>IF(OR(ISBLANK(AJ217),ISBLANK(G217)),"·",AJ217*G217/F217/1000000)</f>
        <v>·</v>
      </c>
      <c r="AD217" s="19">
        <f>IF(ISBLANK(AJ217),"·",AJ217/D217)</f>
        <v>0.36832229522816201</v>
      </c>
      <c r="AE217" s="19">
        <f>IF(AK217="","·",AK217/D217)</f>
        <v>4.8342741909941513E-2</v>
      </c>
      <c r="AF217" s="19">
        <f>IF(ISBLANK(AL217),"·",AL217/D217)</f>
        <v>0.31975701938937018</v>
      </c>
      <c r="AG217" s="20"/>
      <c r="AH217" s="19">
        <f>IF(ISBLANK(AJ217),"·",AJ217/AI217)</f>
        <v>0.42961878811203325</v>
      </c>
      <c r="AI217" s="21">
        <f>Test!E922</f>
        <v>3112862</v>
      </c>
      <c r="AJ217" s="22">
        <v>1337344</v>
      </c>
      <c r="AK217" s="22">
        <v>175528</v>
      </c>
      <c r="AL217" s="22">
        <v>1161008</v>
      </c>
      <c r="AM217" s="23"/>
      <c r="AN217" s="24">
        <f>Test!J922</f>
        <v>66.016551899999996</v>
      </c>
      <c r="AO217" s="24">
        <f>Test!K922</f>
        <v>70.581139300000004</v>
      </c>
      <c r="AP217" s="24">
        <f>Test!L922</f>
        <v>31.5912565</v>
      </c>
      <c r="AQ217" s="24">
        <f>Test!M922</f>
        <v>45.556744999999999</v>
      </c>
      <c r="AR217" s="24">
        <f>Test!N922</f>
        <v>48.133508999999997</v>
      </c>
      <c r="AS217" s="25"/>
      <c r="AT217" s="26"/>
      <c r="AU217" s="26"/>
      <c r="AW217" s="27">
        <f>(AK217/AJ217) - (Q217/P217)</f>
        <v>-1.1718442376831839E-4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">
        <v>1042</v>
      </c>
      <c r="J218" s="34">
        <v>1.1183453610902179</v>
      </c>
      <c r="K218" s="34">
        <v>0.16961932652089409</v>
      </c>
      <c r="L218" s="34">
        <v>0.94850350064047362</v>
      </c>
      <c r="M218" s="35"/>
      <c r="N218" s="34">
        <v>0.97206334797434135</v>
      </c>
      <c r="O218" s="36">
        <v>4177308</v>
      </c>
      <c r="P218" s="37">
        <v>4060608</v>
      </c>
      <c r="Q218" s="37">
        <v>615872</v>
      </c>
      <c r="R218" s="37">
        <v>3443928</v>
      </c>
      <c r="S218" s="38"/>
      <c r="T218" s="39">
        <v>69.978666500000003</v>
      </c>
      <c r="U218" s="39">
        <v>72.765655300000006</v>
      </c>
      <c r="V218" s="39">
        <v>33.777803300000002</v>
      </c>
      <c r="W218" s="39">
        <v>46.830190399999999</v>
      </c>
      <c r="X218" s="39">
        <v>48.884165799999998</v>
      </c>
      <c r="Y218" s="38"/>
      <c r="Z218" s="41"/>
      <c r="AA218" s="41"/>
      <c r="AC218" s="33" t="str">
        <f>IF(OR(ISBLANK(AJ218),ISBLANK(G218)),"·",AJ218*G218/F218/1000000)</f>
        <v>·</v>
      </c>
      <c r="AD218" s="34">
        <f>IF(ISBLANK(AJ218),"·",AJ218/D218)</f>
        <v>1.1183453610902179</v>
      </c>
      <c r="AE218" s="34">
        <f>IF(AK218="","·",AK218/D218)</f>
        <v>0.16961932652089409</v>
      </c>
      <c r="AF218" s="34">
        <f>IF(ISBLANK(AL218),"·",AL218/D218)</f>
        <v>0.94850350064047362</v>
      </c>
      <c r="AG218" s="35"/>
      <c r="AH218" s="34">
        <f>IF(ISBLANK(AJ218),"·",AJ218/AI218)</f>
        <v>0.97206334797434135</v>
      </c>
      <c r="AI218" s="36">
        <f>Test!E923</f>
        <v>4177308</v>
      </c>
      <c r="AJ218" s="37">
        <v>4060608</v>
      </c>
      <c r="AK218" s="37">
        <v>615872</v>
      </c>
      <c r="AL218" s="37">
        <v>3443928</v>
      </c>
      <c r="AM218" s="38"/>
      <c r="AN218" s="39">
        <f>Test!J923</f>
        <v>69.978666500000003</v>
      </c>
      <c r="AO218" s="39">
        <f>Test!K923</f>
        <v>72.765655300000006</v>
      </c>
      <c r="AP218" s="39">
        <f>Test!L923</f>
        <v>33.777803300000002</v>
      </c>
      <c r="AQ218" s="39">
        <f>Test!M923</f>
        <v>46.830190399999999</v>
      </c>
      <c r="AR218" s="39">
        <f>Test!N923</f>
        <v>48.884165799999998</v>
      </c>
      <c r="AS218" s="40"/>
      <c r="AT218" s="41"/>
      <c r="AU218" s="41"/>
      <c r="AW218" s="42">
        <f>(AK218/AJ218) - (Q218/P218)</f>
        <v>0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">
        <v>1042</v>
      </c>
      <c r="J219" s="19" t="s">
        <v>1042</v>
      </c>
      <c r="K219" s="19" t="s">
        <v>1042</v>
      </c>
      <c r="L219" s="19" t="s">
        <v>1042</v>
      </c>
      <c r="M219" s="20"/>
      <c r="N219" s="19" t="s">
        <v>1042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18"/>
        <v>·</v>
      </c>
      <c r="AD219" s="19">
        <f t="shared" si="19"/>
        <v>0</v>
      </c>
      <c r="AE219" s="19">
        <f t="shared" si="20"/>
        <v>0</v>
      </c>
      <c r="AF219" s="19">
        <f t="shared" si="21"/>
        <v>0</v>
      </c>
      <c r="AG219" s="20"/>
      <c r="AH219" s="19" t="e">
        <f t="shared" si="22"/>
        <v>#DIV/0!</v>
      </c>
      <c r="AI219" s="21"/>
      <c r="AJ219" s="22">
        <v>0</v>
      </c>
      <c r="AK219" s="22">
        <v>0</v>
      </c>
      <c r="AL219" s="22">
        <v>0</v>
      </c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2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">
        <v>1042</v>
      </c>
      <c r="J220" s="49" t="s">
        <v>1042</v>
      </c>
      <c r="K220" s="49" t="s">
        <v>1042</v>
      </c>
      <c r="L220" s="49" t="s">
        <v>1042</v>
      </c>
      <c r="M220" s="50"/>
      <c r="N220" s="49" t="s">
        <v>1042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18"/>
        <v>·</v>
      </c>
      <c r="AD220" s="49">
        <f t="shared" si="19"/>
        <v>0</v>
      </c>
      <c r="AE220" s="49">
        <f t="shared" si="20"/>
        <v>0</v>
      </c>
      <c r="AF220" s="49">
        <f t="shared" si="21"/>
        <v>0</v>
      </c>
      <c r="AG220" s="50"/>
      <c r="AH220" s="49" t="e">
        <f t="shared" si="22"/>
        <v>#DIV/0!</v>
      </c>
      <c r="AI220" s="51"/>
      <c r="AJ220" s="52">
        <v>0</v>
      </c>
      <c r="AK220" s="52">
        <v>0</v>
      </c>
      <c r="AL220" s="52">
        <v>0</v>
      </c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2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">
        <v>1042</v>
      </c>
      <c r="J221" s="19">
        <v>8.4901233869888501E-2</v>
      </c>
      <c r="K221" s="19">
        <v>8.9116350553116418E-3</v>
      </c>
      <c r="L221" s="19">
        <v>7.5840729334966245E-2</v>
      </c>
      <c r="M221" s="20"/>
      <c r="N221" s="19">
        <v>7.0910565983984736E-2</v>
      </c>
      <c r="O221" s="21">
        <v>16792984</v>
      </c>
      <c r="P221" s="22">
        <v>1190800</v>
      </c>
      <c r="Q221" s="22">
        <v>124992</v>
      </c>
      <c r="R221" s="22">
        <v>1063720</v>
      </c>
      <c r="S221" s="23"/>
      <c r="T221" s="24">
        <v>55.100464299999999</v>
      </c>
      <c r="U221" s="24">
        <v>55.723297299999999</v>
      </c>
      <c r="V221" s="24">
        <v>24.287641799999999</v>
      </c>
      <c r="W221" s="24">
        <v>39.0096001</v>
      </c>
      <c r="X221" s="24">
        <v>43.6623807</v>
      </c>
      <c r="Y221" s="23"/>
      <c r="Z221" s="26"/>
      <c r="AA221" s="26"/>
      <c r="AC221" s="18" t="str">
        <f t="shared" si="18"/>
        <v>·</v>
      </c>
      <c r="AD221" s="19">
        <f t="shared" si="19"/>
        <v>8.4501396685187177E-2</v>
      </c>
      <c r="AE221" s="19">
        <f t="shared" si="20"/>
        <v>8.8654341823290357E-3</v>
      </c>
      <c r="AF221" s="19">
        <f t="shared" si="21"/>
        <v>7.548709302324752E-2</v>
      </c>
      <c r="AG221" s="20"/>
      <c r="AH221" s="19">
        <f t="shared" si="22"/>
        <v>7.0576616996717204E-2</v>
      </c>
      <c r="AI221" s="21">
        <f>Test!E926</f>
        <v>16792984</v>
      </c>
      <c r="AJ221" s="22">
        <v>1185192</v>
      </c>
      <c r="AK221" s="22">
        <v>124344</v>
      </c>
      <c r="AL221" s="22">
        <v>1058760</v>
      </c>
      <c r="AM221" s="23"/>
      <c r="AN221" s="24">
        <f>Test!J926</f>
        <v>55.100464299999999</v>
      </c>
      <c r="AO221" s="24">
        <f>Test!K926</f>
        <v>55.723297299999999</v>
      </c>
      <c r="AP221" s="24">
        <f>Test!L926</f>
        <v>24.287641799999999</v>
      </c>
      <c r="AQ221" s="24">
        <f>Test!M926</f>
        <v>39.0096001</v>
      </c>
      <c r="AR221" s="24">
        <f>Test!N926</f>
        <v>43.6623807</v>
      </c>
      <c r="AS221" s="25"/>
      <c r="AT221" s="26"/>
      <c r="AU221" s="26"/>
      <c r="AW221" s="27">
        <f t="shared" si="23"/>
        <v>-5.0082852769306463E-5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-5.5669358727141738E-3</v>
      </c>
      <c r="BA221" s="28">
        <f>IF( OR(ISBLANK(Q221:Q226),ISBLANK(AK221:AK226), ISBLANK(U221:U226),ISBLANK(AO221:AO226)), "·", bdRateExtend( Q221:Q226,U221:U226, AK221:AK226,AO221:AO226))</f>
        <v>-5.5363357881956787E-3</v>
      </c>
      <c r="BB221" s="28">
        <f>IF( OR(ISBLANK(R221:R226),ISBLANK(AL221:AL226), ISBLANK(V221:V226),ISBLANK(AP221:AP226)), "·", bdRateExtend( R221:R226,V221:V226, AL221:AL226,AP221:AP226))</f>
        <v>-4.8051741758936561E-3</v>
      </c>
      <c r="BC221" s="28">
        <f>IF( OR(ISBLANK(R221:R226),ISBLANK(AL221:AL226), ISBLANK(W221:W226),ISBLANK(AQ221:AQ226)), "·", bdRateExtend( R221:R226,W221:W226, AL221:AL226,AQ221:AQ226))</f>
        <v>-4.049612331192276E-3</v>
      </c>
      <c r="BD221" s="28">
        <f>IF( OR(ISBLANK(R221:R226),ISBLANK(AL221:AL226), ISBLANK(X221:X226),ISBLANK(AR221:AR226)), "·", bdRateExtend( R221:R226,X221:X226, AL221:AL226,AR221:AR226))</f>
        <v>-4.1620205311193592E-3</v>
      </c>
      <c r="BE221" s="29"/>
      <c r="BG221" s="28">
        <f>IF( OR(ISBLANK(P221:P226),ISBLANK(AJ221:AJ226), ISBLANK(T221:T226),ISBLANK(AN221:AN226)), "·", bdRateExtend( P221:P226,T221:T226, AJ221:AJ226,AN221:AN226))</f>
        <v>-4.8672697590912417E-3</v>
      </c>
      <c r="BH221" s="28">
        <f>IF( OR(ISBLANK(P221:P226),ISBLANK(AJ221:AJ226), ISBLANK(U221:U226),ISBLANK(AO221:AO226)), "·", bdRateExtend( P221:P226,U221:U226, AJ221:AJ226,AO221:AO226))</f>
        <v>-4.8309057873917594E-3</v>
      </c>
      <c r="BI221" s="28">
        <f>IF( OR(ISBLANK(P221:P226),ISBLANK(AJ221:AJ226), ISBLANK(V221:V226),ISBLANK(AP221:AP226)), "·", bdRateExtend( P221:P226,V221:V226, AJ221:AJ226,AP221:AP226))</f>
        <v>-4.899132063851952E-3</v>
      </c>
      <c r="BJ221" s="28">
        <f>IF( OR(ISBLANK(P221:P226),ISBLANK(AJ221:AJ226), ISBLANK(W221:W226),ISBLANK(AQ221:AQ226)), "·", bdRateExtend( P221:P226,W221:W226, AJ221:AJ226,AQ221:AQ226))</f>
        <v>-4.1784969515420434E-3</v>
      </c>
      <c r="BK221" s="28">
        <f>IF( OR(ISBLANK(P221:P226),ISBLANK(AJ221:AJ226), ISBLANK(X221:X226),ISBLANK(AR221:AR226)), "·", bdRateExtend( P221:P226,X221:X226, AJ221:AJ226,AR221:AR226))</f>
        <v>-4.2799448513564098E-3</v>
      </c>
      <c r="BL221" s="29"/>
    </row>
    <row r="222" spans="1:64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">
        <v>1042</v>
      </c>
      <c r="J222" s="34">
        <v>0.28704488307863796</v>
      </c>
      <c r="K222" s="34">
        <v>2.7183795129358524E-2</v>
      </c>
      <c r="L222" s="34">
        <v>0.2597236260926275</v>
      </c>
      <c r="M222" s="35"/>
      <c r="N222" s="34">
        <v>0.24662775803990497</v>
      </c>
      <c r="O222" s="36">
        <v>16324229</v>
      </c>
      <c r="P222" s="37">
        <v>4026008</v>
      </c>
      <c r="Q222" s="37">
        <v>381272</v>
      </c>
      <c r="R222" s="37">
        <v>3642808</v>
      </c>
      <c r="S222" s="38"/>
      <c r="T222" s="39">
        <v>67.698861600000001</v>
      </c>
      <c r="U222" s="39">
        <v>70.981409299999996</v>
      </c>
      <c r="V222" s="39">
        <v>27.997034299999999</v>
      </c>
      <c r="W222" s="39">
        <v>41.818504699999998</v>
      </c>
      <c r="X222" s="39">
        <v>46.069165699999999</v>
      </c>
      <c r="Y222" s="38"/>
      <c r="Z222" s="41"/>
      <c r="AA222" s="41"/>
      <c r="AC222" s="33" t="str">
        <f t="shared" si="18"/>
        <v>·</v>
      </c>
      <c r="AD222" s="34">
        <f t="shared" si="19"/>
        <v>0.28531833934384349</v>
      </c>
      <c r="AE222" s="34">
        <f t="shared" si="20"/>
        <v>2.7009828879238831E-2</v>
      </c>
      <c r="AF222" s="34">
        <f t="shared" si="21"/>
        <v>0.2581710486079527</v>
      </c>
      <c r="AG222" s="35"/>
      <c r="AH222" s="34">
        <f t="shared" si="22"/>
        <v>0.24514431891392849</v>
      </c>
      <c r="AI222" s="36">
        <f>Test!E927</f>
        <v>16324229</v>
      </c>
      <c r="AJ222" s="37">
        <v>4001792</v>
      </c>
      <c r="AK222" s="37">
        <v>378832</v>
      </c>
      <c r="AL222" s="37">
        <v>3621032</v>
      </c>
      <c r="AM222" s="38"/>
      <c r="AN222" s="39">
        <f>Test!J927</f>
        <v>67.698861600000001</v>
      </c>
      <c r="AO222" s="39">
        <f>Test!K927</f>
        <v>70.981409299999996</v>
      </c>
      <c r="AP222" s="39">
        <f>Test!L927</f>
        <v>27.997034299999999</v>
      </c>
      <c r="AQ222" s="39">
        <f>Test!M927</f>
        <v>41.818504699999998</v>
      </c>
      <c r="AR222" s="39">
        <f>Test!N927</f>
        <v>46.069165699999999</v>
      </c>
      <c r="AS222" s="40"/>
      <c r="AT222" s="41"/>
      <c r="AU222" s="41"/>
      <c r="AW222" s="42">
        <f t="shared" si="23"/>
        <v>-3.6656180768021573E-5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">
        <v>1042</v>
      </c>
      <c r="J223" s="19">
        <v>0.7794024530239434</v>
      </c>
      <c r="K223" s="19">
        <v>9.4389524265760819E-2</v>
      </c>
      <c r="L223" s="19">
        <v>0.68488117071300991</v>
      </c>
      <c r="M223" s="20"/>
      <c r="N223" s="19">
        <v>0.78292748607705176</v>
      </c>
      <c r="O223" s="21">
        <v>13962560</v>
      </c>
      <c r="P223" s="22">
        <v>10931672</v>
      </c>
      <c r="Q223" s="22">
        <v>1323880</v>
      </c>
      <c r="R223" s="22">
        <v>9605944</v>
      </c>
      <c r="S223" s="23"/>
      <c r="T223" s="24">
        <v>71.664823699999999</v>
      </c>
      <c r="U223" s="24">
        <v>75.593614599999995</v>
      </c>
      <c r="V223" s="24">
        <v>30.1435569</v>
      </c>
      <c r="W223" s="24">
        <v>43.5298376</v>
      </c>
      <c r="X223" s="24">
        <v>47.355477999999998</v>
      </c>
      <c r="Y223" s="23"/>
      <c r="Z223" s="26"/>
      <c r="AA223" s="26"/>
      <c r="AC223" s="18" t="str">
        <f t="shared" si="18"/>
        <v>·</v>
      </c>
      <c r="AD223" s="19">
        <f t="shared" si="19"/>
        <v>0.7774198081537268</v>
      </c>
      <c r="AE223" s="19">
        <f t="shared" si="20"/>
        <v>9.3880173900656283E-2</v>
      </c>
      <c r="AF223" s="19">
        <f t="shared" si="21"/>
        <v>0.68340787620789789</v>
      </c>
      <c r="AG223" s="20"/>
      <c r="AH223" s="19">
        <f t="shared" si="22"/>
        <v>0.78093587422363808</v>
      </c>
      <c r="AI223" s="21">
        <f>Test!E928</f>
        <v>13962560</v>
      </c>
      <c r="AJ223" s="22">
        <v>10903864</v>
      </c>
      <c r="AK223" s="22">
        <v>1316736</v>
      </c>
      <c r="AL223" s="22">
        <v>9585280</v>
      </c>
      <c r="AM223" s="23"/>
      <c r="AN223" s="24">
        <f>Test!J928</f>
        <v>71.664823699999999</v>
      </c>
      <c r="AO223" s="24">
        <f>Test!K928</f>
        <v>75.593614599999995</v>
      </c>
      <c r="AP223" s="24">
        <f>Test!L928</f>
        <v>30.1435569</v>
      </c>
      <c r="AQ223" s="24">
        <f>Test!M928</f>
        <v>43.5298376</v>
      </c>
      <c r="AR223" s="24">
        <f>Test!N928</f>
        <v>47.355477999999998</v>
      </c>
      <c r="AS223" s="25"/>
      <c r="AT223" s="26"/>
      <c r="AU223" s="26"/>
      <c r="AW223" s="27">
        <f t="shared" si="23"/>
        <v>-3.4632791732593093E-4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">
        <v>1042</v>
      </c>
      <c r="J224" s="34">
        <v>1.9222466400807261</v>
      </c>
      <c r="K224" s="34">
        <v>0.34423072658929399</v>
      </c>
      <c r="L224" s="34">
        <v>1.5778841554462595</v>
      </c>
      <c r="M224" s="35"/>
      <c r="N224" s="34">
        <v>1.7382867056444651</v>
      </c>
      <c r="O224" s="36">
        <v>15510026</v>
      </c>
      <c r="P224" s="37">
        <v>26960872</v>
      </c>
      <c r="Q224" s="37">
        <v>4828080</v>
      </c>
      <c r="R224" s="37">
        <v>22130944</v>
      </c>
      <c r="S224" s="38"/>
      <c r="T224" s="39">
        <v>73.465101099999998</v>
      </c>
      <c r="U224" s="39">
        <v>77.965103299999996</v>
      </c>
      <c r="V224" s="39">
        <v>31.083461100000001</v>
      </c>
      <c r="W224" s="39">
        <v>45.351179199999997</v>
      </c>
      <c r="X224" s="39">
        <v>48.7706351</v>
      </c>
      <c r="Y224" s="38"/>
      <c r="Z224" s="41"/>
      <c r="AA224" s="41"/>
      <c r="AC224" s="33" t="str">
        <f t="shared" si="18"/>
        <v>·</v>
      </c>
      <c r="AD224" s="34">
        <f t="shared" si="19"/>
        <v>1.9222466400807261</v>
      </c>
      <c r="AE224" s="34">
        <f t="shared" si="20"/>
        <v>0.34423072658929399</v>
      </c>
      <c r="AF224" s="34">
        <f t="shared" si="21"/>
        <v>1.5778841554462595</v>
      </c>
      <c r="AG224" s="35"/>
      <c r="AH224" s="34">
        <f t="shared" si="22"/>
        <v>1.7382867056444651</v>
      </c>
      <c r="AI224" s="36">
        <f>Test!E929</f>
        <v>15510026</v>
      </c>
      <c r="AJ224" s="37">
        <v>26960872</v>
      </c>
      <c r="AK224" s="37">
        <v>4828080</v>
      </c>
      <c r="AL224" s="37">
        <v>22130944</v>
      </c>
      <c r="AM224" s="38"/>
      <c r="AN224" s="39">
        <f>Test!J929</f>
        <v>73.465101099999998</v>
      </c>
      <c r="AO224" s="39">
        <f>Test!K929</f>
        <v>77.965103299999996</v>
      </c>
      <c r="AP224" s="39">
        <f>Test!L929</f>
        <v>31.083461100000001</v>
      </c>
      <c r="AQ224" s="39">
        <f>Test!M929</f>
        <v>45.351179199999997</v>
      </c>
      <c r="AR224" s="39">
        <f>Test!N929</f>
        <v>48.7706351</v>
      </c>
      <c r="AS224" s="40"/>
      <c r="AT224" s="41"/>
      <c r="AU224" s="41"/>
      <c r="AW224" s="42">
        <f t="shared" si="23"/>
        <v>0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">
        <v>1042</v>
      </c>
      <c r="J225" s="19" t="s">
        <v>1042</v>
      </c>
      <c r="K225" s="19" t="s">
        <v>1042</v>
      </c>
      <c r="L225" s="19" t="s">
        <v>1042</v>
      </c>
      <c r="M225" s="20"/>
      <c r="N225" s="19" t="s">
        <v>1042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18"/>
        <v>·</v>
      </c>
      <c r="AD225" s="19">
        <f t="shared" si="19"/>
        <v>0</v>
      </c>
      <c r="AE225" s="19">
        <f t="shared" si="20"/>
        <v>0</v>
      </c>
      <c r="AF225" s="19">
        <f t="shared" si="21"/>
        <v>0</v>
      </c>
      <c r="AG225" s="20"/>
      <c r="AH225" s="19" t="e">
        <f t="shared" si="22"/>
        <v>#DIV/0!</v>
      </c>
      <c r="AI225" s="21"/>
      <c r="AJ225" s="22">
        <v>0</v>
      </c>
      <c r="AK225" s="22">
        <v>0</v>
      </c>
      <c r="AL225" s="22">
        <v>0</v>
      </c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2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">
        <v>1042</v>
      </c>
      <c r="J226" s="49" t="s">
        <v>1042</v>
      </c>
      <c r="K226" s="49" t="s">
        <v>1042</v>
      </c>
      <c r="L226" s="49" t="s">
        <v>1042</v>
      </c>
      <c r="M226" s="50"/>
      <c r="N226" s="49" t="s">
        <v>1042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18"/>
        <v>·</v>
      </c>
      <c r="AD226" s="49">
        <f t="shared" si="19"/>
        <v>0</v>
      </c>
      <c r="AE226" s="49">
        <f t="shared" si="20"/>
        <v>0</v>
      </c>
      <c r="AF226" s="49">
        <f t="shared" si="21"/>
        <v>0</v>
      </c>
      <c r="AG226" s="50"/>
      <c r="AH226" s="49" t="e">
        <f t="shared" si="22"/>
        <v>#DIV/0!</v>
      </c>
      <c r="AI226" s="51"/>
      <c r="AJ226" s="52">
        <v>0</v>
      </c>
      <c r="AK226" s="52">
        <v>0</v>
      </c>
      <c r="AL226" s="52">
        <v>0</v>
      </c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2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">
        <v>1042</v>
      </c>
      <c r="J227" s="19">
        <v>3.5083642983301397E-2</v>
      </c>
      <c r="K227" s="19">
        <v>3.3032884716632039E-3</v>
      </c>
      <c r="L227" s="19">
        <v>3.1586796204097635E-2</v>
      </c>
      <c r="M227" s="20"/>
      <c r="N227" s="19">
        <v>8.1534364316261654E-2</v>
      </c>
      <c r="O227" s="21">
        <v>2151927</v>
      </c>
      <c r="P227" s="22">
        <v>175456</v>
      </c>
      <c r="Q227" s="22">
        <v>16520</v>
      </c>
      <c r="R227" s="22">
        <v>157968</v>
      </c>
      <c r="S227" s="23"/>
      <c r="T227" s="24">
        <v>50.993274300000003</v>
      </c>
      <c r="U227" s="24">
        <v>54.065404399999998</v>
      </c>
      <c r="V227" s="24">
        <v>23.6020176</v>
      </c>
      <c r="W227" s="24">
        <v>38.163907100000003</v>
      </c>
      <c r="X227" s="24">
        <v>40.7153536</v>
      </c>
      <c r="Y227" s="23"/>
      <c r="Z227" s="26"/>
      <c r="AA227" s="26"/>
      <c r="AC227" s="18" t="str">
        <f t="shared" si="18"/>
        <v>·</v>
      </c>
      <c r="AD227" s="19">
        <f t="shared" si="19"/>
        <v>3.4998861245287768E-2</v>
      </c>
      <c r="AE227" s="19">
        <f t="shared" si="20"/>
        <v>3.2680960521103753E-3</v>
      </c>
      <c r="AF227" s="19">
        <f t="shared" si="21"/>
        <v>3.1537206885636833E-2</v>
      </c>
      <c r="AG227" s="20"/>
      <c r="AH227" s="19">
        <f t="shared" si="22"/>
        <v>8.1337331610226549E-2</v>
      </c>
      <c r="AI227" s="21">
        <f>Test!E932</f>
        <v>2151927</v>
      </c>
      <c r="AJ227" s="22">
        <v>175032</v>
      </c>
      <c r="AK227" s="22">
        <v>16344</v>
      </c>
      <c r="AL227" s="22">
        <v>157720</v>
      </c>
      <c r="AM227" s="23"/>
      <c r="AN227" s="24">
        <f>Test!J932</f>
        <v>50.993274300000003</v>
      </c>
      <c r="AO227" s="24">
        <f>Test!K932</f>
        <v>54.065404399999998</v>
      </c>
      <c r="AP227" s="24">
        <f>Test!L932</f>
        <v>23.6020176</v>
      </c>
      <c r="AQ227" s="24">
        <f>Test!M932</f>
        <v>38.163907100000003</v>
      </c>
      <c r="AR227" s="24">
        <f>Test!N932</f>
        <v>40.7153536</v>
      </c>
      <c r="AS227" s="25"/>
      <c r="AT227" s="26"/>
      <c r="AU227" s="26"/>
      <c r="AW227" s="27">
        <f t="shared" si="23"/>
        <v>-7.7744883347226346E-4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-1.0906226406215191E-2</v>
      </c>
      <c r="BA227" s="28">
        <f>IF( OR(ISBLANK(Q227:Q232),ISBLANK(AK227:AK232), ISBLANK(U227:U232),ISBLANK(AO227:AO232)), "·", bdRateExtend( Q227:Q232,U227:U232, AK227:AK232,AO227:AO232))</f>
        <v>-1.0923821731962602E-2</v>
      </c>
      <c r="BB227" s="28">
        <f>IF( OR(ISBLANK(R227:R232),ISBLANK(AL227:AL232), ISBLANK(V227:V232),ISBLANK(AP227:AP232)), "·", bdRateExtend( R227:R232,V227:V232, AL227:AL232,AP227:AP232))</f>
        <v>-4.0420236364618889E-3</v>
      </c>
      <c r="BC227" s="28">
        <f>IF( OR(ISBLANK(R227:R232),ISBLANK(AL227:AL232), ISBLANK(W227:W232),ISBLANK(AQ227:AQ232)), "·", bdRateExtend( R227:R232,W227:W232, AL227:AL232,AQ227:AQ232))</f>
        <v>-4.1349140944115792E-3</v>
      </c>
      <c r="BD227" s="28">
        <f>IF( OR(ISBLANK(R227:R232),ISBLANK(AL227:AL232), ISBLANK(X227:X232),ISBLANK(AR227:AR232)), "·", bdRateExtend( R227:R232,X227:X232, AL227:AL232,AR227:AR232))</f>
        <v>-4.1065655174850058E-3</v>
      </c>
      <c r="BE227" s="29"/>
      <c r="BG227" s="28">
        <f>IF( OR(ISBLANK(P227:P232),ISBLANK(AJ227:AJ232), ISBLANK(T227:T232),ISBLANK(AN227:AN232)), "·", bdRateExtend( P227:P232,T227:T232, AJ227:AJ232,AN227:AN232))</f>
        <v>-4.4412612243900362E-3</v>
      </c>
      <c r="BH227" s="28">
        <f>IF( OR(ISBLANK(P227:P232),ISBLANK(AJ227:AJ232), ISBLANK(U227:U232),ISBLANK(AO227:AO232)), "·", bdRateExtend( P227:P232,U227:U232, AJ227:AJ232,AO227:AO232))</f>
        <v>-4.410829702609198E-3</v>
      </c>
      <c r="BI227" s="28">
        <f>IF( OR(ISBLANK(P227:P232),ISBLANK(AJ227:AJ232), ISBLANK(V227:V232),ISBLANK(AP227:AP232)), "·", bdRateExtend( P227:P232,V227:V232, AJ227:AJ232,AP227:AP232))</f>
        <v>-4.5364116937810506E-3</v>
      </c>
      <c r="BJ227" s="28">
        <f>IF( OR(ISBLANK(P227:P232),ISBLANK(AJ227:AJ232), ISBLANK(W227:W232),ISBLANK(AQ227:AQ232)), "·", bdRateExtend( P227:P232,W227:W232, AJ227:AJ232,AQ227:AQ232))</f>
        <v>-4.6035369083435862E-3</v>
      </c>
      <c r="BK227" s="28">
        <f>IF( OR(ISBLANK(P227:P232),ISBLANK(AJ227:AJ232), ISBLANK(X227:X232),ISBLANK(AR227:AR232)), "·", bdRateExtend( P227:P232,X227:X232, AJ227:AJ232,AR227:AR232))</f>
        <v>-4.5489735259073294E-3</v>
      </c>
      <c r="BL227" s="29"/>
    </row>
    <row r="228" spans="1:64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">
        <v>1042</v>
      </c>
      <c r="J228" s="34">
        <v>0.15534093956161843</v>
      </c>
      <c r="K228" s="34">
        <v>9.530747077079597E-3</v>
      </c>
      <c r="L228" s="34">
        <v>0.14563263073134047</v>
      </c>
      <c r="M228" s="35"/>
      <c r="N228" s="34">
        <v>0.20994429749225213</v>
      </c>
      <c r="O228" s="36">
        <v>3700372</v>
      </c>
      <c r="P228" s="37">
        <v>776872</v>
      </c>
      <c r="Q228" s="37">
        <v>47664</v>
      </c>
      <c r="R228" s="37">
        <v>728320</v>
      </c>
      <c r="S228" s="38"/>
      <c r="T228" s="39">
        <v>62.011363799999998</v>
      </c>
      <c r="U228" s="39">
        <v>65.223749100000006</v>
      </c>
      <c r="V228" s="39">
        <v>27.2418683</v>
      </c>
      <c r="W228" s="39">
        <v>40.2862954</v>
      </c>
      <c r="X228" s="39">
        <v>41.987166899999998</v>
      </c>
      <c r="Y228" s="38"/>
      <c r="Z228" s="41"/>
      <c r="AA228" s="41"/>
      <c r="AC228" s="33" t="str">
        <f t="shared" si="18"/>
        <v>·</v>
      </c>
      <c r="AD228" s="34">
        <f t="shared" si="19"/>
        <v>0.15452511529016649</v>
      </c>
      <c r="AE228" s="34">
        <f t="shared" si="20"/>
        <v>9.4171715412500155E-3</v>
      </c>
      <c r="AF228" s="34">
        <f t="shared" si="21"/>
        <v>0.14493038199571812</v>
      </c>
      <c r="AG228" s="35"/>
      <c r="AH228" s="34">
        <f t="shared" si="22"/>
        <v>0.20884170564472979</v>
      </c>
      <c r="AI228" s="36">
        <f>Test!E933</f>
        <v>3700372</v>
      </c>
      <c r="AJ228" s="37">
        <v>772792</v>
      </c>
      <c r="AK228" s="37">
        <v>47096</v>
      </c>
      <c r="AL228" s="37">
        <v>724808</v>
      </c>
      <c r="AM228" s="38"/>
      <c r="AN228" s="39">
        <f>Test!J933</f>
        <v>62.011363799999998</v>
      </c>
      <c r="AO228" s="39">
        <f>Test!K933</f>
        <v>65.223749100000006</v>
      </c>
      <c r="AP228" s="39">
        <f>Test!L933</f>
        <v>27.2418683</v>
      </c>
      <c r="AQ228" s="39">
        <f>Test!M933</f>
        <v>40.2862954</v>
      </c>
      <c r="AR228" s="39">
        <f>Test!N933</f>
        <v>41.987166899999998</v>
      </c>
      <c r="AS228" s="40"/>
      <c r="AT228" s="41"/>
      <c r="AU228" s="41"/>
      <c r="AW228" s="42">
        <f t="shared" si="23"/>
        <v>-4.1107666097302265E-4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">
        <v>1042</v>
      </c>
      <c r="J229" s="19">
        <v>0.43114233194169976</v>
      </c>
      <c r="K229" s="19">
        <v>3.3575167908832436E-2</v>
      </c>
      <c r="L229" s="19">
        <v>0.39738960227966896</v>
      </c>
      <c r="M229" s="20"/>
      <c r="N229" s="19">
        <v>0.65018833115767194</v>
      </c>
      <c r="O229" s="21">
        <v>3316233</v>
      </c>
      <c r="P229" s="22">
        <v>2156176</v>
      </c>
      <c r="Q229" s="22">
        <v>167912</v>
      </c>
      <c r="R229" s="22">
        <v>1987376</v>
      </c>
      <c r="S229" s="23"/>
      <c r="T229" s="24">
        <v>66.871473800000004</v>
      </c>
      <c r="U229" s="24">
        <v>69.862087000000002</v>
      </c>
      <c r="V229" s="24">
        <v>29.230798799999999</v>
      </c>
      <c r="W229" s="24">
        <v>41.789427600000003</v>
      </c>
      <c r="X229" s="24">
        <v>42.986027300000003</v>
      </c>
      <c r="Y229" s="23"/>
      <c r="Z229" s="26"/>
      <c r="AA229" s="26"/>
      <c r="AC229" s="18" t="str">
        <f t="shared" si="18"/>
        <v>·</v>
      </c>
      <c r="AD229" s="19">
        <f t="shared" si="19"/>
        <v>0.42839892287201337</v>
      </c>
      <c r="AE229" s="19">
        <f t="shared" si="20"/>
        <v>3.3178453361146013E-2</v>
      </c>
      <c r="AF229" s="19">
        <f t="shared" si="21"/>
        <v>0.39504290775766898</v>
      </c>
      <c r="AG229" s="20"/>
      <c r="AH229" s="19">
        <f t="shared" si="22"/>
        <v>0.646051106782907</v>
      </c>
      <c r="AI229" s="21">
        <f>Test!E934</f>
        <v>3316233</v>
      </c>
      <c r="AJ229" s="22">
        <v>2142456</v>
      </c>
      <c r="AK229" s="22">
        <v>165928</v>
      </c>
      <c r="AL229" s="22">
        <v>1975640</v>
      </c>
      <c r="AM229" s="23"/>
      <c r="AN229" s="24">
        <f>Test!J934</f>
        <v>66.871473800000004</v>
      </c>
      <c r="AO229" s="24">
        <f>Test!K934</f>
        <v>69.862087000000002</v>
      </c>
      <c r="AP229" s="24">
        <f>Test!L934</f>
        <v>29.230798799999999</v>
      </c>
      <c r="AQ229" s="24">
        <f>Test!M934</f>
        <v>41.789427600000003</v>
      </c>
      <c r="AR229" s="24">
        <f>Test!N934</f>
        <v>42.986027300000003</v>
      </c>
      <c r="AS229" s="25"/>
      <c r="AT229" s="26"/>
      <c r="AU229" s="26"/>
      <c r="AW229" s="27">
        <f t="shared" si="23"/>
        <v>-4.2733960968256712E-4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">
        <v>1042</v>
      </c>
      <c r="J230" s="34">
        <v>1.1923751623900212</v>
      </c>
      <c r="K230" s="34">
        <v>0.12928255253818327</v>
      </c>
      <c r="L230" s="34">
        <v>1.0629150480986396</v>
      </c>
      <c r="M230" s="35"/>
      <c r="N230" s="34">
        <v>1.3618599909379248</v>
      </c>
      <c r="O230" s="36">
        <v>4378688</v>
      </c>
      <c r="P230" s="37">
        <v>5963160</v>
      </c>
      <c r="Q230" s="37">
        <v>646552</v>
      </c>
      <c r="R230" s="37">
        <v>5315720</v>
      </c>
      <c r="S230" s="38"/>
      <c r="T230" s="39">
        <v>69.495015199999997</v>
      </c>
      <c r="U230" s="39">
        <v>72.316153200000002</v>
      </c>
      <c r="V230" s="39">
        <v>30.4413464</v>
      </c>
      <c r="W230" s="39">
        <v>42.9893845</v>
      </c>
      <c r="X230" s="39">
        <v>44.158881899999997</v>
      </c>
      <c r="Y230" s="38"/>
      <c r="Z230" s="41"/>
      <c r="AA230" s="41"/>
      <c r="AC230" s="33" t="str">
        <f t="shared" si="18"/>
        <v>·</v>
      </c>
      <c r="AD230" s="34">
        <f t="shared" si="19"/>
        <v>1.1923751623900212</v>
      </c>
      <c r="AE230" s="34">
        <f t="shared" si="20"/>
        <v>0.12928255253818327</v>
      </c>
      <c r="AF230" s="34">
        <f t="shared" si="21"/>
        <v>1.0629150480986396</v>
      </c>
      <c r="AG230" s="35"/>
      <c r="AH230" s="34">
        <f t="shared" si="22"/>
        <v>1.3618599909379248</v>
      </c>
      <c r="AI230" s="36">
        <f>Test!E935</f>
        <v>4378688</v>
      </c>
      <c r="AJ230" s="37">
        <v>5963160</v>
      </c>
      <c r="AK230" s="37">
        <v>646552</v>
      </c>
      <c r="AL230" s="37">
        <v>5315720</v>
      </c>
      <c r="AM230" s="38"/>
      <c r="AN230" s="39">
        <f>Test!J935</f>
        <v>69.495015199999997</v>
      </c>
      <c r="AO230" s="39">
        <f>Test!K935</f>
        <v>72.316153200000002</v>
      </c>
      <c r="AP230" s="39">
        <f>Test!L935</f>
        <v>30.4413464</v>
      </c>
      <c r="AQ230" s="39">
        <f>Test!M935</f>
        <v>42.9893845</v>
      </c>
      <c r="AR230" s="39">
        <f>Test!N935</f>
        <v>44.158881899999997</v>
      </c>
      <c r="AS230" s="40"/>
      <c r="AT230" s="41"/>
      <c r="AU230" s="41"/>
      <c r="AW230" s="42">
        <f t="shared" si="23"/>
        <v>0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">
        <v>1042</v>
      </c>
      <c r="J231" s="19" t="s">
        <v>1042</v>
      </c>
      <c r="K231" s="19" t="s">
        <v>1042</v>
      </c>
      <c r="L231" s="19" t="s">
        <v>1042</v>
      </c>
      <c r="M231" s="20"/>
      <c r="N231" s="19" t="s">
        <v>1042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18"/>
        <v>·</v>
      </c>
      <c r="AD231" s="19">
        <f t="shared" si="19"/>
        <v>0</v>
      </c>
      <c r="AE231" s="19">
        <f t="shared" si="20"/>
        <v>0</v>
      </c>
      <c r="AF231" s="19">
        <f t="shared" si="21"/>
        <v>0</v>
      </c>
      <c r="AG231" s="20"/>
      <c r="AH231" s="19" t="e">
        <f t="shared" si="22"/>
        <v>#DIV/0!</v>
      </c>
      <c r="AI231" s="21"/>
      <c r="AJ231" s="22">
        <v>0</v>
      </c>
      <c r="AK231" s="22">
        <v>0</v>
      </c>
      <c r="AL231" s="22">
        <v>0</v>
      </c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2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">
        <v>1042</v>
      </c>
      <c r="J232" s="49" t="s">
        <v>1042</v>
      </c>
      <c r="K232" s="49" t="s">
        <v>1042</v>
      </c>
      <c r="L232" s="49" t="s">
        <v>1042</v>
      </c>
      <c r="M232" s="50"/>
      <c r="N232" s="49" t="s">
        <v>1042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18"/>
        <v>·</v>
      </c>
      <c r="AD232" s="49">
        <f t="shared" si="19"/>
        <v>0</v>
      </c>
      <c r="AE232" s="49">
        <f t="shared" si="20"/>
        <v>0</v>
      </c>
      <c r="AF232" s="49">
        <f t="shared" si="21"/>
        <v>0</v>
      </c>
      <c r="AG232" s="50"/>
      <c r="AH232" s="49" t="e">
        <f t="shared" si="22"/>
        <v>#DIV/0!</v>
      </c>
      <c r="AI232" s="51"/>
      <c r="AJ232" s="52">
        <v>0</v>
      </c>
      <c r="AK232" s="52">
        <v>0</v>
      </c>
      <c r="AL232" s="52">
        <v>0</v>
      </c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2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">
        <v>1042</v>
      </c>
      <c r="J233" s="19">
        <v>2.1995092171243995E-2</v>
      </c>
      <c r="K233" s="19">
        <v>1.0497667707816598E-3</v>
      </c>
      <c r="L233" s="19">
        <v>2.0913057297547211E-2</v>
      </c>
      <c r="M233" s="20"/>
      <c r="N233" s="19">
        <v>0.12636102948794037</v>
      </c>
      <c r="O233" s="21">
        <v>12558049</v>
      </c>
      <c r="P233" s="22">
        <v>1586848</v>
      </c>
      <c r="Q233" s="22">
        <v>75736</v>
      </c>
      <c r="R233" s="22">
        <v>1508784</v>
      </c>
      <c r="S233" s="23"/>
      <c r="T233" s="24">
        <v>67.502890399999998</v>
      </c>
      <c r="U233" s="24">
        <v>72.881238999999994</v>
      </c>
      <c r="V233" s="24">
        <v>23.4373851</v>
      </c>
      <c r="W233" s="24">
        <v>37.594313800000002</v>
      </c>
      <c r="X233" s="24">
        <v>38.750594200000002</v>
      </c>
      <c r="Y233" s="23"/>
      <c r="Z233" s="26"/>
      <c r="AA233" s="26"/>
      <c r="AC233" s="18" t="str">
        <f t="shared" si="18"/>
        <v>·</v>
      </c>
      <c r="AD233" s="19">
        <f t="shared" si="19"/>
        <v>2.165222971690187E-2</v>
      </c>
      <c r="AE233" s="19">
        <f t="shared" si="20"/>
        <v>1.0094039203998573E-3</v>
      </c>
      <c r="AF233" s="19">
        <f t="shared" si="21"/>
        <v>2.0610557693586891E-2</v>
      </c>
      <c r="AG233" s="20"/>
      <c r="AH233" s="19">
        <f t="shared" si="22"/>
        <v>0.124391296769108</v>
      </c>
      <c r="AI233" s="21">
        <f>Test!E938</f>
        <v>12558049</v>
      </c>
      <c r="AJ233" s="22">
        <v>1562112</v>
      </c>
      <c r="AK233" s="22">
        <v>72824</v>
      </c>
      <c r="AL233" s="22">
        <v>1486960</v>
      </c>
      <c r="AM233" s="23"/>
      <c r="AN233" s="24">
        <f>Test!J938</f>
        <v>67.502890399999998</v>
      </c>
      <c r="AO233" s="24">
        <f>Test!K938</f>
        <v>72.881238999999994</v>
      </c>
      <c r="AP233" s="24">
        <f>Test!L938</f>
        <v>23.4373851</v>
      </c>
      <c r="AQ233" s="24">
        <f>Test!M938</f>
        <v>37.594313800000002</v>
      </c>
      <c r="AR233" s="24">
        <f>Test!N938</f>
        <v>38.750594200000002</v>
      </c>
      <c r="AS233" s="25"/>
      <c r="AT233" s="26"/>
      <c r="AU233" s="26"/>
      <c r="AW233" s="27">
        <f t="shared" si="23"/>
        <v>-1.1083821442608999E-3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-4.019351856283615E-2</v>
      </c>
      <c r="BA233" s="28">
        <f>IF( OR(ISBLANK(Q233:Q238),ISBLANK(AK233:AK238), ISBLANK(U233:U238),ISBLANK(AO233:AO238)), "·", bdRateExtend( Q233:Q238,U233:U238, AK233:AK238,AO233:AO238))</f>
        <v>-4.0167668898113407E-2</v>
      </c>
      <c r="BB233" s="28">
        <f>IF( OR(ISBLANK(R233:R238),ISBLANK(AL233:AL238), ISBLANK(V233:V238),ISBLANK(AP233:AP238)), "·", bdRateExtend( R233:R238,V233:V238, AL233:AL238,AP233:AP238))</f>
        <v>-1.0978975634961974E-2</v>
      </c>
      <c r="BC233" s="28">
        <f>IF( OR(ISBLANK(R233:R238),ISBLANK(AL233:AL238), ISBLANK(W233:W238),ISBLANK(AQ233:AQ238)), "·", bdRateExtend( R233:R238,W233:W238, AL233:AL238,AQ233:AQ238))</f>
        <v>-9.3023769026422398E-3</v>
      </c>
      <c r="BD233" s="28">
        <f>IF( OR(ISBLANK(R233:R238),ISBLANK(AL233:AL238), ISBLANK(X233:X238),ISBLANK(AR233:AR238)), "·", bdRateExtend( R233:R238,X233:X238, AL233:AL238,AR233:AR238))</f>
        <v>-9.55004225706646E-3</v>
      </c>
      <c r="BE233" s="29"/>
      <c r="BG233" s="28">
        <f>IF( OR(ISBLANK(P233:P238),ISBLANK(AJ233:AJ238), ISBLANK(T233:T238),ISBLANK(AN233:AN238)), "·", bdRateExtend( P233:P238,T233:T238, AJ233:AJ238,AN233:AN238))</f>
        <v>-1.2839255156674612E-2</v>
      </c>
      <c r="BH233" s="28">
        <f>IF( OR(ISBLANK(P233:P238),ISBLANK(AJ233:AJ238), ISBLANK(U233:U238),ISBLANK(AO233:AO238)), "·", bdRateExtend( P233:P238,U233:U238, AJ233:AJ238,AO233:AO238))</f>
        <v>-1.3186990922999908E-2</v>
      </c>
      <c r="BI233" s="28">
        <f>IF( OR(ISBLANK(P233:P238),ISBLANK(AJ233:AJ238), ISBLANK(V233:V238),ISBLANK(AP233:AP238)), "·", bdRateExtend( P233:P238,V233:V238, AJ233:AJ238,AP233:AP238))</f>
        <v>-1.2318761996547356E-2</v>
      </c>
      <c r="BJ233" s="28">
        <f>IF( OR(ISBLANK(P233:P238),ISBLANK(AJ233:AJ238), ISBLANK(W233:W238),ISBLANK(AQ233:AQ238)), "·", bdRateExtend( P233:P238,W233:W238, AJ233:AJ238,AQ233:AQ238))</f>
        <v>-1.0570736881994169E-2</v>
      </c>
      <c r="BK233" s="28">
        <f>IF( OR(ISBLANK(P233:P238),ISBLANK(AJ233:AJ238), ISBLANK(X233:X238),ISBLANK(AR233:AR238)), "·", bdRateExtend( P233:P238,X233:X238, AJ233:AJ238,AR233:AR238))</f>
        <v>-1.0823867473335858E-2</v>
      </c>
      <c r="BL233" s="29"/>
    </row>
    <row r="234" spans="1:64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">
        <v>1042</v>
      </c>
      <c r="J234" s="34">
        <v>7.8325996244064902E-2</v>
      </c>
      <c r="K234" s="34">
        <v>3.4070015878595642E-3</v>
      </c>
      <c r="L234" s="34">
        <v>7.4886726553290206E-2</v>
      </c>
      <c r="M234" s="35"/>
      <c r="N234" s="34">
        <v>0.4409700499561478</v>
      </c>
      <c r="O234" s="36">
        <v>12814639</v>
      </c>
      <c r="P234" s="37">
        <v>5650872</v>
      </c>
      <c r="Q234" s="37">
        <v>245800</v>
      </c>
      <c r="R234" s="37">
        <v>5402744</v>
      </c>
      <c r="S234" s="38"/>
      <c r="T234" s="39">
        <v>72.972889300000006</v>
      </c>
      <c r="U234" s="39">
        <v>77.572054100000003</v>
      </c>
      <c r="V234" s="39">
        <v>25.017360799999999</v>
      </c>
      <c r="W234" s="39">
        <v>38.859935499999999</v>
      </c>
      <c r="X234" s="39">
        <v>40.263553100000003</v>
      </c>
      <c r="Y234" s="38"/>
      <c r="Z234" s="41"/>
      <c r="AA234" s="41"/>
      <c r="AC234" s="33" t="str">
        <f t="shared" si="18"/>
        <v>·</v>
      </c>
      <c r="AD234" s="34">
        <f t="shared" si="19"/>
        <v>7.6990806459869068E-2</v>
      </c>
      <c r="AE234" s="34">
        <f t="shared" si="20"/>
        <v>3.2299151261569858E-3</v>
      </c>
      <c r="AF234" s="34">
        <f t="shared" si="21"/>
        <v>7.3728623230796958E-2</v>
      </c>
      <c r="AG234" s="35"/>
      <c r="AH234" s="34">
        <f t="shared" si="22"/>
        <v>0.43345302196963958</v>
      </c>
      <c r="AI234" s="36">
        <f>Test!E939</f>
        <v>12814639</v>
      </c>
      <c r="AJ234" s="37">
        <v>5554544</v>
      </c>
      <c r="AK234" s="37">
        <v>233024</v>
      </c>
      <c r="AL234" s="37">
        <v>5319192</v>
      </c>
      <c r="AM234" s="38"/>
      <c r="AN234" s="39">
        <f>Test!J939</f>
        <v>72.972889300000006</v>
      </c>
      <c r="AO234" s="39">
        <f>Test!K939</f>
        <v>77.572054100000003</v>
      </c>
      <c r="AP234" s="39">
        <f>Test!L939</f>
        <v>25.017360799999999</v>
      </c>
      <c r="AQ234" s="39">
        <f>Test!M939</f>
        <v>38.859935499999999</v>
      </c>
      <c r="AR234" s="39">
        <f>Test!N939</f>
        <v>40.263553100000003</v>
      </c>
      <c r="AS234" s="40"/>
      <c r="AT234" s="41"/>
      <c r="AU234" s="41"/>
      <c r="AW234" s="42">
        <f t="shared" si="23"/>
        <v>-1.5457528910163137E-3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">
        <v>1042</v>
      </c>
      <c r="J235" s="19">
        <v>0.24520941686922362</v>
      </c>
      <c r="K235" s="19">
        <v>1.5146603153577777E-2</v>
      </c>
      <c r="L235" s="19">
        <v>0.23003054561273073</v>
      </c>
      <c r="M235" s="20"/>
      <c r="N235" s="19">
        <v>1.232889986106372</v>
      </c>
      <c r="O235" s="21">
        <v>14349024</v>
      </c>
      <c r="P235" s="22">
        <v>17690768</v>
      </c>
      <c r="Q235" s="22">
        <v>1092760</v>
      </c>
      <c r="R235" s="22">
        <v>16595680</v>
      </c>
      <c r="S235" s="23"/>
      <c r="T235" s="24">
        <v>78.737445300000005</v>
      </c>
      <c r="U235" s="24">
        <v>80.626881499999996</v>
      </c>
      <c r="V235" s="24">
        <v>26.4001591</v>
      </c>
      <c r="W235" s="24">
        <v>40.338402700000003</v>
      </c>
      <c r="X235" s="24">
        <v>41.871586399999998</v>
      </c>
      <c r="Y235" s="23"/>
      <c r="Z235" s="26"/>
      <c r="AA235" s="26"/>
      <c r="AC235" s="18" t="str">
        <f t="shared" si="18"/>
        <v>·</v>
      </c>
      <c r="AD235" s="19">
        <f t="shared" si="19"/>
        <v>0.24347836066782166</v>
      </c>
      <c r="AE235" s="19">
        <f t="shared" si="20"/>
        <v>1.470660372963549E-2</v>
      </c>
      <c r="AF235" s="19">
        <f t="shared" si="21"/>
        <v>0.22873948883527104</v>
      </c>
      <c r="AG235" s="20"/>
      <c r="AH235" s="19">
        <f t="shared" si="22"/>
        <v>1.2241863976253715</v>
      </c>
      <c r="AI235" s="21">
        <f>Test!E940</f>
        <v>14349024</v>
      </c>
      <c r="AJ235" s="22">
        <v>17565880</v>
      </c>
      <c r="AK235" s="22">
        <v>1061016</v>
      </c>
      <c r="AL235" s="22">
        <v>16502536</v>
      </c>
      <c r="AM235" s="23"/>
      <c r="AN235" s="24">
        <f>Test!J940</f>
        <v>78.737445300000005</v>
      </c>
      <c r="AO235" s="24">
        <f>Test!K940</f>
        <v>80.626881499999996</v>
      </c>
      <c r="AP235" s="24">
        <f>Test!L940</f>
        <v>26.4001591</v>
      </c>
      <c r="AQ235" s="24">
        <f>Test!M940</f>
        <v>40.338402700000003</v>
      </c>
      <c r="AR235" s="24">
        <f>Test!N940</f>
        <v>41.871586399999998</v>
      </c>
      <c r="AS235" s="25"/>
      <c r="AT235" s="26"/>
      <c r="AU235" s="26"/>
      <c r="AW235" s="27">
        <f t="shared" si="23"/>
        <v>-1.3679735567196302E-3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">
        <v>1042</v>
      </c>
      <c r="J236" s="34">
        <v>0.57020620911762687</v>
      </c>
      <c r="K236" s="34">
        <v>6.0215163100359799E-2</v>
      </c>
      <c r="L236" s="34">
        <v>0.50995877791435196</v>
      </c>
      <c r="M236" s="35"/>
      <c r="N236" s="34">
        <v>2.7066791967359709</v>
      </c>
      <c r="O236" s="36">
        <v>15198639</v>
      </c>
      <c r="P236" s="37">
        <v>41137840</v>
      </c>
      <c r="Q236" s="37">
        <v>4344256</v>
      </c>
      <c r="R236" s="37">
        <v>36791256</v>
      </c>
      <c r="S236" s="38"/>
      <c r="T236" s="39">
        <v>81.322397499999994</v>
      </c>
      <c r="U236" s="39">
        <v>82.667531299999993</v>
      </c>
      <c r="V236" s="39">
        <v>27.359774099999999</v>
      </c>
      <c r="W236" s="39">
        <v>41.850278299999999</v>
      </c>
      <c r="X236" s="39">
        <v>43.498810499999998</v>
      </c>
      <c r="Y236" s="38"/>
      <c r="Z236" s="41"/>
      <c r="AA236" s="41"/>
      <c r="AC236" s="33" t="str">
        <f t="shared" si="18"/>
        <v>·</v>
      </c>
      <c r="AD236" s="34">
        <f t="shared" si="19"/>
        <v>0.57020620911762687</v>
      </c>
      <c r="AE236" s="34">
        <f t="shared" si="20"/>
        <v>6.0215163100359799E-2</v>
      </c>
      <c r="AF236" s="34">
        <f t="shared" si="21"/>
        <v>0.50995877791435196</v>
      </c>
      <c r="AG236" s="35"/>
      <c r="AH236" s="34">
        <f t="shared" si="22"/>
        <v>2.7066791967359709</v>
      </c>
      <c r="AI236" s="36">
        <f>Test!E941</f>
        <v>15198639</v>
      </c>
      <c r="AJ236" s="37">
        <v>41137840</v>
      </c>
      <c r="AK236" s="37">
        <v>4344256</v>
      </c>
      <c r="AL236" s="37">
        <v>36791256</v>
      </c>
      <c r="AM236" s="38"/>
      <c r="AN236" s="39">
        <f>Test!J941</f>
        <v>81.322397499999994</v>
      </c>
      <c r="AO236" s="39">
        <f>Test!K941</f>
        <v>82.667531299999993</v>
      </c>
      <c r="AP236" s="39">
        <f>Test!L941</f>
        <v>27.359774099999999</v>
      </c>
      <c r="AQ236" s="39">
        <f>Test!M941</f>
        <v>41.850278299999999</v>
      </c>
      <c r="AR236" s="39">
        <f>Test!N941</f>
        <v>43.498810499999998</v>
      </c>
      <c r="AS236" s="40"/>
      <c r="AT236" s="41"/>
      <c r="AU236" s="41"/>
      <c r="AW236" s="42">
        <f t="shared" si="23"/>
        <v>0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">
        <v>1042</v>
      </c>
      <c r="J237" s="19" t="s">
        <v>1042</v>
      </c>
      <c r="K237" s="19" t="s">
        <v>1042</v>
      </c>
      <c r="L237" s="19" t="s">
        <v>1042</v>
      </c>
      <c r="M237" s="20"/>
      <c r="N237" s="19" t="s">
        <v>1042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18"/>
        <v>·</v>
      </c>
      <c r="AD237" s="19">
        <f t="shared" si="19"/>
        <v>0</v>
      </c>
      <c r="AE237" s="19">
        <f t="shared" si="20"/>
        <v>0</v>
      </c>
      <c r="AF237" s="19">
        <f t="shared" si="21"/>
        <v>0</v>
      </c>
      <c r="AG237" s="20"/>
      <c r="AH237" s="19" t="e">
        <f t="shared" si="22"/>
        <v>#DIV/0!</v>
      </c>
      <c r="AI237" s="21"/>
      <c r="AJ237" s="22">
        <v>0</v>
      </c>
      <c r="AK237" s="22">
        <v>0</v>
      </c>
      <c r="AL237" s="22">
        <v>0</v>
      </c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2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">
        <v>1042</v>
      </c>
      <c r="J238" s="49" t="s">
        <v>1042</v>
      </c>
      <c r="K238" s="49" t="s">
        <v>1042</v>
      </c>
      <c r="L238" s="49" t="s">
        <v>1042</v>
      </c>
      <c r="M238" s="50"/>
      <c r="N238" s="49" t="s">
        <v>1042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18"/>
        <v>·</v>
      </c>
      <c r="AD238" s="49">
        <f t="shared" si="19"/>
        <v>0</v>
      </c>
      <c r="AE238" s="49">
        <f t="shared" si="20"/>
        <v>0</v>
      </c>
      <c r="AF238" s="49">
        <f t="shared" si="21"/>
        <v>0</v>
      </c>
      <c r="AG238" s="50"/>
      <c r="AH238" s="49" t="e">
        <f t="shared" si="22"/>
        <v>#DIV/0!</v>
      </c>
      <c r="AI238" s="51"/>
      <c r="AJ238" s="52">
        <v>0</v>
      </c>
      <c r="AK238" s="52">
        <v>0</v>
      </c>
      <c r="AL238" s="52">
        <v>0</v>
      </c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2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">
        <v>1042</v>
      </c>
      <c r="J239" s="19">
        <v>5.1570399542146192E-2</v>
      </c>
      <c r="K239" s="19">
        <v>6.8506803819825201E-4</v>
      </c>
      <c r="L239" s="19">
        <v>5.0769250530808795E-2</v>
      </c>
      <c r="M239" s="20"/>
      <c r="N239" s="19">
        <v>0.52907083155390155</v>
      </c>
      <c r="O239" s="21">
        <v>409775</v>
      </c>
      <c r="P239" s="22">
        <v>216800</v>
      </c>
      <c r="Q239" s="22">
        <v>2880</v>
      </c>
      <c r="R239" s="22">
        <v>213432</v>
      </c>
      <c r="S239" s="23"/>
      <c r="T239" s="24">
        <v>50.359326299999999</v>
      </c>
      <c r="U239" s="24">
        <v>55.305697000000002</v>
      </c>
      <c r="V239" s="24">
        <v>15.7291364</v>
      </c>
      <c r="W239" s="24">
        <v>35.240576500000003</v>
      </c>
      <c r="X239" s="24">
        <v>32.358316799999997</v>
      </c>
      <c r="Y239" s="23"/>
      <c r="Z239" s="26"/>
      <c r="AA239" s="26"/>
      <c r="AC239" s="18" t="str">
        <f t="shared" si="18"/>
        <v>·</v>
      </c>
      <c r="AD239" s="19">
        <f t="shared" si="19"/>
        <v>5.1227865523047068E-2</v>
      </c>
      <c r="AE239" s="19">
        <f t="shared" si="20"/>
        <v>6.7745617110716034E-4</v>
      </c>
      <c r="AF239" s="19">
        <f t="shared" si="21"/>
        <v>5.0434328378800762E-2</v>
      </c>
      <c r="AG239" s="20"/>
      <c r="AH239" s="19">
        <f t="shared" si="22"/>
        <v>0.5255567079494845</v>
      </c>
      <c r="AI239" s="21">
        <f>Test!E944</f>
        <v>409775</v>
      </c>
      <c r="AJ239" s="22">
        <v>215360</v>
      </c>
      <c r="AK239" s="22">
        <v>2848</v>
      </c>
      <c r="AL239" s="22">
        <v>212024</v>
      </c>
      <c r="AM239" s="23"/>
      <c r="AN239" s="24">
        <f>Test!J944</f>
        <v>50.359326299999999</v>
      </c>
      <c r="AO239" s="24">
        <f>Test!K944</f>
        <v>55.305697000000002</v>
      </c>
      <c r="AP239" s="24">
        <f>Test!L944</f>
        <v>15.7291364</v>
      </c>
      <c r="AQ239" s="24">
        <f>Test!M944</f>
        <v>35.240576500000003</v>
      </c>
      <c r="AR239" s="24">
        <f>Test!N944</f>
        <v>32.358316799999997</v>
      </c>
      <c r="AS239" s="25"/>
      <c r="AT239" s="26"/>
      <c r="AU239" s="26"/>
      <c r="AW239" s="27">
        <f t="shared" si="23"/>
        <v>-5.9764342071355961E-5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-4.5654017603963259E-3</v>
      </c>
      <c r="BA239" s="28">
        <f>IF( OR(ISBLANK(Q239:Q244),ISBLANK(AK239:AK244), ISBLANK(U239:U244),ISBLANK(AO239:AO244)), "·", bdRateExtend( Q239:Q244,U239:U244, AK239:AK244,AO239:AO244))</f>
        <v>-4.4024715602117848E-3</v>
      </c>
      <c r="BB239" s="28">
        <f>IF( OR(ISBLANK(R239:R244),ISBLANK(AL239:AL244), ISBLANK(V239:V244),ISBLANK(AP239:AP244)), "·", bdRateExtend( R239:R244,V239:V244, AL239:AL244,AP239:AP244))</f>
        <v>-1.4111331402916205E-3</v>
      </c>
      <c r="BC239" s="28">
        <f>IF( OR(ISBLANK(R239:R244),ISBLANK(AL239:AL244), ISBLANK(W239:W244),ISBLANK(AQ239:AQ244)), "·", bdRateExtend( R239:R244,W239:W244, AL239:AL244,AQ239:AQ244))</f>
        <v>-1.1367153370684946E-3</v>
      </c>
      <c r="BD239" s="28">
        <f>IF( OR(ISBLANK(R239:R244),ISBLANK(AL239:AL244), ISBLANK(X239:X244),ISBLANK(AR239:AR244)), "·", bdRateExtend( R239:R244,X239:X244, AL239:AL244,AR239:AR244))</f>
        <v>-1.1764908627166504E-3</v>
      </c>
      <c r="BE239" s="29"/>
      <c r="BG239" s="28">
        <f>IF( OR(ISBLANK(P239:P244),ISBLANK(AJ239:AJ244), ISBLANK(T239:T244),ISBLANK(AN239:AN244)), "·", bdRateExtend( P239:P244,T239:T244, AJ239:AJ244,AN239:AN244))</f>
        <v>-1.734106212980091E-3</v>
      </c>
      <c r="BH239" s="28">
        <f>IF( OR(ISBLANK(P239:P244),ISBLANK(AJ239:AJ244), ISBLANK(U239:U244),ISBLANK(AO239:AO244)), "·", bdRateExtend( P239:P244,U239:U244, AJ239:AJ244,AO239:AO244))</f>
        <v>-1.66982894543799E-3</v>
      </c>
      <c r="BI239" s="28">
        <f>IF( OR(ISBLANK(P239:P244),ISBLANK(AJ239:AJ244), ISBLANK(V239:V244),ISBLANK(AP239:AP244)), "·", bdRateExtend( P239:P244,V239:V244, AJ239:AJ244,AP239:AP244))</f>
        <v>-1.4727734501688294E-3</v>
      </c>
      <c r="BJ239" s="28">
        <f>IF( OR(ISBLANK(P239:P244),ISBLANK(AJ239:AJ244), ISBLANK(W239:W244),ISBLANK(AQ239:AQ244)), "·", bdRateExtend( P239:P244,W239:W244, AJ239:AJ244,AQ239:AQ244))</f>
        <v>-1.2025513503757246E-3</v>
      </c>
      <c r="BK239" s="28">
        <f>IF( OR(ISBLANK(P239:P244),ISBLANK(AJ239:AJ244), ISBLANK(X239:X244),ISBLANK(AR239:AR244)), "·", bdRateExtend( P239:P244,X239:X244, AJ239:AJ244,AR239:AR244))</f>
        <v>-1.2416950981176678E-3</v>
      </c>
      <c r="BL239" s="29"/>
    </row>
    <row r="240" spans="1:64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">
        <v>1042</v>
      </c>
      <c r="J240" s="34">
        <v>0.18128422664143967</v>
      </c>
      <c r="K240" s="34">
        <v>3.2064990121223741E-3</v>
      </c>
      <c r="L240" s="34">
        <v>0.17796164665617814</v>
      </c>
      <c r="M240" s="35"/>
      <c r="N240" s="34">
        <v>1.5304129901320942</v>
      </c>
      <c r="O240" s="36">
        <v>497978</v>
      </c>
      <c r="P240" s="37">
        <v>762112</v>
      </c>
      <c r="Q240" s="37">
        <v>13480</v>
      </c>
      <c r="R240" s="37">
        <v>748144</v>
      </c>
      <c r="S240" s="38"/>
      <c r="T240" s="39">
        <v>55.109979299999999</v>
      </c>
      <c r="U240" s="39">
        <v>59.144158500000003</v>
      </c>
      <c r="V240" s="39">
        <v>16.3941537</v>
      </c>
      <c r="W240" s="39">
        <v>35.848297100000003</v>
      </c>
      <c r="X240" s="39">
        <v>33.1035647</v>
      </c>
      <c r="Y240" s="38"/>
      <c r="Z240" s="41"/>
      <c r="AA240" s="41"/>
      <c r="AC240" s="33" t="str">
        <f t="shared" si="18"/>
        <v>·</v>
      </c>
      <c r="AD240" s="34">
        <f t="shared" si="19"/>
        <v>0.18120239907021043</v>
      </c>
      <c r="AE240" s="34">
        <f t="shared" si="20"/>
        <v>3.1969841782585095E-3</v>
      </c>
      <c r="AF240" s="34">
        <f t="shared" si="21"/>
        <v>0.17788933391881279</v>
      </c>
      <c r="AG240" s="35"/>
      <c r="AH240" s="34">
        <f t="shared" si="22"/>
        <v>1.5297221965629004</v>
      </c>
      <c r="AI240" s="36">
        <f>Test!E945</f>
        <v>497978</v>
      </c>
      <c r="AJ240" s="37">
        <v>761768</v>
      </c>
      <c r="AK240" s="37">
        <v>13440</v>
      </c>
      <c r="AL240" s="37">
        <v>747840</v>
      </c>
      <c r="AM240" s="38"/>
      <c r="AN240" s="39">
        <f>Test!J945</f>
        <v>55.109979299999999</v>
      </c>
      <c r="AO240" s="39">
        <f>Test!K945</f>
        <v>59.144158500000003</v>
      </c>
      <c r="AP240" s="39">
        <f>Test!L945</f>
        <v>16.3941537</v>
      </c>
      <c r="AQ240" s="39">
        <f>Test!M945</f>
        <v>35.848297100000003</v>
      </c>
      <c r="AR240" s="39">
        <f>Test!N945</f>
        <v>33.1035647</v>
      </c>
      <c r="AS240" s="40"/>
      <c r="AT240" s="41"/>
      <c r="AU240" s="41"/>
      <c r="AW240" s="42">
        <f t="shared" si="23"/>
        <v>-4.4522000138727535E-5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">
        <v>1042</v>
      </c>
      <c r="J241" s="19">
        <v>0.4975839458111182</v>
      </c>
      <c r="K241" s="19">
        <v>1.6963045812497829E-2</v>
      </c>
      <c r="L241" s="19">
        <v>0.4805048190254812</v>
      </c>
      <c r="M241" s="20"/>
      <c r="N241" s="19">
        <v>3.015198339483395</v>
      </c>
      <c r="O241" s="21">
        <v>693760</v>
      </c>
      <c r="P241" s="22">
        <v>2091824</v>
      </c>
      <c r="Q241" s="22">
        <v>71312</v>
      </c>
      <c r="R241" s="22">
        <v>2020024</v>
      </c>
      <c r="S241" s="23"/>
      <c r="T241" s="24">
        <v>58.080408599999998</v>
      </c>
      <c r="U241" s="24">
        <v>61.284813399999997</v>
      </c>
      <c r="V241" s="24">
        <v>16.903110300000002</v>
      </c>
      <c r="W241" s="24">
        <v>36.6696466</v>
      </c>
      <c r="X241" s="24">
        <v>34.0744963</v>
      </c>
      <c r="Y241" s="23"/>
      <c r="Z241" s="26"/>
      <c r="AA241" s="26"/>
      <c r="AC241" s="18" t="str">
        <f t="shared" si="18"/>
        <v>·</v>
      </c>
      <c r="AD241" s="19">
        <f t="shared" si="19"/>
        <v>0.49702257061315019</v>
      </c>
      <c r="AE241" s="19">
        <f t="shared" si="20"/>
        <v>1.6892636041905232E-2</v>
      </c>
      <c r="AF241" s="19">
        <f t="shared" si="21"/>
        <v>0.48001385359810578</v>
      </c>
      <c r="AG241" s="20"/>
      <c r="AH241" s="19">
        <f t="shared" si="22"/>
        <v>3.0117965867158674</v>
      </c>
      <c r="AI241" s="21">
        <f>Test!E946</f>
        <v>693760</v>
      </c>
      <c r="AJ241" s="22">
        <v>2089464</v>
      </c>
      <c r="AK241" s="22">
        <v>71016</v>
      </c>
      <c r="AL241" s="22">
        <v>2017960</v>
      </c>
      <c r="AM241" s="23"/>
      <c r="AN241" s="24">
        <f>Test!J946</f>
        <v>58.080408599999998</v>
      </c>
      <c r="AO241" s="24">
        <f>Test!K946</f>
        <v>61.284813399999997</v>
      </c>
      <c r="AP241" s="24">
        <f>Test!L946</f>
        <v>16.903110300000002</v>
      </c>
      <c r="AQ241" s="24">
        <f>Test!M946</f>
        <v>36.6696466</v>
      </c>
      <c r="AR241" s="24">
        <f>Test!N946</f>
        <v>34.0744963</v>
      </c>
      <c r="AS241" s="25"/>
      <c r="AT241" s="26"/>
      <c r="AU241" s="26"/>
      <c r="AW241" s="27">
        <f t="shared" si="23"/>
        <v>-1.0315835050189043E-4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">
        <v>1042</v>
      </c>
      <c r="J242" s="34">
        <v>1.0939280611956055</v>
      </c>
      <c r="K242" s="34">
        <v>7.6149118379281261E-2</v>
      </c>
      <c r="L242" s="34">
        <v>1.0176628618431851</v>
      </c>
      <c r="M242" s="35"/>
      <c r="N242" s="34">
        <v>5.1331004992649989</v>
      </c>
      <c r="O242" s="36">
        <v>895917</v>
      </c>
      <c r="P242" s="37">
        <v>4598832</v>
      </c>
      <c r="Q242" s="37">
        <v>320128</v>
      </c>
      <c r="R242" s="37">
        <v>4278216</v>
      </c>
      <c r="S242" s="38"/>
      <c r="T242" s="39">
        <v>60.472808800000003</v>
      </c>
      <c r="U242" s="39">
        <v>64.090337700000006</v>
      </c>
      <c r="V242" s="39">
        <v>17.621627799999999</v>
      </c>
      <c r="W242" s="39">
        <v>37.885835700000001</v>
      </c>
      <c r="X242" s="39">
        <v>35.355330799999997</v>
      </c>
      <c r="Y242" s="38"/>
      <c r="Z242" s="41"/>
      <c r="AA242" s="41"/>
      <c r="AC242" s="33" t="str">
        <f t="shared" si="18"/>
        <v>·</v>
      </c>
      <c r="AD242" s="34">
        <f t="shared" si="19"/>
        <v>1.0939280611956055</v>
      </c>
      <c r="AE242" s="34">
        <f t="shared" si="20"/>
        <v>7.6149118379281261E-2</v>
      </c>
      <c r="AF242" s="34">
        <f t="shared" si="21"/>
        <v>1.0176628618431851</v>
      </c>
      <c r="AG242" s="35"/>
      <c r="AH242" s="34">
        <f t="shared" si="22"/>
        <v>5.1331004992649989</v>
      </c>
      <c r="AI242" s="36">
        <f>Test!E947</f>
        <v>895917</v>
      </c>
      <c r="AJ242" s="37">
        <v>4598832</v>
      </c>
      <c r="AK242" s="37">
        <v>320128</v>
      </c>
      <c r="AL242" s="37">
        <v>4278216</v>
      </c>
      <c r="AM242" s="38"/>
      <c r="AN242" s="39">
        <f>Test!J947</f>
        <v>60.472808800000003</v>
      </c>
      <c r="AO242" s="39">
        <f>Test!K947</f>
        <v>64.090337700000006</v>
      </c>
      <c r="AP242" s="39">
        <f>Test!L947</f>
        <v>17.621627799999999</v>
      </c>
      <c r="AQ242" s="39">
        <f>Test!M947</f>
        <v>37.885835700000001</v>
      </c>
      <c r="AR242" s="39">
        <f>Test!N947</f>
        <v>35.355330799999997</v>
      </c>
      <c r="AS242" s="40"/>
      <c r="AT242" s="41"/>
      <c r="AU242" s="41"/>
      <c r="AW242" s="42">
        <f t="shared" si="23"/>
        <v>0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">
        <v>1042</v>
      </c>
      <c r="J243" s="19" t="s">
        <v>1042</v>
      </c>
      <c r="K243" s="19" t="s">
        <v>1042</v>
      </c>
      <c r="L243" s="19" t="s">
        <v>1042</v>
      </c>
      <c r="M243" s="20"/>
      <c r="N243" s="19" t="s">
        <v>1042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18"/>
        <v>·</v>
      </c>
      <c r="AD243" s="19">
        <f t="shared" si="19"/>
        <v>0</v>
      </c>
      <c r="AE243" s="19">
        <f t="shared" si="20"/>
        <v>0</v>
      </c>
      <c r="AF243" s="19">
        <f t="shared" si="21"/>
        <v>0</v>
      </c>
      <c r="AG243" s="20"/>
      <c r="AH243" s="19" t="e">
        <f t="shared" si="22"/>
        <v>#DIV/0!</v>
      </c>
      <c r="AI243" s="21"/>
      <c r="AJ243" s="22">
        <v>0</v>
      </c>
      <c r="AK243" s="22">
        <v>0</v>
      </c>
      <c r="AL243" s="22">
        <v>0</v>
      </c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2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">
        <v>1042</v>
      </c>
      <c r="J244" s="49" t="s">
        <v>1042</v>
      </c>
      <c r="K244" s="49" t="s">
        <v>1042</v>
      </c>
      <c r="L244" s="49" t="s">
        <v>1042</v>
      </c>
      <c r="M244" s="50"/>
      <c r="N244" s="49" t="s">
        <v>1042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18"/>
        <v>·</v>
      </c>
      <c r="AD244" s="49">
        <f t="shared" si="19"/>
        <v>0</v>
      </c>
      <c r="AE244" s="49">
        <f t="shared" si="20"/>
        <v>0</v>
      </c>
      <c r="AF244" s="49">
        <f t="shared" si="21"/>
        <v>0</v>
      </c>
      <c r="AG244" s="50"/>
      <c r="AH244" s="49" t="e">
        <f t="shared" si="22"/>
        <v>#DIV/0!</v>
      </c>
      <c r="AI244" s="51"/>
      <c r="AJ244" s="52">
        <v>0</v>
      </c>
      <c r="AK244" s="52">
        <v>0</v>
      </c>
      <c r="AL244" s="52">
        <v>0</v>
      </c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2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2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">
        <v>1042</v>
      </c>
      <c r="J245" s="19">
        <v>9.4321045803890988E-2</v>
      </c>
      <c r="K245" s="19">
        <v>3.0714700605883093E-3</v>
      </c>
      <c r="L245" s="19">
        <v>9.0687528386854815E-2</v>
      </c>
      <c r="M245" s="20"/>
      <c r="N245" s="19">
        <v>0.27284411075203874</v>
      </c>
      <c r="O245" s="21">
        <v>349357</v>
      </c>
      <c r="P245" s="22">
        <v>95320</v>
      </c>
      <c r="Q245" s="22">
        <v>3104</v>
      </c>
      <c r="R245" s="22">
        <v>91648</v>
      </c>
      <c r="S245" s="23"/>
      <c r="T245" s="24">
        <v>41.808844499999999</v>
      </c>
      <c r="U245" s="24">
        <v>46.382413900000003</v>
      </c>
      <c r="V245" s="24">
        <v>17.012571399999999</v>
      </c>
      <c r="W245" s="24">
        <v>29.275283000000002</v>
      </c>
      <c r="X245" s="24">
        <v>31.8753052</v>
      </c>
      <c r="Y245" s="23"/>
      <c r="Z245" s="26"/>
      <c r="AA245" s="26"/>
      <c r="AC245" s="18" t="str">
        <f t="shared" si="18"/>
        <v>·</v>
      </c>
      <c r="AD245" s="19">
        <f t="shared" si="19"/>
        <v>9.4321045803890988E-2</v>
      </c>
      <c r="AE245" s="19">
        <f t="shared" si="20"/>
        <v>3.0714700605883093E-3</v>
      </c>
      <c r="AF245" s="19">
        <f t="shared" si="21"/>
        <v>9.0687528386854815E-2</v>
      </c>
      <c r="AG245" s="20"/>
      <c r="AH245" s="19">
        <f t="shared" si="22"/>
        <v>0.27284411075203874</v>
      </c>
      <c r="AI245" s="21">
        <f>Test!E950</f>
        <v>349357</v>
      </c>
      <c r="AJ245" s="22">
        <v>95320</v>
      </c>
      <c r="AK245" s="22">
        <v>3104</v>
      </c>
      <c r="AL245" s="22">
        <v>91648</v>
      </c>
      <c r="AM245" s="23"/>
      <c r="AN245" s="24">
        <f>Test!J950</f>
        <v>41.808844499999999</v>
      </c>
      <c r="AO245" s="24">
        <f>Test!K950</f>
        <v>46.382413900000003</v>
      </c>
      <c r="AP245" s="24">
        <f>Test!L950</f>
        <v>17.012571399999999</v>
      </c>
      <c r="AQ245" s="24">
        <f>Test!M950</f>
        <v>29.275283000000002</v>
      </c>
      <c r="AR245" s="24">
        <f>Test!N950</f>
        <v>31.8753052</v>
      </c>
      <c r="AS245" s="25"/>
      <c r="AT245" s="26"/>
      <c r="AU245" s="26"/>
      <c r="AW245" s="27">
        <f t="shared" si="23"/>
        <v>0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-1.8071839087824282E-3</v>
      </c>
      <c r="BA245" s="28">
        <f>IF( OR(ISBLANK(Q245:Q250),ISBLANK(AK245:AK250), ISBLANK(U245:U250),ISBLANK(AO245:AO250)), "·", bdRateExtend( Q245:Q250,U245:U250, AK245:AK250,AO245:AO250))</f>
        <v>-1.7000008539801437E-3</v>
      </c>
      <c r="BB245" s="28">
        <f>IF( OR(ISBLANK(R245:R250),ISBLANK(AL245:AL250), ISBLANK(V245:V250),ISBLANK(AP245:AP250)), "·", bdRateExtend( R245:R250,V245:V250, AL245:AL250,AP245:AP250))</f>
        <v>-2.1550568236006207E-4</v>
      </c>
      <c r="BC245" s="28">
        <f>IF( OR(ISBLANK(R245:R250),ISBLANK(AL245:AL250), ISBLANK(W245:W250),ISBLANK(AQ245:AQ250)), "·", bdRateExtend( R245:R250,W245:W250, AL245:AL250,AQ245:AQ250))</f>
        <v>-2.8727065062428281E-4</v>
      </c>
      <c r="BD245" s="28">
        <f>IF( OR(ISBLANK(R245:R250),ISBLANK(AL245:AL250), ISBLANK(X245:X250),ISBLANK(AR245:AR250)), "·", bdRateExtend( R245:R250,X245:X250, AL245:AL250,AR245:AR250))</f>
        <v>-3.0873968338396285E-4</v>
      </c>
      <c r="BE245" s="29"/>
      <c r="BG245" s="28">
        <f>IF( OR(ISBLANK(P245:P250),ISBLANK(AJ245:AJ250), ISBLANK(T245:T250),ISBLANK(AN245:AN250)), "·", bdRateExtend( P245:P250,T245:T250, AJ245:AJ250,AN245:AN250))</f>
        <v>-2.3157692198783053E-4</v>
      </c>
      <c r="BH245" s="28">
        <f>IF( OR(ISBLANK(P245:P250),ISBLANK(AJ245:AJ250), ISBLANK(U245:U250),ISBLANK(AO245:AO250)), "·", bdRateExtend( P245:P250,U245:U250, AJ245:AJ250,AO245:AO250))</f>
        <v>-1.8288265549171179E-4</v>
      </c>
      <c r="BI245" s="28">
        <f>IF( OR(ISBLANK(P245:P250),ISBLANK(AJ245:AJ250), ISBLANK(V245:V250),ISBLANK(AP245:AP250)), "·", bdRateExtend( P245:P250,V245:V250, AJ245:AJ250,AP245:AP250))</f>
        <v>-2.3927751332353253E-4</v>
      </c>
      <c r="BJ245" s="28">
        <f>IF( OR(ISBLANK(P245:P250),ISBLANK(AJ245:AJ250), ISBLANK(W245:W250),ISBLANK(AQ245:AQ250)), "·", bdRateExtend( P245:P250,W245:W250, AJ245:AJ250,AQ245:AQ250))</f>
        <v>-3.1098564593690092E-4</v>
      </c>
      <c r="BK245" s="28">
        <f>IF( OR(ISBLANK(P245:P250),ISBLANK(AJ245:AJ250), ISBLANK(X245:X250),ISBLANK(AR245:AR250)), "·", bdRateExtend( P245:P250,X245:X250, AJ245:AJ250,AR245:AR250))</f>
        <v>-3.3226482316328632E-4</v>
      </c>
      <c r="BL245" s="29"/>
    </row>
    <row r="246" spans="1:64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">
        <v>1042</v>
      </c>
      <c r="J246" s="34">
        <v>0.79577989513067104</v>
      </c>
      <c r="K246" s="34">
        <v>1.0615570492909595E-2</v>
      </c>
      <c r="L246" s="34">
        <v>0.7846022772813136</v>
      </c>
      <c r="M246" s="35"/>
      <c r="N246" s="34">
        <v>0.67516902145122115</v>
      </c>
      <c r="O246" s="36">
        <v>1191121</v>
      </c>
      <c r="P246" s="37">
        <v>804208</v>
      </c>
      <c r="Q246" s="37">
        <v>10728</v>
      </c>
      <c r="R246" s="37">
        <v>792912</v>
      </c>
      <c r="S246" s="38"/>
      <c r="T246" s="39">
        <v>52.133903099999998</v>
      </c>
      <c r="U246" s="39">
        <v>56.576918399999997</v>
      </c>
      <c r="V246" s="39">
        <v>20.874922999999999</v>
      </c>
      <c r="W246" s="39">
        <v>33.000126899999998</v>
      </c>
      <c r="X246" s="39">
        <v>34.939303199999998</v>
      </c>
      <c r="Y246" s="38"/>
      <c r="Z246" s="41"/>
      <c r="AA246" s="41"/>
      <c r="AC246" s="33" t="str">
        <f t="shared" si="18"/>
        <v>·</v>
      </c>
      <c r="AD246" s="34">
        <f t="shared" si="19"/>
        <v>0.79581155977047091</v>
      </c>
      <c r="AE246" s="34">
        <f t="shared" si="20"/>
        <v>1.0591822013059684E-2</v>
      </c>
      <c r="AF246" s="34">
        <f t="shared" si="21"/>
        <v>0.78465769040096345</v>
      </c>
      <c r="AG246" s="35"/>
      <c r="AH246" s="34">
        <f t="shared" si="22"/>
        <v>0.67519588689981958</v>
      </c>
      <c r="AI246" s="36">
        <f>Test!E951</f>
        <v>1191121</v>
      </c>
      <c r="AJ246" s="37">
        <v>804240</v>
      </c>
      <c r="AK246" s="37">
        <v>10704</v>
      </c>
      <c r="AL246" s="37">
        <v>792968</v>
      </c>
      <c r="AM246" s="38"/>
      <c r="AN246" s="39">
        <f>Test!J951</f>
        <v>52.133903099999998</v>
      </c>
      <c r="AO246" s="39">
        <f>Test!K951</f>
        <v>56.576918399999997</v>
      </c>
      <c r="AP246" s="39">
        <f>Test!L951</f>
        <v>20.874922999999999</v>
      </c>
      <c r="AQ246" s="39">
        <f>Test!M951</f>
        <v>33.000126899999998</v>
      </c>
      <c r="AR246" s="39">
        <f>Test!N951</f>
        <v>34.939303199999998</v>
      </c>
      <c r="AS246" s="40"/>
      <c r="AT246" s="41"/>
      <c r="AU246" s="41"/>
      <c r="AW246" s="42">
        <f t="shared" si="23"/>
        <v>-3.0372618421609793E-5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">
        <v>1042</v>
      </c>
      <c r="J247" s="19">
        <v>2.2213932243607948</v>
      </c>
      <c r="K247" s="19">
        <v>4.1354019578642598E-2</v>
      </c>
      <c r="L247" s="19">
        <v>2.1794771574257044</v>
      </c>
      <c r="M247" s="20"/>
      <c r="N247" s="19">
        <v>1.6139206152815331</v>
      </c>
      <c r="O247" s="21">
        <v>1390973</v>
      </c>
      <c r="P247" s="22">
        <v>2244920</v>
      </c>
      <c r="Q247" s="22">
        <v>41792</v>
      </c>
      <c r="R247" s="22">
        <v>2202560</v>
      </c>
      <c r="S247" s="23"/>
      <c r="T247" s="24">
        <v>59.060043200000003</v>
      </c>
      <c r="U247" s="24">
        <v>61.682374799999998</v>
      </c>
      <c r="V247" s="24">
        <v>23.509692999999999</v>
      </c>
      <c r="W247" s="24">
        <v>35.794995</v>
      </c>
      <c r="X247" s="24">
        <v>37.187317200000003</v>
      </c>
      <c r="Y247" s="23"/>
      <c r="Z247" s="26"/>
      <c r="AA247" s="26"/>
      <c r="AC247" s="18" t="str">
        <f t="shared" si="18"/>
        <v>·</v>
      </c>
      <c r="AD247" s="19">
        <f t="shared" si="19"/>
        <v>2.2189312986163543</v>
      </c>
      <c r="AE247" s="19">
        <f t="shared" si="20"/>
        <v>4.123527717939305E-2</v>
      </c>
      <c r="AF247" s="19">
        <f t="shared" si="21"/>
        <v>2.1771339740805131</v>
      </c>
      <c r="AG247" s="20"/>
      <c r="AH247" s="19">
        <f t="shared" si="22"/>
        <v>1.6121319392971682</v>
      </c>
      <c r="AI247" s="21">
        <f>Test!E952</f>
        <v>1390973</v>
      </c>
      <c r="AJ247" s="22">
        <v>2242432</v>
      </c>
      <c r="AK247" s="22">
        <v>41672</v>
      </c>
      <c r="AL247" s="22">
        <v>2200192</v>
      </c>
      <c r="AM247" s="23"/>
      <c r="AN247" s="24">
        <f>Test!J952</f>
        <v>59.060043200000003</v>
      </c>
      <c r="AO247" s="24">
        <f>Test!K952</f>
        <v>61.682374799999998</v>
      </c>
      <c r="AP247" s="24">
        <f>Test!L952</f>
        <v>23.509692999999999</v>
      </c>
      <c r="AQ247" s="24">
        <f>Test!M952</f>
        <v>35.794995</v>
      </c>
      <c r="AR247" s="24">
        <f>Test!N952</f>
        <v>37.187317200000003</v>
      </c>
      <c r="AS247" s="25"/>
      <c r="AT247" s="26"/>
      <c r="AU247" s="26"/>
      <c r="AW247" s="27">
        <f t="shared" si="23"/>
        <v>-3.2858414916635964E-5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">
        <v>1042</v>
      </c>
      <c r="J248" s="34">
        <v>4.7972087620016408</v>
      </c>
      <c r="K248" s="34">
        <v>0.16056347226523884</v>
      </c>
      <c r="L248" s="34">
        <v>4.6360832423799536</v>
      </c>
      <c r="M248" s="35"/>
      <c r="N248" s="34">
        <v>2.9712734941582921</v>
      </c>
      <c r="O248" s="36">
        <v>1631629</v>
      </c>
      <c r="P248" s="37">
        <v>4848016</v>
      </c>
      <c r="Q248" s="37">
        <v>162264</v>
      </c>
      <c r="R248" s="37">
        <v>4685184</v>
      </c>
      <c r="S248" s="38"/>
      <c r="T248" s="39">
        <v>63.198995099999998</v>
      </c>
      <c r="U248" s="39">
        <v>66.131390600000003</v>
      </c>
      <c r="V248" s="39">
        <v>25.1235681</v>
      </c>
      <c r="W248" s="39">
        <v>38.280033799999998</v>
      </c>
      <c r="X248" s="39">
        <v>39.6320239</v>
      </c>
      <c r="Y248" s="38"/>
      <c r="Z248" s="41"/>
      <c r="AA248" s="41"/>
      <c r="AC248" s="33" t="str">
        <f t="shared" si="18"/>
        <v>·</v>
      </c>
      <c r="AD248" s="34">
        <f t="shared" si="19"/>
        <v>4.7972087620016408</v>
      </c>
      <c r="AE248" s="34">
        <f t="shared" si="20"/>
        <v>0.16056347226523884</v>
      </c>
      <c r="AF248" s="34">
        <f t="shared" si="21"/>
        <v>4.6360832423799536</v>
      </c>
      <c r="AG248" s="35"/>
      <c r="AH248" s="34">
        <f t="shared" si="22"/>
        <v>2.9712734941582921</v>
      </c>
      <c r="AI248" s="36">
        <f>Test!E953</f>
        <v>1631629</v>
      </c>
      <c r="AJ248" s="37">
        <v>4848016</v>
      </c>
      <c r="AK248" s="37">
        <v>162264</v>
      </c>
      <c r="AL248" s="37">
        <v>4685184</v>
      </c>
      <c r="AM248" s="38"/>
      <c r="AN248" s="39">
        <f>Test!J953</f>
        <v>63.198995099999998</v>
      </c>
      <c r="AO248" s="39">
        <f>Test!K953</f>
        <v>66.131390600000003</v>
      </c>
      <c r="AP248" s="39">
        <f>Test!L953</f>
        <v>25.1235681</v>
      </c>
      <c r="AQ248" s="39">
        <f>Test!M953</f>
        <v>38.280033799999998</v>
      </c>
      <c r="AR248" s="39">
        <f>Test!N953</f>
        <v>39.6320239</v>
      </c>
      <c r="AS248" s="40"/>
      <c r="AT248" s="41"/>
      <c r="AU248" s="41"/>
      <c r="AW248" s="42">
        <f t="shared" si="23"/>
        <v>0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">
        <v>1042</v>
      </c>
      <c r="J249" s="19" t="s">
        <v>1042</v>
      </c>
      <c r="K249" s="19" t="s">
        <v>1042</v>
      </c>
      <c r="L249" s="19" t="s">
        <v>1042</v>
      </c>
      <c r="M249" s="20"/>
      <c r="N249" s="19" t="s">
        <v>1042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18"/>
        <v>·</v>
      </c>
      <c r="AD249" s="19">
        <f t="shared" si="19"/>
        <v>0</v>
      </c>
      <c r="AE249" s="19">
        <f t="shared" si="20"/>
        <v>0</v>
      </c>
      <c r="AF249" s="19">
        <f t="shared" si="21"/>
        <v>0</v>
      </c>
      <c r="AG249" s="20"/>
      <c r="AH249" s="19" t="e">
        <f t="shared" si="22"/>
        <v>#DIV/0!</v>
      </c>
      <c r="AI249" s="21"/>
      <c r="AJ249" s="22">
        <v>0</v>
      </c>
      <c r="AK249" s="22">
        <v>0</v>
      </c>
      <c r="AL249" s="22">
        <v>0</v>
      </c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2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">
        <v>1042</v>
      </c>
      <c r="J250" s="49" t="s">
        <v>1042</v>
      </c>
      <c r="K250" s="49" t="s">
        <v>1042</v>
      </c>
      <c r="L250" s="49" t="s">
        <v>1042</v>
      </c>
      <c r="M250" s="50"/>
      <c r="N250" s="49" t="s">
        <v>1042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18"/>
        <v>·</v>
      </c>
      <c r="AD250" s="49">
        <f t="shared" si="19"/>
        <v>0</v>
      </c>
      <c r="AE250" s="49">
        <f t="shared" si="20"/>
        <v>0</v>
      </c>
      <c r="AF250" s="49">
        <f t="shared" si="21"/>
        <v>0</v>
      </c>
      <c r="AG250" s="50"/>
      <c r="AH250" s="49" t="e">
        <f t="shared" si="22"/>
        <v>#DIV/0!</v>
      </c>
      <c r="AI250" s="51"/>
      <c r="AJ250" s="52">
        <v>0</v>
      </c>
      <c r="AK250" s="52">
        <v>0</v>
      </c>
      <c r="AL250" s="52">
        <v>0</v>
      </c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2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">
        <v>1042</v>
      </c>
      <c r="J251" s="19">
        <v>9.3429907744287555E-2</v>
      </c>
      <c r="K251" s="19">
        <v>3.4791538263403833E-3</v>
      </c>
      <c r="L251" s="19">
        <v>8.9885988314398244E-2</v>
      </c>
      <c r="M251" s="20"/>
      <c r="N251" s="19">
        <v>0.19472433022270405</v>
      </c>
      <c r="O251" s="21">
        <v>22580640</v>
      </c>
      <c r="P251" s="22">
        <v>4397000</v>
      </c>
      <c r="Q251" s="22">
        <v>163736</v>
      </c>
      <c r="R251" s="22">
        <v>4230216</v>
      </c>
      <c r="S251" s="23"/>
      <c r="T251" s="24">
        <v>64.958584900000005</v>
      </c>
      <c r="U251" s="24">
        <v>67.074013600000001</v>
      </c>
      <c r="V251" s="24">
        <v>22.087859000000002</v>
      </c>
      <c r="W251" s="24">
        <v>35.868641400000001</v>
      </c>
      <c r="X251" s="24">
        <v>38.834044800000001</v>
      </c>
      <c r="Y251" s="23"/>
      <c r="Z251" s="26"/>
      <c r="AA251" s="26"/>
      <c r="AC251" s="18" t="str">
        <f t="shared" si="18"/>
        <v>·</v>
      </c>
      <c r="AD251" s="19">
        <f t="shared" si="19"/>
        <v>9.3599726216585105E-2</v>
      </c>
      <c r="AE251" s="19">
        <f t="shared" si="20"/>
        <v>3.3411231962046338E-3</v>
      </c>
      <c r="AF251" s="19">
        <f t="shared" si="21"/>
        <v>9.0193837416831554E-2</v>
      </c>
      <c r="AG251" s="20"/>
      <c r="AH251" s="19">
        <f t="shared" si="22"/>
        <v>0.1950782617321741</v>
      </c>
      <c r="AI251" s="21">
        <f>Test!E956</f>
        <v>22580640</v>
      </c>
      <c r="AJ251" s="22">
        <v>4404992</v>
      </c>
      <c r="AK251" s="22">
        <v>157240</v>
      </c>
      <c r="AL251" s="22">
        <v>4244704</v>
      </c>
      <c r="AM251" s="23"/>
      <c r="AN251" s="24">
        <f>Test!J956</f>
        <v>64.958584900000005</v>
      </c>
      <c r="AO251" s="24">
        <f>Test!K956</f>
        <v>67.074013600000001</v>
      </c>
      <c r="AP251" s="24">
        <f>Test!L956</f>
        <v>22.087859000000002</v>
      </c>
      <c r="AQ251" s="24">
        <f>Test!M956</f>
        <v>35.868641400000001</v>
      </c>
      <c r="AR251" s="24">
        <f>Test!N956</f>
        <v>38.834044800000001</v>
      </c>
      <c r="AS251" s="25"/>
      <c r="AT251" s="26"/>
      <c r="AU251" s="26"/>
      <c r="AW251" s="27">
        <f t="shared" si="23"/>
        <v>-1.5422518429654142E-3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-5.7013097801543733E-2</v>
      </c>
      <c r="BA251" s="28">
        <f>IF( OR(ISBLANK(Q251:Q256),ISBLANK(AK251:AK256), ISBLANK(U251:U256),ISBLANK(AO251:AO256)), "·", bdRateExtend( Q251:Q256,U251:U256, AK251:AK256,AO251:AO256))</f>
        <v>-5.2661013031956028E-2</v>
      </c>
      <c r="BB251" s="28">
        <f>IF( OR(ISBLANK(R251:R256),ISBLANK(AL251:AL256), ISBLANK(V251:V256),ISBLANK(AP251:AP256)), "·", bdRateExtend( R251:R256,V251:V256, AL251:AL256,AP251:AP256))</f>
        <v>-1.5477321125351273E-2</v>
      </c>
      <c r="BC251" s="28">
        <f>IF( OR(ISBLANK(R251:R256),ISBLANK(AL251:AL256), ISBLANK(W251:W256),ISBLANK(AQ251:AQ256)), "·", bdRateExtend( R251:R256,W251:W256, AL251:AL256,AQ251:AQ256))</f>
        <v>-1.4282918337929051E-2</v>
      </c>
      <c r="BD251" s="28">
        <f>IF( OR(ISBLANK(R251:R256),ISBLANK(AL251:AL256), ISBLANK(X251:X256),ISBLANK(AR251:AR256)), "·", bdRateExtend( R251:R256,X251:X256, AL251:AL256,AR251:AR256))</f>
        <v>-1.4428696485518033E-2</v>
      </c>
      <c r="BE251" s="29"/>
      <c r="BG251" s="28">
        <f>IF( OR(ISBLANK(P251:P256),ISBLANK(AJ251:AJ256), ISBLANK(T251:T256),ISBLANK(AN251:AN256)), "·", bdRateExtend( P251:P256,T251:T256, AJ251:AJ256,AN251:AN256))</f>
        <v>-1.7558416512068908E-2</v>
      </c>
      <c r="BH251" s="28">
        <f>IF( OR(ISBLANK(P251:P256),ISBLANK(AJ251:AJ256), ISBLANK(U251:U256),ISBLANK(AO251:AO256)), "·", bdRateExtend( P251:P256,U251:U256, AJ251:AJ256,AO251:AO256))</f>
        <v>-1.5931121079882926E-2</v>
      </c>
      <c r="BI251" s="28">
        <f>IF( OR(ISBLANK(P251:P256),ISBLANK(AJ251:AJ256), ISBLANK(V251:V256),ISBLANK(AP251:AP256)), "·", bdRateExtend( P251:P256,V251:V256, AJ251:AJ256,AP251:AP256))</f>
        <v>-1.7504614172283217E-2</v>
      </c>
      <c r="BJ251" s="28">
        <f>IF( OR(ISBLANK(P251:P256),ISBLANK(AJ251:AJ256), ISBLANK(W251:W256),ISBLANK(AQ251:AQ256)), "·", bdRateExtend( P251:P256,W251:W256, AJ251:AJ256,AQ251:AQ256))</f>
        <v>-1.6190012191606873E-2</v>
      </c>
      <c r="BK251" s="28">
        <f>IF( OR(ISBLANK(P251:P256),ISBLANK(AJ251:AJ256), ISBLANK(X251:X256),ISBLANK(AR251:AR256)), "·", bdRateExtend( P251:P256,X251:X256, AJ251:AJ256,AR251:AR256))</f>
        <v>-1.6350898500148814E-2</v>
      </c>
      <c r="BL251" s="29"/>
    </row>
    <row r="252" spans="1:64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">
        <v>1042</v>
      </c>
      <c r="J252" s="34">
        <v>0.23754901457901784</v>
      </c>
      <c r="K252" s="34">
        <v>1.1071348449188898E-2</v>
      </c>
      <c r="L252" s="34">
        <v>0.22640780087245727</v>
      </c>
      <c r="M252" s="35"/>
      <c r="N252" s="34">
        <v>0.47634623354912825</v>
      </c>
      <c r="O252" s="36">
        <v>23469349</v>
      </c>
      <c r="P252" s="37">
        <v>11179536</v>
      </c>
      <c r="Q252" s="37">
        <v>521040</v>
      </c>
      <c r="R252" s="37">
        <v>10655208</v>
      </c>
      <c r="S252" s="38"/>
      <c r="T252" s="39">
        <v>71.475352599999994</v>
      </c>
      <c r="U252" s="39">
        <v>73.951538999999997</v>
      </c>
      <c r="V252" s="39">
        <v>25.0234752</v>
      </c>
      <c r="W252" s="39">
        <v>38.440362800000003</v>
      </c>
      <c r="X252" s="39">
        <v>41.156103700000003</v>
      </c>
      <c r="Y252" s="38"/>
      <c r="Z252" s="41"/>
      <c r="AA252" s="41"/>
      <c r="AC252" s="33" t="str">
        <f t="shared" si="18"/>
        <v>·</v>
      </c>
      <c r="AD252" s="34">
        <f t="shared" si="19"/>
        <v>0.23022370183955987</v>
      </c>
      <c r="AE252" s="34">
        <f t="shared" si="20"/>
        <v>1.0113803449737323E-2</v>
      </c>
      <c r="AF252" s="34">
        <f t="shared" si="21"/>
        <v>0.22004003313245088</v>
      </c>
      <c r="AG252" s="35"/>
      <c r="AH252" s="34">
        <f t="shared" si="22"/>
        <v>0.46165711711901342</v>
      </c>
      <c r="AI252" s="36">
        <f>Test!E957</f>
        <v>23469349</v>
      </c>
      <c r="AJ252" s="37">
        <v>10834792</v>
      </c>
      <c r="AK252" s="37">
        <v>475976</v>
      </c>
      <c r="AL252" s="37">
        <v>10355528</v>
      </c>
      <c r="AM252" s="38"/>
      <c r="AN252" s="39">
        <f>Test!J957</f>
        <v>71.475352599999994</v>
      </c>
      <c r="AO252" s="39">
        <f>Test!K957</f>
        <v>73.951538999999997</v>
      </c>
      <c r="AP252" s="39">
        <f>Test!L957</f>
        <v>25.0234752</v>
      </c>
      <c r="AQ252" s="39">
        <f>Test!M957</f>
        <v>38.440362800000003</v>
      </c>
      <c r="AR252" s="39">
        <f>Test!N957</f>
        <v>41.156103700000003</v>
      </c>
      <c r="AS252" s="40"/>
      <c r="AT252" s="41"/>
      <c r="AU252" s="41"/>
      <c r="AW252" s="42">
        <f t="shared" si="23"/>
        <v>-2.6762543574238781E-3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">
        <v>1042</v>
      </c>
      <c r="J253" s="19">
        <v>0.52911866210241987</v>
      </c>
      <c r="K253" s="19">
        <v>3.6362741606192919E-2</v>
      </c>
      <c r="L253" s="19">
        <v>0.49268775512346286</v>
      </c>
      <c r="M253" s="20"/>
      <c r="N253" s="19">
        <v>1.0436640872001754</v>
      </c>
      <c r="O253" s="21">
        <v>23859585</v>
      </c>
      <c r="P253" s="22">
        <v>24901392</v>
      </c>
      <c r="Q253" s="22">
        <v>1711304</v>
      </c>
      <c r="R253" s="22">
        <v>23186880</v>
      </c>
      <c r="S253" s="23"/>
      <c r="T253" s="24">
        <v>78.212803399999999</v>
      </c>
      <c r="U253" s="24">
        <v>79.321104700000006</v>
      </c>
      <c r="V253" s="24">
        <v>27.839852100000002</v>
      </c>
      <c r="W253" s="24">
        <v>41.371207900000002</v>
      </c>
      <c r="X253" s="24">
        <v>43.673862900000003</v>
      </c>
      <c r="Y253" s="23"/>
      <c r="Z253" s="26"/>
      <c r="AA253" s="26"/>
      <c r="AC253" s="18" t="str">
        <f t="shared" si="18"/>
        <v>·</v>
      </c>
      <c r="AD253" s="19">
        <f t="shared" si="19"/>
        <v>0.52371914863489277</v>
      </c>
      <c r="AE253" s="19">
        <f t="shared" si="20"/>
        <v>3.5206310107654119E-2</v>
      </c>
      <c r="AF253" s="19">
        <f t="shared" si="21"/>
        <v>0.4884446731544746</v>
      </c>
      <c r="AG253" s="20"/>
      <c r="AH253" s="19">
        <f t="shared" si="22"/>
        <v>1.0330137762245235</v>
      </c>
      <c r="AI253" s="21">
        <f>Test!E958</f>
        <v>23859585</v>
      </c>
      <c r="AJ253" s="22">
        <v>24647280</v>
      </c>
      <c r="AK253" s="22">
        <v>1656880</v>
      </c>
      <c r="AL253" s="22">
        <v>22987192</v>
      </c>
      <c r="AM253" s="23"/>
      <c r="AN253" s="24">
        <f>Test!J958</f>
        <v>78.212803399999999</v>
      </c>
      <c r="AO253" s="24">
        <f>Test!K958</f>
        <v>79.321104700000006</v>
      </c>
      <c r="AP253" s="24">
        <f>Test!L958</f>
        <v>27.839852100000002</v>
      </c>
      <c r="AQ253" s="24">
        <f>Test!M958</f>
        <v>41.371207900000002</v>
      </c>
      <c r="AR253" s="24">
        <f>Test!N958</f>
        <v>43.673862900000003</v>
      </c>
      <c r="AS253" s="25"/>
      <c r="AT253" s="26"/>
      <c r="AU253" s="26"/>
      <c r="AW253" s="27">
        <f t="shared" si="23"/>
        <v>-1.4995814342991798E-3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">
        <v>1042</v>
      </c>
      <c r="J254" s="34">
        <v>0.96403889862946379</v>
      </c>
      <c r="K254" s="34">
        <v>0.10625791694695284</v>
      </c>
      <c r="L254" s="34">
        <v>0.85771281630974683</v>
      </c>
      <c r="M254" s="35"/>
      <c r="N254" s="34">
        <v>1.9741915243067589</v>
      </c>
      <c r="O254" s="36">
        <v>22981365</v>
      </c>
      <c r="P254" s="37">
        <v>45369616</v>
      </c>
      <c r="Q254" s="37">
        <v>5000712</v>
      </c>
      <c r="R254" s="37">
        <v>40365696</v>
      </c>
      <c r="S254" s="38"/>
      <c r="T254" s="39">
        <v>81.803137899999996</v>
      </c>
      <c r="U254" s="39">
        <v>84.474502900000005</v>
      </c>
      <c r="V254" s="39">
        <v>29.416998899999999</v>
      </c>
      <c r="W254" s="39">
        <v>43.576483699999997</v>
      </c>
      <c r="X254" s="39">
        <v>45.529495599999997</v>
      </c>
      <c r="Y254" s="38"/>
      <c r="Z254" s="41"/>
      <c r="AA254" s="41"/>
      <c r="AC254" s="33" t="str">
        <f t="shared" si="18"/>
        <v>·</v>
      </c>
      <c r="AD254" s="34">
        <f t="shared" si="19"/>
        <v>0.96403889862946379</v>
      </c>
      <c r="AE254" s="34">
        <f t="shared" si="20"/>
        <v>0.10625791694695284</v>
      </c>
      <c r="AF254" s="34">
        <f t="shared" si="21"/>
        <v>0.85771281630974683</v>
      </c>
      <c r="AG254" s="35"/>
      <c r="AH254" s="34">
        <f t="shared" si="22"/>
        <v>1.9741915243067589</v>
      </c>
      <c r="AI254" s="36">
        <f>Test!E959</f>
        <v>22981365</v>
      </c>
      <c r="AJ254" s="37">
        <v>45369616</v>
      </c>
      <c r="AK254" s="37">
        <v>5000712</v>
      </c>
      <c r="AL254" s="37">
        <v>40365696</v>
      </c>
      <c r="AM254" s="38"/>
      <c r="AN254" s="39">
        <f>Test!J959</f>
        <v>81.803137899999996</v>
      </c>
      <c r="AO254" s="39">
        <f>Test!K959</f>
        <v>84.474502900000005</v>
      </c>
      <c r="AP254" s="39">
        <f>Test!L959</f>
        <v>29.416998899999999</v>
      </c>
      <c r="AQ254" s="39">
        <f>Test!M959</f>
        <v>43.576483699999997</v>
      </c>
      <c r="AR254" s="39">
        <f>Test!N959</f>
        <v>45.529495599999997</v>
      </c>
      <c r="AS254" s="40"/>
      <c r="AT254" s="41"/>
      <c r="AU254" s="41"/>
      <c r="AW254" s="42">
        <f t="shared" si="23"/>
        <v>0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">
        <v>1042</v>
      </c>
      <c r="J255" s="19" t="s">
        <v>1042</v>
      </c>
      <c r="K255" s="19" t="s">
        <v>1042</v>
      </c>
      <c r="L255" s="19" t="s">
        <v>1042</v>
      </c>
      <c r="M255" s="20"/>
      <c r="N255" s="19" t="s">
        <v>1042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18"/>
        <v>·</v>
      </c>
      <c r="AD255" s="19">
        <f t="shared" si="19"/>
        <v>0</v>
      </c>
      <c r="AE255" s="19">
        <f t="shared" si="20"/>
        <v>0</v>
      </c>
      <c r="AF255" s="19">
        <f t="shared" si="21"/>
        <v>0</v>
      </c>
      <c r="AG255" s="20"/>
      <c r="AH255" s="19" t="e">
        <f t="shared" si="22"/>
        <v>#DIV/0!</v>
      </c>
      <c r="AI255" s="21"/>
      <c r="AJ255" s="22">
        <v>0</v>
      </c>
      <c r="AK255" s="22">
        <v>0</v>
      </c>
      <c r="AL255" s="22">
        <v>0</v>
      </c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2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">
        <v>1042</v>
      </c>
      <c r="J256" s="49" t="s">
        <v>1042</v>
      </c>
      <c r="K256" s="49" t="s">
        <v>1042</v>
      </c>
      <c r="L256" s="49" t="s">
        <v>1042</v>
      </c>
      <c r="M256" s="50"/>
      <c r="N256" s="49" t="s">
        <v>1042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18"/>
        <v>·</v>
      </c>
      <c r="AD256" s="49">
        <f t="shared" si="19"/>
        <v>0</v>
      </c>
      <c r="AE256" s="49">
        <f t="shared" si="20"/>
        <v>0</v>
      </c>
      <c r="AF256" s="49">
        <f t="shared" si="21"/>
        <v>0</v>
      </c>
      <c r="AG256" s="50"/>
      <c r="AH256" s="49" t="e">
        <f t="shared" si="22"/>
        <v>#DIV/0!</v>
      </c>
      <c r="AI256" s="51"/>
      <c r="AJ256" s="52">
        <v>0</v>
      </c>
      <c r="AK256" s="52">
        <v>0</v>
      </c>
      <c r="AL256" s="52">
        <v>0</v>
      </c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2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">
        <v>1042</v>
      </c>
      <c r="J257" s="19">
        <v>0.1197621882814587</v>
      </c>
      <c r="K257" s="19">
        <v>5.171707400091435E-3</v>
      </c>
      <c r="L257" s="19">
        <v>0.11451287577673942</v>
      </c>
      <c r="M257" s="20"/>
      <c r="N257" s="19">
        <v>0.19315874195951407</v>
      </c>
      <c r="O257" s="21">
        <v>26908355</v>
      </c>
      <c r="P257" s="22">
        <v>5197584</v>
      </c>
      <c r="Q257" s="22">
        <v>224448</v>
      </c>
      <c r="R257" s="22">
        <v>4969768</v>
      </c>
      <c r="S257" s="23"/>
      <c r="T257" s="24">
        <v>65.367402600000005</v>
      </c>
      <c r="U257" s="24">
        <v>67.325220700000003</v>
      </c>
      <c r="V257" s="24">
        <v>22.558113899999999</v>
      </c>
      <c r="W257" s="24">
        <v>35.3800867</v>
      </c>
      <c r="X257" s="24">
        <v>36.8450451</v>
      </c>
      <c r="Y257" s="23"/>
      <c r="Z257" s="26"/>
      <c r="AA257" s="26"/>
      <c r="AC257" s="18" t="str">
        <f t="shared" si="18"/>
        <v>·</v>
      </c>
      <c r="AD257" s="19">
        <f t="shared" si="19"/>
        <v>0.12665669213725494</v>
      </c>
      <c r="AE257" s="19">
        <f t="shared" si="20"/>
        <v>4.9171405366922952E-3</v>
      </c>
      <c r="AF257" s="19">
        <f t="shared" si="21"/>
        <v>0.12166194649593483</v>
      </c>
      <c r="AG257" s="20"/>
      <c r="AH257" s="19">
        <f t="shared" si="22"/>
        <v>0.20427855957749927</v>
      </c>
      <c r="AI257" s="21">
        <f>Test!E962</f>
        <v>26908355</v>
      </c>
      <c r="AJ257" s="22">
        <v>5496800</v>
      </c>
      <c r="AK257" s="22">
        <v>213400</v>
      </c>
      <c r="AL257" s="22">
        <v>5280032</v>
      </c>
      <c r="AM257" s="23"/>
      <c r="AN257" s="24">
        <f>Test!J962</f>
        <v>65.367402600000005</v>
      </c>
      <c r="AO257" s="24">
        <f>Test!K962</f>
        <v>67.325220700000003</v>
      </c>
      <c r="AP257" s="24">
        <f>Test!L962</f>
        <v>22.558113899999999</v>
      </c>
      <c r="AQ257" s="24">
        <f>Test!M962</f>
        <v>35.3800867</v>
      </c>
      <c r="AR257" s="24">
        <f>Test!N962</f>
        <v>36.8450451</v>
      </c>
      <c r="AS257" s="25"/>
      <c r="AT257" s="26"/>
      <c r="AU257" s="26"/>
      <c r="AW257" s="27">
        <f t="shared" si="23"/>
        <v>-4.3605527871156333E-3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-0.14000342874664828</v>
      </c>
      <c r="BA257" s="28">
        <f>IF( OR(ISBLANK(Q257:Q262),ISBLANK(AK257:AK262), ISBLANK(U257:U262),ISBLANK(AO257:AO262)), "·", bdRateExtend( Q257:Q262,U257:U262, AK257:AK262,AO257:AO262))</f>
        <v>-0.13891833285544053</v>
      </c>
      <c r="BB257" s="28">
        <f>IF( OR(ISBLANK(R257:R262),ISBLANK(AL257:AL262), ISBLANK(V257:V262),ISBLANK(AP257:AP262)), "·", bdRateExtend( R257:R262,V257:V262, AL257:AL262,AP257:AP262))</f>
        <v>-7.6107872372077612E-4</v>
      </c>
      <c r="BC257" s="28">
        <f>IF( OR(ISBLANK(R257:R262),ISBLANK(AL257:AL262), ISBLANK(W257:W262),ISBLANK(AQ257:AQ262)), "·", bdRateExtend( R257:R262,W257:W262, AL257:AL262,AQ257:AQ262))</f>
        <v>-2.5730065899419841E-2</v>
      </c>
      <c r="BD257" s="28">
        <f>IF( OR(ISBLANK(R257:R262),ISBLANK(AL257:AL262), ISBLANK(X257:X262),ISBLANK(AR257:AR262)), "·", bdRateExtend( R257:R262,X257:X262, AL257:AL262,AR257:AR262))</f>
        <v>-2.2246542497713406E-2</v>
      </c>
      <c r="BE257" s="29"/>
      <c r="BG257" s="28" t="e">
        <f>IF( OR(ISBLANK(P257:P262),ISBLANK(AJ257:AJ262), ISBLANK(T257:T262),ISBLANK(AN257:AN262)), "·", bdRateExtend( P257:P262,T257:T262, AJ257:AJ262,AN257:AN262))</f>
        <v>#VALUE!</v>
      </c>
      <c r="BH257" s="28" t="e">
        <f>IF( OR(ISBLANK(P257:P262),ISBLANK(AJ257:AJ262), ISBLANK(U257:U262),ISBLANK(AO257:AO262)), "·", bdRateExtend( P257:P262,U257:U262, AJ257:AJ262,AO257:AO262))</f>
        <v>#VALUE!</v>
      </c>
      <c r="BI257" s="28" t="e">
        <f>IF( OR(ISBLANK(P257:P262),ISBLANK(AJ257:AJ262), ISBLANK(V257:V262),ISBLANK(AP257:AP262)), "·", bdRateExtend( P257:P262,V257:V262, AJ257:AJ262,AP257:AP262))</f>
        <v>#VALUE!</v>
      </c>
      <c r="BJ257" s="28" t="e">
        <f>IF( OR(ISBLANK(P257:P262),ISBLANK(AJ257:AJ262), ISBLANK(W257:W262),ISBLANK(AQ257:AQ262)), "·", bdRateExtend( P257:P262,W257:W262, AJ257:AJ262,AQ257:AQ262))</f>
        <v>#VALUE!</v>
      </c>
      <c r="BK257" s="28" t="e">
        <f>IF( OR(ISBLANK(P257:P262),ISBLANK(AJ257:AJ262), ISBLANK(X257:X262),ISBLANK(AR257:AR262)), "·", bdRateExtend( P257:P262,X257:X262, AJ257:AJ262,AR257:AR262))</f>
        <v>#VALUE!</v>
      </c>
      <c r="BL257" s="29"/>
    </row>
    <row r="258" spans="1:64" outlineLevel="1" x14ac:dyDescent="0.2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">
        <v>1042</v>
      </c>
      <c r="J258" s="34">
        <v>0.27668100018509556</v>
      </c>
      <c r="K258" s="34">
        <v>1.5000642753679808E-2</v>
      </c>
      <c r="L258" s="34">
        <v>0.2616045956784418</v>
      </c>
      <c r="M258" s="35"/>
      <c r="N258" s="34">
        <v>0.49480425565739805</v>
      </c>
      <c r="O258" s="36">
        <v>24267649</v>
      </c>
      <c r="P258" s="37">
        <v>12007736</v>
      </c>
      <c r="Q258" s="37">
        <v>651016</v>
      </c>
      <c r="R258" s="37">
        <v>11353432</v>
      </c>
      <c r="S258" s="38"/>
      <c r="T258" s="39">
        <v>71.591053400000007</v>
      </c>
      <c r="U258" s="39">
        <v>74.278454699999998</v>
      </c>
      <c r="V258" s="39">
        <v>25.056281599999998</v>
      </c>
      <c r="W258" s="39">
        <v>37.923985100000003</v>
      </c>
      <c r="X258" s="39">
        <v>39.362361399999998</v>
      </c>
      <c r="Y258" s="38"/>
      <c r="Z258" s="41"/>
      <c r="AA258" s="41"/>
      <c r="AC258" s="33" t="str">
        <f t="shared" si="18"/>
        <v>·</v>
      </c>
      <c r="AD258" s="34">
        <f t="shared" si="19"/>
        <v>0.33016400507041521</v>
      </c>
      <c r="AE258" s="34">
        <f t="shared" si="20"/>
        <v>1.3399691842295643E-2</v>
      </c>
      <c r="AF258" s="34">
        <f t="shared" si="21"/>
        <v>0.31668855147514563</v>
      </c>
      <c r="AG258" s="35"/>
      <c r="AH258" s="34">
        <f t="shared" si="22"/>
        <v>0.59045093325686393</v>
      </c>
      <c r="AI258" s="36">
        <f>Test!E963</f>
        <v>24267649</v>
      </c>
      <c r="AJ258" s="37">
        <v>14328856</v>
      </c>
      <c r="AK258" s="37">
        <v>581536</v>
      </c>
      <c r="AL258" s="37">
        <v>13744032</v>
      </c>
      <c r="AM258" s="38"/>
      <c r="AN258" s="39">
        <f>Test!J963</f>
        <v>71.591053400000007</v>
      </c>
      <c r="AO258" s="39">
        <f>Test!K963</f>
        <v>74.278454699999998</v>
      </c>
      <c r="AP258" s="39">
        <f>Test!L963</f>
        <v>25.056281599999998</v>
      </c>
      <c r="AQ258" s="39">
        <f>Test!M963</f>
        <v>37.923985100000003</v>
      </c>
      <c r="AR258" s="39">
        <f>Test!N963</f>
        <v>39.362361399999998</v>
      </c>
      <c r="AS258" s="40"/>
      <c r="AT258" s="41"/>
      <c r="AU258" s="41"/>
      <c r="AW258" s="42">
        <f t="shared" si="23"/>
        <v>-1.363142516154426E-2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">
        <v>1042</v>
      </c>
      <c r="J259" s="19">
        <v>0.59310613670890344</v>
      </c>
      <c r="K259" s="19">
        <v>5.1786384023099777E-2</v>
      </c>
      <c r="L259" s="19">
        <v>0.54124399093282971</v>
      </c>
      <c r="M259" s="20"/>
      <c r="N259" s="19">
        <v>1.0884323687442332</v>
      </c>
      <c r="O259" s="21">
        <v>23648999</v>
      </c>
      <c r="P259" s="22">
        <v>25740336</v>
      </c>
      <c r="Q259" s="22">
        <v>2247488</v>
      </c>
      <c r="R259" s="22">
        <v>23489560</v>
      </c>
      <c r="S259" s="23"/>
      <c r="T259" s="24">
        <v>77.148806199999996</v>
      </c>
      <c r="U259" s="24">
        <v>79.457846900000007</v>
      </c>
      <c r="V259" s="24">
        <v>27.422548800000001</v>
      </c>
      <c r="W259" s="24">
        <v>40.518775099999999</v>
      </c>
      <c r="X259" s="24">
        <v>41.889015200000003</v>
      </c>
      <c r="Y259" s="23"/>
      <c r="Z259" s="26"/>
      <c r="AA259" s="26"/>
      <c r="AC259" s="18" t="str">
        <f t="shared" si="18"/>
        <v>·</v>
      </c>
      <c r="AD259" s="19">
        <f t="shared" si="19"/>
        <v>0</v>
      </c>
      <c r="AE259" s="19">
        <f t="shared" si="20"/>
        <v>3.8384480158819491E-2</v>
      </c>
      <c r="AF259" s="19">
        <f t="shared" si="21"/>
        <v>0.4058251110440797</v>
      </c>
      <c r="AG259" s="20"/>
      <c r="AH259" s="19">
        <f t="shared" si="22"/>
        <v>0</v>
      </c>
      <c r="AI259" s="21">
        <f>Test!E964</f>
        <v>23648999</v>
      </c>
      <c r="AJ259" s="22">
        <v>0</v>
      </c>
      <c r="AK259" s="22">
        <v>1665856</v>
      </c>
      <c r="AL259" s="22">
        <v>17612488</v>
      </c>
      <c r="AM259" s="23"/>
      <c r="AN259" s="24">
        <f>Test!J964</f>
        <v>77.148806199999996</v>
      </c>
      <c r="AO259" s="24">
        <f>Test!K964</f>
        <v>79.457846900000007</v>
      </c>
      <c r="AP259" s="24">
        <f>Test!L964</f>
        <v>27.422548800000001</v>
      </c>
      <c r="AQ259" s="24">
        <f>Test!M964</f>
        <v>40.518775099999999</v>
      </c>
      <c r="AR259" s="24">
        <f>Test!N964</f>
        <v>41.889015200000003</v>
      </c>
      <c r="AS259" s="25"/>
      <c r="AT259" s="26"/>
      <c r="AU259" s="26"/>
      <c r="AW259" s="27" t="e">
        <f t="shared" si="23"/>
        <v>#DIV/0!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">
        <v>1042</v>
      </c>
      <c r="J260" s="34">
        <v>1.2969945741174487</v>
      </c>
      <c r="K260" s="34">
        <v>0.16080164782734394</v>
      </c>
      <c r="L260" s="34">
        <v>1.1361190078887846</v>
      </c>
      <c r="M260" s="35"/>
      <c r="N260" s="34">
        <v>1.9842767447468794</v>
      </c>
      <c r="O260" s="36">
        <v>28367281</v>
      </c>
      <c r="P260" s="37">
        <v>56288536</v>
      </c>
      <c r="Q260" s="37">
        <v>6978664</v>
      </c>
      <c r="R260" s="37">
        <v>49306664</v>
      </c>
      <c r="S260" s="38"/>
      <c r="T260" s="39">
        <v>80.913527400000007</v>
      </c>
      <c r="U260" s="39">
        <v>84.701199000000003</v>
      </c>
      <c r="V260" s="39">
        <v>29.213125300000002</v>
      </c>
      <c r="W260" s="39">
        <v>42.979822900000002</v>
      </c>
      <c r="X260" s="39">
        <v>44.228492000000003</v>
      </c>
      <c r="Y260" s="38"/>
      <c r="Z260" s="41"/>
      <c r="AA260" s="41"/>
      <c r="AC260" s="33" t="str">
        <f t="shared" si="18"/>
        <v>·</v>
      </c>
      <c r="AD260" s="34">
        <f t="shared" si="19"/>
        <v>1.2969945741174487</v>
      </c>
      <c r="AE260" s="34">
        <f t="shared" si="20"/>
        <v>0.16080164782734394</v>
      </c>
      <c r="AF260" s="34">
        <f t="shared" si="21"/>
        <v>1.1361190078887846</v>
      </c>
      <c r="AG260" s="35"/>
      <c r="AH260" s="34">
        <f t="shared" si="22"/>
        <v>1.9842767447468794</v>
      </c>
      <c r="AI260" s="36">
        <f>Test!E965</f>
        <v>28367281</v>
      </c>
      <c r="AJ260" s="37">
        <v>56288536</v>
      </c>
      <c r="AK260" s="37">
        <v>6978664</v>
      </c>
      <c r="AL260" s="37">
        <v>49306664</v>
      </c>
      <c r="AM260" s="38"/>
      <c r="AN260" s="39">
        <f>Test!J965</f>
        <v>80.913527400000007</v>
      </c>
      <c r="AO260" s="39">
        <f>Test!K965</f>
        <v>84.701199000000003</v>
      </c>
      <c r="AP260" s="39">
        <f>Test!L965</f>
        <v>29.213125300000002</v>
      </c>
      <c r="AQ260" s="39">
        <f>Test!M965</f>
        <v>42.979822900000002</v>
      </c>
      <c r="AR260" s="39">
        <f>Test!N965</f>
        <v>44.228492000000003</v>
      </c>
      <c r="AS260" s="40"/>
      <c r="AT260" s="41"/>
      <c r="AU260" s="41"/>
      <c r="AW260" s="42">
        <f t="shared" si="23"/>
        <v>0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">
        <v>1042</v>
      </c>
      <c r="J261" s="19" t="s">
        <v>1042</v>
      </c>
      <c r="K261" s="19" t="s">
        <v>1042</v>
      </c>
      <c r="L261" s="19" t="s">
        <v>1042</v>
      </c>
      <c r="M261" s="20"/>
      <c r="N261" s="19" t="s">
        <v>1042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24">IF(OR(ISBLANK(AJ261),ISBLANK(G261)),"·",AJ261*G261/F261/1000000)</f>
        <v>·</v>
      </c>
      <c r="AD261" s="19">
        <f t="shared" ref="AD261:AD342" si="25">IF(ISBLANK(AJ261),"·",AJ261/D261)</f>
        <v>0</v>
      </c>
      <c r="AE261" s="19">
        <f t="shared" ref="AE261:AE342" si="26">IF(AK261="","·",AK261/D261)</f>
        <v>0</v>
      </c>
      <c r="AF261" s="19">
        <f t="shared" ref="AF261:AF298" si="27">IF(ISBLANK(AL261),"·",AL261/D261)</f>
        <v>0</v>
      </c>
      <c r="AG261" s="20"/>
      <c r="AH261" s="19" t="e">
        <f t="shared" ref="AH261:AH342" si="28">IF(ISBLANK(AJ261),"·",AJ261/AI261)</f>
        <v>#DIV/0!</v>
      </c>
      <c r="AI261" s="21"/>
      <c r="AJ261" s="22">
        <v>0</v>
      </c>
      <c r="AK261" s="22">
        <v>0</v>
      </c>
      <c r="AL261" s="22">
        <v>0</v>
      </c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29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">
        <v>1042</v>
      </c>
      <c r="J262" s="49" t="s">
        <v>1042</v>
      </c>
      <c r="K262" s="49" t="s">
        <v>1042</v>
      </c>
      <c r="L262" s="49" t="s">
        <v>1042</v>
      </c>
      <c r="M262" s="50"/>
      <c r="N262" s="49" t="s">
        <v>1042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24"/>
        <v>·</v>
      </c>
      <c r="AD262" s="49">
        <f t="shared" si="25"/>
        <v>0</v>
      </c>
      <c r="AE262" s="49">
        <f t="shared" si="26"/>
        <v>0</v>
      </c>
      <c r="AF262" s="49">
        <f t="shared" si="27"/>
        <v>0</v>
      </c>
      <c r="AG262" s="50"/>
      <c r="AH262" s="49" t="e">
        <f t="shared" si="28"/>
        <v>#DIV/0!</v>
      </c>
      <c r="AI262" s="51"/>
      <c r="AJ262" s="52">
        <v>0</v>
      </c>
      <c r="AK262" s="52">
        <v>0</v>
      </c>
      <c r="AL262" s="52">
        <v>0</v>
      </c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29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">
        <v>1042</v>
      </c>
      <c r="J263" s="19">
        <v>0.10852074272934228</v>
      </c>
      <c r="K263" s="19">
        <v>3.200729766386736E-3</v>
      </c>
      <c r="L263" s="19">
        <v>0.1043437903842076</v>
      </c>
      <c r="M263" s="20"/>
      <c r="N263" s="19">
        <v>0.30219538417830466</v>
      </c>
      <c r="O263" s="21">
        <v>179513</v>
      </c>
      <c r="P263" s="22">
        <v>54248</v>
      </c>
      <c r="Q263" s="22">
        <v>1600</v>
      </c>
      <c r="R263" s="22">
        <v>52160</v>
      </c>
      <c r="S263" s="23"/>
      <c r="T263" s="24">
        <v>46.915517000000001</v>
      </c>
      <c r="U263" s="24">
        <v>50.308353500000003</v>
      </c>
      <c r="V263" s="24">
        <v>20.632051199999999</v>
      </c>
      <c r="W263" s="24">
        <v>29.913316300000002</v>
      </c>
      <c r="X263" s="24">
        <v>32.4125108</v>
      </c>
      <c r="Y263" s="23"/>
      <c r="Z263" s="26"/>
      <c r="AA263" s="26"/>
      <c r="AC263" s="18" t="str">
        <f t="shared" si="24"/>
        <v>·</v>
      </c>
      <c r="AD263" s="19">
        <f t="shared" si="25"/>
        <v>0.10850473908051035</v>
      </c>
      <c r="AE263" s="19">
        <f t="shared" si="26"/>
        <v>3.1847261175548024E-3</v>
      </c>
      <c r="AF263" s="19">
        <f t="shared" si="27"/>
        <v>0.1043437903842076</v>
      </c>
      <c r="AG263" s="20"/>
      <c r="AH263" s="19">
        <f t="shared" si="28"/>
        <v>0.30215081916072933</v>
      </c>
      <c r="AI263" s="21">
        <f>Test!E968</f>
        <v>179513</v>
      </c>
      <c r="AJ263" s="22">
        <v>54240</v>
      </c>
      <c r="AK263" s="22">
        <v>1592</v>
      </c>
      <c r="AL263" s="22">
        <v>52160</v>
      </c>
      <c r="AM263" s="23"/>
      <c r="AN263" s="24">
        <f>Test!J968</f>
        <v>46.915517000000001</v>
      </c>
      <c r="AO263" s="24">
        <f>Test!K968</f>
        <v>50.308353500000003</v>
      </c>
      <c r="AP263" s="24">
        <f>Test!L968</f>
        <v>20.632051199999999</v>
      </c>
      <c r="AQ263" s="24">
        <f>Test!M968</f>
        <v>29.913316300000002</v>
      </c>
      <c r="AR263" s="24">
        <f>Test!N968</f>
        <v>32.4125108</v>
      </c>
      <c r="AS263" s="25"/>
      <c r="AT263" s="26"/>
      <c r="AU263" s="26"/>
      <c r="AW263" s="27">
        <f t="shared" si="29"/>
        <v>-1.4314245207957751E-4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-8.1529207508278523E-3</v>
      </c>
      <c r="BA263" s="28">
        <f>IF( OR(ISBLANK(Q263:Q268),ISBLANK(AK263:AK268), ISBLANK(U263:U268),ISBLANK(AO263:AO268)), "·", bdRateExtend( Q263:Q268,U263:U268, AK263:AK268,AO263:AO268))</f>
        <v>-7.8734710935688401E-3</v>
      </c>
      <c r="BB263" s="28">
        <f>IF( OR(ISBLANK(R263:R268),ISBLANK(AL263:AL268), ISBLANK(V263:V268),ISBLANK(AP263:AP268)), "·", bdRateExtend( R263:R268,V263:V268, AL263:AL268,AP263:AP268))</f>
        <v>-3.1621674075841266E-3</v>
      </c>
      <c r="BC263" s="28">
        <f>IF( OR(ISBLANK(R263:R268),ISBLANK(AL263:AL268), ISBLANK(W263:W268),ISBLANK(AQ263:AQ268)), "·", bdRateExtend( R263:R268,W263:W268, AL263:AL268,AQ263:AQ268))</f>
        <v>-2.991664997206156E-3</v>
      </c>
      <c r="BD263" s="28">
        <f>IF( OR(ISBLANK(R263:R268),ISBLANK(AL263:AL268), ISBLANK(X263:X268),ISBLANK(AR263:AR268)), "·", bdRateExtend( R263:R268,X263:X268, AL263:AL268,AR263:AR268))</f>
        <v>-2.7636367835414122E-3</v>
      </c>
      <c r="BE263" s="29"/>
      <c r="BG263" s="28">
        <f>IF( OR(ISBLANK(P263:P268),ISBLANK(AJ263:AJ268), ISBLANK(T263:T268),ISBLANK(AN263:AN268)), "·", bdRateExtend( P263:P268,T263:T268, AJ263:AJ268,AN263:AN268))</f>
        <v>-4.0113558083471057E-3</v>
      </c>
      <c r="BH263" s="28">
        <f>IF( OR(ISBLANK(P263:P268),ISBLANK(AJ263:AJ268), ISBLANK(U263:U268),ISBLANK(AO263:AO268)), "·", bdRateExtend( P263:P268,U263:U268, AJ263:AJ268,AO263:AO268))</f>
        <v>-3.8757741053720984E-3</v>
      </c>
      <c r="BI263" s="28">
        <f>IF( OR(ISBLANK(P263:P268),ISBLANK(AJ263:AJ268), ISBLANK(V263:V268),ISBLANK(AP263:AP268)), "·", bdRateExtend( P263:P268,V263:V268, AJ263:AJ268,AP263:AP268))</f>
        <v>-3.2822001380842236E-3</v>
      </c>
      <c r="BJ263" s="28">
        <f>IF( OR(ISBLANK(P263:P268),ISBLANK(AJ263:AJ268), ISBLANK(W263:W268),ISBLANK(AQ263:AQ268)), "·", bdRateExtend( P263:P268,W263:W268, AJ263:AJ268,AQ263:AQ268))</f>
        <v>-3.1073563241041935E-3</v>
      </c>
      <c r="BK263" s="28">
        <f>IF( OR(ISBLANK(P263:P268),ISBLANK(AJ263:AJ268), ISBLANK(X263:X268),ISBLANK(AR263:AR268)), "·", bdRateExtend( P263:P268,X263:X268, AJ263:AJ268,AR263:AR268))</f>
        <v>-2.8745134473934231E-3</v>
      </c>
      <c r="BL263" s="29"/>
    </row>
    <row r="264" spans="1:64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">
        <v>1042</v>
      </c>
      <c r="J264" s="34">
        <v>0.33143556730934653</v>
      </c>
      <c r="K264" s="34">
        <v>1.1538630807824184E-2</v>
      </c>
      <c r="L264" s="34">
        <v>0.31892071392277438</v>
      </c>
      <c r="M264" s="35"/>
      <c r="N264" s="34">
        <v>0.87628920505632835</v>
      </c>
      <c r="O264" s="36">
        <v>189070</v>
      </c>
      <c r="P264" s="37">
        <v>165680</v>
      </c>
      <c r="Q264" s="37">
        <v>5768</v>
      </c>
      <c r="R264" s="37">
        <v>159424</v>
      </c>
      <c r="S264" s="38"/>
      <c r="T264" s="39">
        <v>55.431299000000003</v>
      </c>
      <c r="U264" s="39">
        <v>57.8334051</v>
      </c>
      <c r="V264" s="39">
        <v>23.463502399999999</v>
      </c>
      <c r="W264" s="39">
        <v>33.023845199999997</v>
      </c>
      <c r="X264" s="39">
        <v>34.739035999999999</v>
      </c>
      <c r="Y264" s="38"/>
      <c r="Z264" s="41"/>
      <c r="AA264" s="41"/>
      <c r="AC264" s="33" t="str">
        <f t="shared" si="24"/>
        <v>·</v>
      </c>
      <c r="AD264" s="34">
        <f t="shared" si="25"/>
        <v>0.3293230856635313</v>
      </c>
      <c r="AE264" s="34">
        <f t="shared" si="26"/>
        <v>1.1410601617168715E-2</v>
      </c>
      <c r="AF264" s="34">
        <f t="shared" si="27"/>
        <v>0.31693626146761461</v>
      </c>
      <c r="AG264" s="35"/>
      <c r="AH264" s="34">
        <f t="shared" si="28"/>
        <v>0.8707039720738351</v>
      </c>
      <c r="AI264" s="36">
        <f>Test!E969</f>
        <v>189070</v>
      </c>
      <c r="AJ264" s="37">
        <v>164624</v>
      </c>
      <c r="AK264" s="37">
        <v>5704</v>
      </c>
      <c r="AL264" s="37">
        <v>158432</v>
      </c>
      <c r="AM264" s="38"/>
      <c r="AN264" s="39">
        <f>Test!J969</f>
        <v>55.431299000000003</v>
      </c>
      <c r="AO264" s="39">
        <f>Test!K969</f>
        <v>57.8334051</v>
      </c>
      <c r="AP264" s="39">
        <f>Test!L969</f>
        <v>23.463502399999999</v>
      </c>
      <c r="AQ264" s="39">
        <f>Test!M969</f>
        <v>33.023845199999997</v>
      </c>
      <c r="AR264" s="39">
        <f>Test!N969</f>
        <v>34.739035999999999</v>
      </c>
      <c r="AS264" s="40"/>
      <c r="AT264" s="41"/>
      <c r="AU264" s="41"/>
      <c r="AW264" s="42">
        <f t="shared" si="29"/>
        <v>-1.6544556662994453E-4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">
        <v>1042</v>
      </c>
      <c r="J265" s="19">
        <v>0.90577451658978247</v>
      </c>
      <c r="K265" s="19">
        <v>4.8331019472439715E-2</v>
      </c>
      <c r="L265" s="19">
        <v>0.85646727453859484</v>
      </c>
      <c r="M265" s="20"/>
      <c r="N265" s="19">
        <v>2.045529087023894</v>
      </c>
      <c r="O265" s="21">
        <v>221353</v>
      </c>
      <c r="P265" s="22">
        <v>452784</v>
      </c>
      <c r="Q265" s="22">
        <v>24160</v>
      </c>
      <c r="R265" s="22">
        <v>428136</v>
      </c>
      <c r="S265" s="23"/>
      <c r="T265" s="24">
        <v>60.2046098</v>
      </c>
      <c r="U265" s="24">
        <v>62.684133799999998</v>
      </c>
      <c r="V265" s="24">
        <v>25.6493109</v>
      </c>
      <c r="W265" s="24">
        <v>35.437514200000003</v>
      </c>
      <c r="X265" s="24">
        <v>36.930877000000002</v>
      </c>
      <c r="Y265" s="23"/>
      <c r="Z265" s="26"/>
      <c r="AA265" s="26"/>
      <c r="AC265" s="18" t="str">
        <f t="shared" si="24"/>
        <v>·</v>
      </c>
      <c r="AD265" s="19">
        <f t="shared" si="25"/>
        <v>0.90484630495753027</v>
      </c>
      <c r="AE265" s="19">
        <f t="shared" si="26"/>
        <v>4.820299028178425E-2</v>
      </c>
      <c r="AF265" s="19">
        <f t="shared" si="27"/>
        <v>0.85566709209699809</v>
      </c>
      <c r="AG265" s="20"/>
      <c r="AH265" s="19">
        <f t="shared" si="28"/>
        <v>2.0434328877403964</v>
      </c>
      <c r="AI265" s="21">
        <f>Test!E970</f>
        <v>221353</v>
      </c>
      <c r="AJ265" s="22">
        <v>452320</v>
      </c>
      <c r="AK265" s="22">
        <v>24096</v>
      </c>
      <c r="AL265" s="22">
        <v>427736</v>
      </c>
      <c r="AM265" s="23"/>
      <c r="AN265" s="24">
        <f>Test!J970</f>
        <v>60.2046098</v>
      </c>
      <c r="AO265" s="24">
        <f>Test!K970</f>
        <v>62.684133799999998</v>
      </c>
      <c r="AP265" s="24">
        <f>Test!L970</f>
        <v>25.6493109</v>
      </c>
      <c r="AQ265" s="24">
        <f>Test!M970</f>
        <v>35.437514200000003</v>
      </c>
      <c r="AR265" s="24">
        <f>Test!N970</f>
        <v>36.930877000000002</v>
      </c>
      <c r="AS265" s="25"/>
      <c r="AT265" s="26"/>
      <c r="AU265" s="26"/>
      <c r="AW265" s="27">
        <f t="shared" si="29"/>
        <v>-8.6756119493242023E-5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">
        <v>1042</v>
      </c>
      <c r="J266" s="34">
        <v>2.1758080842432075</v>
      </c>
      <c r="K266" s="34">
        <v>0.20026966148281808</v>
      </c>
      <c r="L266" s="34">
        <v>1.9745622001816414</v>
      </c>
      <c r="M266" s="35"/>
      <c r="N266" s="34">
        <v>3.899135322712477</v>
      </c>
      <c r="O266" s="36">
        <v>278948</v>
      </c>
      <c r="P266" s="37">
        <v>1087656</v>
      </c>
      <c r="Q266" s="37">
        <v>100112</v>
      </c>
      <c r="R266" s="37">
        <v>987056</v>
      </c>
      <c r="S266" s="38"/>
      <c r="T266" s="39">
        <v>61.758085800000003</v>
      </c>
      <c r="U266" s="39">
        <v>64.425036000000006</v>
      </c>
      <c r="V266" s="39">
        <v>27.223880399999999</v>
      </c>
      <c r="W266" s="39">
        <v>37.5421999</v>
      </c>
      <c r="X266" s="39">
        <v>39.043572400000002</v>
      </c>
      <c r="Y266" s="38"/>
      <c r="Z266" s="41"/>
      <c r="AA266" s="41"/>
      <c r="AC266" s="33" t="str">
        <f t="shared" si="24"/>
        <v>·</v>
      </c>
      <c r="AD266" s="34">
        <f t="shared" si="25"/>
        <v>2.1758080842432075</v>
      </c>
      <c r="AE266" s="34">
        <f t="shared" si="26"/>
        <v>0.20026966148281808</v>
      </c>
      <c r="AF266" s="34">
        <f t="shared" si="27"/>
        <v>1.9745622001816414</v>
      </c>
      <c r="AG266" s="35"/>
      <c r="AH266" s="34">
        <f t="shared" si="28"/>
        <v>3.899135322712477</v>
      </c>
      <c r="AI266" s="36">
        <f>Test!E971</f>
        <v>278948</v>
      </c>
      <c r="AJ266" s="37">
        <v>1087656</v>
      </c>
      <c r="AK266" s="37">
        <v>100112</v>
      </c>
      <c r="AL266" s="37">
        <v>987056</v>
      </c>
      <c r="AM266" s="38"/>
      <c r="AN266" s="39">
        <f>Test!J971</f>
        <v>61.758085800000003</v>
      </c>
      <c r="AO266" s="39">
        <f>Test!K971</f>
        <v>64.425036000000006</v>
      </c>
      <c r="AP266" s="39">
        <f>Test!L971</f>
        <v>27.223880399999999</v>
      </c>
      <c r="AQ266" s="39">
        <f>Test!M971</f>
        <v>37.5421999</v>
      </c>
      <c r="AR266" s="39">
        <f>Test!N971</f>
        <v>39.043572400000002</v>
      </c>
      <c r="AS266" s="40"/>
      <c r="AT266" s="41"/>
      <c r="AU266" s="41"/>
      <c r="AW266" s="42">
        <f t="shared" si="29"/>
        <v>0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">
        <v>1042</v>
      </c>
      <c r="J267" s="19" t="s">
        <v>1042</v>
      </c>
      <c r="K267" s="19" t="s">
        <v>1042</v>
      </c>
      <c r="L267" s="19" t="s">
        <v>1042</v>
      </c>
      <c r="M267" s="20"/>
      <c r="N267" s="19" t="s">
        <v>1042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24"/>
        <v>·</v>
      </c>
      <c r="AD267" s="19">
        <f t="shared" si="25"/>
        <v>0</v>
      </c>
      <c r="AE267" s="19">
        <f t="shared" si="26"/>
        <v>0</v>
      </c>
      <c r="AF267" s="19">
        <f t="shared" si="27"/>
        <v>0</v>
      </c>
      <c r="AG267" s="20"/>
      <c r="AH267" s="19" t="e">
        <f t="shared" si="28"/>
        <v>#DIV/0!</v>
      </c>
      <c r="AI267" s="21"/>
      <c r="AJ267" s="22">
        <v>0</v>
      </c>
      <c r="AK267" s="22">
        <v>0</v>
      </c>
      <c r="AL267" s="22">
        <v>0</v>
      </c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29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">
        <v>1042</v>
      </c>
      <c r="J268" s="49" t="s">
        <v>1042</v>
      </c>
      <c r="K268" s="49" t="s">
        <v>1042</v>
      </c>
      <c r="L268" s="49" t="s">
        <v>1042</v>
      </c>
      <c r="M268" s="50"/>
      <c r="N268" s="49" t="s">
        <v>1042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24"/>
        <v>·</v>
      </c>
      <c r="AD268" s="49">
        <f t="shared" si="25"/>
        <v>0</v>
      </c>
      <c r="AE268" s="49">
        <f t="shared" si="26"/>
        <v>0</v>
      </c>
      <c r="AF268" s="49">
        <f t="shared" si="27"/>
        <v>0</v>
      </c>
      <c r="AG268" s="50"/>
      <c r="AH268" s="49" t="e">
        <f t="shared" si="28"/>
        <v>#DIV/0!</v>
      </c>
      <c r="AI268" s="51"/>
      <c r="AJ268" s="52">
        <v>0</v>
      </c>
      <c r="AK268" s="52">
        <v>0</v>
      </c>
      <c r="AL268" s="52">
        <v>0</v>
      </c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29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">
        <v>1042</v>
      </c>
      <c r="J269" s="19">
        <v>3.8534875659913287E-2</v>
      </c>
      <c r="K269" s="19">
        <v>4.1457682350394794E-3</v>
      </c>
      <c r="L269" s="19">
        <v>3.4342634134591002E-2</v>
      </c>
      <c r="M269" s="20"/>
      <c r="N269" s="19">
        <v>0.10052241909039443</v>
      </c>
      <c r="O269" s="21">
        <v>24482260</v>
      </c>
      <c r="P269" s="22">
        <v>2461016</v>
      </c>
      <c r="Q269" s="22">
        <v>264768</v>
      </c>
      <c r="R269" s="22">
        <v>2193280</v>
      </c>
      <c r="S269" s="23"/>
      <c r="T269" s="24">
        <v>67.293165599999995</v>
      </c>
      <c r="U269" s="24">
        <v>70.843313300000005</v>
      </c>
      <c r="V269" s="24">
        <v>27.4263181</v>
      </c>
      <c r="W269" s="24">
        <v>40.059353700000003</v>
      </c>
      <c r="X269" s="24">
        <v>38.367318500000003</v>
      </c>
      <c r="Y269" s="23"/>
      <c r="Z269" s="26"/>
      <c r="AA269" s="26"/>
      <c r="AC269" s="18" t="str">
        <f t="shared" si="24"/>
        <v>·</v>
      </c>
      <c r="AD269" s="19">
        <f t="shared" si="25"/>
        <v>3.9332312225790166E-2</v>
      </c>
      <c r="AE269" s="19">
        <f t="shared" si="26"/>
        <v>4.0344077092674801E-3</v>
      </c>
      <c r="AF269" s="19">
        <f t="shared" si="27"/>
        <v>3.5251431226239888E-2</v>
      </c>
      <c r="AG269" s="20"/>
      <c r="AH269" s="19">
        <f t="shared" si="28"/>
        <v>0.10260261920263897</v>
      </c>
      <c r="AI269" s="21">
        <f>Test!E974</f>
        <v>24482260</v>
      </c>
      <c r="AJ269" s="22">
        <v>2511944</v>
      </c>
      <c r="AK269" s="22">
        <v>257656</v>
      </c>
      <c r="AL269" s="22">
        <v>2251320</v>
      </c>
      <c r="AM269" s="23"/>
      <c r="AN269" s="24">
        <f>Test!J974</f>
        <v>67.293165599999995</v>
      </c>
      <c r="AO269" s="24">
        <f>Test!K974</f>
        <v>70.843313300000005</v>
      </c>
      <c r="AP269" s="24">
        <f>Test!L974</f>
        <v>27.4263181</v>
      </c>
      <c r="AQ269" s="24">
        <f>Test!M974</f>
        <v>40.059353700000003</v>
      </c>
      <c r="AR269" s="24">
        <f>Test!N974</f>
        <v>38.367318500000003</v>
      </c>
      <c r="AS269" s="25"/>
      <c r="AT269" s="26"/>
      <c r="AU269" s="26"/>
      <c r="AW269" s="27">
        <f t="shared" si="29"/>
        <v>-5.0124845421832404E-3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-2.9524662340564833E-2</v>
      </c>
      <c r="BA269" s="28">
        <f>IF( OR(ISBLANK(Q269:Q274),ISBLANK(AK269:AK274), ISBLANK(U269:U274),ISBLANK(AO269:AO274)), "·", bdRateExtend( Q269:Q274,U269:U274, AK269:AK274,AO269:AO274))</f>
        <v>-3.0201412171725783E-2</v>
      </c>
      <c r="BB269" s="28">
        <f>IF( OR(ISBLANK(R269:R274),ISBLANK(AL269:AL274), ISBLANK(V269:V274),ISBLANK(AP269:AP274)), "·", bdRateExtend( R269:R274,V269:V274, AL269:AL274,AP269:AP274))</f>
        <v>2.801159578882384E-3</v>
      </c>
      <c r="BC269" s="28">
        <f>IF( OR(ISBLANK(R269:R274),ISBLANK(AL269:AL274), ISBLANK(W269:W274),ISBLANK(AQ269:AQ274)), "·", bdRateExtend( R269:R274,W269:W274, AL269:AL274,AQ269:AQ274))</f>
        <v>2.7963121081342468E-3</v>
      </c>
      <c r="BD269" s="28">
        <f>IF( OR(ISBLANK(R269:R274),ISBLANK(AL269:AL274), ISBLANK(X269:X274),ISBLANK(AR269:AR274)), "·", bdRateExtend( R269:R274,X269:X274, AL269:AL274,AR269:AR274))</f>
        <v>2.7218627919565197E-3</v>
      </c>
      <c r="BE269" s="29"/>
      <c r="BG269" s="28">
        <f>IF( OR(ISBLANK(P269:P274),ISBLANK(AJ269:AJ274), ISBLANK(T269:T274),ISBLANK(AN269:AN274)), "·", bdRateExtend( P269:P274,T269:T274, AJ269:AJ274,AN269:AN274))</f>
        <v>-1.7263019349359476E-3</v>
      </c>
      <c r="BH269" s="28">
        <f>IF( OR(ISBLANK(P269:P274),ISBLANK(AJ269:AJ274), ISBLANK(U269:U274),ISBLANK(AO269:AO274)), "·", bdRateExtend( P269:P274,U269:U274, AJ269:AJ274,AO269:AO274))</f>
        <v>-1.2979547304288186E-3</v>
      </c>
      <c r="BI269" s="28">
        <f>IF( OR(ISBLANK(P269:P274),ISBLANK(AJ269:AJ274), ISBLANK(V269:V274),ISBLANK(AP269:AP274)), "·", bdRateExtend( P269:P274,V269:V274, AJ269:AJ274,AP269:AP274))</f>
        <v>-1.4453376846214061E-3</v>
      </c>
      <c r="BJ269" s="28">
        <f>IF( OR(ISBLANK(P269:P274),ISBLANK(AJ269:AJ274), ISBLANK(W269:W274),ISBLANK(AQ269:AQ274)), "·", bdRateExtend( P269:P274,W269:W274, AJ269:AJ274,AQ269:AQ274))</f>
        <v>-1.4315633186546828E-3</v>
      </c>
      <c r="BK269" s="28">
        <f>IF( OR(ISBLANK(P269:P274),ISBLANK(AJ269:AJ274), ISBLANK(X269:X274),ISBLANK(AR269:AR274)), "·", bdRateExtend( P269:P274,X269:X274, AJ269:AJ274,AR269:AR274))</f>
        <v>-1.4607601393087366E-3</v>
      </c>
      <c r="BL269" s="29"/>
    </row>
    <row r="270" spans="1:64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">
        <v>1042</v>
      </c>
      <c r="J270" s="34">
        <v>9.452617137548773E-2</v>
      </c>
      <c r="K270" s="34">
        <v>1.1956162096018045E-2</v>
      </c>
      <c r="L270" s="34">
        <v>8.2524788638520655E-2</v>
      </c>
      <c r="M270" s="35"/>
      <c r="N270" s="34">
        <v>0.2388447454951233</v>
      </c>
      <c r="O270" s="36">
        <v>25275331</v>
      </c>
      <c r="P270" s="37">
        <v>6036880</v>
      </c>
      <c r="Q270" s="37">
        <v>763576</v>
      </c>
      <c r="R270" s="37">
        <v>5270416</v>
      </c>
      <c r="S270" s="38"/>
      <c r="T270" s="39">
        <v>72.549793800000003</v>
      </c>
      <c r="U270" s="39">
        <v>76.760713699999997</v>
      </c>
      <c r="V270" s="39">
        <v>30.460299599999999</v>
      </c>
      <c r="W270" s="39">
        <v>43.305258700000003</v>
      </c>
      <c r="X270" s="39">
        <v>41.529769000000002</v>
      </c>
      <c r="Y270" s="38"/>
      <c r="Z270" s="41"/>
      <c r="AA270" s="41"/>
      <c r="AC270" s="33" t="str">
        <f t="shared" si="24"/>
        <v>·</v>
      </c>
      <c r="AD270" s="34">
        <f t="shared" si="25"/>
        <v>9.3573406292223577E-2</v>
      </c>
      <c r="AE270" s="34">
        <f t="shared" si="26"/>
        <v>1.1418149207164571E-2</v>
      </c>
      <c r="AF270" s="34">
        <f t="shared" si="27"/>
        <v>8.2110036444109968E-2</v>
      </c>
      <c r="AG270" s="35"/>
      <c r="AH270" s="34">
        <f t="shared" si="28"/>
        <v>0.23643733884236767</v>
      </c>
      <c r="AI270" s="36">
        <f>Test!E975</f>
        <v>25275331</v>
      </c>
      <c r="AJ270" s="37">
        <v>5976032</v>
      </c>
      <c r="AK270" s="37">
        <v>729216</v>
      </c>
      <c r="AL270" s="37">
        <v>5243928</v>
      </c>
      <c r="AM270" s="38"/>
      <c r="AN270" s="39">
        <f>Test!J975</f>
        <v>72.549793800000003</v>
      </c>
      <c r="AO270" s="39">
        <f>Test!K975</f>
        <v>76.760713699999997</v>
      </c>
      <c r="AP270" s="39">
        <f>Test!L975</f>
        <v>30.460299599999999</v>
      </c>
      <c r="AQ270" s="39">
        <f>Test!M975</f>
        <v>43.305258700000003</v>
      </c>
      <c r="AR270" s="39">
        <f>Test!N975</f>
        <v>41.529769000000002</v>
      </c>
      <c r="AS270" s="40"/>
      <c r="AT270" s="41"/>
      <c r="AU270" s="41"/>
      <c r="AW270" s="42">
        <f t="shared" si="29"/>
        <v>-4.4617612974813675E-3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">
        <v>1042</v>
      </c>
      <c r="J271" s="19">
        <v>0.24089035433550782</v>
      </c>
      <c r="K271" s="19">
        <v>4.7622721311468733E-2</v>
      </c>
      <c r="L271" s="19">
        <v>0.19322115973375628</v>
      </c>
      <c r="M271" s="20"/>
      <c r="N271" s="19">
        <v>0.59815853014298881</v>
      </c>
      <c r="O271" s="21">
        <v>25719563</v>
      </c>
      <c r="P271" s="22">
        <v>15384376</v>
      </c>
      <c r="Q271" s="22">
        <v>3041408</v>
      </c>
      <c r="R271" s="22">
        <v>12340000</v>
      </c>
      <c r="S271" s="23"/>
      <c r="T271" s="24">
        <v>77.440397200000007</v>
      </c>
      <c r="U271" s="24">
        <v>80.989064600000006</v>
      </c>
      <c r="V271" s="24">
        <v>33.015403800000001</v>
      </c>
      <c r="W271" s="24">
        <v>46.050308999999999</v>
      </c>
      <c r="X271" s="24">
        <v>44.332681200000003</v>
      </c>
      <c r="Y271" s="23"/>
      <c r="Z271" s="26"/>
      <c r="AA271" s="26"/>
      <c r="AC271" s="18" t="str">
        <f t="shared" si="24"/>
        <v>·</v>
      </c>
      <c r="AD271" s="19">
        <f t="shared" si="25"/>
        <v>0.24074442068812382</v>
      </c>
      <c r="AE271" s="19">
        <f t="shared" si="26"/>
        <v>4.6868751677473612E-2</v>
      </c>
      <c r="AF271" s="19">
        <f t="shared" si="27"/>
        <v>0.19382919572036739</v>
      </c>
      <c r="AG271" s="20"/>
      <c r="AH271" s="19">
        <f t="shared" si="28"/>
        <v>0.5977961600669498</v>
      </c>
      <c r="AI271" s="21">
        <f>Test!E976</f>
        <v>25719563</v>
      </c>
      <c r="AJ271" s="22">
        <v>15375056</v>
      </c>
      <c r="AK271" s="22">
        <v>2993256</v>
      </c>
      <c r="AL271" s="22">
        <v>12378832</v>
      </c>
      <c r="AM271" s="23"/>
      <c r="AN271" s="24">
        <f>Test!J976</f>
        <v>77.440397200000007</v>
      </c>
      <c r="AO271" s="24">
        <f>Test!K976</f>
        <v>80.989064600000006</v>
      </c>
      <c r="AP271" s="24">
        <f>Test!L976</f>
        <v>33.015403800000001</v>
      </c>
      <c r="AQ271" s="24">
        <f>Test!M976</f>
        <v>46.050308999999999</v>
      </c>
      <c r="AR271" s="24">
        <f>Test!N976</f>
        <v>44.332681200000003</v>
      </c>
      <c r="AS271" s="25"/>
      <c r="AT271" s="26"/>
      <c r="AU271" s="26"/>
      <c r="AW271" s="27">
        <f t="shared" si="29"/>
        <v>-3.0119881426180217E-3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">
        <v>1042</v>
      </c>
      <c r="J272" s="34">
        <v>0.58071445199230043</v>
      </c>
      <c r="K272" s="34">
        <v>0.16328334171642803</v>
      </c>
      <c r="L272" s="34">
        <v>0.41738588963492335</v>
      </c>
      <c r="M272" s="35"/>
      <c r="N272" s="34">
        <v>1.2976136365186979</v>
      </c>
      <c r="O272" s="36">
        <v>28581019</v>
      </c>
      <c r="P272" s="37">
        <v>37087120</v>
      </c>
      <c r="Q272" s="37">
        <v>10428032</v>
      </c>
      <c r="R272" s="37">
        <v>26656200</v>
      </c>
      <c r="S272" s="38"/>
      <c r="T272" s="39">
        <v>80.639510900000005</v>
      </c>
      <c r="U272" s="39">
        <v>84.087719800000002</v>
      </c>
      <c r="V272" s="39">
        <v>35.080041299999998</v>
      </c>
      <c r="W272" s="39">
        <v>48.326264600000002</v>
      </c>
      <c r="X272" s="39">
        <v>46.741924099999999</v>
      </c>
      <c r="Y272" s="38"/>
      <c r="Z272" s="41"/>
      <c r="AA272" s="41"/>
      <c r="AC272" s="33" t="str">
        <f t="shared" si="24"/>
        <v>·</v>
      </c>
      <c r="AD272" s="34">
        <f t="shared" si="25"/>
        <v>0.58071445199230043</v>
      </c>
      <c r="AE272" s="34">
        <f t="shared" si="26"/>
        <v>0.16328334171642803</v>
      </c>
      <c r="AF272" s="34">
        <f t="shared" si="27"/>
        <v>0.41738588963492335</v>
      </c>
      <c r="AG272" s="35"/>
      <c r="AH272" s="34">
        <f t="shared" si="28"/>
        <v>1.2976136365186979</v>
      </c>
      <c r="AI272" s="36">
        <f>Test!E977</f>
        <v>28581019</v>
      </c>
      <c r="AJ272" s="37">
        <v>37087120</v>
      </c>
      <c r="AK272" s="37">
        <v>10428032</v>
      </c>
      <c r="AL272" s="37">
        <v>26656200</v>
      </c>
      <c r="AM272" s="38"/>
      <c r="AN272" s="39">
        <f>Test!J977</f>
        <v>80.639510900000005</v>
      </c>
      <c r="AO272" s="39">
        <f>Test!K977</f>
        <v>84.087719800000002</v>
      </c>
      <c r="AP272" s="39">
        <f>Test!L977</f>
        <v>35.080041299999998</v>
      </c>
      <c r="AQ272" s="39">
        <f>Test!M977</f>
        <v>48.326264600000002</v>
      </c>
      <c r="AR272" s="39">
        <f>Test!N977</f>
        <v>46.741924099999999</v>
      </c>
      <c r="AS272" s="40"/>
      <c r="AT272" s="41"/>
      <c r="AU272" s="41"/>
      <c r="AW272" s="42">
        <f t="shared" si="29"/>
        <v>0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">
        <v>1042</v>
      </c>
      <c r="J273" s="19" t="s">
        <v>1042</v>
      </c>
      <c r="K273" s="19" t="s">
        <v>1042</v>
      </c>
      <c r="L273" s="19" t="s">
        <v>1042</v>
      </c>
      <c r="M273" s="20"/>
      <c r="N273" s="19" t="s">
        <v>1042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24"/>
        <v>·</v>
      </c>
      <c r="AD273" s="19">
        <f t="shared" si="25"/>
        <v>0</v>
      </c>
      <c r="AE273" s="19">
        <f t="shared" si="26"/>
        <v>0</v>
      </c>
      <c r="AF273" s="19">
        <f t="shared" si="27"/>
        <v>0</v>
      </c>
      <c r="AG273" s="20"/>
      <c r="AH273" s="19" t="e">
        <f t="shared" si="28"/>
        <v>#DIV/0!</v>
      </c>
      <c r="AI273" s="21"/>
      <c r="AJ273" s="22">
        <v>0</v>
      </c>
      <c r="AK273" s="22">
        <v>0</v>
      </c>
      <c r="AL273" s="22">
        <v>0</v>
      </c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29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">
        <v>1042</v>
      </c>
      <c r="J274" s="49" t="s">
        <v>1042</v>
      </c>
      <c r="K274" s="49" t="s">
        <v>1042</v>
      </c>
      <c r="L274" s="49" t="s">
        <v>1042</v>
      </c>
      <c r="M274" s="50"/>
      <c r="N274" s="49" t="s">
        <v>1042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24"/>
        <v>·</v>
      </c>
      <c r="AD274" s="49">
        <f t="shared" si="25"/>
        <v>0</v>
      </c>
      <c r="AE274" s="49">
        <f t="shared" si="26"/>
        <v>0</v>
      </c>
      <c r="AF274" s="49">
        <f t="shared" si="27"/>
        <v>0</v>
      </c>
      <c r="AG274" s="50"/>
      <c r="AH274" s="49" t="e">
        <f t="shared" si="28"/>
        <v>#DIV/0!</v>
      </c>
      <c r="AI274" s="51"/>
      <c r="AJ274" s="52">
        <v>0</v>
      </c>
      <c r="AK274" s="52">
        <v>0</v>
      </c>
      <c r="AL274" s="52">
        <v>0</v>
      </c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29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2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">
        <v>1042</v>
      </c>
      <c r="J275" s="19">
        <v>9.5389834609560478E-2</v>
      </c>
      <c r="K275" s="19">
        <v>3.1435331853219796E-3</v>
      </c>
      <c r="L275" s="19">
        <v>9.1922349531094627E-2</v>
      </c>
      <c r="M275" s="20"/>
      <c r="N275" s="19">
        <v>0.19975711892797321</v>
      </c>
      <c r="O275" s="21">
        <v>955200</v>
      </c>
      <c r="P275" s="22">
        <v>190808</v>
      </c>
      <c r="Q275" s="22">
        <v>6288</v>
      </c>
      <c r="R275" s="22">
        <v>183872</v>
      </c>
      <c r="S275" s="23"/>
      <c r="T275" s="24">
        <v>39.720366400000003</v>
      </c>
      <c r="U275" s="24">
        <v>44.512676200000001</v>
      </c>
      <c r="V275" s="24">
        <v>17.181286</v>
      </c>
      <c r="W275" s="24">
        <v>29.814761900000001</v>
      </c>
      <c r="X275" s="24">
        <v>28.675297400000002</v>
      </c>
      <c r="Y275" s="23"/>
      <c r="Z275" s="26"/>
      <c r="AA275" s="26"/>
      <c r="AC275" s="18" t="str">
        <f t="shared" si="24"/>
        <v>·</v>
      </c>
      <c r="AD275" s="19">
        <f t="shared" si="25"/>
        <v>9.5389834609560478E-2</v>
      </c>
      <c r="AE275" s="19">
        <f t="shared" si="26"/>
        <v>3.1435331853219796E-3</v>
      </c>
      <c r="AF275" s="19">
        <f t="shared" si="27"/>
        <v>9.1922349531094627E-2</v>
      </c>
      <c r="AG275" s="20"/>
      <c r="AH275" s="19">
        <f t="shared" si="28"/>
        <v>0.19975711892797321</v>
      </c>
      <c r="AI275" s="21">
        <f>Test!E980</f>
        <v>955200</v>
      </c>
      <c r="AJ275" s="22">
        <v>190808</v>
      </c>
      <c r="AK275" s="22">
        <v>6288</v>
      </c>
      <c r="AL275" s="22">
        <v>183872</v>
      </c>
      <c r="AM275" s="23"/>
      <c r="AN275" s="24">
        <f>Test!J980</f>
        <v>39.720366400000003</v>
      </c>
      <c r="AO275" s="24">
        <f>Test!K980</f>
        <v>44.512676200000001</v>
      </c>
      <c r="AP275" s="24">
        <f>Test!L980</f>
        <v>17.181286</v>
      </c>
      <c r="AQ275" s="24">
        <f>Test!M980</f>
        <v>29.814761900000001</v>
      </c>
      <c r="AR275" s="24">
        <f>Test!N980</f>
        <v>28.675297400000002</v>
      </c>
      <c r="AS275" s="25"/>
      <c r="AT275" s="26"/>
      <c r="AU275" s="26"/>
      <c r="AW275" s="27">
        <f t="shared" si="29"/>
        <v>0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-1.7142547329323299E-2</v>
      </c>
      <c r="BA275" s="28">
        <f>IF( OR(ISBLANK(Q275:Q280),ISBLANK(AK275:AK280), ISBLANK(U275:U280),ISBLANK(AO275:AO280)), "·", bdRateExtend( Q275:Q280,U275:U280, AK275:AK280,AO275:AO280))</f>
        <v>-1.7196400216449748E-2</v>
      </c>
      <c r="BB275" s="28">
        <f>IF( OR(ISBLANK(R275:R280),ISBLANK(AL275:AL280), ISBLANK(V275:V280),ISBLANK(AP275:AP280)), "·", bdRateExtend( R275:R280,V275:V280, AL275:AL280,AP275:AP280))</f>
        <v>-6.0824093859354056E-3</v>
      </c>
      <c r="BC275" s="28">
        <f>IF( OR(ISBLANK(R275:R280),ISBLANK(AL275:AL280), ISBLANK(W275:W280),ISBLANK(AQ275:AQ280)), "·", bdRateExtend( R275:R280,W275:W280, AL275:AL280,AQ275:AQ280))</f>
        <v>-5.8473932947059604E-3</v>
      </c>
      <c r="BD275" s="28">
        <f>IF( OR(ISBLANK(R275:R280),ISBLANK(AL275:AL280), ISBLANK(X275:X280),ISBLANK(AR275:AR280)), "·", bdRateExtend( R275:R280,X275:X280, AL275:AL280,AR275:AR280))</f>
        <v>-5.8101922259932159E-3</v>
      </c>
      <c r="BE275" s="29"/>
      <c r="BG275" s="28">
        <f>IF( OR(ISBLANK(P275:P280),ISBLANK(AJ275:AJ280), ISBLANK(T275:T280),ISBLANK(AN275:AN280)), "·", bdRateExtend( P275:P280,T275:T280, AJ275:AJ280,AN275:AN280))</f>
        <v>-5.941548112853523E-3</v>
      </c>
      <c r="BH275" s="28">
        <f>IF( OR(ISBLANK(P275:P280),ISBLANK(AJ275:AJ280), ISBLANK(U275:U280),ISBLANK(AO275:AO280)), "·", bdRateExtend( P275:P280,U275:U280, AJ275:AJ280,AO275:AO280))</f>
        <v>-5.3896562779418566E-3</v>
      </c>
      <c r="BI275" s="28">
        <f>IF( OR(ISBLANK(P275:P280),ISBLANK(AJ275:AJ280), ISBLANK(V275:V280),ISBLANK(AP275:AP280)), "·", bdRateExtend( P275:P280,V275:V280, AJ275:AJ280,AP275:AP280))</f>
        <v>-6.3624992627829835E-3</v>
      </c>
      <c r="BJ275" s="28">
        <f>IF( OR(ISBLANK(P275:P280),ISBLANK(AJ275:AJ280), ISBLANK(W275:W280),ISBLANK(AQ275:AQ280)), "·", bdRateExtend( P275:P280,W275:W280, AJ275:AJ280,AQ275:AQ280))</f>
        <v>-6.1399650961577734E-3</v>
      </c>
      <c r="BK275" s="28">
        <f>IF( OR(ISBLANK(P275:P280),ISBLANK(AJ275:AJ280), ISBLANK(X275:X280),ISBLANK(AR275:AR280)), "·", bdRateExtend( P275:P280,X275:X280, AJ275:AJ280,AR275:AR280))</f>
        <v>-6.1076773747511526E-3</v>
      </c>
      <c r="BL275" s="29"/>
    </row>
    <row r="276" spans="1:64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">
        <v>1042</v>
      </c>
      <c r="J276" s="34">
        <v>0.45344066406138689</v>
      </c>
      <c r="K276" s="34">
        <v>1.0742404752894195E-2</v>
      </c>
      <c r="L276" s="34">
        <v>0.44237430741534883</v>
      </c>
      <c r="M276" s="35"/>
      <c r="N276" s="34">
        <v>0.51115360317484471</v>
      </c>
      <c r="O276" s="36">
        <v>1774449</v>
      </c>
      <c r="P276" s="37">
        <v>907016</v>
      </c>
      <c r="Q276" s="37">
        <v>21488</v>
      </c>
      <c r="R276" s="37">
        <v>884880</v>
      </c>
      <c r="S276" s="38"/>
      <c r="T276" s="39">
        <v>48.424760300000003</v>
      </c>
      <c r="U276" s="39">
        <v>49.708514200000003</v>
      </c>
      <c r="V276" s="39">
        <v>22.635419599999999</v>
      </c>
      <c r="W276" s="39">
        <v>35.112561900000003</v>
      </c>
      <c r="X276" s="39">
        <v>33.764039400000001</v>
      </c>
      <c r="Y276" s="38"/>
      <c r="Z276" s="41"/>
      <c r="AA276" s="41"/>
      <c r="AC276" s="33" t="str">
        <f t="shared" si="24"/>
        <v>·</v>
      </c>
      <c r="AD276" s="34">
        <f t="shared" si="25"/>
        <v>0.44912130548613532</v>
      </c>
      <c r="AE276" s="34">
        <f t="shared" si="26"/>
        <v>1.0510439199778832E-2</v>
      </c>
      <c r="AF276" s="34">
        <f t="shared" si="27"/>
        <v>0.4382869143932126</v>
      </c>
      <c r="AG276" s="35"/>
      <c r="AH276" s="34">
        <f t="shared" si="28"/>
        <v>0.50628448605736198</v>
      </c>
      <c r="AI276" s="36">
        <f>Test!E981</f>
        <v>1774449</v>
      </c>
      <c r="AJ276" s="37">
        <v>898376</v>
      </c>
      <c r="AK276" s="37">
        <v>21024</v>
      </c>
      <c r="AL276" s="37">
        <v>876704</v>
      </c>
      <c r="AM276" s="38"/>
      <c r="AN276" s="39">
        <f>Test!J981</f>
        <v>48.424760300000003</v>
      </c>
      <c r="AO276" s="39">
        <f>Test!K981</f>
        <v>49.708514200000003</v>
      </c>
      <c r="AP276" s="39">
        <f>Test!L981</f>
        <v>22.635419599999999</v>
      </c>
      <c r="AQ276" s="39">
        <f>Test!M981</f>
        <v>35.112561900000003</v>
      </c>
      <c r="AR276" s="39">
        <f>Test!N981</f>
        <v>33.764039400000001</v>
      </c>
      <c r="AS276" s="40"/>
      <c r="AT276" s="41"/>
      <c r="AU276" s="41"/>
      <c r="AW276" s="42">
        <f t="shared" si="29"/>
        <v>-2.886440260196875E-4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">
        <v>1042</v>
      </c>
      <c r="J277" s="19">
        <v>1.3556626840914123</v>
      </c>
      <c r="K277" s="19">
        <v>3.843029310147443E-2</v>
      </c>
      <c r="L277" s="19">
        <v>1.3169084390967942</v>
      </c>
      <c r="M277" s="20"/>
      <c r="N277" s="19">
        <v>1.0849828433883029</v>
      </c>
      <c r="O277" s="21">
        <v>2499328</v>
      </c>
      <c r="P277" s="22">
        <v>2711728</v>
      </c>
      <c r="Q277" s="22">
        <v>76872</v>
      </c>
      <c r="R277" s="22">
        <v>2634208</v>
      </c>
      <c r="S277" s="23"/>
      <c r="T277" s="24">
        <v>60.237495699999997</v>
      </c>
      <c r="U277" s="24">
        <v>61.118178499999999</v>
      </c>
      <c r="V277" s="24">
        <v>27.766053299999999</v>
      </c>
      <c r="W277" s="24">
        <v>41.042280599999998</v>
      </c>
      <c r="X277" s="24">
        <v>39.891506100000001</v>
      </c>
      <c r="Y277" s="23"/>
      <c r="Z277" s="26"/>
      <c r="AA277" s="26"/>
      <c r="AC277" s="18" t="str">
        <f t="shared" si="24"/>
        <v>·</v>
      </c>
      <c r="AD277" s="19">
        <f t="shared" si="25"/>
        <v>1.3503554722123765</v>
      </c>
      <c r="AE277" s="19">
        <f t="shared" si="26"/>
        <v>3.7682404162981797E-2</v>
      </c>
      <c r="AF277" s="19">
        <f t="shared" si="27"/>
        <v>1.3123491161562508</v>
      </c>
      <c r="AG277" s="20"/>
      <c r="AH277" s="19">
        <f t="shared" si="28"/>
        <v>1.0807353016490833</v>
      </c>
      <c r="AI277" s="21">
        <f>Test!E982</f>
        <v>2499328</v>
      </c>
      <c r="AJ277" s="22">
        <v>2701112</v>
      </c>
      <c r="AK277" s="22">
        <v>75376</v>
      </c>
      <c r="AL277" s="22">
        <v>2625088</v>
      </c>
      <c r="AM277" s="23"/>
      <c r="AN277" s="24">
        <f>Test!J982</f>
        <v>60.237495699999997</v>
      </c>
      <c r="AO277" s="24">
        <f>Test!K982</f>
        <v>61.118178499999999</v>
      </c>
      <c r="AP277" s="24">
        <f>Test!L982</f>
        <v>27.766053299999999</v>
      </c>
      <c r="AQ277" s="24">
        <f>Test!M982</f>
        <v>41.042280599999998</v>
      </c>
      <c r="AR277" s="24">
        <f>Test!N982</f>
        <v>39.891506100000001</v>
      </c>
      <c r="AS277" s="25"/>
      <c r="AT277" s="26"/>
      <c r="AU277" s="26"/>
      <c r="AW277" s="27">
        <f t="shared" si="29"/>
        <v>-4.4243181616007016E-4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">
        <v>1042</v>
      </c>
      <c r="J278" s="34">
        <v>2.2793295195663443</v>
      </c>
      <c r="K278" s="34">
        <v>0.12890485762864215</v>
      </c>
      <c r="L278" s="34">
        <v>2.1500607159836762</v>
      </c>
      <c r="M278" s="35"/>
      <c r="N278" s="34">
        <v>1.6571467409971297</v>
      </c>
      <c r="O278" s="36">
        <v>2751317</v>
      </c>
      <c r="P278" s="37">
        <v>4559336</v>
      </c>
      <c r="Q278" s="37">
        <v>257848</v>
      </c>
      <c r="R278" s="37">
        <v>4300760</v>
      </c>
      <c r="S278" s="38"/>
      <c r="T278" s="39">
        <v>64.718006000000003</v>
      </c>
      <c r="U278" s="39">
        <v>67.493249599999999</v>
      </c>
      <c r="V278" s="39">
        <v>29.011489999999998</v>
      </c>
      <c r="W278" s="39">
        <v>42.925303</v>
      </c>
      <c r="X278" s="39">
        <v>41.8690523</v>
      </c>
      <c r="Y278" s="38"/>
      <c r="Z278" s="41"/>
      <c r="AA278" s="41"/>
      <c r="AC278" s="33" t="str">
        <f t="shared" si="24"/>
        <v>·</v>
      </c>
      <c r="AD278" s="34">
        <f t="shared" si="25"/>
        <v>2.2793295195663443</v>
      </c>
      <c r="AE278" s="34">
        <f t="shared" si="26"/>
        <v>0.12890485762864215</v>
      </c>
      <c r="AF278" s="34">
        <f t="shared" si="27"/>
        <v>2.1500607159836762</v>
      </c>
      <c r="AG278" s="35"/>
      <c r="AH278" s="34">
        <f t="shared" si="28"/>
        <v>1.6571467409971297</v>
      </c>
      <c r="AI278" s="36">
        <f>Test!E983</f>
        <v>2751317</v>
      </c>
      <c r="AJ278" s="37">
        <v>4559336</v>
      </c>
      <c r="AK278" s="37">
        <v>257848</v>
      </c>
      <c r="AL278" s="37">
        <v>4300760</v>
      </c>
      <c r="AM278" s="38"/>
      <c r="AN278" s="39">
        <f>Test!J983</f>
        <v>64.718006000000003</v>
      </c>
      <c r="AO278" s="39">
        <f>Test!K983</f>
        <v>67.493249599999999</v>
      </c>
      <c r="AP278" s="39">
        <f>Test!L983</f>
        <v>29.011489999999998</v>
      </c>
      <c r="AQ278" s="39">
        <f>Test!M983</f>
        <v>42.925303</v>
      </c>
      <c r="AR278" s="39">
        <f>Test!N983</f>
        <v>41.8690523</v>
      </c>
      <c r="AS278" s="40"/>
      <c r="AT278" s="41"/>
      <c r="AU278" s="41"/>
      <c r="AW278" s="42">
        <f t="shared" si="29"/>
        <v>0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">
        <v>1042</v>
      </c>
      <c r="J279" s="19" t="s">
        <v>1042</v>
      </c>
      <c r="K279" s="19" t="s">
        <v>1042</v>
      </c>
      <c r="L279" s="19" t="s">
        <v>1042</v>
      </c>
      <c r="M279" s="20"/>
      <c r="N279" s="19" t="s">
        <v>1042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24"/>
        <v>·</v>
      </c>
      <c r="AD279" s="19">
        <f t="shared" si="25"/>
        <v>0</v>
      </c>
      <c r="AE279" s="19">
        <f t="shared" si="26"/>
        <v>0</v>
      </c>
      <c r="AF279" s="19">
        <f t="shared" si="27"/>
        <v>0</v>
      </c>
      <c r="AG279" s="20"/>
      <c r="AH279" s="19" t="e">
        <f t="shared" si="28"/>
        <v>#DIV/0!</v>
      </c>
      <c r="AI279" s="21"/>
      <c r="AJ279" s="22">
        <v>0</v>
      </c>
      <c r="AK279" s="22">
        <v>0</v>
      </c>
      <c r="AL279" s="22">
        <v>0</v>
      </c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29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">
        <v>1042</v>
      </c>
      <c r="J280" s="49" t="s">
        <v>1042</v>
      </c>
      <c r="K280" s="49" t="s">
        <v>1042</v>
      </c>
      <c r="L280" s="49" t="s">
        <v>1042</v>
      </c>
      <c r="M280" s="50"/>
      <c r="N280" s="49" t="s">
        <v>1042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24"/>
        <v>·</v>
      </c>
      <c r="AD280" s="49">
        <f t="shared" si="25"/>
        <v>0</v>
      </c>
      <c r="AE280" s="49">
        <f t="shared" si="26"/>
        <v>0</v>
      </c>
      <c r="AF280" s="49">
        <f t="shared" si="27"/>
        <v>0</v>
      </c>
      <c r="AG280" s="50"/>
      <c r="AH280" s="49" t="e">
        <f t="shared" si="28"/>
        <v>#DIV/0!</v>
      </c>
      <c r="AI280" s="51"/>
      <c r="AJ280" s="52">
        <v>0</v>
      </c>
      <c r="AK280" s="52">
        <v>0</v>
      </c>
      <c r="AL280" s="52">
        <v>0</v>
      </c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29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ref="I281:I342" si="30">IF(OR(ISBLANK(P281),ISBLANK(G281)),"·",P281*G281/F281/1000000)</f>
        <v>·</v>
      </c>
      <c r="J281" s="19" t="str">
        <f t="shared" ref="J281:J342" si="31">IF(ISBLANK(P281),"·",P281/D281)</f>
        <v>·</v>
      </c>
      <c r="K281" s="19" t="str">
        <f t="shared" ref="K281:K342" si="32">IF(Q281="","·",Q281/D281)</f>
        <v>·</v>
      </c>
      <c r="L281" s="19" t="str">
        <f t="shared" ref="L281:L298" si="33">IF(ISBLANK(R281),"·",R281/D281)</f>
        <v>·</v>
      </c>
      <c r="M281" s="19" t="str">
        <f t="shared" ref="M281:M312" si="34">IF(ISBLANK(Q281),"·",S281/D281)</f>
        <v>·</v>
      </c>
      <c r="N281" s="19" t="str">
        <f t="shared" ref="N281:N342" si="35">IF(ISBLANK(P281),"·",P281/O281)</f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24"/>
        <v>·</v>
      </c>
      <c r="AD281" s="19" t="str">
        <f t="shared" si="25"/>
        <v>·</v>
      </c>
      <c r="AE281" s="19" t="str">
        <f t="shared" si="26"/>
        <v>·</v>
      </c>
      <c r="AF281" s="19" t="str">
        <f t="shared" si="27"/>
        <v>·</v>
      </c>
      <c r="AG281" s="19" t="str">
        <f t="shared" ref="AG281:AG312" si="36">IF(ISBLANK(AK281),"·",AM281/D281)</f>
        <v>·</v>
      </c>
      <c r="AH281" s="19" t="str">
        <f t="shared" si="28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29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30"/>
        <v>·</v>
      </c>
      <c r="J282" s="34" t="str">
        <f t="shared" si="31"/>
        <v>·</v>
      </c>
      <c r="K282" s="34" t="str">
        <f t="shared" si="32"/>
        <v>·</v>
      </c>
      <c r="L282" s="34" t="str">
        <f t="shared" si="33"/>
        <v>·</v>
      </c>
      <c r="M282" s="34" t="str">
        <f t="shared" si="34"/>
        <v>·</v>
      </c>
      <c r="N282" s="34" t="str">
        <f t="shared" si="35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24"/>
        <v>·</v>
      </c>
      <c r="AD282" s="34" t="str">
        <f t="shared" si="25"/>
        <v>·</v>
      </c>
      <c r="AE282" s="34" t="str">
        <f t="shared" si="26"/>
        <v>·</v>
      </c>
      <c r="AF282" s="34" t="str">
        <f t="shared" si="27"/>
        <v>·</v>
      </c>
      <c r="AG282" s="34" t="str">
        <f t="shared" si="36"/>
        <v>·</v>
      </c>
      <c r="AH282" s="34" t="str">
        <f t="shared" si="28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29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30"/>
        <v>·</v>
      </c>
      <c r="J283" s="19" t="str">
        <f t="shared" si="31"/>
        <v>·</v>
      </c>
      <c r="K283" s="19" t="str">
        <f t="shared" si="32"/>
        <v>·</v>
      </c>
      <c r="L283" s="19" t="str">
        <f t="shared" si="33"/>
        <v>·</v>
      </c>
      <c r="M283" s="19" t="str">
        <f t="shared" si="34"/>
        <v>·</v>
      </c>
      <c r="N283" s="19" t="str">
        <f t="shared" si="35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24"/>
        <v>·</v>
      </c>
      <c r="AD283" s="19" t="str">
        <f t="shared" si="25"/>
        <v>·</v>
      </c>
      <c r="AE283" s="19" t="str">
        <f t="shared" si="26"/>
        <v>·</v>
      </c>
      <c r="AF283" s="19" t="str">
        <f t="shared" si="27"/>
        <v>·</v>
      </c>
      <c r="AG283" s="19" t="str">
        <f t="shared" si="36"/>
        <v>·</v>
      </c>
      <c r="AH283" s="19" t="str">
        <f t="shared" si="28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29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30"/>
        <v>·</v>
      </c>
      <c r="J284" s="34" t="str">
        <f t="shared" si="31"/>
        <v>·</v>
      </c>
      <c r="K284" s="34" t="str">
        <f t="shared" si="32"/>
        <v>·</v>
      </c>
      <c r="L284" s="34" t="str">
        <f t="shared" si="33"/>
        <v>·</v>
      </c>
      <c r="M284" s="34" t="str">
        <f t="shared" si="34"/>
        <v>·</v>
      </c>
      <c r="N284" s="34" t="str">
        <f t="shared" si="35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24"/>
        <v>·</v>
      </c>
      <c r="AD284" s="34" t="str">
        <f t="shared" si="25"/>
        <v>·</v>
      </c>
      <c r="AE284" s="34" t="str">
        <f t="shared" si="26"/>
        <v>·</v>
      </c>
      <c r="AF284" s="34" t="str">
        <f t="shared" si="27"/>
        <v>·</v>
      </c>
      <c r="AG284" s="34" t="str">
        <f t="shared" si="36"/>
        <v>·</v>
      </c>
      <c r="AH284" s="34" t="str">
        <f t="shared" si="28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29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30"/>
        <v>·</v>
      </c>
      <c r="J285" s="19" t="str">
        <f t="shared" si="31"/>
        <v>·</v>
      </c>
      <c r="K285" s="19" t="str">
        <f t="shared" si="32"/>
        <v>·</v>
      </c>
      <c r="L285" s="19" t="str">
        <f t="shared" si="33"/>
        <v>·</v>
      </c>
      <c r="M285" s="19" t="str">
        <f t="shared" si="34"/>
        <v>·</v>
      </c>
      <c r="N285" s="19" t="str">
        <f t="shared" si="35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24"/>
        <v>·</v>
      </c>
      <c r="AD285" s="19" t="str">
        <f t="shared" si="25"/>
        <v>·</v>
      </c>
      <c r="AE285" s="19" t="str">
        <f t="shared" si="26"/>
        <v>·</v>
      </c>
      <c r="AF285" s="19" t="str">
        <f t="shared" si="27"/>
        <v>·</v>
      </c>
      <c r="AG285" s="19" t="str">
        <f t="shared" si="36"/>
        <v>·</v>
      </c>
      <c r="AH285" s="19" t="str">
        <f t="shared" si="28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29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30"/>
        <v>·</v>
      </c>
      <c r="J286" s="49" t="str">
        <f t="shared" si="31"/>
        <v>·</v>
      </c>
      <c r="K286" s="49" t="str">
        <f t="shared" si="32"/>
        <v>·</v>
      </c>
      <c r="L286" s="49" t="str">
        <f t="shared" si="33"/>
        <v>·</v>
      </c>
      <c r="M286" s="49" t="str">
        <f t="shared" si="34"/>
        <v>·</v>
      </c>
      <c r="N286" s="49" t="str">
        <f t="shared" si="35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24"/>
        <v>·</v>
      </c>
      <c r="AD286" s="49" t="str">
        <f t="shared" si="25"/>
        <v>·</v>
      </c>
      <c r="AE286" s="49" t="str">
        <f t="shared" si="26"/>
        <v>·</v>
      </c>
      <c r="AF286" s="49" t="str">
        <f t="shared" si="27"/>
        <v>·</v>
      </c>
      <c r="AG286" s="49" t="str">
        <f t="shared" si="36"/>
        <v>·</v>
      </c>
      <c r="AH286" s="49" t="str">
        <f t="shared" si="28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29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30"/>
        <v>·</v>
      </c>
      <c r="J287" s="19" t="str">
        <f t="shared" si="31"/>
        <v>·</v>
      </c>
      <c r="K287" s="19" t="str">
        <f t="shared" si="32"/>
        <v>·</v>
      </c>
      <c r="L287" s="19" t="str">
        <f t="shared" si="33"/>
        <v>·</v>
      </c>
      <c r="M287" s="19" t="str">
        <f t="shared" si="34"/>
        <v>·</v>
      </c>
      <c r="N287" s="19" t="str">
        <f t="shared" si="35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24"/>
        <v>·</v>
      </c>
      <c r="AD287" s="19" t="str">
        <f t="shared" si="25"/>
        <v>·</v>
      </c>
      <c r="AE287" s="19" t="str">
        <f t="shared" si="26"/>
        <v>·</v>
      </c>
      <c r="AF287" s="19" t="str">
        <f t="shared" si="27"/>
        <v>·</v>
      </c>
      <c r="AG287" s="19" t="str">
        <f t="shared" si="36"/>
        <v>·</v>
      </c>
      <c r="AH287" s="19" t="str">
        <f t="shared" si="28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29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30"/>
        <v>·</v>
      </c>
      <c r="J288" s="34" t="str">
        <f t="shared" si="31"/>
        <v>·</v>
      </c>
      <c r="K288" s="34" t="str">
        <f t="shared" si="32"/>
        <v>·</v>
      </c>
      <c r="L288" s="34" t="str">
        <f t="shared" si="33"/>
        <v>·</v>
      </c>
      <c r="M288" s="34" t="str">
        <f t="shared" si="34"/>
        <v>·</v>
      </c>
      <c r="N288" s="34" t="str">
        <f t="shared" si="35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24"/>
        <v>·</v>
      </c>
      <c r="AD288" s="34" t="str">
        <f t="shared" si="25"/>
        <v>·</v>
      </c>
      <c r="AE288" s="34" t="str">
        <f t="shared" si="26"/>
        <v>·</v>
      </c>
      <c r="AF288" s="34" t="str">
        <f t="shared" si="27"/>
        <v>·</v>
      </c>
      <c r="AG288" s="34" t="str">
        <f t="shared" si="36"/>
        <v>·</v>
      </c>
      <c r="AH288" s="34" t="str">
        <f t="shared" si="28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29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30"/>
        <v>·</v>
      </c>
      <c r="J289" s="19" t="str">
        <f t="shared" si="31"/>
        <v>·</v>
      </c>
      <c r="K289" s="19" t="str">
        <f t="shared" si="32"/>
        <v>·</v>
      </c>
      <c r="L289" s="19" t="str">
        <f t="shared" si="33"/>
        <v>·</v>
      </c>
      <c r="M289" s="19" t="str">
        <f t="shared" si="34"/>
        <v>·</v>
      </c>
      <c r="N289" s="19" t="str">
        <f t="shared" si="35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24"/>
        <v>·</v>
      </c>
      <c r="AD289" s="19" t="str">
        <f t="shared" si="25"/>
        <v>·</v>
      </c>
      <c r="AE289" s="19" t="str">
        <f t="shared" si="26"/>
        <v>·</v>
      </c>
      <c r="AF289" s="19" t="str">
        <f t="shared" si="27"/>
        <v>·</v>
      </c>
      <c r="AG289" s="19" t="str">
        <f t="shared" si="36"/>
        <v>·</v>
      </c>
      <c r="AH289" s="19" t="str">
        <f t="shared" si="28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29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30"/>
        <v>·</v>
      </c>
      <c r="J290" s="34" t="str">
        <f t="shared" si="31"/>
        <v>·</v>
      </c>
      <c r="K290" s="34" t="str">
        <f t="shared" si="32"/>
        <v>·</v>
      </c>
      <c r="L290" s="34" t="str">
        <f t="shared" si="33"/>
        <v>·</v>
      </c>
      <c r="M290" s="34" t="str">
        <f t="shared" si="34"/>
        <v>·</v>
      </c>
      <c r="N290" s="34" t="str">
        <f t="shared" si="35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24"/>
        <v>·</v>
      </c>
      <c r="AD290" s="34" t="str">
        <f t="shared" si="25"/>
        <v>·</v>
      </c>
      <c r="AE290" s="34" t="str">
        <f t="shared" si="26"/>
        <v>·</v>
      </c>
      <c r="AF290" s="34" t="str">
        <f t="shared" si="27"/>
        <v>·</v>
      </c>
      <c r="AG290" s="34" t="str">
        <f t="shared" si="36"/>
        <v>·</v>
      </c>
      <c r="AH290" s="34" t="str">
        <f t="shared" si="28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29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30"/>
        <v>·</v>
      </c>
      <c r="J291" s="19" t="str">
        <f t="shared" si="31"/>
        <v>·</v>
      </c>
      <c r="K291" s="19" t="str">
        <f t="shared" si="32"/>
        <v>·</v>
      </c>
      <c r="L291" s="19" t="str">
        <f t="shared" si="33"/>
        <v>·</v>
      </c>
      <c r="M291" s="19" t="str">
        <f t="shared" si="34"/>
        <v>·</v>
      </c>
      <c r="N291" s="19" t="str">
        <f t="shared" si="35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24"/>
        <v>·</v>
      </c>
      <c r="AD291" s="19" t="str">
        <f t="shared" si="25"/>
        <v>·</v>
      </c>
      <c r="AE291" s="19" t="str">
        <f t="shared" si="26"/>
        <v>·</v>
      </c>
      <c r="AF291" s="19" t="str">
        <f t="shared" si="27"/>
        <v>·</v>
      </c>
      <c r="AG291" s="19" t="str">
        <f t="shared" si="36"/>
        <v>·</v>
      </c>
      <c r="AH291" s="19" t="str">
        <f t="shared" si="28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29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30"/>
        <v>·</v>
      </c>
      <c r="J292" s="49" t="str">
        <f t="shared" si="31"/>
        <v>·</v>
      </c>
      <c r="K292" s="49" t="str">
        <f t="shared" si="32"/>
        <v>·</v>
      </c>
      <c r="L292" s="49" t="str">
        <f t="shared" si="33"/>
        <v>·</v>
      </c>
      <c r="M292" s="49" t="str">
        <f t="shared" si="34"/>
        <v>·</v>
      </c>
      <c r="N292" s="49" t="str">
        <f t="shared" si="35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24"/>
        <v>·</v>
      </c>
      <c r="AD292" s="49" t="str">
        <f t="shared" si="25"/>
        <v>·</v>
      </c>
      <c r="AE292" s="49" t="str">
        <f t="shared" si="26"/>
        <v>·</v>
      </c>
      <c r="AF292" s="49" t="str">
        <f t="shared" si="27"/>
        <v>·</v>
      </c>
      <c r="AG292" s="49" t="str">
        <f t="shared" si="36"/>
        <v>·</v>
      </c>
      <c r="AH292" s="49" t="str">
        <f t="shared" si="28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29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30"/>
        <v>·</v>
      </c>
      <c r="J293" s="19" t="str">
        <f t="shared" si="31"/>
        <v>·</v>
      </c>
      <c r="K293" s="19" t="str">
        <f t="shared" si="32"/>
        <v>·</v>
      </c>
      <c r="L293" s="19" t="str">
        <f t="shared" si="33"/>
        <v>·</v>
      </c>
      <c r="M293" s="19" t="str">
        <f t="shared" si="34"/>
        <v>·</v>
      </c>
      <c r="N293" s="19" t="str">
        <f t="shared" si="35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24"/>
        <v>·</v>
      </c>
      <c r="AD293" s="19" t="str">
        <f t="shared" si="25"/>
        <v>·</v>
      </c>
      <c r="AE293" s="19" t="str">
        <f t="shared" si="26"/>
        <v>·</v>
      </c>
      <c r="AF293" s="19" t="str">
        <f t="shared" si="27"/>
        <v>·</v>
      </c>
      <c r="AG293" s="19" t="str">
        <f t="shared" si="36"/>
        <v>·</v>
      </c>
      <c r="AH293" s="19" t="str">
        <f t="shared" si="28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29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30"/>
        <v>·</v>
      </c>
      <c r="J294" s="34" t="str">
        <f t="shared" si="31"/>
        <v>·</v>
      </c>
      <c r="K294" s="34" t="str">
        <f t="shared" si="32"/>
        <v>·</v>
      </c>
      <c r="L294" s="34" t="str">
        <f t="shared" si="33"/>
        <v>·</v>
      </c>
      <c r="M294" s="34" t="str">
        <f t="shared" si="34"/>
        <v>·</v>
      </c>
      <c r="N294" s="34" t="str">
        <f t="shared" si="35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24"/>
        <v>·</v>
      </c>
      <c r="AD294" s="34" t="str">
        <f t="shared" si="25"/>
        <v>·</v>
      </c>
      <c r="AE294" s="34" t="str">
        <f t="shared" si="26"/>
        <v>·</v>
      </c>
      <c r="AF294" s="34" t="str">
        <f t="shared" si="27"/>
        <v>·</v>
      </c>
      <c r="AG294" s="34" t="str">
        <f t="shared" si="36"/>
        <v>·</v>
      </c>
      <c r="AH294" s="34" t="str">
        <f t="shared" si="28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29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30"/>
        <v>·</v>
      </c>
      <c r="J295" s="19" t="str">
        <f t="shared" si="31"/>
        <v>·</v>
      </c>
      <c r="K295" s="19" t="str">
        <f t="shared" si="32"/>
        <v>·</v>
      </c>
      <c r="L295" s="19" t="str">
        <f t="shared" si="33"/>
        <v>·</v>
      </c>
      <c r="M295" s="19" t="str">
        <f t="shared" si="34"/>
        <v>·</v>
      </c>
      <c r="N295" s="19" t="str">
        <f t="shared" si="35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24"/>
        <v>·</v>
      </c>
      <c r="AD295" s="19" t="str">
        <f t="shared" si="25"/>
        <v>·</v>
      </c>
      <c r="AE295" s="19" t="str">
        <f t="shared" si="26"/>
        <v>·</v>
      </c>
      <c r="AF295" s="19" t="str">
        <f t="shared" si="27"/>
        <v>·</v>
      </c>
      <c r="AG295" s="19" t="str">
        <f t="shared" si="36"/>
        <v>·</v>
      </c>
      <c r="AH295" s="19" t="str">
        <f t="shared" si="28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29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30"/>
        <v>·</v>
      </c>
      <c r="J296" s="34" t="str">
        <f t="shared" si="31"/>
        <v>·</v>
      </c>
      <c r="K296" s="34" t="str">
        <f t="shared" si="32"/>
        <v>·</v>
      </c>
      <c r="L296" s="34" t="str">
        <f t="shared" si="33"/>
        <v>·</v>
      </c>
      <c r="M296" s="34" t="str">
        <f t="shared" si="34"/>
        <v>·</v>
      </c>
      <c r="N296" s="34" t="str">
        <f t="shared" si="35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24"/>
        <v>·</v>
      </c>
      <c r="AD296" s="34" t="str">
        <f t="shared" si="25"/>
        <v>·</v>
      </c>
      <c r="AE296" s="34" t="str">
        <f t="shared" si="26"/>
        <v>·</v>
      </c>
      <c r="AF296" s="34" t="str">
        <f t="shared" si="27"/>
        <v>·</v>
      </c>
      <c r="AG296" s="34" t="str">
        <f t="shared" si="36"/>
        <v>·</v>
      </c>
      <c r="AH296" s="34" t="str">
        <f t="shared" si="28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29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30"/>
        <v>·</v>
      </c>
      <c r="J297" s="19" t="str">
        <f t="shared" si="31"/>
        <v>·</v>
      </c>
      <c r="K297" s="19" t="str">
        <f t="shared" si="32"/>
        <v>·</v>
      </c>
      <c r="L297" s="19" t="str">
        <f t="shared" si="33"/>
        <v>·</v>
      </c>
      <c r="M297" s="19" t="str">
        <f t="shared" si="34"/>
        <v>·</v>
      </c>
      <c r="N297" s="19" t="str">
        <f t="shared" si="35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24"/>
        <v>·</v>
      </c>
      <c r="AD297" s="19" t="str">
        <f t="shared" si="25"/>
        <v>·</v>
      </c>
      <c r="AE297" s="19" t="str">
        <f t="shared" si="26"/>
        <v>·</v>
      </c>
      <c r="AF297" s="19" t="str">
        <f t="shared" si="27"/>
        <v>·</v>
      </c>
      <c r="AG297" s="19" t="str">
        <f t="shared" si="36"/>
        <v>·</v>
      </c>
      <c r="AH297" s="19" t="str">
        <f t="shared" si="28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29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30"/>
        <v>·</v>
      </c>
      <c r="J298" s="49" t="str">
        <f t="shared" si="31"/>
        <v>·</v>
      </c>
      <c r="K298" s="49" t="str">
        <f t="shared" si="32"/>
        <v>·</v>
      </c>
      <c r="L298" s="49" t="str">
        <f t="shared" si="33"/>
        <v>·</v>
      </c>
      <c r="M298" s="49" t="str">
        <f t="shared" si="34"/>
        <v>·</v>
      </c>
      <c r="N298" s="49" t="str">
        <f t="shared" si="35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24"/>
        <v>·</v>
      </c>
      <c r="AD298" s="49" t="str">
        <f t="shared" si="25"/>
        <v>·</v>
      </c>
      <c r="AE298" s="49" t="str">
        <f t="shared" si="26"/>
        <v>·</v>
      </c>
      <c r="AF298" s="49" t="str">
        <f t="shared" si="27"/>
        <v>·</v>
      </c>
      <c r="AG298" s="49" t="str">
        <f t="shared" si="36"/>
        <v>·</v>
      </c>
      <c r="AH298" s="49" t="str">
        <f t="shared" si="28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29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25">
      <c r="A299" s="15" t="s">
        <v>1017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30"/>
        <v>·</v>
      </c>
      <c r="J299" s="19" t="str">
        <f t="shared" si="31"/>
        <v>·</v>
      </c>
      <c r="K299" s="19" t="str">
        <f t="shared" si="32"/>
        <v>·</v>
      </c>
      <c r="L299" s="20"/>
      <c r="M299" s="19" t="str">
        <f t="shared" si="34"/>
        <v>·</v>
      </c>
      <c r="N299" s="19" t="str">
        <f t="shared" si="35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24"/>
        <v>·</v>
      </c>
      <c r="AD299" s="19" t="str">
        <f t="shared" si="25"/>
        <v>·</v>
      </c>
      <c r="AE299" s="19" t="str">
        <f t="shared" si="26"/>
        <v>·</v>
      </c>
      <c r="AF299" s="20"/>
      <c r="AG299" s="19" t="str">
        <f t="shared" si="36"/>
        <v>·</v>
      </c>
      <c r="AH299" s="19" t="str">
        <f t="shared" si="28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29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30"/>
        <v>·</v>
      </c>
      <c r="J300" s="34" t="str">
        <f t="shared" si="31"/>
        <v>·</v>
      </c>
      <c r="K300" s="34" t="str">
        <f t="shared" si="32"/>
        <v>·</v>
      </c>
      <c r="L300" s="35"/>
      <c r="M300" s="34" t="str">
        <f t="shared" si="34"/>
        <v>·</v>
      </c>
      <c r="N300" s="34" t="str">
        <f t="shared" si="35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24"/>
        <v>·</v>
      </c>
      <c r="AD300" s="34" t="str">
        <f t="shared" si="25"/>
        <v>·</v>
      </c>
      <c r="AE300" s="34" t="str">
        <f t="shared" si="26"/>
        <v>·</v>
      </c>
      <c r="AF300" s="35"/>
      <c r="AG300" s="34" t="str">
        <f t="shared" si="36"/>
        <v>·</v>
      </c>
      <c r="AH300" s="34" t="str">
        <f t="shared" si="28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29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30"/>
        <v>·</v>
      </c>
      <c r="J301" s="19" t="str">
        <f t="shared" si="31"/>
        <v>·</v>
      </c>
      <c r="K301" s="19" t="str">
        <f t="shared" si="32"/>
        <v>·</v>
      </c>
      <c r="L301" s="20"/>
      <c r="M301" s="19" t="str">
        <f t="shared" si="34"/>
        <v>·</v>
      </c>
      <c r="N301" s="19" t="str">
        <f t="shared" si="35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24"/>
        <v>·</v>
      </c>
      <c r="AD301" s="19" t="str">
        <f t="shared" si="25"/>
        <v>·</v>
      </c>
      <c r="AE301" s="19" t="str">
        <f t="shared" si="26"/>
        <v>·</v>
      </c>
      <c r="AF301" s="20"/>
      <c r="AG301" s="19" t="str">
        <f t="shared" si="36"/>
        <v>·</v>
      </c>
      <c r="AH301" s="19" t="str">
        <f t="shared" si="28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29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30"/>
        <v>·</v>
      </c>
      <c r="J302" s="34" t="str">
        <f t="shared" si="31"/>
        <v>·</v>
      </c>
      <c r="K302" s="34" t="str">
        <f t="shared" si="32"/>
        <v>·</v>
      </c>
      <c r="L302" s="35"/>
      <c r="M302" s="34" t="str">
        <f t="shared" si="34"/>
        <v>·</v>
      </c>
      <c r="N302" s="34" t="str">
        <f t="shared" si="35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24"/>
        <v>·</v>
      </c>
      <c r="AD302" s="34" t="str">
        <f t="shared" si="25"/>
        <v>·</v>
      </c>
      <c r="AE302" s="34" t="str">
        <f t="shared" si="26"/>
        <v>·</v>
      </c>
      <c r="AF302" s="35"/>
      <c r="AG302" s="34" t="str">
        <f t="shared" si="36"/>
        <v>·</v>
      </c>
      <c r="AH302" s="34" t="str">
        <f t="shared" si="28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29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30"/>
        <v>·</v>
      </c>
      <c r="J303" s="19" t="str">
        <f t="shared" si="31"/>
        <v>·</v>
      </c>
      <c r="K303" s="19" t="str">
        <f t="shared" si="32"/>
        <v>·</v>
      </c>
      <c r="L303" s="20"/>
      <c r="M303" s="19" t="str">
        <f t="shared" si="34"/>
        <v>·</v>
      </c>
      <c r="N303" s="19" t="str">
        <f t="shared" si="35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24"/>
        <v>·</v>
      </c>
      <c r="AD303" s="19" t="str">
        <f t="shared" si="25"/>
        <v>·</v>
      </c>
      <c r="AE303" s="19" t="str">
        <f t="shared" si="26"/>
        <v>·</v>
      </c>
      <c r="AF303" s="20"/>
      <c r="AG303" s="19" t="str">
        <f t="shared" si="36"/>
        <v>·</v>
      </c>
      <c r="AH303" s="19" t="str">
        <f t="shared" si="28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29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30"/>
        <v>·</v>
      </c>
      <c r="J304" s="49" t="str">
        <f t="shared" si="31"/>
        <v>·</v>
      </c>
      <c r="K304" s="49" t="str">
        <f t="shared" si="32"/>
        <v>·</v>
      </c>
      <c r="L304" s="50"/>
      <c r="M304" s="49" t="str">
        <f t="shared" si="34"/>
        <v>·</v>
      </c>
      <c r="N304" s="49" t="str">
        <f t="shared" si="35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24"/>
        <v>·</v>
      </c>
      <c r="AD304" s="49" t="str">
        <f t="shared" si="25"/>
        <v>·</v>
      </c>
      <c r="AE304" s="49" t="str">
        <f t="shared" si="26"/>
        <v>·</v>
      </c>
      <c r="AF304" s="50"/>
      <c r="AG304" s="49" t="str">
        <f t="shared" si="36"/>
        <v>·</v>
      </c>
      <c r="AH304" s="49" t="str">
        <f t="shared" si="28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29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30"/>
        <v>·</v>
      </c>
      <c r="J305" s="19" t="str">
        <f t="shared" si="31"/>
        <v>·</v>
      </c>
      <c r="K305" s="19" t="str">
        <f t="shared" si="32"/>
        <v>·</v>
      </c>
      <c r="L305" s="20"/>
      <c r="M305" s="19" t="str">
        <f t="shared" si="34"/>
        <v>·</v>
      </c>
      <c r="N305" s="19" t="str">
        <f t="shared" si="35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24"/>
        <v>·</v>
      </c>
      <c r="AD305" s="19" t="str">
        <f t="shared" si="25"/>
        <v>·</v>
      </c>
      <c r="AE305" s="19" t="str">
        <f t="shared" si="26"/>
        <v>·</v>
      </c>
      <c r="AF305" s="20"/>
      <c r="AG305" s="19" t="str">
        <f t="shared" si="36"/>
        <v>·</v>
      </c>
      <c r="AH305" s="19" t="str">
        <f t="shared" si="28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29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30"/>
        <v>·</v>
      </c>
      <c r="J306" s="34" t="str">
        <f t="shared" si="31"/>
        <v>·</v>
      </c>
      <c r="K306" s="34" t="str">
        <f t="shared" si="32"/>
        <v>·</v>
      </c>
      <c r="L306" s="35"/>
      <c r="M306" s="34" t="str">
        <f t="shared" si="34"/>
        <v>·</v>
      </c>
      <c r="N306" s="34" t="str">
        <f t="shared" si="35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24"/>
        <v>·</v>
      </c>
      <c r="AD306" s="34" t="str">
        <f t="shared" si="25"/>
        <v>·</v>
      </c>
      <c r="AE306" s="34" t="str">
        <f t="shared" si="26"/>
        <v>·</v>
      </c>
      <c r="AF306" s="35"/>
      <c r="AG306" s="34" t="str">
        <f t="shared" si="36"/>
        <v>·</v>
      </c>
      <c r="AH306" s="34" t="str">
        <f t="shared" si="28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29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30"/>
        <v>·</v>
      </c>
      <c r="J307" s="19" t="str">
        <f t="shared" si="31"/>
        <v>·</v>
      </c>
      <c r="K307" s="19" t="str">
        <f t="shared" si="32"/>
        <v>·</v>
      </c>
      <c r="L307" s="20"/>
      <c r="M307" s="19" t="str">
        <f t="shared" si="34"/>
        <v>·</v>
      </c>
      <c r="N307" s="19" t="str">
        <f t="shared" si="35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24"/>
        <v>·</v>
      </c>
      <c r="AD307" s="19" t="str">
        <f t="shared" si="25"/>
        <v>·</v>
      </c>
      <c r="AE307" s="19" t="str">
        <f t="shared" si="26"/>
        <v>·</v>
      </c>
      <c r="AF307" s="20"/>
      <c r="AG307" s="19" t="str">
        <f t="shared" si="36"/>
        <v>·</v>
      </c>
      <c r="AH307" s="19" t="str">
        <f t="shared" si="28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29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30"/>
        <v>·</v>
      </c>
      <c r="J308" s="34" t="str">
        <f t="shared" si="31"/>
        <v>·</v>
      </c>
      <c r="K308" s="34" t="str">
        <f t="shared" si="32"/>
        <v>·</v>
      </c>
      <c r="L308" s="35"/>
      <c r="M308" s="34" t="str">
        <f t="shared" si="34"/>
        <v>·</v>
      </c>
      <c r="N308" s="34" t="str">
        <f t="shared" si="35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24"/>
        <v>·</v>
      </c>
      <c r="AD308" s="34" t="str">
        <f t="shared" si="25"/>
        <v>·</v>
      </c>
      <c r="AE308" s="34" t="str">
        <f t="shared" si="26"/>
        <v>·</v>
      </c>
      <c r="AF308" s="35"/>
      <c r="AG308" s="34" t="str">
        <f t="shared" si="36"/>
        <v>·</v>
      </c>
      <c r="AH308" s="34" t="str">
        <f t="shared" si="28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29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30"/>
        <v>·</v>
      </c>
      <c r="J309" s="19" t="str">
        <f t="shared" si="31"/>
        <v>·</v>
      </c>
      <c r="K309" s="19" t="str">
        <f t="shared" si="32"/>
        <v>·</v>
      </c>
      <c r="L309" s="20"/>
      <c r="M309" s="19" t="str">
        <f t="shared" si="34"/>
        <v>·</v>
      </c>
      <c r="N309" s="19" t="str">
        <f t="shared" si="35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24"/>
        <v>·</v>
      </c>
      <c r="AD309" s="19" t="str">
        <f t="shared" si="25"/>
        <v>·</v>
      </c>
      <c r="AE309" s="19" t="str">
        <f t="shared" si="26"/>
        <v>·</v>
      </c>
      <c r="AF309" s="20"/>
      <c r="AG309" s="19" t="str">
        <f t="shared" si="36"/>
        <v>·</v>
      </c>
      <c r="AH309" s="19" t="str">
        <f t="shared" si="28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29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30"/>
        <v>·</v>
      </c>
      <c r="J310" s="49" t="str">
        <f t="shared" si="31"/>
        <v>·</v>
      </c>
      <c r="K310" s="49" t="str">
        <f t="shared" si="32"/>
        <v>·</v>
      </c>
      <c r="L310" s="50"/>
      <c r="M310" s="49" t="str">
        <f t="shared" si="34"/>
        <v>·</v>
      </c>
      <c r="N310" s="49" t="str">
        <f t="shared" si="35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24"/>
        <v>·</v>
      </c>
      <c r="AD310" s="49" t="str">
        <f t="shared" si="25"/>
        <v>·</v>
      </c>
      <c r="AE310" s="49" t="str">
        <f t="shared" si="26"/>
        <v>·</v>
      </c>
      <c r="AF310" s="50"/>
      <c r="AG310" s="49" t="str">
        <f t="shared" si="36"/>
        <v>·</v>
      </c>
      <c r="AH310" s="49" t="str">
        <f t="shared" si="28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29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30"/>
        <v>·</v>
      </c>
      <c r="J311" s="19" t="str">
        <f t="shared" si="31"/>
        <v>·</v>
      </c>
      <c r="K311" s="19" t="str">
        <f t="shared" si="32"/>
        <v>·</v>
      </c>
      <c r="L311" s="20"/>
      <c r="M311" s="19" t="str">
        <f t="shared" si="34"/>
        <v>·</v>
      </c>
      <c r="N311" s="19" t="str">
        <f t="shared" si="35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24"/>
        <v>·</v>
      </c>
      <c r="AD311" s="19" t="str">
        <f t="shared" si="25"/>
        <v>·</v>
      </c>
      <c r="AE311" s="19" t="str">
        <f t="shared" si="26"/>
        <v>·</v>
      </c>
      <c r="AF311" s="20"/>
      <c r="AG311" s="19" t="str">
        <f t="shared" si="36"/>
        <v>·</v>
      </c>
      <c r="AH311" s="19" t="str">
        <f t="shared" si="28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29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30"/>
        <v>·</v>
      </c>
      <c r="J312" s="34" t="str">
        <f t="shared" si="31"/>
        <v>·</v>
      </c>
      <c r="K312" s="34" t="str">
        <f t="shared" si="32"/>
        <v>·</v>
      </c>
      <c r="L312" s="35"/>
      <c r="M312" s="34" t="str">
        <f t="shared" si="34"/>
        <v>·</v>
      </c>
      <c r="N312" s="34" t="str">
        <f t="shared" si="35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24"/>
        <v>·</v>
      </c>
      <c r="AD312" s="34" t="str">
        <f t="shared" si="25"/>
        <v>·</v>
      </c>
      <c r="AE312" s="34" t="str">
        <f t="shared" si="26"/>
        <v>·</v>
      </c>
      <c r="AF312" s="35"/>
      <c r="AG312" s="34" t="str">
        <f t="shared" si="36"/>
        <v>·</v>
      </c>
      <c r="AH312" s="34" t="str">
        <f t="shared" si="28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29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30"/>
        <v>·</v>
      </c>
      <c r="J313" s="19" t="str">
        <f t="shared" si="31"/>
        <v>·</v>
      </c>
      <c r="K313" s="19" t="str">
        <f t="shared" si="32"/>
        <v>·</v>
      </c>
      <c r="L313" s="20"/>
      <c r="M313" s="19" t="str">
        <f t="shared" ref="M313:M358" si="37">IF(ISBLANK(Q313),"·",S313/D313)</f>
        <v>·</v>
      </c>
      <c r="N313" s="19" t="str">
        <f t="shared" si="35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24"/>
        <v>·</v>
      </c>
      <c r="AD313" s="19" t="str">
        <f t="shared" si="25"/>
        <v>·</v>
      </c>
      <c r="AE313" s="19" t="str">
        <f t="shared" si="26"/>
        <v>·</v>
      </c>
      <c r="AF313" s="20"/>
      <c r="AG313" s="19" t="str">
        <f t="shared" ref="AG313:AG358" si="38">IF(ISBLANK(AK313),"·",AM313/D313)</f>
        <v>·</v>
      </c>
      <c r="AH313" s="19" t="str">
        <f t="shared" si="28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29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30"/>
        <v>·</v>
      </c>
      <c r="J314" s="34" t="str">
        <f t="shared" si="31"/>
        <v>·</v>
      </c>
      <c r="K314" s="34" t="str">
        <f t="shared" si="32"/>
        <v>·</v>
      </c>
      <c r="L314" s="35"/>
      <c r="M314" s="34" t="str">
        <f t="shared" si="37"/>
        <v>·</v>
      </c>
      <c r="N314" s="34" t="str">
        <f t="shared" si="35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24"/>
        <v>·</v>
      </c>
      <c r="AD314" s="34" t="str">
        <f t="shared" si="25"/>
        <v>·</v>
      </c>
      <c r="AE314" s="34" t="str">
        <f t="shared" si="26"/>
        <v>·</v>
      </c>
      <c r="AF314" s="35"/>
      <c r="AG314" s="34" t="str">
        <f t="shared" si="38"/>
        <v>·</v>
      </c>
      <c r="AH314" s="34" t="str">
        <f t="shared" si="28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29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30"/>
        <v>·</v>
      </c>
      <c r="J315" s="19" t="str">
        <f t="shared" si="31"/>
        <v>·</v>
      </c>
      <c r="K315" s="19" t="str">
        <f t="shared" si="32"/>
        <v>·</v>
      </c>
      <c r="L315" s="20"/>
      <c r="M315" s="19" t="str">
        <f t="shared" si="37"/>
        <v>·</v>
      </c>
      <c r="N315" s="19" t="str">
        <f t="shared" si="35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24"/>
        <v>·</v>
      </c>
      <c r="AD315" s="19" t="str">
        <f t="shared" si="25"/>
        <v>·</v>
      </c>
      <c r="AE315" s="19" t="str">
        <f t="shared" si="26"/>
        <v>·</v>
      </c>
      <c r="AF315" s="20"/>
      <c r="AG315" s="19" t="str">
        <f t="shared" si="38"/>
        <v>·</v>
      </c>
      <c r="AH315" s="19" t="str">
        <f t="shared" si="28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29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30"/>
        <v>·</v>
      </c>
      <c r="J316" s="49" t="str">
        <f t="shared" si="31"/>
        <v>·</v>
      </c>
      <c r="K316" s="49" t="str">
        <f t="shared" si="32"/>
        <v>·</v>
      </c>
      <c r="L316" s="50"/>
      <c r="M316" s="49" t="str">
        <f t="shared" si="37"/>
        <v>·</v>
      </c>
      <c r="N316" s="49" t="str">
        <f t="shared" si="35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24"/>
        <v>·</v>
      </c>
      <c r="AD316" s="49" t="str">
        <f t="shared" si="25"/>
        <v>·</v>
      </c>
      <c r="AE316" s="49" t="str">
        <f t="shared" si="26"/>
        <v>·</v>
      </c>
      <c r="AF316" s="50"/>
      <c r="AG316" s="49" t="str">
        <f t="shared" si="38"/>
        <v>·</v>
      </c>
      <c r="AH316" s="49" t="str">
        <f t="shared" si="28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29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30"/>
        <v>·</v>
      </c>
      <c r="J317" s="19" t="str">
        <f t="shared" si="31"/>
        <v>·</v>
      </c>
      <c r="K317" s="19" t="str">
        <f t="shared" si="32"/>
        <v>·</v>
      </c>
      <c r="L317" s="20"/>
      <c r="M317" s="19" t="str">
        <f t="shared" si="37"/>
        <v>·</v>
      </c>
      <c r="N317" s="19" t="str">
        <f t="shared" si="35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24"/>
        <v>·</v>
      </c>
      <c r="AD317" s="19" t="str">
        <f t="shared" si="25"/>
        <v>·</v>
      </c>
      <c r="AE317" s="19" t="str">
        <f t="shared" si="26"/>
        <v>·</v>
      </c>
      <c r="AF317" s="20"/>
      <c r="AG317" s="19" t="str">
        <f t="shared" si="38"/>
        <v>·</v>
      </c>
      <c r="AH317" s="19" t="str">
        <f t="shared" si="28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29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30"/>
        <v>·</v>
      </c>
      <c r="J318" s="34" t="str">
        <f t="shared" si="31"/>
        <v>·</v>
      </c>
      <c r="K318" s="34" t="str">
        <f t="shared" si="32"/>
        <v>·</v>
      </c>
      <c r="L318" s="35"/>
      <c r="M318" s="34" t="str">
        <f t="shared" si="37"/>
        <v>·</v>
      </c>
      <c r="N318" s="34" t="str">
        <f t="shared" si="35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24"/>
        <v>·</v>
      </c>
      <c r="AD318" s="34" t="str">
        <f t="shared" si="25"/>
        <v>·</v>
      </c>
      <c r="AE318" s="34" t="str">
        <f t="shared" si="26"/>
        <v>·</v>
      </c>
      <c r="AF318" s="35"/>
      <c r="AG318" s="34" t="str">
        <f t="shared" si="38"/>
        <v>·</v>
      </c>
      <c r="AH318" s="34" t="str">
        <f t="shared" si="28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29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30"/>
        <v>·</v>
      </c>
      <c r="J319" s="19" t="str">
        <f t="shared" si="31"/>
        <v>·</v>
      </c>
      <c r="K319" s="19" t="str">
        <f t="shared" si="32"/>
        <v>·</v>
      </c>
      <c r="L319" s="20"/>
      <c r="M319" s="19" t="str">
        <f t="shared" si="37"/>
        <v>·</v>
      </c>
      <c r="N319" s="19" t="str">
        <f t="shared" si="35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24"/>
        <v>·</v>
      </c>
      <c r="AD319" s="19" t="str">
        <f t="shared" si="25"/>
        <v>·</v>
      </c>
      <c r="AE319" s="19" t="str">
        <f t="shared" si="26"/>
        <v>·</v>
      </c>
      <c r="AF319" s="20"/>
      <c r="AG319" s="19" t="str">
        <f t="shared" si="38"/>
        <v>·</v>
      </c>
      <c r="AH319" s="19" t="str">
        <f t="shared" si="28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29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30"/>
        <v>·</v>
      </c>
      <c r="J320" s="34" t="str">
        <f t="shared" si="31"/>
        <v>·</v>
      </c>
      <c r="K320" s="34" t="str">
        <f t="shared" si="32"/>
        <v>·</v>
      </c>
      <c r="L320" s="35"/>
      <c r="M320" s="34" t="str">
        <f t="shared" si="37"/>
        <v>·</v>
      </c>
      <c r="N320" s="34" t="str">
        <f t="shared" si="35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24"/>
        <v>·</v>
      </c>
      <c r="AD320" s="34" t="str">
        <f t="shared" si="25"/>
        <v>·</v>
      </c>
      <c r="AE320" s="34" t="str">
        <f t="shared" si="26"/>
        <v>·</v>
      </c>
      <c r="AF320" s="35"/>
      <c r="AG320" s="34" t="str">
        <f t="shared" si="38"/>
        <v>·</v>
      </c>
      <c r="AH320" s="34" t="str">
        <f t="shared" si="28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29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30"/>
        <v>·</v>
      </c>
      <c r="J321" s="19" t="str">
        <f t="shared" si="31"/>
        <v>·</v>
      </c>
      <c r="K321" s="19" t="str">
        <f t="shared" si="32"/>
        <v>·</v>
      </c>
      <c r="L321" s="20"/>
      <c r="M321" s="19" t="str">
        <f t="shared" si="37"/>
        <v>·</v>
      </c>
      <c r="N321" s="19" t="str">
        <f t="shared" si="35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24"/>
        <v>·</v>
      </c>
      <c r="AD321" s="19" t="str">
        <f t="shared" si="25"/>
        <v>·</v>
      </c>
      <c r="AE321" s="19" t="str">
        <f t="shared" si="26"/>
        <v>·</v>
      </c>
      <c r="AF321" s="20"/>
      <c r="AG321" s="19" t="str">
        <f t="shared" si="38"/>
        <v>·</v>
      </c>
      <c r="AH321" s="19" t="str">
        <f t="shared" si="28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29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30"/>
        <v>·</v>
      </c>
      <c r="J322" s="49" t="str">
        <f t="shared" si="31"/>
        <v>·</v>
      </c>
      <c r="K322" s="49" t="str">
        <f t="shared" si="32"/>
        <v>·</v>
      </c>
      <c r="L322" s="50"/>
      <c r="M322" s="49" t="str">
        <f t="shared" si="37"/>
        <v>·</v>
      </c>
      <c r="N322" s="49" t="str">
        <f t="shared" si="35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24"/>
        <v>·</v>
      </c>
      <c r="AD322" s="49" t="str">
        <f t="shared" si="25"/>
        <v>·</v>
      </c>
      <c r="AE322" s="49" t="str">
        <f t="shared" si="26"/>
        <v>·</v>
      </c>
      <c r="AF322" s="50"/>
      <c r="AG322" s="49" t="str">
        <f t="shared" si="38"/>
        <v>·</v>
      </c>
      <c r="AH322" s="49" t="str">
        <f t="shared" si="28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29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39">IF(OR(ISBLANK(P323),ISBLANK(G323)),"·",P323*G323/F323/1000000)</f>
        <v>·</v>
      </c>
      <c r="J323" s="19" t="str">
        <f t="shared" ref="J323:J340" si="40">IF(ISBLANK(P323),"·",P323/D323)</f>
        <v>·</v>
      </c>
      <c r="K323" s="19" t="str">
        <f t="shared" ref="K323:K340" si="41">IF(Q323="","·",Q323/D323)</f>
        <v>·</v>
      </c>
      <c r="L323" s="20"/>
      <c r="M323" s="19" t="str">
        <f t="shared" ref="M323:M340" si="42">IF(ISBLANK(Q323),"·",S323/D323)</f>
        <v>·</v>
      </c>
      <c r="N323" s="19" t="str">
        <f t="shared" ref="N323:N340" si="4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44">IF(OR(ISBLANK(AJ323),ISBLANK(G323)),"·",AJ323*G323/F323/1000000)</f>
        <v>·</v>
      </c>
      <c r="AD323" s="19" t="str">
        <f t="shared" ref="AD323:AD340" si="45">IF(ISBLANK(AJ323),"·",AJ323/D323)</f>
        <v>·</v>
      </c>
      <c r="AE323" s="19" t="str">
        <f t="shared" ref="AE323:AE340" si="46">IF(AK323="","·",AK323/D323)</f>
        <v>·</v>
      </c>
      <c r="AF323" s="20"/>
      <c r="AG323" s="19" t="str">
        <f t="shared" ref="AG323:AG340" si="47">IF(ISBLANK(AK323),"·",AM323/D323)</f>
        <v>·</v>
      </c>
      <c r="AH323" s="19" t="str">
        <f t="shared" ref="AH323:AH340" si="4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4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39"/>
        <v>·</v>
      </c>
      <c r="J324" s="34" t="str">
        <f t="shared" si="40"/>
        <v>·</v>
      </c>
      <c r="K324" s="34" t="str">
        <f t="shared" si="41"/>
        <v>·</v>
      </c>
      <c r="L324" s="35"/>
      <c r="M324" s="34" t="str">
        <f t="shared" si="42"/>
        <v>·</v>
      </c>
      <c r="N324" s="34" t="str">
        <f t="shared" si="4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44"/>
        <v>·</v>
      </c>
      <c r="AD324" s="34" t="str">
        <f t="shared" si="45"/>
        <v>·</v>
      </c>
      <c r="AE324" s="34" t="str">
        <f t="shared" si="46"/>
        <v>·</v>
      </c>
      <c r="AF324" s="35"/>
      <c r="AG324" s="34" t="str">
        <f t="shared" si="47"/>
        <v>·</v>
      </c>
      <c r="AH324" s="34" t="str">
        <f t="shared" si="4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4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39"/>
        <v>·</v>
      </c>
      <c r="J325" s="19" t="str">
        <f t="shared" si="40"/>
        <v>·</v>
      </c>
      <c r="K325" s="19" t="str">
        <f t="shared" si="41"/>
        <v>·</v>
      </c>
      <c r="L325" s="20"/>
      <c r="M325" s="19" t="str">
        <f t="shared" si="42"/>
        <v>·</v>
      </c>
      <c r="N325" s="19" t="str">
        <f t="shared" si="4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44"/>
        <v>·</v>
      </c>
      <c r="AD325" s="19" t="str">
        <f t="shared" si="45"/>
        <v>·</v>
      </c>
      <c r="AE325" s="19" t="str">
        <f t="shared" si="46"/>
        <v>·</v>
      </c>
      <c r="AF325" s="20"/>
      <c r="AG325" s="19" t="str">
        <f t="shared" si="47"/>
        <v>·</v>
      </c>
      <c r="AH325" s="19" t="str">
        <f t="shared" si="4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4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39"/>
        <v>·</v>
      </c>
      <c r="J326" s="34" t="str">
        <f t="shared" si="40"/>
        <v>·</v>
      </c>
      <c r="K326" s="34" t="str">
        <f t="shared" si="41"/>
        <v>·</v>
      </c>
      <c r="L326" s="35"/>
      <c r="M326" s="34" t="str">
        <f t="shared" si="42"/>
        <v>·</v>
      </c>
      <c r="N326" s="34" t="str">
        <f t="shared" si="4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44"/>
        <v>·</v>
      </c>
      <c r="AD326" s="34" t="str">
        <f t="shared" si="45"/>
        <v>·</v>
      </c>
      <c r="AE326" s="34" t="str">
        <f t="shared" si="46"/>
        <v>·</v>
      </c>
      <c r="AF326" s="35"/>
      <c r="AG326" s="34" t="str">
        <f t="shared" si="47"/>
        <v>·</v>
      </c>
      <c r="AH326" s="34" t="str">
        <f t="shared" si="4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4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39"/>
        <v>·</v>
      </c>
      <c r="J327" s="19" t="str">
        <f t="shared" si="40"/>
        <v>·</v>
      </c>
      <c r="K327" s="19" t="str">
        <f t="shared" si="41"/>
        <v>·</v>
      </c>
      <c r="L327" s="20"/>
      <c r="M327" s="19" t="str">
        <f t="shared" si="42"/>
        <v>·</v>
      </c>
      <c r="N327" s="19" t="str">
        <f t="shared" si="4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44"/>
        <v>·</v>
      </c>
      <c r="AD327" s="19" t="str">
        <f t="shared" si="45"/>
        <v>·</v>
      </c>
      <c r="AE327" s="19" t="str">
        <f t="shared" si="46"/>
        <v>·</v>
      </c>
      <c r="AF327" s="20"/>
      <c r="AG327" s="19" t="str">
        <f t="shared" si="47"/>
        <v>·</v>
      </c>
      <c r="AH327" s="19" t="str">
        <f t="shared" si="4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4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39"/>
        <v>·</v>
      </c>
      <c r="J328" s="49" t="str">
        <f t="shared" si="40"/>
        <v>·</v>
      </c>
      <c r="K328" s="49" t="str">
        <f t="shared" si="41"/>
        <v>·</v>
      </c>
      <c r="L328" s="50"/>
      <c r="M328" s="49" t="str">
        <f t="shared" si="42"/>
        <v>·</v>
      </c>
      <c r="N328" s="49" t="str">
        <f t="shared" si="4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44"/>
        <v>·</v>
      </c>
      <c r="AD328" s="49" t="str">
        <f t="shared" si="45"/>
        <v>·</v>
      </c>
      <c r="AE328" s="49" t="str">
        <f t="shared" si="46"/>
        <v>·</v>
      </c>
      <c r="AF328" s="50"/>
      <c r="AG328" s="49" t="str">
        <f t="shared" si="47"/>
        <v>·</v>
      </c>
      <c r="AH328" s="49" t="str">
        <f t="shared" si="4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4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39"/>
        <v>·</v>
      </c>
      <c r="J329" s="19" t="str">
        <f t="shared" si="40"/>
        <v>·</v>
      </c>
      <c r="K329" s="19" t="str">
        <f t="shared" si="41"/>
        <v>·</v>
      </c>
      <c r="L329" s="20"/>
      <c r="M329" s="19" t="str">
        <f t="shared" si="42"/>
        <v>·</v>
      </c>
      <c r="N329" s="19" t="str">
        <f t="shared" si="4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44"/>
        <v>·</v>
      </c>
      <c r="AD329" s="19" t="str">
        <f t="shared" si="45"/>
        <v>·</v>
      </c>
      <c r="AE329" s="19" t="str">
        <f t="shared" si="46"/>
        <v>·</v>
      </c>
      <c r="AF329" s="20"/>
      <c r="AG329" s="19" t="str">
        <f t="shared" si="47"/>
        <v>·</v>
      </c>
      <c r="AH329" s="19" t="str">
        <f t="shared" si="4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4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39"/>
        <v>·</v>
      </c>
      <c r="J330" s="34" t="str">
        <f t="shared" si="40"/>
        <v>·</v>
      </c>
      <c r="K330" s="34" t="str">
        <f t="shared" si="41"/>
        <v>·</v>
      </c>
      <c r="L330" s="35"/>
      <c r="M330" s="34" t="str">
        <f t="shared" si="42"/>
        <v>·</v>
      </c>
      <c r="N330" s="34" t="str">
        <f t="shared" si="4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44"/>
        <v>·</v>
      </c>
      <c r="AD330" s="34" t="str">
        <f t="shared" si="45"/>
        <v>·</v>
      </c>
      <c r="AE330" s="34" t="str">
        <f t="shared" si="46"/>
        <v>·</v>
      </c>
      <c r="AF330" s="35"/>
      <c r="AG330" s="34" t="str">
        <f t="shared" si="47"/>
        <v>·</v>
      </c>
      <c r="AH330" s="34" t="str">
        <f t="shared" si="4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4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39"/>
        <v>·</v>
      </c>
      <c r="J331" s="19" t="str">
        <f t="shared" si="40"/>
        <v>·</v>
      </c>
      <c r="K331" s="19" t="str">
        <f t="shared" si="41"/>
        <v>·</v>
      </c>
      <c r="L331" s="20"/>
      <c r="M331" s="19" t="str">
        <f t="shared" si="42"/>
        <v>·</v>
      </c>
      <c r="N331" s="19" t="str">
        <f t="shared" si="4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44"/>
        <v>·</v>
      </c>
      <c r="AD331" s="19" t="str">
        <f t="shared" si="45"/>
        <v>·</v>
      </c>
      <c r="AE331" s="19" t="str">
        <f t="shared" si="46"/>
        <v>·</v>
      </c>
      <c r="AF331" s="20"/>
      <c r="AG331" s="19" t="str">
        <f t="shared" si="47"/>
        <v>·</v>
      </c>
      <c r="AH331" s="19" t="str">
        <f t="shared" si="4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4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39"/>
        <v>·</v>
      </c>
      <c r="J332" s="34" t="str">
        <f t="shared" si="40"/>
        <v>·</v>
      </c>
      <c r="K332" s="34" t="str">
        <f t="shared" si="41"/>
        <v>·</v>
      </c>
      <c r="L332" s="35"/>
      <c r="M332" s="34" t="str">
        <f t="shared" si="42"/>
        <v>·</v>
      </c>
      <c r="N332" s="34" t="str">
        <f t="shared" si="4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44"/>
        <v>·</v>
      </c>
      <c r="AD332" s="34" t="str">
        <f t="shared" si="45"/>
        <v>·</v>
      </c>
      <c r="AE332" s="34" t="str">
        <f t="shared" si="46"/>
        <v>·</v>
      </c>
      <c r="AF332" s="35"/>
      <c r="AG332" s="34" t="str">
        <f t="shared" si="47"/>
        <v>·</v>
      </c>
      <c r="AH332" s="34" t="str">
        <f t="shared" si="4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4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39"/>
        <v>·</v>
      </c>
      <c r="J333" s="19" t="str">
        <f t="shared" si="40"/>
        <v>·</v>
      </c>
      <c r="K333" s="19" t="str">
        <f t="shared" si="41"/>
        <v>·</v>
      </c>
      <c r="L333" s="20"/>
      <c r="M333" s="19" t="str">
        <f t="shared" si="42"/>
        <v>·</v>
      </c>
      <c r="N333" s="19" t="str">
        <f t="shared" si="4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44"/>
        <v>·</v>
      </c>
      <c r="AD333" s="19" t="str">
        <f t="shared" si="45"/>
        <v>·</v>
      </c>
      <c r="AE333" s="19" t="str">
        <f t="shared" si="46"/>
        <v>·</v>
      </c>
      <c r="AF333" s="20"/>
      <c r="AG333" s="19" t="str">
        <f t="shared" si="47"/>
        <v>·</v>
      </c>
      <c r="AH333" s="19" t="str">
        <f t="shared" si="4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4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39"/>
        <v>·</v>
      </c>
      <c r="J334" s="49" t="str">
        <f t="shared" si="40"/>
        <v>·</v>
      </c>
      <c r="K334" s="49" t="str">
        <f t="shared" si="41"/>
        <v>·</v>
      </c>
      <c r="L334" s="50"/>
      <c r="M334" s="49" t="str">
        <f t="shared" si="42"/>
        <v>·</v>
      </c>
      <c r="N334" s="49" t="str">
        <f t="shared" si="4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44"/>
        <v>·</v>
      </c>
      <c r="AD334" s="49" t="str">
        <f t="shared" si="45"/>
        <v>·</v>
      </c>
      <c r="AE334" s="49" t="str">
        <f t="shared" si="46"/>
        <v>·</v>
      </c>
      <c r="AF334" s="50"/>
      <c r="AG334" s="49" t="str">
        <f t="shared" si="47"/>
        <v>·</v>
      </c>
      <c r="AH334" s="49" t="str">
        <f t="shared" si="4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4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39"/>
        <v>·</v>
      </c>
      <c r="J335" s="19" t="str">
        <f t="shared" si="40"/>
        <v>·</v>
      </c>
      <c r="K335" s="19" t="str">
        <f t="shared" si="41"/>
        <v>·</v>
      </c>
      <c r="L335" s="20"/>
      <c r="M335" s="19" t="str">
        <f t="shared" si="42"/>
        <v>·</v>
      </c>
      <c r="N335" s="19" t="str">
        <f t="shared" si="4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44"/>
        <v>·</v>
      </c>
      <c r="AD335" s="19" t="str">
        <f t="shared" si="45"/>
        <v>·</v>
      </c>
      <c r="AE335" s="19" t="str">
        <f t="shared" si="46"/>
        <v>·</v>
      </c>
      <c r="AF335" s="20"/>
      <c r="AG335" s="19" t="str">
        <f t="shared" si="47"/>
        <v>·</v>
      </c>
      <c r="AH335" s="19" t="str">
        <f t="shared" si="4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4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39"/>
        <v>·</v>
      </c>
      <c r="J336" s="34" t="str">
        <f t="shared" si="40"/>
        <v>·</v>
      </c>
      <c r="K336" s="34" t="str">
        <f t="shared" si="41"/>
        <v>·</v>
      </c>
      <c r="L336" s="35"/>
      <c r="M336" s="34" t="str">
        <f t="shared" si="42"/>
        <v>·</v>
      </c>
      <c r="N336" s="34" t="str">
        <f t="shared" si="4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44"/>
        <v>·</v>
      </c>
      <c r="AD336" s="34" t="str">
        <f t="shared" si="45"/>
        <v>·</v>
      </c>
      <c r="AE336" s="34" t="str">
        <f t="shared" si="46"/>
        <v>·</v>
      </c>
      <c r="AF336" s="35"/>
      <c r="AG336" s="34" t="str">
        <f t="shared" si="47"/>
        <v>·</v>
      </c>
      <c r="AH336" s="34" t="str">
        <f t="shared" si="4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4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39"/>
        <v>·</v>
      </c>
      <c r="J337" s="19" t="str">
        <f t="shared" si="40"/>
        <v>·</v>
      </c>
      <c r="K337" s="19" t="str">
        <f t="shared" si="41"/>
        <v>·</v>
      </c>
      <c r="L337" s="20"/>
      <c r="M337" s="19" t="str">
        <f t="shared" si="42"/>
        <v>·</v>
      </c>
      <c r="N337" s="19" t="str">
        <f t="shared" si="4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44"/>
        <v>·</v>
      </c>
      <c r="AD337" s="19" t="str">
        <f t="shared" si="45"/>
        <v>·</v>
      </c>
      <c r="AE337" s="19" t="str">
        <f t="shared" si="46"/>
        <v>·</v>
      </c>
      <c r="AF337" s="20"/>
      <c r="AG337" s="19" t="str">
        <f t="shared" si="47"/>
        <v>·</v>
      </c>
      <c r="AH337" s="19" t="str">
        <f t="shared" si="4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4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39"/>
        <v>·</v>
      </c>
      <c r="J338" s="34" t="str">
        <f t="shared" si="40"/>
        <v>·</v>
      </c>
      <c r="K338" s="34" t="str">
        <f t="shared" si="41"/>
        <v>·</v>
      </c>
      <c r="L338" s="35"/>
      <c r="M338" s="34" t="str">
        <f t="shared" si="42"/>
        <v>·</v>
      </c>
      <c r="N338" s="34" t="str">
        <f t="shared" si="4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44"/>
        <v>·</v>
      </c>
      <c r="AD338" s="34" t="str">
        <f t="shared" si="45"/>
        <v>·</v>
      </c>
      <c r="AE338" s="34" t="str">
        <f t="shared" si="46"/>
        <v>·</v>
      </c>
      <c r="AF338" s="35"/>
      <c r="AG338" s="34" t="str">
        <f t="shared" si="47"/>
        <v>·</v>
      </c>
      <c r="AH338" s="34" t="str">
        <f t="shared" si="4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4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39"/>
        <v>·</v>
      </c>
      <c r="J339" s="19" t="str">
        <f t="shared" si="40"/>
        <v>·</v>
      </c>
      <c r="K339" s="19" t="str">
        <f t="shared" si="41"/>
        <v>·</v>
      </c>
      <c r="L339" s="20"/>
      <c r="M339" s="19" t="str">
        <f t="shared" si="42"/>
        <v>·</v>
      </c>
      <c r="N339" s="19" t="str">
        <f t="shared" si="4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44"/>
        <v>·</v>
      </c>
      <c r="AD339" s="19" t="str">
        <f t="shared" si="45"/>
        <v>·</v>
      </c>
      <c r="AE339" s="19" t="str">
        <f t="shared" si="46"/>
        <v>·</v>
      </c>
      <c r="AF339" s="20"/>
      <c r="AG339" s="19" t="str">
        <f t="shared" si="47"/>
        <v>·</v>
      </c>
      <c r="AH339" s="19" t="str">
        <f t="shared" si="4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4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39"/>
        <v>·</v>
      </c>
      <c r="J340" s="49" t="str">
        <f t="shared" si="40"/>
        <v>·</v>
      </c>
      <c r="K340" s="49" t="str">
        <f t="shared" si="41"/>
        <v>·</v>
      </c>
      <c r="L340" s="50"/>
      <c r="M340" s="49" t="str">
        <f t="shared" si="42"/>
        <v>·</v>
      </c>
      <c r="N340" s="49" t="str">
        <f t="shared" si="4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44"/>
        <v>·</v>
      </c>
      <c r="AD340" s="49" t="str">
        <f t="shared" si="45"/>
        <v>·</v>
      </c>
      <c r="AE340" s="49" t="str">
        <f t="shared" si="46"/>
        <v>·</v>
      </c>
      <c r="AF340" s="50"/>
      <c r="AG340" s="49" t="str">
        <f t="shared" si="47"/>
        <v>·</v>
      </c>
      <c r="AH340" s="49" t="str">
        <f t="shared" si="4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4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25">
      <c r="A341" s="80" t="s">
        <v>1018</v>
      </c>
      <c r="B341" s="15" t="s">
        <v>1039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30"/>
        <v>·</v>
      </c>
      <c r="J341" s="19" t="str">
        <f t="shared" si="31"/>
        <v>·</v>
      </c>
      <c r="K341" s="19" t="str">
        <f t="shared" si="32"/>
        <v>·</v>
      </c>
      <c r="L341" s="20"/>
      <c r="M341" s="19" t="str">
        <f t="shared" si="37"/>
        <v>·</v>
      </c>
      <c r="N341" s="19" t="str">
        <f t="shared" si="35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24"/>
        <v>·</v>
      </c>
      <c r="AD341" s="19" t="str">
        <f t="shared" si="25"/>
        <v>·</v>
      </c>
      <c r="AE341" s="19" t="str">
        <f t="shared" si="26"/>
        <v>·</v>
      </c>
      <c r="AF341" s="20"/>
      <c r="AG341" s="19" t="str">
        <f t="shared" si="38"/>
        <v>·</v>
      </c>
      <c r="AH341" s="19" t="str">
        <f t="shared" si="28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29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25">
      <c r="A342" s="30"/>
      <c r="B342" s="30" t="s">
        <v>1039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30"/>
        <v>·</v>
      </c>
      <c r="J342" s="34" t="str">
        <f t="shared" si="31"/>
        <v>·</v>
      </c>
      <c r="K342" s="34" t="str">
        <f t="shared" si="32"/>
        <v>·</v>
      </c>
      <c r="L342" s="35"/>
      <c r="M342" s="34" t="str">
        <f t="shared" si="37"/>
        <v>·</v>
      </c>
      <c r="N342" s="34" t="str">
        <f t="shared" si="35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24"/>
        <v>·</v>
      </c>
      <c r="AD342" s="34" t="str">
        <f t="shared" si="25"/>
        <v>·</v>
      </c>
      <c r="AE342" s="34" t="str">
        <f t="shared" si="26"/>
        <v>·</v>
      </c>
      <c r="AF342" s="35"/>
      <c r="AG342" s="34" t="str">
        <f t="shared" si="38"/>
        <v>·</v>
      </c>
      <c r="AH342" s="34" t="str">
        <f t="shared" si="28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29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25">
      <c r="A343" s="15"/>
      <c r="B343" s="15" t="s">
        <v>1039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50">IF(OR(ISBLANK(P343),ISBLANK(G343)),"·",P343*G343/F343/1000000)</f>
        <v>·</v>
      </c>
      <c r="J343" s="19" t="str">
        <f t="shared" ref="J343:J358" si="51">IF(ISBLANK(P343),"·",P343/D343)</f>
        <v>·</v>
      </c>
      <c r="K343" s="19" t="str">
        <f t="shared" ref="K343:K358" si="52">IF(Q343="","·",Q343/D343)</f>
        <v>·</v>
      </c>
      <c r="L343" s="20"/>
      <c r="M343" s="19" t="str">
        <f t="shared" si="37"/>
        <v>·</v>
      </c>
      <c r="N343" s="19" t="str">
        <f t="shared" ref="N343:N358" si="5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54">IF(OR(ISBLANK(AJ343),ISBLANK(G343)),"·",AJ343*G343/F343/1000000)</f>
        <v>·</v>
      </c>
      <c r="AD343" s="19" t="str">
        <f t="shared" ref="AD343:AD358" si="55">IF(ISBLANK(AJ343),"·",AJ343/D343)</f>
        <v>·</v>
      </c>
      <c r="AE343" s="19" t="str">
        <f t="shared" ref="AE343:AE358" si="56">IF(AK343="","·",AK343/D343)</f>
        <v>·</v>
      </c>
      <c r="AF343" s="20"/>
      <c r="AG343" s="19" t="str">
        <f t="shared" si="38"/>
        <v>·</v>
      </c>
      <c r="AH343" s="19" t="str">
        <f t="shared" ref="AH343:AH358" si="5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5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25">
      <c r="A344" s="30"/>
      <c r="B344" s="30" t="s">
        <v>1039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50"/>
        <v>·</v>
      </c>
      <c r="J344" s="34" t="str">
        <f t="shared" si="51"/>
        <v>·</v>
      </c>
      <c r="K344" s="34" t="str">
        <f t="shared" si="52"/>
        <v>·</v>
      </c>
      <c r="L344" s="35"/>
      <c r="M344" s="34" t="str">
        <f t="shared" si="37"/>
        <v>·</v>
      </c>
      <c r="N344" s="34" t="str">
        <f t="shared" si="5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54"/>
        <v>·</v>
      </c>
      <c r="AD344" s="34" t="str">
        <f t="shared" si="55"/>
        <v>·</v>
      </c>
      <c r="AE344" s="34" t="str">
        <f t="shared" si="56"/>
        <v>·</v>
      </c>
      <c r="AF344" s="35"/>
      <c r="AG344" s="34" t="str">
        <f t="shared" si="38"/>
        <v>·</v>
      </c>
      <c r="AH344" s="34" t="str">
        <f t="shared" si="5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5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25">
      <c r="A345" s="15"/>
      <c r="B345" s="15" t="s">
        <v>1039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50"/>
        <v>·</v>
      </c>
      <c r="J345" s="19" t="str">
        <f t="shared" si="51"/>
        <v>·</v>
      </c>
      <c r="K345" s="19" t="str">
        <f t="shared" si="52"/>
        <v>·</v>
      </c>
      <c r="L345" s="20"/>
      <c r="M345" s="19" t="str">
        <f t="shared" si="37"/>
        <v>·</v>
      </c>
      <c r="N345" s="19" t="str">
        <f t="shared" si="5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54"/>
        <v>·</v>
      </c>
      <c r="AD345" s="19" t="str">
        <f t="shared" si="55"/>
        <v>·</v>
      </c>
      <c r="AE345" s="19" t="str">
        <f t="shared" si="56"/>
        <v>·</v>
      </c>
      <c r="AF345" s="20"/>
      <c r="AG345" s="19" t="str">
        <f t="shared" si="38"/>
        <v>·</v>
      </c>
      <c r="AH345" s="19" t="str">
        <f t="shared" si="5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5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5" outlineLevel="1" thickBot="1" x14ac:dyDescent="0.3">
      <c r="A346" s="30"/>
      <c r="B346" s="45" t="s">
        <v>1039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50"/>
        <v>·</v>
      </c>
      <c r="J346" s="49" t="str">
        <f t="shared" si="51"/>
        <v>·</v>
      </c>
      <c r="K346" s="49" t="str">
        <f t="shared" si="52"/>
        <v>·</v>
      </c>
      <c r="L346" s="50"/>
      <c r="M346" s="49" t="str">
        <f t="shared" si="37"/>
        <v>·</v>
      </c>
      <c r="N346" s="49" t="str">
        <f t="shared" si="5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54"/>
        <v>·</v>
      </c>
      <c r="AD346" s="49" t="str">
        <f t="shared" si="55"/>
        <v>·</v>
      </c>
      <c r="AE346" s="49" t="str">
        <f t="shared" si="56"/>
        <v>·</v>
      </c>
      <c r="AF346" s="50"/>
      <c r="AG346" s="49" t="str">
        <f t="shared" si="38"/>
        <v>·</v>
      </c>
      <c r="AH346" s="49" t="str">
        <f t="shared" si="5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5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25">
      <c r="A347" s="15"/>
      <c r="B347" s="15" t="s">
        <v>1040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50"/>
        <v>·</v>
      </c>
      <c r="J347" s="19" t="str">
        <f t="shared" si="51"/>
        <v>·</v>
      </c>
      <c r="K347" s="19" t="str">
        <f t="shared" si="52"/>
        <v>·</v>
      </c>
      <c r="L347" s="20"/>
      <c r="M347" s="19" t="str">
        <f t="shared" si="37"/>
        <v>·</v>
      </c>
      <c r="N347" s="19" t="str">
        <f t="shared" si="5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54"/>
        <v>·</v>
      </c>
      <c r="AD347" s="19" t="str">
        <f t="shared" si="55"/>
        <v>·</v>
      </c>
      <c r="AE347" s="19" t="str">
        <f t="shared" si="56"/>
        <v>·</v>
      </c>
      <c r="AF347" s="20"/>
      <c r="AG347" s="19" t="str">
        <f t="shared" si="38"/>
        <v>·</v>
      </c>
      <c r="AH347" s="19" t="str">
        <f t="shared" si="5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5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25">
      <c r="A348" s="30"/>
      <c r="B348" s="30" t="s">
        <v>1040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50"/>
        <v>·</v>
      </c>
      <c r="J348" s="34" t="str">
        <f t="shared" si="51"/>
        <v>·</v>
      </c>
      <c r="K348" s="34" t="str">
        <f t="shared" si="52"/>
        <v>·</v>
      </c>
      <c r="L348" s="35"/>
      <c r="M348" s="34" t="str">
        <f t="shared" si="37"/>
        <v>·</v>
      </c>
      <c r="N348" s="34" t="str">
        <f t="shared" si="5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54"/>
        <v>·</v>
      </c>
      <c r="AD348" s="34" t="str">
        <f t="shared" si="55"/>
        <v>·</v>
      </c>
      <c r="AE348" s="34" t="str">
        <f t="shared" si="56"/>
        <v>·</v>
      </c>
      <c r="AF348" s="35"/>
      <c r="AG348" s="34" t="str">
        <f t="shared" si="38"/>
        <v>·</v>
      </c>
      <c r="AH348" s="34" t="str">
        <f t="shared" si="5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5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25">
      <c r="A349" s="15"/>
      <c r="B349" s="15" t="s">
        <v>1040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50"/>
        <v>·</v>
      </c>
      <c r="J349" s="19" t="str">
        <f t="shared" si="51"/>
        <v>·</v>
      </c>
      <c r="K349" s="19" t="str">
        <f t="shared" si="52"/>
        <v>·</v>
      </c>
      <c r="L349" s="20"/>
      <c r="M349" s="19" t="str">
        <f t="shared" si="37"/>
        <v>·</v>
      </c>
      <c r="N349" s="19" t="str">
        <f t="shared" si="5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54"/>
        <v>·</v>
      </c>
      <c r="AD349" s="19" t="str">
        <f t="shared" si="55"/>
        <v>·</v>
      </c>
      <c r="AE349" s="19" t="str">
        <f t="shared" si="56"/>
        <v>·</v>
      </c>
      <c r="AF349" s="20"/>
      <c r="AG349" s="19" t="str">
        <f t="shared" si="38"/>
        <v>·</v>
      </c>
      <c r="AH349" s="19" t="str">
        <f t="shared" si="5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5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25">
      <c r="A350" s="30"/>
      <c r="B350" s="30" t="s">
        <v>1040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50"/>
        <v>·</v>
      </c>
      <c r="J350" s="34" t="str">
        <f t="shared" si="51"/>
        <v>·</v>
      </c>
      <c r="K350" s="34" t="str">
        <f t="shared" si="52"/>
        <v>·</v>
      </c>
      <c r="L350" s="35"/>
      <c r="M350" s="34" t="str">
        <f t="shared" si="37"/>
        <v>·</v>
      </c>
      <c r="N350" s="34" t="str">
        <f t="shared" si="5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54"/>
        <v>·</v>
      </c>
      <c r="AD350" s="34" t="str">
        <f t="shared" si="55"/>
        <v>·</v>
      </c>
      <c r="AE350" s="34" t="str">
        <f t="shared" si="56"/>
        <v>·</v>
      </c>
      <c r="AF350" s="35"/>
      <c r="AG350" s="34" t="str">
        <f t="shared" si="38"/>
        <v>·</v>
      </c>
      <c r="AH350" s="34" t="str">
        <f t="shared" si="5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5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25">
      <c r="A351" s="15"/>
      <c r="B351" s="15" t="s">
        <v>1040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50"/>
        <v>·</v>
      </c>
      <c r="J351" s="19" t="str">
        <f t="shared" si="51"/>
        <v>·</v>
      </c>
      <c r="K351" s="19" t="str">
        <f t="shared" si="52"/>
        <v>·</v>
      </c>
      <c r="L351" s="20"/>
      <c r="M351" s="19" t="str">
        <f t="shared" si="37"/>
        <v>·</v>
      </c>
      <c r="N351" s="19" t="str">
        <f t="shared" si="5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54"/>
        <v>·</v>
      </c>
      <c r="AD351" s="19" t="str">
        <f t="shared" si="55"/>
        <v>·</v>
      </c>
      <c r="AE351" s="19" t="str">
        <f t="shared" si="56"/>
        <v>·</v>
      </c>
      <c r="AF351" s="20"/>
      <c r="AG351" s="19" t="str">
        <f t="shared" si="38"/>
        <v>·</v>
      </c>
      <c r="AH351" s="19" t="str">
        <f t="shared" si="5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5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5" outlineLevel="1" thickBot="1" x14ac:dyDescent="0.3">
      <c r="A352" s="30"/>
      <c r="B352" s="45" t="s">
        <v>1040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50"/>
        <v>·</v>
      </c>
      <c r="J352" s="49" t="str">
        <f t="shared" si="51"/>
        <v>·</v>
      </c>
      <c r="K352" s="49" t="str">
        <f t="shared" si="52"/>
        <v>·</v>
      </c>
      <c r="L352" s="50"/>
      <c r="M352" s="49" t="str">
        <f t="shared" si="37"/>
        <v>·</v>
      </c>
      <c r="N352" s="49" t="str">
        <f t="shared" si="5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54"/>
        <v>·</v>
      </c>
      <c r="AD352" s="49" t="str">
        <f t="shared" si="55"/>
        <v>·</v>
      </c>
      <c r="AE352" s="49" t="str">
        <f t="shared" si="56"/>
        <v>·</v>
      </c>
      <c r="AF352" s="50"/>
      <c r="AG352" s="49" t="str">
        <f t="shared" si="38"/>
        <v>·</v>
      </c>
      <c r="AH352" s="49" t="str">
        <f t="shared" si="5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5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25">
      <c r="A353" s="15"/>
      <c r="B353" s="15" t="s">
        <v>1041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50"/>
        <v>·</v>
      </c>
      <c r="J353" s="19" t="str">
        <f t="shared" si="51"/>
        <v>·</v>
      </c>
      <c r="K353" s="19" t="str">
        <f t="shared" si="52"/>
        <v>·</v>
      </c>
      <c r="L353" s="20"/>
      <c r="M353" s="19" t="str">
        <f t="shared" si="37"/>
        <v>·</v>
      </c>
      <c r="N353" s="19" t="str">
        <f t="shared" si="5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54"/>
        <v>·</v>
      </c>
      <c r="AD353" s="19" t="str">
        <f t="shared" si="55"/>
        <v>·</v>
      </c>
      <c r="AE353" s="19" t="str">
        <f t="shared" si="56"/>
        <v>·</v>
      </c>
      <c r="AF353" s="20"/>
      <c r="AG353" s="19" t="str">
        <f t="shared" si="38"/>
        <v>·</v>
      </c>
      <c r="AH353" s="19" t="str">
        <f t="shared" si="5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5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25">
      <c r="A354" s="30"/>
      <c r="B354" s="30" t="s">
        <v>1041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50"/>
        <v>·</v>
      </c>
      <c r="J354" s="34" t="str">
        <f t="shared" si="51"/>
        <v>·</v>
      </c>
      <c r="K354" s="34" t="str">
        <f t="shared" si="52"/>
        <v>·</v>
      </c>
      <c r="L354" s="35"/>
      <c r="M354" s="34" t="str">
        <f t="shared" si="37"/>
        <v>·</v>
      </c>
      <c r="N354" s="34" t="str">
        <f t="shared" si="5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54"/>
        <v>·</v>
      </c>
      <c r="AD354" s="34" t="str">
        <f t="shared" si="55"/>
        <v>·</v>
      </c>
      <c r="AE354" s="34" t="str">
        <f t="shared" si="56"/>
        <v>·</v>
      </c>
      <c r="AF354" s="35"/>
      <c r="AG354" s="34" t="str">
        <f t="shared" si="38"/>
        <v>·</v>
      </c>
      <c r="AH354" s="34" t="str">
        <f t="shared" si="5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5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25">
      <c r="A355" s="15"/>
      <c r="B355" s="15" t="s">
        <v>1041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50"/>
        <v>·</v>
      </c>
      <c r="J355" s="19" t="str">
        <f t="shared" si="51"/>
        <v>·</v>
      </c>
      <c r="K355" s="19" t="str">
        <f t="shared" si="52"/>
        <v>·</v>
      </c>
      <c r="L355" s="20"/>
      <c r="M355" s="19" t="str">
        <f t="shared" si="37"/>
        <v>·</v>
      </c>
      <c r="N355" s="19" t="str">
        <f t="shared" si="5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54"/>
        <v>·</v>
      </c>
      <c r="AD355" s="19" t="str">
        <f t="shared" si="55"/>
        <v>·</v>
      </c>
      <c r="AE355" s="19" t="str">
        <f t="shared" si="56"/>
        <v>·</v>
      </c>
      <c r="AF355" s="20"/>
      <c r="AG355" s="19" t="str">
        <f t="shared" si="38"/>
        <v>·</v>
      </c>
      <c r="AH355" s="19" t="str">
        <f t="shared" si="5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5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25">
      <c r="A356" s="30"/>
      <c r="B356" s="30" t="s">
        <v>1041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50"/>
        <v>·</v>
      </c>
      <c r="J356" s="34" t="str">
        <f t="shared" si="51"/>
        <v>·</v>
      </c>
      <c r="K356" s="34" t="str">
        <f t="shared" si="52"/>
        <v>·</v>
      </c>
      <c r="L356" s="35"/>
      <c r="M356" s="34" t="str">
        <f t="shared" si="37"/>
        <v>·</v>
      </c>
      <c r="N356" s="34" t="str">
        <f t="shared" si="5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54"/>
        <v>·</v>
      </c>
      <c r="AD356" s="34" t="str">
        <f t="shared" si="55"/>
        <v>·</v>
      </c>
      <c r="AE356" s="34" t="str">
        <f t="shared" si="56"/>
        <v>·</v>
      </c>
      <c r="AF356" s="35"/>
      <c r="AG356" s="34" t="str">
        <f t="shared" si="38"/>
        <v>·</v>
      </c>
      <c r="AH356" s="34" t="str">
        <f t="shared" si="5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5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25">
      <c r="A357" s="15"/>
      <c r="B357" s="15" t="s">
        <v>1041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50"/>
        <v>·</v>
      </c>
      <c r="J357" s="19" t="str">
        <f t="shared" si="51"/>
        <v>·</v>
      </c>
      <c r="K357" s="19" t="str">
        <f t="shared" si="52"/>
        <v>·</v>
      </c>
      <c r="L357" s="20"/>
      <c r="M357" s="19" t="str">
        <f t="shared" si="37"/>
        <v>·</v>
      </c>
      <c r="N357" s="19" t="str">
        <f t="shared" si="5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54"/>
        <v>·</v>
      </c>
      <c r="AD357" s="19" t="str">
        <f t="shared" si="55"/>
        <v>·</v>
      </c>
      <c r="AE357" s="19" t="str">
        <f t="shared" si="56"/>
        <v>·</v>
      </c>
      <c r="AF357" s="20"/>
      <c r="AG357" s="19" t="str">
        <f t="shared" si="38"/>
        <v>·</v>
      </c>
      <c r="AH357" s="19" t="str">
        <f t="shared" si="5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5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5" outlineLevel="1" thickBot="1" x14ac:dyDescent="0.3">
      <c r="A358" s="45"/>
      <c r="B358" s="45" t="s">
        <v>1041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50"/>
        <v>·</v>
      </c>
      <c r="J358" s="49" t="str">
        <f t="shared" si="51"/>
        <v>·</v>
      </c>
      <c r="K358" s="49" t="str">
        <f t="shared" si="52"/>
        <v>·</v>
      </c>
      <c r="L358" s="50"/>
      <c r="M358" s="49" t="str">
        <f t="shared" si="37"/>
        <v>·</v>
      </c>
      <c r="N358" s="49" t="str">
        <f t="shared" si="5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54"/>
        <v>·</v>
      </c>
      <c r="AD358" s="49" t="str">
        <f t="shared" si="55"/>
        <v>·</v>
      </c>
      <c r="AE358" s="49" t="str">
        <f t="shared" si="56"/>
        <v>·</v>
      </c>
      <c r="AF358" s="50"/>
      <c r="AG358" s="49" t="str">
        <f t="shared" si="38"/>
        <v>·</v>
      </c>
      <c r="AH358" s="49" t="str">
        <f t="shared" si="5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5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25">
      <c r="B359" s="60" t="s">
        <v>402</v>
      </c>
      <c r="J359" s="61">
        <f>AVERAGE(J5:J58)</f>
        <v>0.48210108452599837</v>
      </c>
      <c r="K359" s="61">
        <f>AVERAGE(K5:K58)</f>
        <v>8.3760343612466953E-2</v>
      </c>
      <c r="L359" s="61">
        <f>AVERAGE(L5:L58)</f>
        <v>0.39793468438352853</v>
      </c>
      <c r="M359" s="62"/>
      <c r="AD359" s="61">
        <f>AVERAGE(AD5:AD58)</f>
        <v>0.32077453306242226</v>
      </c>
      <c r="AE359" s="61">
        <f>AVERAGE(AE5:AE58)</f>
        <v>5.5653187846651513E-2</v>
      </c>
      <c r="AF359" s="61">
        <f>AVERAGE(AF5:AF58)</f>
        <v>0.26485064086243554</v>
      </c>
      <c r="AG359" s="62"/>
      <c r="AX359" s="7" t="e">
        <f>AVERAGE(AX5:AX58)</f>
        <v>#DIV/0!</v>
      </c>
      <c r="AZ359" s="3">
        <f>AVERAGE(AZ5:AZ58)</f>
        <v>-1.3582147579339251E-2</v>
      </c>
      <c r="BA359" s="3">
        <f>AVERAGE(BA5:BA58)</f>
        <v>-1.3484765783712938E-2</v>
      </c>
      <c r="BB359" s="3">
        <f>AVERAGE(BB5:BB58)</f>
        <v>-4.2586959916306576E-3</v>
      </c>
      <c r="BC359" s="3">
        <f>AVERAGE(BC5:BC58)</f>
        <v>-4.1104355839986324E-3</v>
      </c>
      <c r="BD359" s="3">
        <f>AVERAGE(BD5:BD58)</f>
        <v>-4.2861180567394953E-3</v>
      </c>
      <c r="BE359" s="4"/>
      <c r="BG359" s="3">
        <f>AVERAGE(BG5:BG58)</f>
        <v>-6.1637050234352913E-3</v>
      </c>
      <c r="BH359" s="3">
        <f>AVERAGE(BH5:BH58)</f>
        <v>-6.132221878935782E-3</v>
      </c>
      <c r="BI359" s="3">
        <f>AVERAGE(BI5:BI58)</f>
        <v>-5.3949020543597121E-3</v>
      </c>
      <c r="BJ359" s="3">
        <f>AVERAGE(BJ5:BJ58)</f>
        <v>-5.201331959077472E-3</v>
      </c>
      <c r="BK359" s="3">
        <f>AVERAGE(BK5:BK58)</f>
        <v>-5.4441507122067806E-3</v>
      </c>
      <c r="BL359" s="4"/>
    </row>
    <row r="360" spans="1:64" x14ac:dyDescent="0.25">
      <c r="B360" s="60" t="s">
        <v>403</v>
      </c>
      <c r="J360" s="61">
        <f>AVERAGE(J59:J130)</f>
        <v>0.52391838786514655</v>
      </c>
      <c r="K360" s="61">
        <f>AVERAGE(K59:K130)</f>
        <v>9.2859767013408201E-2</v>
      </c>
      <c r="L360" s="61">
        <f>AVERAGE(L59:L130)</f>
        <v>0.43085677335463274</v>
      </c>
      <c r="M360" s="62"/>
      <c r="AD360" s="61">
        <f>AVERAGE(AD59:AD130)</f>
        <v>0.34924203769350121</v>
      </c>
      <c r="AE360" s="61">
        <f>AVERAGE(AE59:AE130)</f>
        <v>6.1749172182776611E-2</v>
      </c>
      <c r="AF360" s="61">
        <f>AVERAGE(AF59:AF130)</f>
        <v>0.28735830051265432</v>
      </c>
      <c r="AG360" s="62"/>
      <c r="AX360" s="7" t="e">
        <f>AVERAGE(AX59:AX130)</f>
        <v>#DIV/0!</v>
      </c>
      <c r="AZ360" s="3">
        <f>AVERAGE(AZ59:AZ130)</f>
        <v>-1.1449486739344835E-2</v>
      </c>
      <c r="BA360" s="3">
        <f>AVERAGE(BA59:BA130)</f>
        <v>-1.1278903246754171E-2</v>
      </c>
      <c r="BB360" s="3">
        <f>AVERAGE(BB59:BB130)</f>
        <v>-5.6911395789120223E-4</v>
      </c>
      <c r="BC360" s="3">
        <f>AVERAGE(BC59:BC130)</f>
        <v>3.0637611451260022E-4</v>
      </c>
      <c r="BD360" s="3">
        <f>AVERAGE(BD59:BD130)</f>
        <v>-9.1321593985812155E-4</v>
      </c>
      <c r="BE360" s="4"/>
      <c r="BG360" s="3">
        <f>AVERAGE(BG59:BG130)</f>
        <v>-4.6757794842002083E-3</v>
      </c>
      <c r="BH360" s="3">
        <f>AVERAGE(BH59:BH130)</f>
        <v>-4.185119923223235E-3</v>
      </c>
      <c r="BI360" s="3">
        <f>AVERAGE(BI59:BI130)</f>
        <v>-2.4300341806593184E-3</v>
      </c>
      <c r="BJ360" s="3">
        <f>AVERAGE(BJ59:BJ130)</f>
        <v>-1.6847220235388465E-3</v>
      </c>
      <c r="BK360" s="3">
        <f>AVERAGE(BK59:BK130)</f>
        <v>-2.6621195080764513E-3</v>
      </c>
      <c r="BL360" s="4"/>
    </row>
    <row r="361" spans="1:64" x14ac:dyDescent="0.25">
      <c r="B361" s="60" t="s">
        <v>404</v>
      </c>
      <c r="J361" s="61">
        <f>AVERAGE(J131:J184)</f>
        <v>0.8533235501808909</v>
      </c>
      <c r="K361" s="61">
        <f>AVERAGE(K131:K184)</f>
        <v>8.6495296998052557E-2</v>
      </c>
      <c r="L361" s="61">
        <f>AVERAGE(L131:L184)</f>
        <v>0.76636477077964349</v>
      </c>
      <c r="M361" s="62"/>
      <c r="AD361" s="61">
        <f>AVERAGE(AD131:AD184)</f>
        <v>0.56924614877980217</v>
      </c>
      <c r="AE361" s="61">
        <f>AVERAGE(AE131:AE184)</f>
        <v>5.7504646824587259E-2</v>
      </c>
      <c r="AF361" s="61">
        <f>AVERAGE(AF131:AF184)</f>
        <v>0.5114325136864184</v>
      </c>
      <c r="AG361" s="62"/>
      <c r="AX361" s="7" t="e">
        <f>AVERAGE(AX131:AX184)</f>
        <v>#DIV/0!</v>
      </c>
      <c r="AZ361" s="3">
        <f>AVERAGE(AZ131:AZ184)</f>
        <v>-2.1601202770843691E-2</v>
      </c>
      <c r="BA361" s="3">
        <f>AVERAGE(BA131:BA184)</f>
        <v>-2.074697877986029E-2</v>
      </c>
      <c r="BB361" s="3">
        <f>AVERAGE(BB131:BB184)</f>
        <v>6.0094537778719133E-3</v>
      </c>
      <c r="BC361" s="3">
        <f>AVERAGE(BC131:BC184)</f>
        <v>5.4104947679036973E-3</v>
      </c>
      <c r="BD361" s="3">
        <f>AVERAGE(BD131:BD184)</f>
        <v>5.636131781724384E-3</v>
      </c>
      <c r="BE361" s="4"/>
      <c r="BG361" s="3">
        <f>AVERAGE(BG131:BG184)</f>
        <v>4.5441040723038411E-3</v>
      </c>
      <c r="BH361" s="3">
        <f>AVERAGE(BH131:BH184)</f>
        <v>4.0400280025464485E-3</v>
      </c>
      <c r="BI361" s="3">
        <f>AVERAGE(BI131:BI184)</f>
        <v>4.3767855052425269E-3</v>
      </c>
      <c r="BJ361" s="3">
        <f>AVERAGE(BJ131:BJ184)</f>
        <v>3.8848505285742846E-3</v>
      </c>
      <c r="BK361" s="3">
        <f>AVERAGE(BK131:BK184)</f>
        <v>4.1064074188325028E-3</v>
      </c>
      <c r="BL361" s="4"/>
    </row>
    <row r="362" spans="1:64" x14ac:dyDescent="0.25">
      <c r="B362" s="60" t="s">
        <v>405</v>
      </c>
      <c r="J362" s="61">
        <f>AVERAGE(J185:J280)</f>
        <v>0.75353460465405464</v>
      </c>
      <c r="K362" s="61">
        <f>AVERAGE(K185:K280)</f>
        <v>8.7452047846307016E-2</v>
      </c>
      <c r="L362" s="61">
        <f>AVERAGE(L185:L280)</f>
        <v>0.66573822860002474</v>
      </c>
      <c r="M362" s="62"/>
      <c r="AD362" s="61">
        <f>AVERAGE(AD185:AD280)</f>
        <v>0.49618570002583318</v>
      </c>
      <c r="AE362" s="61">
        <f>AVERAGE(AE185:AE280)</f>
        <v>5.8024511250321299E-2</v>
      </c>
      <c r="AF362" s="61">
        <f>AVERAGE(AF185:AF280)</f>
        <v>0.44255960906365366</v>
      </c>
      <c r="AG362" s="62"/>
      <c r="AX362" s="7" t="e">
        <f>AVERAGE(AX185:AX280)</f>
        <v>#DIV/0!</v>
      </c>
      <c r="AZ362" s="3">
        <f>AVERAGE(AZ185:AZ280)</f>
        <v>-2.3224666270843422E-2</v>
      </c>
      <c r="BA362" s="3">
        <f>AVERAGE(BA185:BA280)</f>
        <v>-2.2893804088856523E-2</v>
      </c>
      <c r="BB362" s="3">
        <f>AVERAGE(BB185:BB280)</f>
        <v>-4.1901365766974646E-3</v>
      </c>
      <c r="BC362" s="3">
        <f>AVERAGE(BC185:BC280)</f>
        <v>-5.3010777857741484E-3</v>
      </c>
      <c r="BD362" s="3">
        <f>AVERAGE(BD185:BD280)</f>
        <v>-5.1033131198966603E-3</v>
      </c>
      <c r="BE362" s="4"/>
      <c r="BG362" s="3" t="e">
        <f>AVERAGE(BG185:BG280)</f>
        <v>#VALUE!</v>
      </c>
      <c r="BH362" s="3" t="e">
        <f>AVERAGE(BH185:BH280)</f>
        <v>#VALUE!</v>
      </c>
      <c r="BI362" s="3" t="e">
        <f>AVERAGE(BI185:BI280)</f>
        <v>#VALUE!</v>
      </c>
      <c r="BJ362" s="3" t="e">
        <f>AVERAGE(BJ185:BJ280)</f>
        <v>#VALUE!</v>
      </c>
      <c r="BK362" s="3" t="e">
        <f>AVERAGE(BK185:BK280)</f>
        <v>#VALUE!</v>
      </c>
      <c r="BL362" s="4"/>
    </row>
    <row r="363" spans="1:64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59">AVERAGE(AZ281:AZ298)</f>
        <v>#DIV/0!</v>
      </c>
      <c r="BA363" s="3" t="e">
        <f t="shared" si="59"/>
        <v>#DIV/0!</v>
      </c>
      <c r="BB363" s="3" t="e">
        <f t="shared" si="59"/>
        <v>#DIV/0!</v>
      </c>
      <c r="BC363" s="3" t="e">
        <f t="shared" si="59"/>
        <v>#DIV/0!</v>
      </c>
      <c r="BD363" s="3" t="e">
        <f t="shared" si="59"/>
        <v>#DIV/0!</v>
      </c>
      <c r="BE363" s="3" t="e">
        <f t="shared" si="59"/>
        <v>#DIV/0!</v>
      </c>
      <c r="BG363" s="3" t="e">
        <f t="shared" ref="BG363:BL363" si="60">AVERAGE(BG281:BG298)</f>
        <v>#DIV/0!</v>
      </c>
      <c r="BH363" s="3" t="e">
        <f t="shared" si="60"/>
        <v>#DIV/0!</v>
      </c>
      <c r="BI363" s="3" t="e">
        <f t="shared" si="60"/>
        <v>#DIV/0!</v>
      </c>
      <c r="BJ363" s="3" t="e">
        <f t="shared" si="60"/>
        <v>#DIV/0!</v>
      </c>
      <c r="BK363" s="3" t="e">
        <f t="shared" si="60"/>
        <v>#DIV/0!</v>
      </c>
      <c r="BL363" s="3" t="e">
        <f t="shared" si="60"/>
        <v>#DIV/0!</v>
      </c>
    </row>
    <row r="364" spans="1:64" x14ac:dyDescent="0.25">
      <c r="B364" s="60" t="s">
        <v>1019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8" x14ac:dyDescent="0.25">
      <c r="B365" s="60" t="s">
        <v>1020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25">
      <c r="B366" s="60" t="s">
        <v>407</v>
      </c>
      <c r="J366" s="61">
        <f>AVERAGE(J5:J358)</f>
        <v>0.6600520878523618</v>
      </c>
      <c r="K366" s="61">
        <f>AVERAGE(K5:K358)</f>
        <v>8.7953276852097501E-2</v>
      </c>
      <c r="L366" s="61">
        <f>AVERAGE(L5:L298)</f>
        <v>0.57175626161575055</v>
      </c>
      <c r="M366" s="61" t="e">
        <f>AVERAGE(M281:M358)</f>
        <v>#DIV/0!</v>
      </c>
      <c r="AD366" s="61">
        <f>AVERAGE(AD5:AD358)</f>
        <v>0.43782743020250819</v>
      </c>
      <c r="AE366" s="61">
        <f>AVERAGE(AE5:AE358)</f>
        <v>5.8430494744339305E-2</v>
      </c>
      <c r="AF366" s="61">
        <f>AVERAGE(AF5:AF298)</f>
        <v>0.38077829874152141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-1.7948666399071288E-2</v>
      </c>
      <c r="BA366" s="3">
        <f>AVERAGE(BA5:BA358)</f>
        <v>-1.7602900118585074E-2</v>
      </c>
      <c r="BB366" s="3">
        <f>AVERAGE(BB5:BB298)</f>
        <v>-1.2633637531670123E-3</v>
      </c>
      <c r="BC366" s="3">
        <f>AVERAGE(BC5:BC298)</f>
        <v>-1.5095695335454256E-3</v>
      </c>
      <c r="BD366" s="3">
        <f>AVERAGE(BD5:BD298)</f>
        <v>-1.7491625580821745E-3</v>
      </c>
      <c r="BE366" s="3" t="e">
        <f>AVERAGE(BE281:BE358)</f>
        <v>#DIV/0!</v>
      </c>
      <c r="BG366" s="3" t="e">
        <f>AVERAGE(BG5:BG358)</f>
        <v>#VALUE!</v>
      </c>
      <c r="BH366" s="3" t="e">
        <f>AVERAGE(BH5:BH358)</f>
        <v>#VALUE!</v>
      </c>
      <c r="BI366" s="3" t="e">
        <f>AVERAGE(BI5:BI298)</f>
        <v>#VALUE!</v>
      </c>
      <c r="BJ366" s="3" t="e">
        <f>AVERAGE(BJ5:BJ298)</f>
        <v>#VALUE!</v>
      </c>
      <c r="BK366" s="3" t="e">
        <f>AVERAGE(BK5:BK298)</f>
        <v>#VALUE!</v>
      </c>
      <c r="BL366" s="3" t="e">
        <f>AVERAGE(BL281:BL358)</f>
        <v>#DIV/0!</v>
      </c>
    </row>
    <row r="367" spans="1:64" hidden="1" outlineLevel="2" x14ac:dyDescent="0.25">
      <c r="A367" s="60" t="s">
        <v>408</v>
      </c>
      <c r="B367" s="60" t="s">
        <v>409</v>
      </c>
      <c r="Z367" s="63">
        <f>SUM(Z5:Z58,Z59:Z130,Z131:Z184,Z185:Z280,Z281:Z298,Z299:Z340,Z341:Z358)</f>
        <v>0</v>
      </c>
      <c r="AA367" s="63">
        <f>SUM(AA5:AA58,AA59:AA130,AA131:AA184,AA185:AA280,AA281:AA298,AA299:AA340,AA341:AA358)</f>
        <v>0</v>
      </c>
      <c r="AT367" s="63">
        <f>SUM(AT5:AT58,AT59:AT130,AT131:AT184,AT185:AT280,AT281:AT298,AT299:AT340,AT341:AT358)</f>
        <v>0</v>
      </c>
      <c r="AU367" s="63">
        <f>SUM(AU5:AU58,AU59:AU130,AU131:AU184,AU185:AU280,AU281:AU298,AU299:AU340,AU341:AU358)</f>
        <v>0</v>
      </c>
    </row>
    <row r="368" spans="1:64" hidden="1" outlineLevel="2" x14ac:dyDescent="0.25">
      <c r="B368" s="60" t="s">
        <v>410</v>
      </c>
      <c r="AT368" s="7" t="e">
        <f>AT367/Z367</f>
        <v>#DIV/0!</v>
      </c>
      <c r="AU368" s="7" t="e">
        <f>AU367/AA367</f>
        <v>#DIV/0!</v>
      </c>
    </row>
    <row r="369" spans="2:47" hidden="1" outlineLevel="2" x14ac:dyDescent="0.25">
      <c r="B369" s="60" t="s">
        <v>411</v>
      </c>
      <c r="Z369" s="63" t="e">
        <f>GEOMEAN(Z5:Z58,Z59:Z130,Z131:Z184,Z185:Z280,Z281:Z298,Z299:Z358,Z341:Z358)</f>
        <v>#NUM!</v>
      </c>
      <c r="AA369" s="63" t="e">
        <f>GEOMEAN(AA5:AA58,AA59:AA130,AA131:AA184,AA185:AA280,AA281:AA298,AA299:AA358,AA341:AA358)</f>
        <v>#NUM!</v>
      </c>
      <c r="AT369" s="63" t="e">
        <f>GEOMEAN(AT5:AT58,AT59:AT130,AT131:AT184,AT185:AT280,AT281:AT298,AT299:AT358,AT341:AT358)</f>
        <v>#NUM!</v>
      </c>
      <c r="AU369" s="63" t="e">
        <f>GEOMEAN(AU5:AU58,AU59:AU130,AU131:AU184,AU185:AU280,AU281:AU298,AU299:AU358,AU341:AU358)</f>
        <v>#NUM!</v>
      </c>
    </row>
    <row r="370" spans="2:47" outlineLevel="2" collapsed="1" x14ac:dyDescent="0.25">
      <c r="B370" s="60" t="s">
        <v>412</v>
      </c>
      <c r="AT370" s="7" t="e">
        <f>AT369/Z369</f>
        <v>#NUM!</v>
      </c>
      <c r="AU370" s="7" t="e">
        <f>AU369/AA369</f>
        <v>#NUM!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4" outlineLevelRow="2" x14ac:dyDescent="0.25"/>
  <cols>
    <col min="1" max="1" width="20.54296875" bestFit="1" customWidth="1"/>
    <col min="2" max="2" width="30.81640625" bestFit="1" customWidth="1"/>
    <col min="3" max="4" width="10.7265625" customWidth="1"/>
    <col min="7" max="7" width="1.7265625" customWidth="1"/>
    <col min="10" max="12" width="10.7265625" customWidth="1"/>
    <col min="13" max="13" width="11.7265625" customWidth="1"/>
    <col min="14" max="14" width="12.7265625" customWidth="1"/>
    <col min="15" max="15" width="10.7265625" customWidth="1"/>
    <col min="16" max="19" width="12.7265625" customWidth="1"/>
    <col min="22" max="22" width="1.7265625" customWidth="1"/>
    <col min="25" max="27" width="10.7265625" customWidth="1"/>
    <col min="28" max="28" width="11.7265625" customWidth="1"/>
    <col min="29" max="29" width="12.7265625" customWidth="1"/>
    <col min="30" max="30" width="10.7265625" customWidth="1"/>
    <col min="31" max="34" width="12.7265625" customWidth="1"/>
    <col min="37" max="37" width="1.7265625" customWidth="1"/>
    <col min="44" max="44" width="1.7265625" customWidth="1"/>
  </cols>
  <sheetData>
    <row r="1" spans="1:43" x14ac:dyDescent="0.25">
      <c r="A1" s="106" t="s">
        <v>661</v>
      </c>
      <c r="B1" s="106"/>
      <c r="C1" s="106"/>
      <c r="D1" s="106"/>
      <c r="E1" s="106"/>
      <c r="F1" s="106"/>
      <c r="H1" s="94" t="str">
        <f>Summary!C1</f>
        <v>v21.0-rc1-trisoup-predlift</v>
      </c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W1" s="95" t="str">
        <f>Summary!C2</f>
        <v>v21.0-rc1-trisoup-raht</v>
      </c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</row>
    <row r="2" spans="1:43" ht="30" customHeight="1" x14ac:dyDescent="0.25">
      <c r="A2" s="102" t="s">
        <v>91</v>
      </c>
      <c r="B2" s="103" t="s">
        <v>94</v>
      </c>
      <c r="C2" s="102" t="s">
        <v>100</v>
      </c>
      <c r="D2" s="103" t="s">
        <v>103</v>
      </c>
      <c r="E2" s="102" t="s">
        <v>106</v>
      </c>
      <c r="F2" s="103" t="s">
        <v>109</v>
      </c>
      <c r="H2" s="102" t="s">
        <v>619</v>
      </c>
      <c r="I2" s="103" t="s">
        <v>112</v>
      </c>
      <c r="J2" s="105" t="s">
        <v>115</v>
      </c>
      <c r="K2" s="105"/>
      <c r="L2" s="105"/>
      <c r="M2" s="105"/>
      <c r="N2" s="103" t="s">
        <v>128</v>
      </c>
      <c r="O2" s="102" t="s">
        <v>22</v>
      </c>
      <c r="P2" s="104" t="s">
        <v>133</v>
      </c>
      <c r="Q2" s="104"/>
      <c r="R2" s="104"/>
      <c r="S2" s="104"/>
      <c r="T2" s="102" t="s">
        <v>155</v>
      </c>
      <c r="U2" s="103" t="s">
        <v>158</v>
      </c>
      <c r="W2" s="102" t="s">
        <v>619</v>
      </c>
      <c r="X2" s="103" t="s">
        <v>112</v>
      </c>
      <c r="Y2" s="105" t="s">
        <v>115</v>
      </c>
      <c r="Z2" s="105"/>
      <c r="AA2" s="105"/>
      <c r="AB2" s="105"/>
      <c r="AC2" s="103" t="s">
        <v>128</v>
      </c>
      <c r="AD2" s="102" t="s">
        <v>22</v>
      </c>
      <c r="AE2" s="104" t="s">
        <v>133</v>
      </c>
      <c r="AF2" s="104"/>
      <c r="AG2" s="104"/>
      <c r="AH2" s="104"/>
      <c r="AI2" s="102" t="s">
        <v>155</v>
      </c>
      <c r="AJ2" s="103" t="s">
        <v>158</v>
      </c>
      <c r="AL2" s="105" t="s">
        <v>650</v>
      </c>
      <c r="AM2" s="105"/>
      <c r="AN2" s="105"/>
      <c r="AO2" s="105"/>
      <c r="AP2" s="103" t="s">
        <v>195</v>
      </c>
      <c r="AQ2" s="102" t="s">
        <v>195</v>
      </c>
    </row>
    <row r="3" spans="1:43" ht="28.5" thickBot="1" x14ac:dyDescent="0.3">
      <c r="A3" s="102"/>
      <c r="B3" s="103"/>
      <c r="C3" s="102"/>
      <c r="D3" s="103"/>
      <c r="E3" s="102"/>
      <c r="F3" s="103"/>
      <c r="H3" s="102"/>
      <c r="I3" s="103"/>
      <c r="J3" s="11" t="s">
        <v>116</v>
      </c>
      <c r="K3" s="11" t="s">
        <v>119</v>
      </c>
      <c r="L3" s="11" t="s">
        <v>122</v>
      </c>
      <c r="M3" s="11" t="s">
        <v>125</v>
      </c>
      <c r="N3" s="103"/>
      <c r="O3" s="102"/>
      <c r="P3" s="12" t="s">
        <v>116</v>
      </c>
      <c r="Q3" s="12" t="s">
        <v>119</v>
      </c>
      <c r="R3" s="12" t="s">
        <v>138</v>
      </c>
      <c r="S3" s="12" t="s">
        <v>125</v>
      </c>
      <c r="T3" s="102"/>
      <c r="U3" s="103"/>
      <c r="W3" s="102"/>
      <c r="X3" s="103"/>
      <c r="Y3" s="11" t="s">
        <v>116</v>
      </c>
      <c r="Z3" s="11" t="s">
        <v>119</v>
      </c>
      <c r="AA3" s="11" t="s">
        <v>122</v>
      </c>
      <c r="AB3" s="11" t="s">
        <v>125</v>
      </c>
      <c r="AC3" s="103"/>
      <c r="AD3" s="102"/>
      <c r="AE3" s="12" t="s">
        <v>116</v>
      </c>
      <c r="AF3" s="12" t="s">
        <v>119</v>
      </c>
      <c r="AG3" s="12" t="s">
        <v>138</v>
      </c>
      <c r="AH3" s="12" t="s">
        <v>125</v>
      </c>
      <c r="AI3" s="102"/>
      <c r="AJ3" s="103"/>
      <c r="AL3" s="11" t="s">
        <v>116</v>
      </c>
      <c r="AM3" s="11" t="s">
        <v>119</v>
      </c>
      <c r="AN3" s="11" t="s">
        <v>138</v>
      </c>
      <c r="AO3" s="11" t="s">
        <v>125</v>
      </c>
      <c r="AP3" s="103"/>
      <c r="AQ3" s="102"/>
    </row>
    <row r="4" spans="1:43" ht="129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2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2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2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2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2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2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2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2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2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2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2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2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2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2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2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2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2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2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2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2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2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2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2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2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2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2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2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2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2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2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2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2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2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2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2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2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2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2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2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2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2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2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2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2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2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2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2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2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2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25">
      <c r="A54" s="15" t="s">
        <v>1017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2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2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2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2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2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5" collapsed="1" thickBot="1" x14ac:dyDescent="0.3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25">
      <c r="A61" s="80" t="s">
        <v>1018</v>
      </c>
      <c r="B61" s="80" t="s">
        <v>1039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25">
      <c r="A62" s="30"/>
      <c r="B62" s="30" t="s">
        <v>1040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5" collapsed="1" thickBot="1" x14ac:dyDescent="0.3">
      <c r="A63" s="64"/>
      <c r="B63" s="64" t="s">
        <v>1041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2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2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2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2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2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25">
      <c r="B69" s="60" t="s">
        <v>1019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8" x14ac:dyDescent="0.25">
      <c r="B70" s="60" t="s">
        <v>1020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2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2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2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2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2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4" outlineLevelRow="2" x14ac:dyDescent="0.25"/>
  <cols>
    <col min="1" max="1" width="20.54296875" bestFit="1" customWidth="1"/>
    <col min="2" max="2" width="30.81640625" bestFit="1" customWidth="1"/>
    <col min="4" max="5" width="10.7265625" customWidth="1"/>
    <col min="8" max="8" width="1.7265625" customWidth="1"/>
    <col min="10" max="12" width="10.7265625" customWidth="1"/>
    <col min="13" max="13" width="11.7265625" customWidth="1"/>
    <col min="14" max="14" width="12.7265625" customWidth="1"/>
    <col min="15" max="15" width="10.7265625" customWidth="1"/>
    <col min="16" max="19" width="12.7265625" customWidth="1"/>
    <col min="20" max="27" width="11.7265625" customWidth="1"/>
    <col min="30" max="30" width="1.7265625" customWidth="1"/>
    <col min="32" max="34" width="10.7265625" customWidth="1"/>
    <col min="35" max="35" width="11.7265625" customWidth="1"/>
    <col min="36" max="36" width="12.7265625" customWidth="1"/>
    <col min="37" max="37" width="10.7265625" customWidth="1"/>
    <col min="38" max="41" width="12.7265625" customWidth="1"/>
    <col min="42" max="49" width="11.7265625" customWidth="1"/>
    <col min="52" max="52" width="1.7265625" customWidth="1"/>
    <col min="55" max="55" width="1.7265625" customWidth="1"/>
    <col min="56" max="59" width="11.7265625" customWidth="1"/>
    <col min="60" max="60" width="1.7265625" customWidth="1"/>
    <col min="61" max="64" width="11.7265625" customWidth="1"/>
    <col min="65" max="65" width="1.7265625" customWidth="1"/>
    <col min="66" max="69" width="11.7265625" customWidth="1"/>
    <col min="70" max="70" width="1.7265625" customWidth="1"/>
    <col min="71" max="74" width="11.7265625" customWidth="1"/>
    <col min="75" max="75" width="1.7265625" customWidth="1"/>
  </cols>
  <sheetData>
    <row r="1" spans="1:74" x14ac:dyDescent="0.25">
      <c r="A1" s="106" t="s">
        <v>868</v>
      </c>
      <c r="B1" s="106"/>
      <c r="C1" s="106"/>
      <c r="D1" s="106"/>
      <c r="E1" s="106"/>
      <c r="F1" s="106"/>
      <c r="G1" s="106"/>
      <c r="I1" s="94" t="str">
        <f>Summary!C1</f>
        <v>v21.0-rc1-trisoup-predlift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E1" s="95" t="str">
        <f>Summary!C2</f>
        <v>v21.0-rc1-trisoup-raht</v>
      </c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</row>
    <row r="2" spans="1:74" ht="30" customHeight="1" x14ac:dyDescent="0.25">
      <c r="A2" s="102" t="s">
        <v>91</v>
      </c>
      <c r="B2" s="103" t="s">
        <v>94</v>
      </c>
      <c r="C2" s="102" t="s">
        <v>97</v>
      </c>
      <c r="D2" s="103" t="s">
        <v>100</v>
      </c>
      <c r="E2" s="102" t="s">
        <v>103</v>
      </c>
      <c r="F2" s="103" t="s">
        <v>106</v>
      </c>
      <c r="G2" s="102" t="s">
        <v>109</v>
      </c>
      <c r="I2" s="103" t="s">
        <v>112</v>
      </c>
      <c r="J2" s="105" t="s">
        <v>115</v>
      </c>
      <c r="K2" s="105"/>
      <c r="L2" s="105"/>
      <c r="M2" s="105"/>
      <c r="N2" s="103" t="s">
        <v>128</v>
      </c>
      <c r="O2" s="102" t="s">
        <v>22</v>
      </c>
      <c r="P2" s="104" t="s">
        <v>133</v>
      </c>
      <c r="Q2" s="104"/>
      <c r="R2" s="104"/>
      <c r="S2" s="104"/>
      <c r="T2" s="105" t="s">
        <v>143</v>
      </c>
      <c r="U2" s="105"/>
      <c r="V2" s="105"/>
      <c r="W2" s="105"/>
      <c r="X2" s="104" t="s">
        <v>804</v>
      </c>
      <c r="Y2" s="104"/>
      <c r="Z2" s="104"/>
      <c r="AA2" s="104"/>
      <c r="AB2" s="102" t="s">
        <v>155</v>
      </c>
      <c r="AC2" s="103" t="s">
        <v>158</v>
      </c>
      <c r="AE2" s="102" t="s">
        <v>112</v>
      </c>
      <c r="AF2" s="104" t="s">
        <v>115</v>
      </c>
      <c r="AG2" s="104"/>
      <c r="AH2" s="104"/>
      <c r="AI2" s="104"/>
      <c r="AJ2" s="102" t="s">
        <v>128</v>
      </c>
      <c r="AK2" s="103" t="s">
        <v>22</v>
      </c>
      <c r="AL2" s="105" t="s">
        <v>133</v>
      </c>
      <c r="AM2" s="105"/>
      <c r="AN2" s="105"/>
      <c r="AO2" s="105"/>
      <c r="AP2" s="104" t="s">
        <v>143</v>
      </c>
      <c r="AQ2" s="104"/>
      <c r="AR2" s="104"/>
      <c r="AS2" s="104"/>
      <c r="AT2" s="105" t="s">
        <v>804</v>
      </c>
      <c r="AU2" s="105"/>
      <c r="AV2" s="105"/>
      <c r="AW2" s="105"/>
      <c r="AX2" s="103" t="s">
        <v>155</v>
      </c>
      <c r="AY2" s="102" t="s">
        <v>158</v>
      </c>
      <c r="BA2" s="103" t="s">
        <v>195</v>
      </c>
      <c r="BB2" s="102" t="s">
        <v>195</v>
      </c>
      <c r="BD2" s="104" t="s">
        <v>200</v>
      </c>
      <c r="BE2" s="104"/>
      <c r="BF2" s="104"/>
      <c r="BG2" s="104"/>
      <c r="BI2" s="105" t="s">
        <v>846</v>
      </c>
      <c r="BJ2" s="105"/>
      <c r="BK2" s="105"/>
      <c r="BL2" s="105"/>
      <c r="BN2" s="104" t="s">
        <v>209</v>
      </c>
      <c r="BO2" s="104"/>
      <c r="BP2" s="104"/>
      <c r="BQ2" s="104"/>
      <c r="BS2" s="105" t="s">
        <v>859</v>
      </c>
      <c r="BT2" s="105"/>
      <c r="BU2" s="105"/>
      <c r="BV2" s="105"/>
    </row>
    <row r="3" spans="1:74" ht="28.5" thickBot="1" x14ac:dyDescent="0.3">
      <c r="A3" s="102"/>
      <c r="B3" s="103"/>
      <c r="C3" s="102"/>
      <c r="D3" s="103"/>
      <c r="E3" s="102"/>
      <c r="F3" s="103"/>
      <c r="G3" s="102"/>
      <c r="I3" s="103"/>
      <c r="J3" s="11" t="s">
        <v>116</v>
      </c>
      <c r="K3" s="11" t="s">
        <v>119</v>
      </c>
      <c r="L3" s="11" t="s">
        <v>122</v>
      </c>
      <c r="M3" s="11" t="s">
        <v>125</v>
      </c>
      <c r="N3" s="103"/>
      <c r="O3" s="102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2"/>
      <c r="AC3" s="103"/>
      <c r="AE3" s="102"/>
      <c r="AF3" s="12" t="s">
        <v>116</v>
      </c>
      <c r="AG3" s="12" t="s">
        <v>119</v>
      </c>
      <c r="AH3" s="12" t="s">
        <v>122</v>
      </c>
      <c r="AI3" s="12" t="s">
        <v>125</v>
      </c>
      <c r="AJ3" s="102"/>
      <c r="AK3" s="103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3"/>
      <c r="AY3" s="102"/>
      <c r="BA3" s="103"/>
      <c r="BB3" s="102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29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5" outlineLevel="1" thickBot="1" x14ac:dyDescent="0.3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2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2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2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2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5" outlineLevel="1" thickBot="1" x14ac:dyDescent="0.3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2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2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2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2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5" outlineLevel="1" thickBot="1" x14ac:dyDescent="0.3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2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2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2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2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5" outlineLevel="1" thickBot="1" x14ac:dyDescent="0.3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2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2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2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2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5" outlineLevel="1" thickBot="1" x14ac:dyDescent="0.3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2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2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2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2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5" outlineLevel="1" thickBot="1" x14ac:dyDescent="0.3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2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2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2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2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5" outlineLevel="1" thickBot="1" x14ac:dyDescent="0.3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2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2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2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2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5" outlineLevel="1" thickBot="1" x14ac:dyDescent="0.3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2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2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2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2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5" outlineLevel="1" thickBot="1" x14ac:dyDescent="0.3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2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2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2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2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5" outlineLevel="1" thickBot="1" x14ac:dyDescent="0.3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2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2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2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2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5" outlineLevel="1" thickBot="1" x14ac:dyDescent="0.3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2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2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2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2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5" outlineLevel="1" thickBot="1" x14ac:dyDescent="0.3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2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2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2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2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5" outlineLevel="1" thickBot="1" x14ac:dyDescent="0.3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2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2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2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2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5" outlineLevel="1" thickBot="1" x14ac:dyDescent="0.3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2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2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2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2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5" outlineLevel="1" thickBot="1" x14ac:dyDescent="0.3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2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2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2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2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5" outlineLevel="1" thickBot="1" x14ac:dyDescent="0.3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2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2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2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2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5" outlineLevel="1" thickBot="1" x14ac:dyDescent="0.3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2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2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2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2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5" outlineLevel="1" thickBot="1" x14ac:dyDescent="0.3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2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2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2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2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5" outlineLevel="1" thickBot="1" x14ac:dyDescent="0.3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2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2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2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2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5" outlineLevel="1" thickBot="1" x14ac:dyDescent="0.3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2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2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2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2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5" outlineLevel="1" thickBot="1" x14ac:dyDescent="0.3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2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2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2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2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5" outlineLevel="1" thickBot="1" x14ac:dyDescent="0.3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2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2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2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2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5" outlineLevel="1" thickBot="1" x14ac:dyDescent="0.3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2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2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2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2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5" outlineLevel="1" thickBot="1" x14ac:dyDescent="0.3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2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2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2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2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5" outlineLevel="1" thickBot="1" x14ac:dyDescent="0.3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2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2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2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2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5" outlineLevel="1" thickBot="1" x14ac:dyDescent="0.3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2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2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2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2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5" outlineLevel="1" thickBot="1" x14ac:dyDescent="0.3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2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2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2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2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5" outlineLevel="1" thickBot="1" x14ac:dyDescent="0.3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2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2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2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2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5" outlineLevel="1" thickBot="1" x14ac:dyDescent="0.3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2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2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2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2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5" outlineLevel="1" thickBot="1" x14ac:dyDescent="0.3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2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2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2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2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5" outlineLevel="1" thickBot="1" x14ac:dyDescent="0.3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2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2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2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2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5" outlineLevel="1" thickBot="1" x14ac:dyDescent="0.3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2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2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2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2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5" outlineLevel="1" thickBot="1" x14ac:dyDescent="0.3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2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2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2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2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5" outlineLevel="1" thickBot="1" x14ac:dyDescent="0.3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2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2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2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2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5" outlineLevel="1" thickBot="1" x14ac:dyDescent="0.3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2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2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2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2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5" outlineLevel="1" thickBot="1" x14ac:dyDescent="0.3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2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2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2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2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5" outlineLevel="1" thickBot="1" x14ac:dyDescent="0.3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2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2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2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2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5" outlineLevel="1" thickBot="1" x14ac:dyDescent="0.3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2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2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2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2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5" outlineLevel="1" thickBot="1" x14ac:dyDescent="0.3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2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2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2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2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5" outlineLevel="1" thickBot="1" x14ac:dyDescent="0.3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2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2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2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2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5" outlineLevel="1" thickBot="1" x14ac:dyDescent="0.3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2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2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2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2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5" outlineLevel="1" thickBot="1" x14ac:dyDescent="0.3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2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2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2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2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5" outlineLevel="1" thickBot="1" x14ac:dyDescent="0.3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2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2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2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2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5" outlineLevel="1" thickBot="1" x14ac:dyDescent="0.3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2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2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2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2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5" outlineLevel="1" thickBot="1" x14ac:dyDescent="0.3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2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2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2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2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5" outlineLevel="1" thickBot="1" x14ac:dyDescent="0.3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2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2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2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2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5" outlineLevel="1" thickBot="1" x14ac:dyDescent="0.3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2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2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2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2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5" outlineLevel="1" thickBot="1" x14ac:dyDescent="0.3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2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2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2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2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5" outlineLevel="1" thickBot="1" x14ac:dyDescent="0.3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25">
      <c r="A250" s="15" t="s">
        <v>1017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2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2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2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5" outlineLevel="1" thickBot="1" x14ac:dyDescent="0.3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2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2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2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2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5" outlineLevel="1" thickBot="1" x14ac:dyDescent="0.3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2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2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2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2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5" outlineLevel="1" thickBot="1" x14ac:dyDescent="0.3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2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2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2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2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5" outlineLevel="1" thickBot="1" x14ac:dyDescent="0.3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2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2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2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2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5" outlineLevel="1" thickBot="1" x14ac:dyDescent="0.3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2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2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2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2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5" outlineLevel="1" thickBot="1" x14ac:dyDescent="0.3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2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2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2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2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5" outlineLevel="1" thickBot="1" x14ac:dyDescent="0.3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25">
      <c r="A285" s="80" t="s">
        <v>1018</v>
      </c>
      <c r="B285" s="15" t="s">
        <v>1039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25">
      <c r="A286" s="30"/>
      <c r="B286" s="30" t="s">
        <v>1039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25">
      <c r="A287" s="15"/>
      <c r="B287" s="15" t="s">
        <v>1039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25">
      <c r="A288" s="30"/>
      <c r="B288" s="30" t="s">
        <v>1039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5" outlineLevel="1" thickBot="1" x14ac:dyDescent="0.3">
      <c r="A289" s="15"/>
      <c r="B289" s="64" t="s">
        <v>1039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25">
      <c r="A290" s="30"/>
      <c r="B290" s="30" t="s">
        <v>1040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25">
      <c r="A291" s="15"/>
      <c r="B291" s="15" t="s">
        <v>1040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25">
      <c r="A292" s="30"/>
      <c r="B292" s="30" t="s">
        <v>1040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25">
      <c r="A293" s="15"/>
      <c r="B293" s="15" t="s">
        <v>1040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5" outlineLevel="1" thickBot="1" x14ac:dyDescent="0.3">
      <c r="A294" s="30"/>
      <c r="B294" s="45" t="s">
        <v>1040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25">
      <c r="A295" s="15"/>
      <c r="B295" s="15" t="s">
        <v>1041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25">
      <c r="A296" s="30"/>
      <c r="B296" s="30" t="s">
        <v>1041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25">
      <c r="A297" s="15"/>
      <c r="B297" s="15" t="s">
        <v>1041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25">
      <c r="A298" s="30"/>
      <c r="B298" s="30" t="s">
        <v>1041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5" outlineLevel="1" thickBot="1" x14ac:dyDescent="0.3">
      <c r="A299" s="64"/>
      <c r="B299" s="64" t="s">
        <v>1041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2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2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2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2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2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25">
      <c r="B305" s="60" t="s">
        <v>1019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8" x14ac:dyDescent="0.25">
      <c r="B306" s="60" t="s">
        <v>1020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2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2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2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2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2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91" workbookViewId="0">
      <selection activeCell="A710" sqref="A710:W985"/>
    </sheetView>
  </sheetViews>
  <sheetFormatPr defaultRowHeight="14" x14ac:dyDescent="0.25"/>
  <sheetData>
    <row r="1" spans="1:22" ht="56.5" thickBot="1" x14ac:dyDescent="0.3">
      <c r="A1" t="s">
        <v>94</v>
      </c>
      <c r="B1" t="s">
        <v>1021</v>
      </c>
      <c r="C1" t="s">
        <v>1022</v>
      </c>
      <c r="D1" t="s">
        <v>1023</v>
      </c>
      <c r="E1" s="11" t="s">
        <v>1024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1025</v>
      </c>
      <c r="S1" s="93" t="s">
        <v>1026</v>
      </c>
      <c r="T1" s="93" t="s">
        <v>1027</v>
      </c>
      <c r="U1" s="93" t="s">
        <v>1028</v>
      </c>
      <c r="V1" s="93" t="s">
        <v>1029</v>
      </c>
    </row>
    <row r="710" spans="1:23" x14ac:dyDescent="0.25">
      <c r="A710" t="s">
        <v>223</v>
      </c>
      <c r="B710" t="s">
        <v>1033</v>
      </c>
      <c r="C710" t="s">
        <v>1031</v>
      </c>
      <c r="D710">
        <v>0</v>
      </c>
      <c r="E710">
        <v>2562769</v>
      </c>
      <c r="F710">
        <v>198368</v>
      </c>
      <c r="G710">
        <v>22384</v>
      </c>
      <c r="H710">
        <v>175104</v>
      </c>
      <c r="I710">
        <v>0</v>
      </c>
      <c r="J710">
        <v>64.552699500000003</v>
      </c>
      <c r="K710">
        <v>65.314211200000003</v>
      </c>
      <c r="L710">
        <v>34.755605500000001</v>
      </c>
      <c r="M710">
        <v>43.442497500000002</v>
      </c>
      <c r="N710">
        <v>47.400003300000002</v>
      </c>
      <c r="O710">
        <v>0</v>
      </c>
      <c r="P710">
        <v>12.304</v>
      </c>
      <c r="Q710">
        <v>2.4319999999999999</v>
      </c>
      <c r="R710">
        <v>0</v>
      </c>
      <c r="S710">
        <v>0</v>
      </c>
      <c r="T710">
        <v>0</v>
      </c>
      <c r="U710">
        <v>0</v>
      </c>
      <c r="V710" t="s">
        <v>1030</v>
      </c>
      <c r="W710">
        <v>2925514</v>
      </c>
    </row>
    <row r="711" spans="1:23" x14ac:dyDescent="0.25">
      <c r="A711" t="s">
        <v>223</v>
      </c>
      <c r="B711" t="s">
        <v>1033</v>
      </c>
      <c r="C711" t="s">
        <v>1031</v>
      </c>
      <c r="D711">
        <v>1</v>
      </c>
      <c r="E711">
        <v>2382817</v>
      </c>
      <c r="F711">
        <v>424648</v>
      </c>
      <c r="G711">
        <v>66552</v>
      </c>
      <c r="H711">
        <v>357216</v>
      </c>
      <c r="I711">
        <v>0</v>
      </c>
      <c r="J711">
        <v>69.932934000000003</v>
      </c>
      <c r="K711">
        <v>73.148303999999996</v>
      </c>
      <c r="L711">
        <v>37.7568524</v>
      </c>
      <c r="M711">
        <v>44.499170100000001</v>
      </c>
      <c r="N711">
        <v>48.885345700000002</v>
      </c>
      <c r="O711">
        <v>0</v>
      </c>
      <c r="P711">
        <v>11.105</v>
      </c>
      <c r="Q711">
        <v>2.5299999999999998</v>
      </c>
      <c r="R711">
        <v>0</v>
      </c>
      <c r="S711">
        <v>0</v>
      </c>
      <c r="T711">
        <v>0</v>
      </c>
      <c r="U711">
        <v>0</v>
      </c>
      <c r="V711" t="s">
        <v>1030</v>
      </c>
      <c r="W711">
        <v>2925514</v>
      </c>
    </row>
    <row r="712" spans="1:23" x14ac:dyDescent="0.25">
      <c r="A712" t="s">
        <v>223</v>
      </c>
      <c r="B712" t="s">
        <v>1033</v>
      </c>
      <c r="C712" t="s">
        <v>1031</v>
      </c>
      <c r="D712">
        <v>2</v>
      </c>
      <c r="E712">
        <v>2486407</v>
      </c>
      <c r="F712">
        <v>1029016</v>
      </c>
      <c r="G712">
        <v>214520</v>
      </c>
      <c r="H712">
        <v>813616</v>
      </c>
      <c r="I712">
        <v>0</v>
      </c>
      <c r="J712">
        <v>74.792384499999997</v>
      </c>
      <c r="K712">
        <v>78.582891500000002</v>
      </c>
      <c r="L712">
        <v>40.518295999999999</v>
      </c>
      <c r="M712">
        <v>45.847318700000002</v>
      </c>
      <c r="N712">
        <v>50.2193702</v>
      </c>
      <c r="O712">
        <v>0</v>
      </c>
      <c r="P712">
        <v>11.814</v>
      </c>
      <c r="Q712">
        <v>3.3919999999999999</v>
      </c>
      <c r="R712">
        <v>0</v>
      </c>
      <c r="S712">
        <v>0</v>
      </c>
      <c r="T712">
        <v>0</v>
      </c>
      <c r="U712">
        <v>0</v>
      </c>
      <c r="V712" t="s">
        <v>1030</v>
      </c>
      <c r="W712">
        <v>2925514</v>
      </c>
    </row>
    <row r="713" spans="1:23" x14ac:dyDescent="0.25">
      <c r="A713" t="s">
        <v>223</v>
      </c>
      <c r="B713" t="s">
        <v>1033</v>
      </c>
      <c r="C713" t="s">
        <v>1031</v>
      </c>
      <c r="D713">
        <v>3</v>
      </c>
      <c r="E713">
        <v>2779567</v>
      </c>
      <c r="F713">
        <v>2691840</v>
      </c>
      <c r="G713">
        <v>667432</v>
      </c>
      <c r="H713">
        <v>2023528</v>
      </c>
      <c r="I713">
        <v>0</v>
      </c>
      <c r="J713">
        <v>76.972874300000001</v>
      </c>
      <c r="K713">
        <v>80.703711699999999</v>
      </c>
      <c r="L713">
        <v>42.685814499999999</v>
      </c>
      <c r="M713">
        <v>47.380206100000002</v>
      </c>
      <c r="N713">
        <v>51.428650300000001</v>
      </c>
      <c r="O713">
        <v>0</v>
      </c>
      <c r="P713">
        <v>15.191000000000001</v>
      </c>
      <c r="Q713">
        <v>6.0529999999999999</v>
      </c>
      <c r="R713">
        <v>0</v>
      </c>
      <c r="S713">
        <v>0</v>
      </c>
      <c r="T713">
        <v>0</v>
      </c>
      <c r="U713">
        <v>0</v>
      </c>
      <c r="V713" t="s">
        <v>1030</v>
      </c>
      <c r="W713">
        <v>2925514</v>
      </c>
    </row>
    <row r="714" spans="1:23" x14ac:dyDescent="0.25">
      <c r="A714" t="s">
        <v>1032</v>
      </c>
    </row>
    <row r="715" spans="1:23" x14ac:dyDescent="0.25">
      <c r="A715" t="s">
        <v>223</v>
      </c>
      <c r="B715" t="s">
        <v>1033</v>
      </c>
      <c r="C715" t="s">
        <v>1031</v>
      </c>
      <c r="D715">
        <v>5</v>
      </c>
      <c r="E715">
        <v>0</v>
      </c>
      <c r="F715" t="s">
        <v>1034</v>
      </c>
      <c r="G715" t="s">
        <v>1034</v>
      </c>
      <c r="H715" t="s">
        <v>1034</v>
      </c>
      <c r="I715" t="s">
        <v>1034</v>
      </c>
      <c r="J715" t="s">
        <v>1034</v>
      </c>
      <c r="K715" t="s">
        <v>1034</v>
      </c>
      <c r="L715" t="s">
        <v>1034</v>
      </c>
      <c r="M715" t="s">
        <v>1034</v>
      </c>
      <c r="N715" t="s">
        <v>1034</v>
      </c>
      <c r="O715" t="s">
        <v>1034</v>
      </c>
      <c r="P715" t="s">
        <v>1034</v>
      </c>
      <c r="Q715" t="s">
        <v>1034</v>
      </c>
      <c r="R715" t="s">
        <v>1034</v>
      </c>
      <c r="S715" t="s">
        <v>1034</v>
      </c>
      <c r="T715" t="s">
        <v>1034</v>
      </c>
      <c r="U715" t="s">
        <v>1034</v>
      </c>
      <c r="V715" t="s">
        <v>1034</v>
      </c>
      <c r="W715" t="s">
        <v>1035</v>
      </c>
    </row>
    <row r="716" spans="1:23" x14ac:dyDescent="0.25">
      <c r="A716" t="s">
        <v>233</v>
      </c>
      <c r="B716" t="s">
        <v>1033</v>
      </c>
      <c r="C716" t="s">
        <v>1031</v>
      </c>
      <c r="D716">
        <v>0</v>
      </c>
      <c r="E716">
        <v>2362205</v>
      </c>
      <c r="F716">
        <v>223816</v>
      </c>
      <c r="G716">
        <v>19744</v>
      </c>
      <c r="H716">
        <v>203352</v>
      </c>
      <c r="I716">
        <v>0</v>
      </c>
      <c r="J716">
        <v>64.572422000000003</v>
      </c>
      <c r="K716">
        <v>65.082380299999997</v>
      </c>
      <c r="L716">
        <v>33.898105299999997</v>
      </c>
      <c r="M716">
        <v>44.331444099999999</v>
      </c>
      <c r="N716">
        <v>47.300190000000001</v>
      </c>
      <c r="O716">
        <v>0</v>
      </c>
      <c r="P716">
        <v>10.875999999999999</v>
      </c>
      <c r="Q716">
        <v>2.1680000000000001</v>
      </c>
      <c r="R716">
        <v>0</v>
      </c>
      <c r="S716">
        <v>0</v>
      </c>
      <c r="T716">
        <v>0</v>
      </c>
      <c r="U716">
        <v>0</v>
      </c>
      <c r="V716" t="s">
        <v>1030</v>
      </c>
      <c r="W716">
        <v>2592758</v>
      </c>
    </row>
    <row r="717" spans="1:23" x14ac:dyDescent="0.25">
      <c r="A717" t="s">
        <v>233</v>
      </c>
      <c r="B717" t="s">
        <v>1033</v>
      </c>
      <c r="C717" t="s">
        <v>1031</v>
      </c>
      <c r="D717">
        <v>1</v>
      </c>
      <c r="E717">
        <v>2173560</v>
      </c>
      <c r="F717">
        <v>447424</v>
      </c>
      <c r="G717">
        <v>57920</v>
      </c>
      <c r="H717">
        <v>388784</v>
      </c>
      <c r="I717">
        <v>0</v>
      </c>
      <c r="J717">
        <v>69.852487400000001</v>
      </c>
      <c r="K717">
        <v>73.030027899999993</v>
      </c>
      <c r="L717">
        <v>37.3950526</v>
      </c>
      <c r="M717">
        <v>45.3271224</v>
      </c>
      <c r="N717">
        <v>48.954943399999998</v>
      </c>
      <c r="O717">
        <v>0</v>
      </c>
      <c r="P717">
        <v>9.7010000000000005</v>
      </c>
      <c r="Q717">
        <v>2.2349999999999999</v>
      </c>
      <c r="R717">
        <v>0</v>
      </c>
      <c r="S717">
        <v>0</v>
      </c>
      <c r="T717">
        <v>0</v>
      </c>
      <c r="U717">
        <v>0</v>
      </c>
      <c r="V717" t="s">
        <v>1030</v>
      </c>
      <c r="W717">
        <v>2592758</v>
      </c>
    </row>
    <row r="718" spans="1:23" x14ac:dyDescent="0.25">
      <c r="A718" t="s">
        <v>233</v>
      </c>
      <c r="B718" t="s">
        <v>1033</v>
      </c>
      <c r="C718" t="s">
        <v>1031</v>
      </c>
      <c r="D718">
        <v>2</v>
      </c>
      <c r="E718">
        <v>2260462</v>
      </c>
      <c r="F718">
        <v>1033272</v>
      </c>
      <c r="G718">
        <v>188608</v>
      </c>
      <c r="H718">
        <v>843944</v>
      </c>
      <c r="I718">
        <v>0</v>
      </c>
      <c r="J718">
        <v>74.822828900000005</v>
      </c>
      <c r="K718">
        <v>78.233407099999994</v>
      </c>
      <c r="L718">
        <v>40.051890700000001</v>
      </c>
      <c r="M718">
        <v>46.676501299999998</v>
      </c>
      <c r="N718">
        <v>50.3258455</v>
      </c>
      <c r="O718">
        <v>0</v>
      </c>
      <c r="P718">
        <v>10.316000000000001</v>
      </c>
      <c r="Q718">
        <v>2.98</v>
      </c>
      <c r="R718">
        <v>0</v>
      </c>
      <c r="S718">
        <v>0</v>
      </c>
      <c r="T718">
        <v>0</v>
      </c>
      <c r="U718">
        <v>0</v>
      </c>
      <c r="V718" t="s">
        <v>1030</v>
      </c>
      <c r="W718">
        <v>2592758</v>
      </c>
    </row>
    <row r="719" spans="1:23" x14ac:dyDescent="0.25">
      <c r="A719" t="s">
        <v>233</v>
      </c>
      <c r="B719" t="s">
        <v>1033</v>
      </c>
      <c r="C719" t="s">
        <v>1031</v>
      </c>
      <c r="D719">
        <v>3</v>
      </c>
      <c r="E719">
        <v>2476329</v>
      </c>
      <c r="F719">
        <v>2560944</v>
      </c>
      <c r="G719">
        <v>582184</v>
      </c>
      <c r="H719">
        <v>1978040</v>
      </c>
      <c r="I719">
        <v>0</v>
      </c>
      <c r="J719">
        <v>77.084119400000006</v>
      </c>
      <c r="K719">
        <v>80.632223400000001</v>
      </c>
      <c r="L719">
        <v>42.180079599999999</v>
      </c>
      <c r="M719">
        <v>48.132694700000002</v>
      </c>
      <c r="N719">
        <v>51.4738477</v>
      </c>
      <c r="O719">
        <v>0</v>
      </c>
      <c r="P719">
        <v>13.098000000000001</v>
      </c>
      <c r="Q719">
        <v>5.1959999999999997</v>
      </c>
      <c r="R719">
        <v>0</v>
      </c>
      <c r="S719">
        <v>0</v>
      </c>
      <c r="T719">
        <v>0</v>
      </c>
      <c r="U719">
        <v>0</v>
      </c>
      <c r="V719" t="s">
        <v>1030</v>
      </c>
      <c r="W719">
        <v>2592758</v>
      </c>
    </row>
    <row r="720" spans="1:23" x14ac:dyDescent="0.25">
      <c r="A720" t="s">
        <v>1032</v>
      </c>
    </row>
    <row r="721" spans="1:23" x14ac:dyDescent="0.25">
      <c r="A721" t="s">
        <v>233</v>
      </c>
      <c r="B721" t="s">
        <v>1033</v>
      </c>
      <c r="C721" t="s">
        <v>1031</v>
      </c>
      <c r="D721">
        <v>5</v>
      </c>
      <c r="E721">
        <v>0</v>
      </c>
      <c r="F721" t="s">
        <v>1034</v>
      </c>
      <c r="G721" t="s">
        <v>1034</v>
      </c>
      <c r="H721" t="s">
        <v>1034</v>
      </c>
      <c r="I721" t="s">
        <v>1034</v>
      </c>
      <c r="J721" t="s">
        <v>1034</v>
      </c>
      <c r="K721" t="s">
        <v>1034</v>
      </c>
      <c r="L721" t="s">
        <v>1034</v>
      </c>
      <c r="M721" t="s">
        <v>1034</v>
      </c>
      <c r="N721" t="s">
        <v>1034</v>
      </c>
      <c r="O721" t="s">
        <v>1034</v>
      </c>
      <c r="P721" t="s">
        <v>1034</v>
      </c>
      <c r="Q721" t="s">
        <v>1034</v>
      </c>
      <c r="R721" t="s">
        <v>1034</v>
      </c>
      <c r="S721" t="s">
        <v>1034</v>
      </c>
      <c r="T721" t="s">
        <v>1034</v>
      </c>
      <c r="U721" t="s">
        <v>1034</v>
      </c>
      <c r="V721" t="s">
        <v>1034</v>
      </c>
      <c r="W721" t="s">
        <v>1035</v>
      </c>
    </row>
    <row r="722" spans="1:23" x14ac:dyDescent="0.25">
      <c r="A722" t="s">
        <v>236</v>
      </c>
      <c r="B722" t="s">
        <v>1033</v>
      </c>
      <c r="C722" t="s">
        <v>1031</v>
      </c>
      <c r="D722">
        <v>0</v>
      </c>
      <c r="E722">
        <v>3540611</v>
      </c>
      <c r="F722">
        <v>411000</v>
      </c>
      <c r="G722">
        <v>26360</v>
      </c>
      <c r="H722">
        <v>383704</v>
      </c>
      <c r="I722">
        <v>0</v>
      </c>
      <c r="J722">
        <v>60.4630334</v>
      </c>
      <c r="K722">
        <v>64.614456300000001</v>
      </c>
      <c r="L722">
        <v>29.536205299999999</v>
      </c>
      <c r="M722">
        <v>43.358238700000001</v>
      </c>
      <c r="N722">
        <v>45.391940900000002</v>
      </c>
      <c r="O722">
        <v>0</v>
      </c>
      <c r="P722">
        <v>15.545999999999999</v>
      </c>
      <c r="Q722">
        <v>4.2389999999999999</v>
      </c>
      <c r="R722">
        <v>0</v>
      </c>
      <c r="S722">
        <v>0</v>
      </c>
      <c r="T722">
        <v>0</v>
      </c>
      <c r="U722">
        <v>0</v>
      </c>
      <c r="V722" t="s">
        <v>1030</v>
      </c>
      <c r="W722">
        <v>4061755</v>
      </c>
    </row>
    <row r="723" spans="1:23" x14ac:dyDescent="0.25">
      <c r="A723" t="s">
        <v>236</v>
      </c>
      <c r="B723" t="s">
        <v>1033</v>
      </c>
      <c r="C723" t="s">
        <v>1031</v>
      </c>
      <c r="D723">
        <v>1</v>
      </c>
      <c r="E723">
        <v>3454165</v>
      </c>
      <c r="F723">
        <v>1147256</v>
      </c>
      <c r="G723">
        <v>86000</v>
      </c>
      <c r="H723">
        <v>1060400</v>
      </c>
      <c r="I723">
        <v>0</v>
      </c>
      <c r="J723">
        <v>67.378152600000007</v>
      </c>
      <c r="K723">
        <v>71.766873000000004</v>
      </c>
      <c r="L723">
        <v>31.791004000000001</v>
      </c>
      <c r="M723">
        <v>44.473602999999997</v>
      </c>
      <c r="N723">
        <v>46.484812599999998</v>
      </c>
      <c r="O723">
        <v>0</v>
      </c>
      <c r="P723">
        <v>15.151999999999999</v>
      </c>
      <c r="Q723">
        <v>3.9580000000000002</v>
      </c>
      <c r="R723">
        <v>0</v>
      </c>
      <c r="S723">
        <v>0</v>
      </c>
      <c r="T723">
        <v>0</v>
      </c>
      <c r="U723">
        <v>0</v>
      </c>
      <c r="V723" t="s">
        <v>1030</v>
      </c>
      <c r="W723">
        <v>4061755</v>
      </c>
    </row>
    <row r="724" spans="1:23" x14ac:dyDescent="0.25">
      <c r="A724" t="s">
        <v>236</v>
      </c>
      <c r="B724" t="s">
        <v>1033</v>
      </c>
      <c r="C724" t="s">
        <v>1031</v>
      </c>
      <c r="D724">
        <v>2</v>
      </c>
      <c r="E724">
        <v>3708987</v>
      </c>
      <c r="F724">
        <v>3261088</v>
      </c>
      <c r="G724">
        <v>330024</v>
      </c>
      <c r="H724">
        <v>2930208</v>
      </c>
      <c r="I724">
        <v>0</v>
      </c>
      <c r="J724">
        <v>73.421271000000004</v>
      </c>
      <c r="K724">
        <v>76.773324900000006</v>
      </c>
      <c r="L724">
        <v>34.367043299999999</v>
      </c>
      <c r="M724">
        <v>45.783622000000001</v>
      </c>
      <c r="N724">
        <v>47.729334199999997</v>
      </c>
      <c r="O724">
        <v>0</v>
      </c>
      <c r="P724">
        <v>16.106999999999999</v>
      </c>
      <c r="Q724">
        <v>4.5529999999999999</v>
      </c>
      <c r="R724">
        <v>0</v>
      </c>
      <c r="S724">
        <v>0</v>
      </c>
      <c r="T724">
        <v>0</v>
      </c>
      <c r="U724">
        <v>0</v>
      </c>
      <c r="V724" t="s">
        <v>1030</v>
      </c>
      <c r="W724">
        <v>4061755</v>
      </c>
    </row>
    <row r="725" spans="1:23" x14ac:dyDescent="0.25">
      <c r="A725" t="s">
        <v>236</v>
      </c>
      <c r="B725" t="s">
        <v>1033</v>
      </c>
      <c r="C725" t="s">
        <v>1031</v>
      </c>
      <c r="D725">
        <v>3</v>
      </c>
      <c r="E725">
        <v>3934070</v>
      </c>
      <c r="F725">
        <v>8145264</v>
      </c>
      <c r="G725">
        <v>1126352</v>
      </c>
      <c r="H725">
        <v>7018056</v>
      </c>
      <c r="I725">
        <v>0</v>
      </c>
      <c r="J725">
        <v>76.425802099999999</v>
      </c>
      <c r="K725">
        <v>79.631650800000003</v>
      </c>
      <c r="L725">
        <v>37.215723500000003</v>
      </c>
      <c r="M725">
        <v>47.177858000000001</v>
      </c>
      <c r="N725">
        <v>48.9577794</v>
      </c>
      <c r="O725">
        <v>0</v>
      </c>
      <c r="P725">
        <v>20.032</v>
      </c>
      <c r="Q725">
        <v>7.8659999999999997</v>
      </c>
      <c r="R725">
        <v>0</v>
      </c>
      <c r="S725">
        <v>0</v>
      </c>
      <c r="T725">
        <v>0</v>
      </c>
      <c r="U725">
        <v>0</v>
      </c>
      <c r="V725" t="s">
        <v>1030</v>
      </c>
      <c r="W725">
        <v>4061755</v>
      </c>
    </row>
    <row r="726" spans="1:23" x14ac:dyDescent="0.25">
      <c r="A726" t="s">
        <v>1032</v>
      </c>
    </row>
    <row r="727" spans="1:23" x14ac:dyDescent="0.25">
      <c r="A727" t="s">
        <v>236</v>
      </c>
      <c r="B727" t="s">
        <v>1033</v>
      </c>
      <c r="C727" t="s">
        <v>1031</v>
      </c>
      <c r="D727">
        <v>5</v>
      </c>
      <c r="E727">
        <v>0</v>
      </c>
      <c r="F727" t="s">
        <v>1034</v>
      </c>
      <c r="G727" t="s">
        <v>1034</v>
      </c>
      <c r="H727" t="s">
        <v>1034</v>
      </c>
      <c r="I727" t="s">
        <v>1034</v>
      </c>
      <c r="J727" t="s">
        <v>1034</v>
      </c>
      <c r="K727" t="s">
        <v>1034</v>
      </c>
      <c r="L727" t="s">
        <v>1034</v>
      </c>
      <c r="M727" t="s">
        <v>1034</v>
      </c>
      <c r="N727" t="s">
        <v>1034</v>
      </c>
      <c r="O727" t="s">
        <v>1034</v>
      </c>
      <c r="P727" t="s">
        <v>1034</v>
      </c>
      <c r="Q727" t="s">
        <v>1034</v>
      </c>
      <c r="R727" t="s">
        <v>1034</v>
      </c>
      <c r="S727" t="s">
        <v>1034</v>
      </c>
      <c r="T727" t="s">
        <v>1034</v>
      </c>
      <c r="U727" t="s">
        <v>1034</v>
      </c>
      <c r="V727" t="s">
        <v>1034</v>
      </c>
      <c r="W727" t="s">
        <v>1035</v>
      </c>
    </row>
    <row r="728" spans="1:23" x14ac:dyDescent="0.25">
      <c r="A728" t="s">
        <v>239</v>
      </c>
      <c r="B728" t="s">
        <v>1033</v>
      </c>
      <c r="C728" t="s">
        <v>1031</v>
      </c>
      <c r="D728">
        <v>0</v>
      </c>
      <c r="E728">
        <v>798786</v>
      </c>
      <c r="F728">
        <v>293480</v>
      </c>
      <c r="G728">
        <v>5848</v>
      </c>
      <c r="H728">
        <v>287152</v>
      </c>
      <c r="I728">
        <v>0</v>
      </c>
      <c r="J728">
        <v>55.662947799999998</v>
      </c>
      <c r="K728">
        <v>56.068221000000001</v>
      </c>
      <c r="L728">
        <v>26.816420099999998</v>
      </c>
      <c r="M728">
        <v>33.9784717</v>
      </c>
      <c r="N728">
        <v>32.857536500000002</v>
      </c>
      <c r="O728">
        <v>0</v>
      </c>
      <c r="P728">
        <v>3.6760000000000002</v>
      </c>
      <c r="Q728">
        <v>0.75800000000000001</v>
      </c>
      <c r="R728">
        <v>0</v>
      </c>
      <c r="S728">
        <v>0</v>
      </c>
      <c r="T728">
        <v>0</v>
      </c>
      <c r="U728">
        <v>0</v>
      </c>
      <c r="V728" t="s">
        <v>1030</v>
      </c>
      <c r="W728">
        <v>857966</v>
      </c>
    </row>
    <row r="729" spans="1:23" x14ac:dyDescent="0.25">
      <c r="A729" t="s">
        <v>239</v>
      </c>
      <c r="B729" t="s">
        <v>1033</v>
      </c>
      <c r="C729" t="s">
        <v>1031</v>
      </c>
      <c r="D729">
        <v>1</v>
      </c>
      <c r="E729">
        <v>785548</v>
      </c>
      <c r="F729">
        <v>661232</v>
      </c>
      <c r="G729">
        <v>20784</v>
      </c>
      <c r="H729">
        <v>639968</v>
      </c>
      <c r="I729">
        <v>0</v>
      </c>
      <c r="J729">
        <v>62.665526</v>
      </c>
      <c r="K729">
        <v>63.462958200000003</v>
      </c>
      <c r="L729">
        <v>30.482999299999999</v>
      </c>
      <c r="M729">
        <v>37.470231099999999</v>
      </c>
      <c r="N729">
        <v>36.7041015</v>
      </c>
      <c r="O729">
        <v>0</v>
      </c>
      <c r="P729">
        <v>3.4279999999999999</v>
      </c>
      <c r="Q729">
        <v>0.83399999999999996</v>
      </c>
      <c r="R729">
        <v>0</v>
      </c>
      <c r="S729">
        <v>0</v>
      </c>
      <c r="T729">
        <v>0</v>
      </c>
      <c r="U729">
        <v>0</v>
      </c>
      <c r="V729" t="s">
        <v>1030</v>
      </c>
      <c r="W729">
        <v>857966</v>
      </c>
    </row>
    <row r="730" spans="1:23" x14ac:dyDescent="0.25">
      <c r="A730" t="s">
        <v>239</v>
      </c>
      <c r="B730" t="s">
        <v>1033</v>
      </c>
      <c r="C730" t="s">
        <v>1031</v>
      </c>
      <c r="D730">
        <v>2</v>
      </c>
      <c r="E730">
        <v>794765</v>
      </c>
      <c r="F730">
        <v>1383632</v>
      </c>
      <c r="G730">
        <v>73568</v>
      </c>
      <c r="H730">
        <v>1309584</v>
      </c>
      <c r="I730">
        <v>0</v>
      </c>
      <c r="J730">
        <v>68.603975599999998</v>
      </c>
      <c r="K730">
        <v>70.457534600000002</v>
      </c>
      <c r="L730">
        <v>33.866075100000003</v>
      </c>
      <c r="M730">
        <v>40.659916099999997</v>
      </c>
      <c r="N730">
        <v>40.166579200000001</v>
      </c>
      <c r="O730">
        <v>0</v>
      </c>
      <c r="P730">
        <v>3.74</v>
      </c>
      <c r="Q730">
        <v>1.149</v>
      </c>
      <c r="R730">
        <v>0</v>
      </c>
      <c r="S730">
        <v>0</v>
      </c>
      <c r="T730">
        <v>0</v>
      </c>
      <c r="U730">
        <v>0</v>
      </c>
      <c r="V730" t="s">
        <v>1030</v>
      </c>
      <c r="W730">
        <v>857966</v>
      </c>
    </row>
    <row r="731" spans="1:23" x14ac:dyDescent="0.25">
      <c r="A731" t="s">
        <v>239</v>
      </c>
      <c r="B731" t="s">
        <v>1033</v>
      </c>
      <c r="C731" t="s">
        <v>1031</v>
      </c>
      <c r="D731">
        <v>3</v>
      </c>
      <c r="E731">
        <v>848283</v>
      </c>
      <c r="F731">
        <v>2753856</v>
      </c>
      <c r="G731">
        <v>223568</v>
      </c>
      <c r="H731">
        <v>2529808</v>
      </c>
      <c r="I731">
        <v>0</v>
      </c>
      <c r="J731">
        <v>71.030531600000003</v>
      </c>
      <c r="K731">
        <v>73.966118699999996</v>
      </c>
      <c r="L731">
        <v>36.813814600000001</v>
      </c>
      <c r="M731">
        <v>43.497116699999999</v>
      </c>
      <c r="N731">
        <v>43.058987399999999</v>
      </c>
      <c r="O731">
        <v>0</v>
      </c>
      <c r="P731">
        <v>4.6879999999999997</v>
      </c>
      <c r="Q731">
        <v>1.9279999999999999</v>
      </c>
      <c r="R731">
        <v>0</v>
      </c>
      <c r="S731">
        <v>0</v>
      </c>
      <c r="T731">
        <v>0</v>
      </c>
      <c r="U731">
        <v>0</v>
      </c>
      <c r="V731" t="s">
        <v>1030</v>
      </c>
      <c r="W731">
        <v>857966</v>
      </c>
    </row>
    <row r="732" spans="1:23" x14ac:dyDescent="0.25">
      <c r="A732" t="s">
        <v>1032</v>
      </c>
    </row>
    <row r="733" spans="1:23" x14ac:dyDescent="0.25">
      <c r="A733" t="s">
        <v>239</v>
      </c>
      <c r="B733" t="s">
        <v>1033</v>
      </c>
      <c r="C733" t="s">
        <v>1031</v>
      </c>
      <c r="D733">
        <v>5</v>
      </c>
      <c r="E733">
        <v>0</v>
      </c>
      <c r="F733" t="s">
        <v>1034</v>
      </c>
      <c r="G733" t="s">
        <v>1034</v>
      </c>
      <c r="H733" t="s">
        <v>1034</v>
      </c>
      <c r="I733" t="s">
        <v>1034</v>
      </c>
      <c r="J733" t="s">
        <v>1034</v>
      </c>
      <c r="K733" t="s">
        <v>1034</v>
      </c>
      <c r="L733" t="s">
        <v>1034</v>
      </c>
      <c r="M733" t="s">
        <v>1034</v>
      </c>
      <c r="N733" t="s">
        <v>1034</v>
      </c>
      <c r="O733" t="s">
        <v>1034</v>
      </c>
      <c r="P733" t="s">
        <v>1034</v>
      </c>
      <c r="Q733" t="s">
        <v>1034</v>
      </c>
      <c r="R733" t="s">
        <v>1034</v>
      </c>
      <c r="S733" t="s">
        <v>1034</v>
      </c>
      <c r="T733" t="s">
        <v>1034</v>
      </c>
      <c r="U733" t="s">
        <v>1034</v>
      </c>
      <c r="V733" t="s">
        <v>1034</v>
      </c>
      <c r="W733" t="s">
        <v>1035</v>
      </c>
    </row>
    <row r="734" spans="1:23" x14ac:dyDescent="0.25">
      <c r="A734" t="s">
        <v>242</v>
      </c>
      <c r="B734" t="s">
        <v>1033</v>
      </c>
      <c r="C734" t="s">
        <v>1031</v>
      </c>
      <c r="D734">
        <v>0</v>
      </c>
      <c r="E734">
        <v>744741</v>
      </c>
      <c r="F734">
        <v>68504</v>
      </c>
      <c r="G734">
        <v>5616</v>
      </c>
      <c r="H734">
        <v>62416</v>
      </c>
      <c r="I734">
        <v>0</v>
      </c>
      <c r="J734">
        <v>55.265234999999997</v>
      </c>
      <c r="K734">
        <v>57.684685700000003</v>
      </c>
      <c r="L734">
        <v>32.590502100000002</v>
      </c>
      <c r="M734">
        <v>46.212562200000001</v>
      </c>
      <c r="N734">
        <v>44.124552100000002</v>
      </c>
      <c r="O734">
        <v>0</v>
      </c>
      <c r="P734">
        <v>3.3039999999999998</v>
      </c>
      <c r="Q734">
        <v>0.67800000000000005</v>
      </c>
      <c r="R734">
        <v>0</v>
      </c>
      <c r="S734">
        <v>0</v>
      </c>
      <c r="T734">
        <v>0</v>
      </c>
      <c r="U734">
        <v>0</v>
      </c>
      <c r="V734" t="s">
        <v>1030</v>
      </c>
      <c r="W734">
        <v>805285</v>
      </c>
    </row>
    <row r="735" spans="1:23" x14ac:dyDescent="0.25">
      <c r="A735" t="s">
        <v>242</v>
      </c>
      <c r="B735" t="s">
        <v>1033</v>
      </c>
      <c r="C735" t="s">
        <v>1031</v>
      </c>
      <c r="D735">
        <v>1</v>
      </c>
      <c r="E735">
        <v>713242</v>
      </c>
      <c r="F735">
        <v>161840</v>
      </c>
      <c r="G735">
        <v>18536</v>
      </c>
      <c r="H735">
        <v>142832</v>
      </c>
      <c r="I735">
        <v>0</v>
      </c>
      <c r="J735">
        <v>63.174662499999997</v>
      </c>
      <c r="K735">
        <v>65.221003100000004</v>
      </c>
      <c r="L735">
        <v>36.182389800000003</v>
      </c>
      <c r="M735">
        <v>48.8189049</v>
      </c>
      <c r="N735">
        <v>48.126566500000003</v>
      </c>
      <c r="O735">
        <v>0</v>
      </c>
      <c r="P735">
        <v>3.129</v>
      </c>
      <c r="Q735">
        <v>0.753</v>
      </c>
      <c r="R735">
        <v>0</v>
      </c>
      <c r="S735">
        <v>0</v>
      </c>
      <c r="T735">
        <v>0</v>
      </c>
      <c r="U735">
        <v>0</v>
      </c>
      <c r="V735" t="s">
        <v>1030</v>
      </c>
      <c r="W735">
        <v>805285</v>
      </c>
    </row>
    <row r="736" spans="1:23" x14ac:dyDescent="0.25">
      <c r="A736" t="s">
        <v>242</v>
      </c>
      <c r="B736" t="s">
        <v>1033</v>
      </c>
      <c r="C736" t="s">
        <v>1031</v>
      </c>
      <c r="D736">
        <v>2</v>
      </c>
      <c r="E736">
        <v>735256</v>
      </c>
      <c r="F736">
        <v>371896</v>
      </c>
      <c r="G736">
        <v>64136</v>
      </c>
      <c r="H736">
        <v>307288</v>
      </c>
      <c r="I736">
        <v>0</v>
      </c>
      <c r="J736">
        <v>68.457422199999996</v>
      </c>
      <c r="K736">
        <v>71.269121299999995</v>
      </c>
      <c r="L736">
        <v>39.647907600000003</v>
      </c>
      <c r="M736">
        <v>50.726241399999999</v>
      </c>
      <c r="N736">
        <v>50.9294425</v>
      </c>
      <c r="O736">
        <v>0</v>
      </c>
      <c r="P736">
        <v>3.21</v>
      </c>
      <c r="Q736">
        <v>0.98</v>
      </c>
      <c r="R736">
        <v>0</v>
      </c>
      <c r="S736">
        <v>0</v>
      </c>
      <c r="T736">
        <v>0</v>
      </c>
      <c r="U736">
        <v>0</v>
      </c>
      <c r="V736" t="s">
        <v>1030</v>
      </c>
      <c r="W736">
        <v>805285</v>
      </c>
    </row>
    <row r="737" spans="1:23" x14ac:dyDescent="0.25">
      <c r="A737" t="s">
        <v>242</v>
      </c>
      <c r="B737" t="s">
        <v>1033</v>
      </c>
      <c r="C737" t="s">
        <v>1031</v>
      </c>
      <c r="D737">
        <v>3</v>
      </c>
      <c r="E737">
        <v>791635</v>
      </c>
      <c r="F737">
        <v>854384</v>
      </c>
      <c r="G737">
        <v>199344</v>
      </c>
      <c r="H737">
        <v>654568</v>
      </c>
      <c r="I737">
        <v>0</v>
      </c>
      <c r="J737">
        <v>71.087727599999994</v>
      </c>
      <c r="K737">
        <v>74.127178999999998</v>
      </c>
      <c r="L737">
        <v>42.672862500000001</v>
      </c>
      <c r="M737">
        <v>52.365491499999997</v>
      </c>
      <c r="N737">
        <v>52.628062700000001</v>
      </c>
      <c r="O737">
        <v>0</v>
      </c>
      <c r="P737">
        <v>4.0670000000000002</v>
      </c>
      <c r="Q737">
        <v>1.6839999999999999</v>
      </c>
      <c r="R737">
        <v>0</v>
      </c>
      <c r="S737">
        <v>0</v>
      </c>
      <c r="T737">
        <v>0</v>
      </c>
      <c r="U737">
        <v>0</v>
      </c>
      <c r="V737" t="s">
        <v>1030</v>
      </c>
      <c r="W737">
        <v>805285</v>
      </c>
    </row>
    <row r="738" spans="1:23" x14ac:dyDescent="0.25">
      <c r="A738" t="s">
        <v>1032</v>
      </c>
    </row>
    <row r="739" spans="1:23" x14ac:dyDescent="0.25">
      <c r="A739" t="s">
        <v>242</v>
      </c>
      <c r="B739" t="s">
        <v>1033</v>
      </c>
      <c r="C739" t="s">
        <v>1031</v>
      </c>
      <c r="D739">
        <v>5</v>
      </c>
      <c r="E739">
        <v>0</v>
      </c>
      <c r="F739" t="s">
        <v>1034</v>
      </c>
      <c r="G739" t="s">
        <v>1034</v>
      </c>
      <c r="H739" t="s">
        <v>1034</v>
      </c>
      <c r="I739" t="s">
        <v>1034</v>
      </c>
      <c r="J739" t="s">
        <v>1034</v>
      </c>
      <c r="K739" t="s">
        <v>1034</v>
      </c>
      <c r="L739" t="s">
        <v>1034</v>
      </c>
      <c r="M739" t="s">
        <v>1034</v>
      </c>
      <c r="N739" t="s">
        <v>1034</v>
      </c>
      <c r="O739" t="s">
        <v>1034</v>
      </c>
      <c r="P739" t="s">
        <v>1034</v>
      </c>
      <c r="Q739" t="s">
        <v>1034</v>
      </c>
      <c r="R739" t="s">
        <v>1034</v>
      </c>
      <c r="S739" t="s">
        <v>1034</v>
      </c>
      <c r="T739" t="s">
        <v>1034</v>
      </c>
      <c r="U739" t="s">
        <v>1034</v>
      </c>
      <c r="V739" t="s">
        <v>1034</v>
      </c>
      <c r="W739" t="s">
        <v>1035</v>
      </c>
    </row>
    <row r="740" spans="1:23" x14ac:dyDescent="0.25">
      <c r="A740" t="s">
        <v>245</v>
      </c>
      <c r="B740" t="s">
        <v>1033</v>
      </c>
      <c r="C740" t="s">
        <v>1031</v>
      </c>
      <c r="D740">
        <v>0</v>
      </c>
      <c r="E740">
        <v>748174</v>
      </c>
      <c r="F740">
        <v>122832</v>
      </c>
      <c r="G740">
        <v>6160</v>
      </c>
      <c r="H740">
        <v>116112</v>
      </c>
      <c r="I740">
        <v>0</v>
      </c>
      <c r="J740">
        <v>55.798470500000001</v>
      </c>
      <c r="K740">
        <v>57.223654699999997</v>
      </c>
      <c r="L740">
        <v>26.787465099999999</v>
      </c>
      <c r="M740">
        <v>35.061367500000003</v>
      </c>
      <c r="N740">
        <v>32.759691500000002</v>
      </c>
      <c r="O740">
        <v>0</v>
      </c>
      <c r="P740">
        <v>3.7890000000000001</v>
      </c>
      <c r="Q740">
        <v>0.68</v>
      </c>
      <c r="R740">
        <v>0</v>
      </c>
      <c r="S740">
        <v>0</v>
      </c>
      <c r="T740">
        <v>0</v>
      </c>
      <c r="U740">
        <v>0</v>
      </c>
      <c r="V740" t="s">
        <v>1030</v>
      </c>
      <c r="W740">
        <v>1000993</v>
      </c>
    </row>
    <row r="741" spans="1:23" x14ac:dyDescent="0.25">
      <c r="A741" t="s">
        <v>245</v>
      </c>
      <c r="B741" t="s">
        <v>1033</v>
      </c>
      <c r="C741" t="s">
        <v>1031</v>
      </c>
      <c r="D741">
        <v>1</v>
      </c>
      <c r="E741">
        <v>727315</v>
      </c>
      <c r="F741">
        <v>281896</v>
      </c>
      <c r="G741">
        <v>19576</v>
      </c>
      <c r="H741">
        <v>261760</v>
      </c>
      <c r="I741">
        <v>0</v>
      </c>
      <c r="J741">
        <v>62.654553999999997</v>
      </c>
      <c r="K741">
        <v>64.231159500000004</v>
      </c>
      <c r="L741">
        <v>30.6467727</v>
      </c>
      <c r="M741">
        <v>39.650179100000003</v>
      </c>
      <c r="N741">
        <v>37.4601793</v>
      </c>
      <c r="O741">
        <v>0</v>
      </c>
      <c r="P741">
        <v>3.3090000000000002</v>
      </c>
      <c r="Q741">
        <v>0.84099999999999997</v>
      </c>
      <c r="R741">
        <v>0</v>
      </c>
      <c r="S741">
        <v>0</v>
      </c>
      <c r="T741">
        <v>0</v>
      </c>
      <c r="U741">
        <v>0</v>
      </c>
      <c r="V741" t="s">
        <v>1030</v>
      </c>
      <c r="W741">
        <v>1000993</v>
      </c>
    </row>
    <row r="742" spans="1:23" x14ac:dyDescent="0.25">
      <c r="A742" t="s">
        <v>245</v>
      </c>
      <c r="B742" t="s">
        <v>1033</v>
      </c>
      <c r="C742" t="s">
        <v>1031</v>
      </c>
      <c r="D742">
        <v>2</v>
      </c>
      <c r="E742">
        <v>768496</v>
      </c>
      <c r="F742">
        <v>604504</v>
      </c>
      <c r="G742">
        <v>67400</v>
      </c>
      <c r="H742">
        <v>536544</v>
      </c>
      <c r="I742">
        <v>0</v>
      </c>
      <c r="J742">
        <v>67.687436399999996</v>
      </c>
      <c r="K742">
        <v>71.010397999999995</v>
      </c>
      <c r="L742">
        <v>34.264212700000002</v>
      </c>
      <c r="M742">
        <v>44.135618700000002</v>
      </c>
      <c r="N742">
        <v>42.086041700000003</v>
      </c>
      <c r="O742">
        <v>0</v>
      </c>
      <c r="P742">
        <v>3.7280000000000002</v>
      </c>
      <c r="Q742">
        <v>1.161</v>
      </c>
      <c r="R742">
        <v>0</v>
      </c>
      <c r="S742">
        <v>0</v>
      </c>
      <c r="T742">
        <v>0</v>
      </c>
      <c r="U742">
        <v>0</v>
      </c>
      <c r="V742" t="s">
        <v>1030</v>
      </c>
      <c r="W742">
        <v>1000993</v>
      </c>
    </row>
    <row r="743" spans="1:23" x14ac:dyDescent="0.25">
      <c r="A743" t="s">
        <v>245</v>
      </c>
      <c r="B743" t="s">
        <v>1033</v>
      </c>
      <c r="C743" t="s">
        <v>1031</v>
      </c>
      <c r="D743">
        <v>3</v>
      </c>
      <c r="E743">
        <v>868051</v>
      </c>
      <c r="F743">
        <v>1338864</v>
      </c>
      <c r="G743">
        <v>215592</v>
      </c>
      <c r="H743">
        <v>1122712</v>
      </c>
      <c r="I743">
        <v>0</v>
      </c>
      <c r="J743">
        <v>70.041063100000002</v>
      </c>
      <c r="K743">
        <v>73.9976226</v>
      </c>
      <c r="L743">
        <v>37.244364500000003</v>
      </c>
      <c r="M743">
        <v>47.057329099999997</v>
      </c>
      <c r="N743">
        <v>45.521757800000003</v>
      </c>
      <c r="O743">
        <v>0</v>
      </c>
      <c r="P743">
        <v>4.6929999999999996</v>
      </c>
      <c r="Q743">
        <v>2.008</v>
      </c>
      <c r="R743">
        <v>0</v>
      </c>
      <c r="S743">
        <v>0</v>
      </c>
      <c r="T743">
        <v>0</v>
      </c>
      <c r="U743">
        <v>0</v>
      </c>
      <c r="V743" t="s">
        <v>1030</v>
      </c>
      <c r="W743">
        <v>1000993</v>
      </c>
    </row>
    <row r="744" spans="1:23" x14ac:dyDescent="0.25">
      <c r="A744" t="s">
        <v>1032</v>
      </c>
    </row>
    <row r="745" spans="1:23" x14ac:dyDescent="0.25">
      <c r="A745" t="s">
        <v>245</v>
      </c>
      <c r="B745" t="s">
        <v>1033</v>
      </c>
      <c r="C745" t="s">
        <v>1031</v>
      </c>
      <c r="D745">
        <v>5</v>
      </c>
      <c r="E745">
        <v>0</v>
      </c>
      <c r="F745" t="s">
        <v>1034</v>
      </c>
      <c r="G745" t="s">
        <v>1034</v>
      </c>
      <c r="H745" t="s">
        <v>1034</v>
      </c>
      <c r="I745" t="s">
        <v>1034</v>
      </c>
      <c r="J745" t="s">
        <v>1034</v>
      </c>
      <c r="K745" t="s">
        <v>1034</v>
      </c>
      <c r="L745" t="s">
        <v>1034</v>
      </c>
      <c r="M745" t="s">
        <v>1034</v>
      </c>
      <c r="N745" t="s">
        <v>1034</v>
      </c>
      <c r="O745" t="s">
        <v>1034</v>
      </c>
      <c r="P745" t="s">
        <v>1034</v>
      </c>
      <c r="Q745" t="s">
        <v>1034</v>
      </c>
      <c r="R745" t="s">
        <v>1034</v>
      </c>
      <c r="S745" t="s">
        <v>1034</v>
      </c>
      <c r="T745" t="s">
        <v>1034</v>
      </c>
      <c r="U745" t="s">
        <v>1034</v>
      </c>
      <c r="V745" t="s">
        <v>1034</v>
      </c>
      <c r="W745" t="s">
        <v>1035</v>
      </c>
    </row>
    <row r="746" spans="1:23" x14ac:dyDescent="0.25">
      <c r="A746" t="s">
        <v>248</v>
      </c>
      <c r="B746" t="s">
        <v>1033</v>
      </c>
      <c r="C746" t="s">
        <v>1031</v>
      </c>
      <c r="D746">
        <v>0</v>
      </c>
      <c r="E746">
        <v>681685</v>
      </c>
      <c r="F746">
        <v>138592</v>
      </c>
      <c r="G746">
        <v>5392</v>
      </c>
      <c r="H746">
        <v>132720</v>
      </c>
      <c r="I746">
        <v>0</v>
      </c>
      <c r="J746">
        <v>54.165061199999997</v>
      </c>
      <c r="K746">
        <v>55.856567699999999</v>
      </c>
      <c r="L746">
        <v>31.5302483</v>
      </c>
      <c r="M746">
        <v>40.585788899999997</v>
      </c>
      <c r="N746">
        <v>32.319294599999999</v>
      </c>
      <c r="O746">
        <v>0</v>
      </c>
      <c r="P746">
        <v>3.3479999999999999</v>
      </c>
      <c r="Q746">
        <v>0.77400000000000002</v>
      </c>
      <c r="R746">
        <v>0</v>
      </c>
      <c r="S746">
        <v>0</v>
      </c>
      <c r="T746">
        <v>0</v>
      </c>
      <c r="U746">
        <v>0</v>
      </c>
      <c r="V746" t="s">
        <v>1030</v>
      </c>
      <c r="W746">
        <v>757691</v>
      </c>
    </row>
    <row r="747" spans="1:23" x14ac:dyDescent="0.25">
      <c r="A747" t="s">
        <v>248</v>
      </c>
      <c r="B747" t="s">
        <v>1033</v>
      </c>
      <c r="C747" t="s">
        <v>1031</v>
      </c>
      <c r="D747">
        <v>1</v>
      </c>
      <c r="E747">
        <v>674894</v>
      </c>
      <c r="F747">
        <v>294928</v>
      </c>
      <c r="G747">
        <v>18928</v>
      </c>
      <c r="H747">
        <v>275520</v>
      </c>
      <c r="I747">
        <v>0</v>
      </c>
      <c r="J747">
        <v>61.528152400000003</v>
      </c>
      <c r="K747">
        <v>63.6189283</v>
      </c>
      <c r="L747">
        <v>35.376212799999998</v>
      </c>
      <c r="M747">
        <v>42.5521484</v>
      </c>
      <c r="N747">
        <v>36.757202999999997</v>
      </c>
      <c r="O747">
        <v>0</v>
      </c>
      <c r="P747">
        <v>3.0169999999999999</v>
      </c>
      <c r="Q747">
        <v>0.72899999999999998</v>
      </c>
      <c r="R747">
        <v>0</v>
      </c>
      <c r="S747">
        <v>0</v>
      </c>
      <c r="T747">
        <v>0</v>
      </c>
      <c r="U747">
        <v>0</v>
      </c>
      <c r="V747" t="s">
        <v>1030</v>
      </c>
      <c r="W747">
        <v>757691</v>
      </c>
    </row>
    <row r="748" spans="1:23" x14ac:dyDescent="0.25">
      <c r="A748" t="s">
        <v>248</v>
      </c>
      <c r="B748" t="s">
        <v>1033</v>
      </c>
      <c r="C748" t="s">
        <v>1031</v>
      </c>
      <c r="D748">
        <v>2</v>
      </c>
      <c r="E748">
        <v>697086</v>
      </c>
      <c r="F748">
        <v>657928</v>
      </c>
      <c r="G748">
        <v>67664</v>
      </c>
      <c r="H748">
        <v>589784</v>
      </c>
      <c r="I748">
        <v>0</v>
      </c>
      <c r="J748">
        <v>67.917225200000004</v>
      </c>
      <c r="K748">
        <v>70.313265400000006</v>
      </c>
      <c r="L748">
        <v>38.727878799999999</v>
      </c>
      <c r="M748">
        <v>44.505184999999997</v>
      </c>
      <c r="N748">
        <v>40.1392107</v>
      </c>
      <c r="O748">
        <v>0</v>
      </c>
      <c r="P748">
        <v>3.1389999999999998</v>
      </c>
      <c r="Q748">
        <v>0.96599999999999997</v>
      </c>
      <c r="R748">
        <v>0</v>
      </c>
      <c r="S748">
        <v>0</v>
      </c>
      <c r="T748">
        <v>0</v>
      </c>
      <c r="U748">
        <v>0</v>
      </c>
      <c r="V748" t="s">
        <v>1030</v>
      </c>
      <c r="W748">
        <v>757691</v>
      </c>
    </row>
    <row r="749" spans="1:23" x14ac:dyDescent="0.25">
      <c r="A749" t="s">
        <v>248</v>
      </c>
      <c r="B749" t="s">
        <v>1033</v>
      </c>
      <c r="C749" t="s">
        <v>1031</v>
      </c>
      <c r="D749">
        <v>3</v>
      </c>
      <c r="E749">
        <v>754207</v>
      </c>
      <c r="F749">
        <v>1464960</v>
      </c>
      <c r="G749">
        <v>212440</v>
      </c>
      <c r="H749">
        <v>1252040</v>
      </c>
      <c r="I749">
        <v>0</v>
      </c>
      <c r="J749">
        <v>70.785146100000006</v>
      </c>
      <c r="K749">
        <v>73.698294099999998</v>
      </c>
      <c r="L749">
        <v>41.676897500000003</v>
      </c>
      <c r="M749">
        <v>46.442815899999999</v>
      </c>
      <c r="N749">
        <v>43.261279399999999</v>
      </c>
      <c r="O749">
        <v>0</v>
      </c>
      <c r="P749">
        <v>3.9940000000000002</v>
      </c>
      <c r="Q749">
        <v>1.6739999999999999</v>
      </c>
      <c r="R749">
        <v>0</v>
      </c>
      <c r="S749">
        <v>0</v>
      </c>
      <c r="T749">
        <v>0</v>
      </c>
      <c r="U749">
        <v>0</v>
      </c>
      <c r="V749" t="s">
        <v>1030</v>
      </c>
      <c r="W749">
        <v>757691</v>
      </c>
    </row>
    <row r="750" spans="1:23" x14ac:dyDescent="0.25">
      <c r="A750" t="s">
        <v>1032</v>
      </c>
    </row>
    <row r="751" spans="1:23" x14ac:dyDescent="0.25">
      <c r="A751" t="s">
        <v>248</v>
      </c>
      <c r="B751" t="s">
        <v>1033</v>
      </c>
      <c r="C751" t="s">
        <v>1031</v>
      </c>
      <c r="D751">
        <v>5</v>
      </c>
      <c r="E751">
        <v>0</v>
      </c>
      <c r="F751" t="s">
        <v>1034</v>
      </c>
      <c r="G751" t="s">
        <v>1034</v>
      </c>
      <c r="H751" t="s">
        <v>1034</v>
      </c>
      <c r="I751" t="s">
        <v>1034</v>
      </c>
      <c r="J751" t="s">
        <v>1034</v>
      </c>
      <c r="K751" t="s">
        <v>1034</v>
      </c>
      <c r="L751" t="s">
        <v>1034</v>
      </c>
      <c r="M751" t="s">
        <v>1034</v>
      </c>
      <c r="N751" t="s">
        <v>1034</v>
      </c>
      <c r="O751" t="s">
        <v>1034</v>
      </c>
      <c r="P751" t="s">
        <v>1034</v>
      </c>
      <c r="Q751" t="s">
        <v>1034</v>
      </c>
      <c r="R751" t="s">
        <v>1034</v>
      </c>
      <c r="S751" t="s">
        <v>1034</v>
      </c>
      <c r="T751" t="s">
        <v>1034</v>
      </c>
      <c r="U751" t="s">
        <v>1034</v>
      </c>
      <c r="V751" t="s">
        <v>1034</v>
      </c>
      <c r="W751" t="s">
        <v>1035</v>
      </c>
    </row>
    <row r="752" spans="1:23" x14ac:dyDescent="0.25">
      <c r="A752" t="s">
        <v>251</v>
      </c>
      <c r="B752" t="s">
        <v>1033</v>
      </c>
      <c r="C752" t="s">
        <v>1031</v>
      </c>
      <c r="D752">
        <v>0</v>
      </c>
      <c r="E752">
        <v>1027229</v>
      </c>
      <c r="F752">
        <v>159504</v>
      </c>
      <c r="G752">
        <v>8600</v>
      </c>
      <c r="H752">
        <v>150352</v>
      </c>
      <c r="I752">
        <v>0</v>
      </c>
      <c r="J752">
        <v>55.221762900000002</v>
      </c>
      <c r="K752">
        <v>56.765035500000003</v>
      </c>
      <c r="L752">
        <v>29.481428000000001</v>
      </c>
      <c r="M752">
        <v>46.060311800000001</v>
      </c>
      <c r="N752">
        <v>46.696242900000001</v>
      </c>
      <c r="O752">
        <v>0</v>
      </c>
      <c r="P752">
        <v>4.4160000000000004</v>
      </c>
      <c r="Q752">
        <v>1.0429999999999999</v>
      </c>
      <c r="R752">
        <v>0</v>
      </c>
      <c r="S752">
        <v>0</v>
      </c>
      <c r="T752">
        <v>0</v>
      </c>
      <c r="U752">
        <v>0</v>
      </c>
      <c r="V752" t="s">
        <v>1030</v>
      </c>
      <c r="W752">
        <v>1089091</v>
      </c>
    </row>
    <row r="753" spans="1:23" x14ac:dyDescent="0.25">
      <c r="A753" t="s">
        <v>251</v>
      </c>
      <c r="B753" t="s">
        <v>1033</v>
      </c>
      <c r="C753" t="s">
        <v>1031</v>
      </c>
      <c r="D753">
        <v>1</v>
      </c>
      <c r="E753">
        <v>978990</v>
      </c>
      <c r="F753">
        <v>349896</v>
      </c>
      <c r="G753">
        <v>28328</v>
      </c>
      <c r="H753">
        <v>321016</v>
      </c>
      <c r="I753">
        <v>0</v>
      </c>
      <c r="J753">
        <v>63.359857699999999</v>
      </c>
      <c r="K753">
        <v>64.321419800000001</v>
      </c>
      <c r="L753">
        <v>33.665435299999999</v>
      </c>
      <c r="M753">
        <v>47.991399299999998</v>
      </c>
      <c r="N753">
        <v>48.858671600000001</v>
      </c>
      <c r="O753">
        <v>0</v>
      </c>
      <c r="P753">
        <v>4.0970000000000004</v>
      </c>
      <c r="Q753">
        <v>1.149</v>
      </c>
      <c r="R753">
        <v>0</v>
      </c>
      <c r="S753">
        <v>0</v>
      </c>
      <c r="T753">
        <v>0</v>
      </c>
      <c r="U753">
        <v>0</v>
      </c>
      <c r="V753" t="s">
        <v>1030</v>
      </c>
      <c r="W753">
        <v>1089091</v>
      </c>
    </row>
    <row r="754" spans="1:23" x14ac:dyDescent="0.25">
      <c r="A754" t="s">
        <v>251</v>
      </c>
      <c r="B754" t="s">
        <v>1033</v>
      </c>
      <c r="C754" t="s">
        <v>1031</v>
      </c>
      <c r="D754">
        <v>2</v>
      </c>
      <c r="E754">
        <v>999049</v>
      </c>
      <c r="F754">
        <v>768680</v>
      </c>
      <c r="G754">
        <v>99496</v>
      </c>
      <c r="H754">
        <v>668632</v>
      </c>
      <c r="I754">
        <v>0</v>
      </c>
      <c r="J754">
        <v>68.543634499999996</v>
      </c>
      <c r="K754">
        <v>71.031899199999998</v>
      </c>
      <c r="L754">
        <v>37.245206500000002</v>
      </c>
      <c r="M754">
        <v>49.950362900000002</v>
      </c>
      <c r="N754">
        <v>50.914627799999998</v>
      </c>
      <c r="O754">
        <v>0</v>
      </c>
      <c r="P754">
        <v>4.4779999999999998</v>
      </c>
      <c r="Q754">
        <v>1.38</v>
      </c>
      <c r="R754">
        <v>0</v>
      </c>
      <c r="S754">
        <v>0</v>
      </c>
      <c r="T754">
        <v>0</v>
      </c>
      <c r="U754">
        <v>0</v>
      </c>
      <c r="V754" t="s">
        <v>1030</v>
      </c>
      <c r="W754">
        <v>1089091</v>
      </c>
    </row>
    <row r="755" spans="1:23" x14ac:dyDescent="0.25">
      <c r="A755" t="s">
        <v>251</v>
      </c>
      <c r="B755" t="s">
        <v>1033</v>
      </c>
      <c r="C755" t="s">
        <v>1031</v>
      </c>
      <c r="D755">
        <v>3</v>
      </c>
      <c r="E755">
        <v>1073874</v>
      </c>
      <c r="F755">
        <v>1675232</v>
      </c>
      <c r="G755">
        <v>299712</v>
      </c>
      <c r="H755">
        <v>1374968</v>
      </c>
      <c r="I755">
        <v>0</v>
      </c>
      <c r="J755">
        <v>71.0163297</v>
      </c>
      <c r="K755">
        <v>74.128181799999993</v>
      </c>
      <c r="L755">
        <v>40.458438999999998</v>
      </c>
      <c r="M755">
        <v>51.757035600000002</v>
      </c>
      <c r="N755">
        <v>52.657313899999998</v>
      </c>
      <c r="O755">
        <v>0</v>
      </c>
      <c r="P755">
        <v>5.6970000000000001</v>
      </c>
      <c r="Q755">
        <v>2.3679999999999999</v>
      </c>
      <c r="R755">
        <v>0</v>
      </c>
      <c r="S755">
        <v>0</v>
      </c>
      <c r="T755">
        <v>0</v>
      </c>
      <c r="U755">
        <v>0</v>
      </c>
      <c r="V755" t="s">
        <v>1030</v>
      </c>
      <c r="W755">
        <v>1089091</v>
      </c>
    </row>
    <row r="756" spans="1:23" x14ac:dyDescent="0.25">
      <c r="A756" t="s">
        <v>1032</v>
      </c>
    </row>
    <row r="757" spans="1:23" x14ac:dyDescent="0.25">
      <c r="A757" t="s">
        <v>251</v>
      </c>
      <c r="B757" t="s">
        <v>1033</v>
      </c>
      <c r="C757" t="s">
        <v>1031</v>
      </c>
      <c r="D757">
        <v>5</v>
      </c>
      <c r="E757">
        <v>0</v>
      </c>
      <c r="F757" t="s">
        <v>1034</v>
      </c>
      <c r="G757" t="s">
        <v>1034</v>
      </c>
      <c r="H757" t="s">
        <v>1034</v>
      </c>
      <c r="I757" t="s">
        <v>1034</v>
      </c>
      <c r="J757" t="s">
        <v>1034</v>
      </c>
      <c r="K757" t="s">
        <v>1034</v>
      </c>
      <c r="L757" t="s">
        <v>1034</v>
      </c>
      <c r="M757" t="s">
        <v>1034</v>
      </c>
      <c r="N757" t="s">
        <v>1034</v>
      </c>
      <c r="O757" t="s">
        <v>1034</v>
      </c>
      <c r="P757" t="s">
        <v>1034</v>
      </c>
      <c r="Q757" t="s">
        <v>1034</v>
      </c>
      <c r="R757" t="s">
        <v>1034</v>
      </c>
      <c r="S757" t="s">
        <v>1034</v>
      </c>
      <c r="T757" t="s">
        <v>1034</v>
      </c>
      <c r="U757" t="s">
        <v>1034</v>
      </c>
      <c r="V757" t="s">
        <v>1034</v>
      </c>
      <c r="W757" t="s">
        <v>1035</v>
      </c>
    </row>
    <row r="758" spans="1:23" x14ac:dyDescent="0.25">
      <c r="A758" t="s">
        <v>254</v>
      </c>
      <c r="B758" t="s">
        <v>1033</v>
      </c>
      <c r="C758" t="s">
        <v>1031</v>
      </c>
      <c r="D758">
        <v>0</v>
      </c>
      <c r="E758">
        <v>931947</v>
      </c>
      <c r="F758">
        <v>242112</v>
      </c>
      <c r="G758">
        <v>7512</v>
      </c>
      <c r="H758">
        <v>234032</v>
      </c>
      <c r="I758">
        <v>0</v>
      </c>
      <c r="J758">
        <v>61.420519599999999</v>
      </c>
      <c r="K758">
        <v>62.330017300000002</v>
      </c>
      <c r="L758">
        <v>28.090474100000002</v>
      </c>
      <c r="M758">
        <v>36.196469399999998</v>
      </c>
      <c r="N758">
        <v>36.5014672</v>
      </c>
      <c r="O758">
        <v>0</v>
      </c>
      <c r="P758">
        <v>7.2539999999999996</v>
      </c>
      <c r="Q758">
        <v>0.86699999999999999</v>
      </c>
      <c r="R758">
        <v>0</v>
      </c>
      <c r="S758">
        <v>0</v>
      </c>
      <c r="T758">
        <v>0</v>
      </c>
      <c r="U758">
        <v>0</v>
      </c>
      <c r="V758" t="s">
        <v>1030</v>
      </c>
      <c r="W758">
        <v>3130215</v>
      </c>
    </row>
    <row r="759" spans="1:23" x14ac:dyDescent="0.25">
      <c r="A759" t="s">
        <v>254</v>
      </c>
      <c r="B759" t="s">
        <v>1033</v>
      </c>
      <c r="C759" t="s">
        <v>1031</v>
      </c>
      <c r="D759">
        <v>1</v>
      </c>
      <c r="E759">
        <v>892106</v>
      </c>
      <c r="F759">
        <v>541808</v>
      </c>
      <c r="G759">
        <v>25384</v>
      </c>
      <c r="H759">
        <v>515856</v>
      </c>
      <c r="I759">
        <v>0</v>
      </c>
      <c r="J759">
        <v>68.131775399999995</v>
      </c>
      <c r="K759">
        <v>70.0470021</v>
      </c>
      <c r="L759">
        <v>31.361913999999999</v>
      </c>
      <c r="M759">
        <v>39.527506299999999</v>
      </c>
      <c r="N759">
        <v>39.863621999999999</v>
      </c>
      <c r="O759">
        <v>0</v>
      </c>
      <c r="P759">
        <v>6.4089999999999998</v>
      </c>
      <c r="Q759">
        <v>0.94099999999999995</v>
      </c>
      <c r="R759">
        <v>0</v>
      </c>
      <c r="S759">
        <v>0</v>
      </c>
      <c r="T759">
        <v>0</v>
      </c>
      <c r="U759">
        <v>0</v>
      </c>
      <c r="V759" t="s">
        <v>1030</v>
      </c>
      <c r="W759">
        <v>3130215</v>
      </c>
    </row>
    <row r="760" spans="1:23" x14ac:dyDescent="0.25">
      <c r="A760" t="s">
        <v>254</v>
      </c>
      <c r="B760" t="s">
        <v>1033</v>
      </c>
      <c r="C760" t="s">
        <v>1031</v>
      </c>
      <c r="D760">
        <v>2</v>
      </c>
      <c r="E760">
        <v>922914</v>
      </c>
      <c r="F760">
        <v>1139168</v>
      </c>
      <c r="G760">
        <v>89104</v>
      </c>
      <c r="H760">
        <v>1049496</v>
      </c>
      <c r="I760">
        <v>0</v>
      </c>
      <c r="J760">
        <v>73.398913100000001</v>
      </c>
      <c r="K760">
        <v>75.143049500000004</v>
      </c>
      <c r="L760">
        <v>34.101652000000001</v>
      </c>
      <c r="M760">
        <v>42.614114100000002</v>
      </c>
      <c r="N760">
        <v>43.012731100000003</v>
      </c>
      <c r="O760">
        <v>0</v>
      </c>
      <c r="P760">
        <v>6.5860000000000003</v>
      </c>
      <c r="Q760">
        <v>1.2849999999999999</v>
      </c>
      <c r="R760">
        <v>0</v>
      </c>
      <c r="S760">
        <v>0</v>
      </c>
      <c r="T760">
        <v>0</v>
      </c>
      <c r="U760">
        <v>0</v>
      </c>
      <c r="V760" t="s">
        <v>1030</v>
      </c>
      <c r="W760">
        <v>3130215</v>
      </c>
    </row>
    <row r="761" spans="1:23" x14ac:dyDescent="0.25">
      <c r="A761" t="s">
        <v>254</v>
      </c>
      <c r="B761" t="s">
        <v>1033</v>
      </c>
      <c r="C761" t="s">
        <v>1031</v>
      </c>
      <c r="D761">
        <v>3</v>
      </c>
      <c r="E761">
        <v>987797</v>
      </c>
      <c r="F761">
        <v>2244552</v>
      </c>
      <c r="G761">
        <v>268760</v>
      </c>
      <c r="H761">
        <v>1975224</v>
      </c>
      <c r="I761">
        <v>0</v>
      </c>
      <c r="J761">
        <v>74.497880899999998</v>
      </c>
      <c r="K761">
        <v>77.029299699999996</v>
      </c>
      <c r="L761">
        <v>35.646097699999999</v>
      </c>
      <c r="M761">
        <v>45.032990599999998</v>
      </c>
      <c r="N761">
        <v>45.431230200000002</v>
      </c>
      <c r="O761">
        <v>0</v>
      </c>
      <c r="P761">
        <v>7.6779999999999999</v>
      </c>
      <c r="Q761">
        <v>2.2010000000000001</v>
      </c>
      <c r="R761">
        <v>0</v>
      </c>
      <c r="S761">
        <v>0</v>
      </c>
      <c r="T761">
        <v>0</v>
      </c>
      <c r="U761">
        <v>0</v>
      </c>
      <c r="V761" t="s">
        <v>1030</v>
      </c>
      <c r="W761">
        <v>3130215</v>
      </c>
    </row>
    <row r="762" spans="1:23" x14ac:dyDescent="0.25">
      <c r="A762" t="s">
        <v>1032</v>
      </c>
    </row>
    <row r="763" spans="1:23" x14ac:dyDescent="0.25">
      <c r="A763" t="s">
        <v>254</v>
      </c>
      <c r="B763" t="s">
        <v>1033</v>
      </c>
      <c r="C763" t="s">
        <v>1031</v>
      </c>
      <c r="D763">
        <v>5</v>
      </c>
      <c r="E763">
        <v>0</v>
      </c>
      <c r="F763" t="s">
        <v>1034</v>
      </c>
      <c r="G763" t="s">
        <v>1034</v>
      </c>
      <c r="H763" t="s">
        <v>1034</v>
      </c>
      <c r="I763" t="s">
        <v>1034</v>
      </c>
      <c r="J763" t="s">
        <v>1034</v>
      </c>
      <c r="K763" t="s">
        <v>1034</v>
      </c>
      <c r="L763" t="s">
        <v>1034</v>
      </c>
      <c r="M763" t="s">
        <v>1034</v>
      </c>
      <c r="N763" t="s">
        <v>1034</v>
      </c>
      <c r="O763" t="s">
        <v>1034</v>
      </c>
      <c r="P763" t="s">
        <v>1034</v>
      </c>
      <c r="Q763" t="s">
        <v>1034</v>
      </c>
      <c r="R763" t="s">
        <v>1034</v>
      </c>
      <c r="S763" t="s">
        <v>1034</v>
      </c>
      <c r="T763" t="s">
        <v>1034</v>
      </c>
      <c r="U763" t="s">
        <v>1034</v>
      </c>
      <c r="V763" t="s">
        <v>1034</v>
      </c>
      <c r="W763" t="s">
        <v>1035</v>
      </c>
    </row>
    <row r="764" spans="1:23" x14ac:dyDescent="0.25">
      <c r="A764" t="s">
        <v>257</v>
      </c>
      <c r="B764" t="s">
        <v>1033</v>
      </c>
      <c r="C764" t="s">
        <v>1031</v>
      </c>
      <c r="D764">
        <v>0</v>
      </c>
      <c r="E764">
        <v>3658897</v>
      </c>
      <c r="F764">
        <v>202400</v>
      </c>
      <c r="G764">
        <v>27728</v>
      </c>
      <c r="H764">
        <v>173896</v>
      </c>
      <c r="I764">
        <v>0</v>
      </c>
      <c r="J764">
        <v>64.387408100000002</v>
      </c>
      <c r="K764">
        <v>64.789556099999999</v>
      </c>
      <c r="L764">
        <v>36.91825</v>
      </c>
      <c r="M764">
        <v>48.407158000000003</v>
      </c>
      <c r="N764">
        <v>48.739157200000001</v>
      </c>
      <c r="O764">
        <v>0</v>
      </c>
      <c r="P764">
        <v>16.297999999999998</v>
      </c>
      <c r="Q764">
        <v>3.4390000000000001</v>
      </c>
      <c r="R764">
        <v>0</v>
      </c>
      <c r="S764">
        <v>0</v>
      </c>
      <c r="T764">
        <v>0</v>
      </c>
      <c r="U764">
        <v>0</v>
      </c>
      <c r="V764" t="s">
        <v>1030</v>
      </c>
      <c r="W764">
        <v>3493085</v>
      </c>
    </row>
    <row r="765" spans="1:23" x14ac:dyDescent="0.25">
      <c r="A765" t="s">
        <v>257</v>
      </c>
      <c r="B765" t="s">
        <v>1033</v>
      </c>
      <c r="C765" t="s">
        <v>1031</v>
      </c>
      <c r="D765">
        <v>1</v>
      </c>
      <c r="E765">
        <v>3452248</v>
      </c>
      <c r="F765">
        <v>444656</v>
      </c>
      <c r="G765">
        <v>84904</v>
      </c>
      <c r="H765">
        <v>358976</v>
      </c>
      <c r="I765">
        <v>0</v>
      </c>
      <c r="J765">
        <v>70.297645500000002</v>
      </c>
      <c r="K765">
        <v>71.446669700000001</v>
      </c>
      <c r="L765">
        <v>39.910763299999999</v>
      </c>
      <c r="M765">
        <v>49.734004300000002</v>
      </c>
      <c r="N765">
        <v>50.386742300000002</v>
      </c>
      <c r="O765">
        <v>0</v>
      </c>
      <c r="P765">
        <v>14.992000000000001</v>
      </c>
      <c r="Q765">
        <v>3.6120000000000001</v>
      </c>
      <c r="R765">
        <v>0</v>
      </c>
      <c r="S765">
        <v>0</v>
      </c>
      <c r="T765">
        <v>0</v>
      </c>
      <c r="U765">
        <v>0</v>
      </c>
      <c r="V765" t="s">
        <v>1030</v>
      </c>
      <c r="W765">
        <v>3493085</v>
      </c>
    </row>
    <row r="766" spans="1:23" x14ac:dyDescent="0.25">
      <c r="A766" t="s">
        <v>257</v>
      </c>
      <c r="B766" t="s">
        <v>1033</v>
      </c>
      <c r="C766" t="s">
        <v>1031</v>
      </c>
      <c r="D766">
        <v>2</v>
      </c>
      <c r="E766">
        <v>3525630</v>
      </c>
      <c r="F766">
        <v>1080032</v>
      </c>
      <c r="G766">
        <v>274936</v>
      </c>
      <c r="H766">
        <v>804320</v>
      </c>
      <c r="I766">
        <v>0</v>
      </c>
      <c r="J766">
        <v>73.295949399999998</v>
      </c>
      <c r="K766">
        <v>75.565333499999994</v>
      </c>
      <c r="L766">
        <v>42.314340100000003</v>
      </c>
      <c r="M766">
        <v>50.837657900000004</v>
      </c>
      <c r="N766">
        <v>51.548088499999999</v>
      </c>
      <c r="O766">
        <v>0</v>
      </c>
      <c r="P766">
        <v>16.402000000000001</v>
      </c>
      <c r="Q766">
        <v>4.7789999999999999</v>
      </c>
      <c r="R766">
        <v>0</v>
      </c>
      <c r="S766">
        <v>0</v>
      </c>
      <c r="T766">
        <v>0</v>
      </c>
      <c r="U766">
        <v>0</v>
      </c>
      <c r="V766" t="s">
        <v>1030</v>
      </c>
      <c r="W766">
        <v>3493085</v>
      </c>
    </row>
    <row r="767" spans="1:23" x14ac:dyDescent="0.25">
      <c r="A767" t="s">
        <v>257</v>
      </c>
      <c r="B767" t="s">
        <v>1033</v>
      </c>
      <c r="C767" t="s">
        <v>1031</v>
      </c>
      <c r="D767">
        <v>3</v>
      </c>
      <c r="E767">
        <v>3700133</v>
      </c>
      <c r="F767">
        <v>2587064</v>
      </c>
      <c r="G767">
        <v>821624</v>
      </c>
      <c r="H767">
        <v>1764664</v>
      </c>
      <c r="I767">
        <v>0</v>
      </c>
      <c r="J767">
        <v>73.985063499999995</v>
      </c>
      <c r="K767">
        <v>76.685447999999994</v>
      </c>
      <c r="L767">
        <v>44.365762699999998</v>
      </c>
      <c r="M767">
        <v>52.134402799999997</v>
      </c>
      <c r="N767">
        <v>52.778506299999997</v>
      </c>
      <c r="O767">
        <v>0</v>
      </c>
      <c r="P767">
        <v>19.972000000000001</v>
      </c>
      <c r="Q767">
        <v>7.9340000000000002</v>
      </c>
      <c r="R767">
        <v>0</v>
      </c>
      <c r="S767">
        <v>0</v>
      </c>
      <c r="T767">
        <v>0</v>
      </c>
      <c r="U767">
        <v>0</v>
      </c>
      <c r="V767" t="s">
        <v>1030</v>
      </c>
      <c r="W767">
        <v>3493085</v>
      </c>
    </row>
    <row r="768" spans="1:23" x14ac:dyDescent="0.25">
      <c r="A768" t="s">
        <v>1032</v>
      </c>
    </row>
    <row r="769" spans="1:23" x14ac:dyDescent="0.25">
      <c r="A769" t="s">
        <v>257</v>
      </c>
      <c r="B769" t="s">
        <v>1033</v>
      </c>
      <c r="C769" t="s">
        <v>1031</v>
      </c>
      <c r="D769">
        <v>5</v>
      </c>
      <c r="E769">
        <v>0</v>
      </c>
      <c r="F769" t="s">
        <v>1034</v>
      </c>
      <c r="G769" t="s">
        <v>1034</v>
      </c>
      <c r="H769" t="s">
        <v>1034</v>
      </c>
      <c r="I769" t="s">
        <v>1034</v>
      </c>
      <c r="J769" t="s">
        <v>1034</v>
      </c>
      <c r="K769" t="s">
        <v>1034</v>
      </c>
      <c r="L769" t="s">
        <v>1034</v>
      </c>
      <c r="M769" t="s">
        <v>1034</v>
      </c>
      <c r="N769" t="s">
        <v>1034</v>
      </c>
      <c r="O769" t="s">
        <v>1034</v>
      </c>
      <c r="P769" t="s">
        <v>1034</v>
      </c>
      <c r="Q769" t="s">
        <v>1034</v>
      </c>
      <c r="R769" t="s">
        <v>1034</v>
      </c>
      <c r="S769" t="s">
        <v>1034</v>
      </c>
      <c r="T769" t="s">
        <v>1034</v>
      </c>
      <c r="U769" t="s">
        <v>1034</v>
      </c>
      <c r="V769" t="s">
        <v>1034</v>
      </c>
      <c r="W769" t="s">
        <v>1035</v>
      </c>
    </row>
    <row r="770" spans="1:23" x14ac:dyDescent="0.25">
      <c r="A770" t="s">
        <v>261</v>
      </c>
      <c r="B770" t="s">
        <v>1033</v>
      </c>
      <c r="C770" t="s">
        <v>1031</v>
      </c>
      <c r="D770">
        <v>0</v>
      </c>
      <c r="E770">
        <v>1481838</v>
      </c>
      <c r="F770">
        <v>534984</v>
      </c>
      <c r="G770">
        <v>8896</v>
      </c>
      <c r="H770">
        <v>525432</v>
      </c>
      <c r="I770">
        <v>0</v>
      </c>
      <c r="J770">
        <v>49.891885799999997</v>
      </c>
      <c r="K770">
        <v>51.577021999999999</v>
      </c>
      <c r="L770">
        <v>20.208046899999999</v>
      </c>
      <c r="M770">
        <v>37.765531899999999</v>
      </c>
      <c r="N770">
        <v>36.780296399999997</v>
      </c>
      <c r="O770">
        <v>0</v>
      </c>
      <c r="P770">
        <v>11.071</v>
      </c>
      <c r="Q770">
        <v>3.0289999999999999</v>
      </c>
      <c r="R770">
        <v>0</v>
      </c>
      <c r="S770">
        <v>0</v>
      </c>
      <c r="T770">
        <v>0</v>
      </c>
      <c r="U770">
        <v>0</v>
      </c>
      <c r="V770" t="s">
        <v>1030</v>
      </c>
      <c r="W770">
        <v>1596085</v>
      </c>
    </row>
    <row r="771" spans="1:23" x14ac:dyDescent="0.25">
      <c r="A771" t="s">
        <v>261</v>
      </c>
      <c r="B771" t="s">
        <v>1033</v>
      </c>
      <c r="C771" t="s">
        <v>1031</v>
      </c>
      <c r="D771">
        <v>1</v>
      </c>
      <c r="E771">
        <v>1636060</v>
      </c>
      <c r="F771">
        <v>1359392</v>
      </c>
      <c r="G771">
        <v>33360</v>
      </c>
      <c r="H771">
        <v>1325376</v>
      </c>
      <c r="I771">
        <v>0</v>
      </c>
      <c r="J771">
        <v>58.599925200000001</v>
      </c>
      <c r="K771">
        <v>61.689542699999997</v>
      </c>
      <c r="L771">
        <v>25.853838400000001</v>
      </c>
      <c r="M771">
        <v>40.830381000000003</v>
      </c>
      <c r="N771">
        <v>39.320665099999999</v>
      </c>
      <c r="O771">
        <v>0</v>
      </c>
      <c r="P771">
        <v>9.9049999999999994</v>
      </c>
      <c r="Q771">
        <v>1.38</v>
      </c>
      <c r="R771">
        <v>0</v>
      </c>
      <c r="S771">
        <v>0</v>
      </c>
      <c r="T771">
        <v>0</v>
      </c>
      <c r="U771">
        <v>0</v>
      </c>
      <c r="V771" t="s">
        <v>1030</v>
      </c>
      <c r="W771">
        <v>1596085</v>
      </c>
    </row>
    <row r="772" spans="1:23" x14ac:dyDescent="0.25">
      <c r="A772" t="s">
        <v>261</v>
      </c>
      <c r="B772" t="s">
        <v>1033</v>
      </c>
      <c r="C772" t="s">
        <v>1031</v>
      </c>
      <c r="D772">
        <v>2</v>
      </c>
      <c r="E772">
        <v>1695660</v>
      </c>
      <c r="F772">
        <v>2651704</v>
      </c>
      <c r="G772">
        <v>129616</v>
      </c>
      <c r="H772">
        <v>2521432</v>
      </c>
      <c r="I772">
        <v>0</v>
      </c>
      <c r="J772">
        <v>64.280785300000005</v>
      </c>
      <c r="K772">
        <v>67.896638400000001</v>
      </c>
      <c r="L772">
        <v>28.471340300000001</v>
      </c>
      <c r="M772">
        <v>43.165900499999999</v>
      </c>
      <c r="N772">
        <v>41.0196538</v>
      </c>
      <c r="O772">
        <v>0</v>
      </c>
      <c r="P772">
        <v>9.6430000000000007</v>
      </c>
      <c r="Q772">
        <v>1.7130000000000001</v>
      </c>
      <c r="R772">
        <v>0</v>
      </c>
      <c r="S772">
        <v>0</v>
      </c>
      <c r="T772">
        <v>0</v>
      </c>
      <c r="U772">
        <v>0</v>
      </c>
      <c r="V772" t="s">
        <v>1030</v>
      </c>
      <c r="W772">
        <v>1596085</v>
      </c>
    </row>
    <row r="773" spans="1:23" x14ac:dyDescent="0.25">
      <c r="A773" t="s">
        <v>261</v>
      </c>
      <c r="B773" t="s">
        <v>1033</v>
      </c>
      <c r="C773" t="s">
        <v>1031</v>
      </c>
      <c r="D773">
        <v>3</v>
      </c>
      <c r="E773">
        <v>2183058</v>
      </c>
      <c r="F773">
        <v>5758648</v>
      </c>
      <c r="G773">
        <v>467896</v>
      </c>
      <c r="H773">
        <v>5290096</v>
      </c>
      <c r="I773">
        <v>0</v>
      </c>
      <c r="J773">
        <v>68.575499300000004</v>
      </c>
      <c r="K773">
        <v>71.535505099999995</v>
      </c>
      <c r="L773">
        <v>30.3213179</v>
      </c>
      <c r="M773">
        <v>46.000743100000001</v>
      </c>
      <c r="N773">
        <v>43.445464299999998</v>
      </c>
      <c r="O773">
        <v>0</v>
      </c>
      <c r="P773">
        <v>12.795999999999999</v>
      </c>
      <c r="Q773">
        <v>2.9849999999999999</v>
      </c>
      <c r="R773">
        <v>0</v>
      </c>
      <c r="S773">
        <v>0</v>
      </c>
      <c r="T773">
        <v>0</v>
      </c>
      <c r="U773">
        <v>0</v>
      </c>
      <c r="V773" t="s">
        <v>1030</v>
      </c>
      <c r="W773">
        <v>1596085</v>
      </c>
    </row>
    <row r="774" spans="1:23" x14ac:dyDescent="0.25">
      <c r="A774" t="s">
        <v>1032</v>
      </c>
    </row>
    <row r="775" spans="1:23" x14ac:dyDescent="0.25">
      <c r="A775" t="s">
        <v>261</v>
      </c>
      <c r="B775" t="s">
        <v>1033</v>
      </c>
      <c r="C775" t="s">
        <v>1031</v>
      </c>
      <c r="D775">
        <v>5</v>
      </c>
      <c r="E775">
        <v>0</v>
      </c>
      <c r="F775" t="s">
        <v>1034</v>
      </c>
      <c r="G775" t="s">
        <v>1034</v>
      </c>
      <c r="H775" t="s">
        <v>1034</v>
      </c>
      <c r="I775" t="s">
        <v>1034</v>
      </c>
      <c r="J775" t="s">
        <v>1034</v>
      </c>
      <c r="K775" t="s">
        <v>1034</v>
      </c>
      <c r="L775" t="s">
        <v>1034</v>
      </c>
      <c r="M775" t="s">
        <v>1034</v>
      </c>
      <c r="N775" t="s">
        <v>1034</v>
      </c>
      <c r="O775" t="s">
        <v>1034</v>
      </c>
      <c r="P775" t="s">
        <v>1034</v>
      </c>
      <c r="Q775" t="s">
        <v>1034</v>
      </c>
      <c r="R775" t="s">
        <v>1034</v>
      </c>
      <c r="S775" t="s">
        <v>1034</v>
      </c>
      <c r="T775" t="s">
        <v>1034</v>
      </c>
      <c r="U775" t="s">
        <v>1034</v>
      </c>
      <c r="V775" t="s">
        <v>1034</v>
      </c>
      <c r="W775" t="s">
        <v>1035</v>
      </c>
    </row>
    <row r="776" spans="1:23" x14ac:dyDescent="0.25">
      <c r="A776" t="s">
        <v>264</v>
      </c>
      <c r="B776" t="s">
        <v>1033</v>
      </c>
      <c r="C776" t="s">
        <v>1031</v>
      </c>
      <c r="D776">
        <v>0</v>
      </c>
      <c r="E776">
        <v>8344441</v>
      </c>
      <c r="F776">
        <v>1990952</v>
      </c>
      <c r="G776">
        <v>80104</v>
      </c>
      <c r="H776">
        <v>1909632</v>
      </c>
      <c r="I776">
        <v>0</v>
      </c>
      <c r="J776">
        <v>64.062195700000004</v>
      </c>
      <c r="K776">
        <v>70.593779600000005</v>
      </c>
      <c r="L776">
        <v>24.776258899999998</v>
      </c>
      <c r="M776">
        <v>40.065374800000001</v>
      </c>
      <c r="N776">
        <v>41.593524500000001</v>
      </c>
      <c r="O776">
        <v>0</v>
      </c>
      <c r="P776">
        <v>45.280999999999999</v>
      </c>
      <c r="Q776">
        <v>9.9480000000000004</v>
      </c>
      <c r="R776">
        <v>0</v>
      </c>
      <c r="S776">
        <v>0</v>
      </c>
      <c r="T776">
        <v>0</v>
      </c>
      <c r="U776">
        <v>0</v>
      </c>
      <c r="V776" t="s">
        <v>1030</v>
      </c>
      <c r="W776">
        <v>8907880</v>
      </c>
    </row>
    <row r="777" spans="1:23" x14ac:dyDescent="0.25">
      <c r="A777" t="s">
        <v>264</v>
      </c>
      <c r="B777" t="s">
        <v>1033</v>
      </c>
      <c r="C777" t="s">
        <v>1031</v>
      </c>
      <c r="D777">
        <v>1</v>
      </c>
      <c r="E777">
        <v>8369491</v>
      </c>
      <c r="F777">
        <v>4961528</v>
      </c>
      <c r="G777">
        <v>289280</v>
      </c>
      <c r="H777">
        <v>4671032</v>
      </c>
      <c r="I777">
        <v>0</v>
      </c>
      <c r="J777">
        <v>69.378488000000004</v>
      </c>
      <c r="K777">
        <v>75.685801499999997</v>
      </c>
      <c r="L777">
        <v>27.031751400000001</v>
      </c>
      <c r="M777">
        <v>41.6427318</v>
      </c>
      <c r="N777">
        <v>42.907002200000001</v>
      </c>
      <c r="O777">
        <v>0</v>
      </c>
      <c r="P777">
        <v>44.334000000000003</v>
      </c>
      <c r="Q777">
        <v>10.539</v>
      </c>
      <c r="R777">
        <v>0</v>
      </c>
      <c r="S777">
        <v>0</v>
      </c>
      <c r="T777">
        <v>0</v>
      </c>
      <c r="U777">
        <v>0</v>
      </c>
      <c r="V777" t="s">
        <v>1030</v>
      </c>
      <c r="W777">
        <v>8907880</v>
      </c>
    </row>
    <row r="778" spans="1:23" x14ac:dyDescent="0.25">
      <c r="A778" t="s">
        <v>264</v>
      </c>
      <c r="B778" t="s">
        <v>1033</v>
      </c>
      <c r="C778" t="s">
        <v>1031</v>
      </c>
      <c r="D778">
        <v>2</v>
      </c>
      <c r="E778">
        <v>8137292</v>
      </c>
      <c r="F778">
        <v>10888248</v>
      </c>
      <c r="G778">
        <v>1311088</v>
      </c>
      <c r="H778">
        <v>9575944</v>
      </c>
      <c r="I778">
        <v>0</v>
      </c>
      <c r="J778">
        <v>75.567869299999998</v>
      </c>
      <c r="K778">
        <v>79.091706200000004</v>
      </c>
      <c r="L778">
        <v>29.058384100000001</v>
      </c>
      <c r="M778">
        <v>43.3080566</v>
      </c>
      <c r="N778">
        <v>44.352375199999997</v>
      </c>
      <c r="O778">
        <v>0</v>
      </c>
      <c r="P778">
        <v>50.247</v>
      </c>
      <c r="Q778">
        <v>12.808</v>
      </c>
      <c r="R778">
        <v>0</v>
      </c>
      <c r="S778">
        <v>0</v>
      </c>
      <c r="T778">
        <v>0</v>
      </c>
      <c r="U778">
        <v>0</v>
      </c>
      <c r="V778" t="s">
        <v>1030</v>
      </c>
      <c r="W778">
        <v>8907880</v>
      </c>
    </row>
    <row r="779" spans="1:23" x14ac:dyDescent="0.25">
      <c r="A779" t="s">
        <v>264</v>
      </c>
      <c r="B779" t="s">
        <v>1033</v>
      </c>
      <c r="C779" t="s">
        <v>1031</v>
      </c>
      <c r="D779">
        <v>3</v>
      </c>
      <c r="E779">
        <v>8689325</v>
      </c>
      <c r="F779">
        <v>24817440</v>
      </c>
      <c r="G779">
        <v>5434928</v>
      </c>
      <c r="H779">
        <v>19381296</v>
      </c>
      <c r="I779">
        <v>0</v>
      </c>
      <c r="J779">
        <v>77.238729000000006</v>
      </c>
      <c r="K779">
        <v>80.4696797</v>
      </c>
      <c r="L779">
        <v>30.231467599999998</v>
      </c>
      <c r="M779">
        <v>45.0127351</v>
      </c>
      <c r="N779">
        <v>45.842697899999997</v>
      </c>
      <c r="O779">
        <v>0</v>
      </c>
      <c r="P779">
        <v>70.198999999999998</v>
      </c>
      <c r="Q779">
        <v>19.317</v>
      </c>
      <c r="R779">
        <v>0</v>
      </c>
      <c r="S779">
        <v>0</v>
      </c>
      <c r="T779">
        <v>0</v>
      </c>
      <c r="U779">
        <v>0</v>
      </c>
      <c r="V779" t="s">
        <v>1030</v>
      </c>
      <c r="W779">
        <v>8907880</v>
      </c>
    </row>
    <row r="780" spans="1:23" x14ac:dyDescent="0.25">
      <c r="A780" t="s">
        <v>1032</v>
      </c>
    </row>
    <row r="781" spans="1:23" x14ac:dyDescent="0.25">
      <c r="A781" t="s">
        <v>264</v>
      </c>
      <c r="B781" t="s">
        <v>1033</v>
      </c>
      <c r="C781" t="s">
        <v>1031</v>
      </c>
      <c r="D781">
        <v>5</v>
      </c>
      <c r="E781">
        <v>0</v>
      </c>
      <c r="F781" t="s">
        <v>1034</v>
      </c>
      <c r="G781" t="s">
        <v>1034</v>
      </c>
      <c r="H781" t="s">
        <v>1034</v>
      </c>
      <c r="I781" t="s">
        <v>1034</v>
      </c>
      <c r="J781" t="s">
        <v>1034</v>
      </c>
      <c r="K781" t="s">
        <v>1034</v>
      </c>
      <c r="L781" t="s">
        <v>1034</v>
      </c>
      <c r="M781" t="s">
        <v>1034</v>
      </c>
      <c r="N781" t="s">
        <v>1034</v>
      </c>
      <c r="O781" t="s">
        <v>1034</v>
      </c>
      <c r="P781" t="s">
        <v>1034</v>
      </c>
      <c r="Q781" t="s">
        <v>1034</v>
      </c>
      <c r="R781" t="s">
        <v>1034</v>
      </c>
      <c r="S781" t="s">
        <v>1034</v>
      </c>
      <c r="T781" t="s">
        <v>1034</v>
      </c>
      <c r="U781" t="s">
        <v>1034</v>
      </c>
      <c r="V781" t="s">
        <v>1034</v>
      </c>
      <c r="W781" t="s">
        <v>1035</v>
      </c>
    </row>
    <row r="782" spans="1:23" x14ac:dyDescent="0.25">
      <c r="A782" t="s">
        <v>267</v>
      </c>
      <c r="B782" t="s">
        <v>1033</v>
      </c>
      <c r="C782" t="s">
        <v>1031</v>
      </c>
      <c r="D782">
        <v>0</v>
      </c>
      <c r="E782">
        <v>14066722</v>
      </c>
      <c r="F782">
        <v>1534992</v>
      </c>
      <c r="G782">
        <v>98184</v>
      </c>
      <c r="H782">
        <v>1434872</v>
      </c>
      <c r="I782">
        <v>0</v>
      </c>
      <c r="J782">
        <v>68.065072200000003</v>
      </c>
      <c r="K782">
        <v>71.023796099999998</v>
      </c>
      <c r="L782">
        <v>30.355799399999999</v>
      </c>
      <c r="M782">
        <v>43.485294199999998</v>
      </c>
      <c r="N782">
        <v>45.5494196</v>
      </c>
      <c r="O782">
        <v>0</v>
      </c>
      <c r="P782">
        <v>79.778000000000006</v>
      </c>
      <c r="Q782">
        <v>14.763</v>
      </c>
      <c r="R782">
        <v>0</v>
      </c>
      <c r="S782">
        <v>0</v>
      </c>
      <c r="T782">
        <v>0</v>
      </c>
      <c r="U782">
        <v>0</v>
      </c>
      <c r="V782" t="s">
        <v>1030</v>
      </c>
      <c r="W782">
        <v>19702134</v>
      </c>
    </row>
    <row r="783" spans="1:23" x14ac:dyDescent="0.25">
      <c r="A783" t="s">
        <v>267</v>
      </c>
      <c r="B783" t="s">
        <v>1033</v>
      </c>
      <c r="C783" t="s">
        <v>1031</v>
      </c>
      <c r="D783">
        <v>1</v>
      </c>
      <c r="E783">
        <v>13820697</v>
      </c>
      <c r="F783">
        <v>4217608</v>
      </c>
      <c r="G783">
        <v>336008</v>
      </c>
      <c r="H783">
        <v>3879664</v>
      </c>
      <c r="I783">
        <v>0</v>
      </c>
      <c r="J783">
        <v>74.350648500000005</v>
      </c>
      <c r="K783">
        <v>76.928054700000004</v>
      </c>
      <c r="L783">
        <v>32.294221399999998</v>
      </c>
      <c r="M783">
        <v>44.556226700000003</v>
      </c>
      <c r="N783">
        <v>46.541506200000001</v>
      </c>
      <c r="O783">
        <v>0</v>
      </c>
      <c r="P783">
        <v>75.266000000000005</v>
      </c>
      <c r="Q783">
        <v>12.962999999999999</v>
      </c>
      <c r="R783">
        <v>0</v>
      </c>
      <c r="S783">
        <v>0</v>
      </c>
      <c r="T783">
        <v>0</v>
      </c>
      <c r="U783">
        <v>0</v>
      </c>
      <c r="V783" t="s">
        <v>1030</v>
      </c>
      <c r="W783">
        <v>19702134</v>
      </c>
    </row>
    <row r="784" spans="1:23" x14ac:dyDescent="0.25">
      <c r="A784" t="s">
        <v>267</v>
      </c>
      <c r="B784" t="s">
        <v>1033</v>
      </c>
      <c r="C784" t="s">
        <v>1031</v>
      </c>
      <c r="D784">
        <v>2</v>
      </c>
      <c r="E784">
        <v>14649623</v>
      </c>
      <c r="F784">
        <v>11313376</v>
      </c>
      <c r="G784">
        <v>1313344</v>
      </c>
      <c r="H784">
        <v>9998096</v>
      </c>
      <c r="I784">
        <v>0</v>
      </c>
      <c r="J784">
        <v>79.136447799999999</v>
      </c>
      <c r="K784">
        <v>80.941286899999994</v>
      </c>
      <c r="L784">
        <v>34.334530600000001</v>
      </c>
      <c r="M784">
        <v>45.803438800000002</v>
      </c>
      <c r="N784">
        <v>47.616634300000001</v>
      </c>
      <c r="O784">
        <v>0</v>
      </c>
      <c r="P784">
        <v>79.930000000000007</v>
      </c>
      <c r="Q784">
        <v>21.489000000000001</v>
      </c>
      <c r="R784">
        <v>0</v>
      </c>
      <c r="S784">
        <v>0</v>
      </c>
      <c r="T784">
        <v>0</v>
      </c>
      <c r="U784">
        <v>0</v>
      </c>
      <c r="V784" t="s">
        <v>1030</v>
      </c>
      <c r="W784">
        <v>19702134</v>
      </c>
    </row>
    <row r="785" spans="1:23" x14ac:dyDescent="0.25">
      <c r="A785" t="s">
        <v>267</v>
      </c>
      <c r="B785" t="s">
        <v>1033</v>
      </c>
      <c r="C785" t="s">
        <v>1031</v>
      </c>
      <c r="D785">
        <v>3</v>
      </c>
      <c r="E785">
        <v>15312134</v>
      </c>
      <c r="F785">
        <v>27640448</v>
      </c>
      <c r="G785">
        <v>4738800</v>
      </c>
      <c r="H785">
        <v>22899632</v>
      </c>
      <c r="I785">
        <v>0</v>
      </c>
      <c r="J785">
        <v>80.563472300000001</v>
      </c>
      <c r="K785">
        <v>83.014914200000007</v>
      </c>
      <c r="L785">
        <v>36.138123700000001</v>
      </c>
      <c r="M785">
        <v>47.146284899999998</v>
      </c>
      <c r="N785">
        <v>48.714890400000002</v>
      </c>
      <c r="O785">
        <v>0</v>
      </c>
      <c r="P785">
        <v>100.708</v>
      </c>
      <c r="Q785">
        <v>37.503</v>
      </c>
      <c r="R785">
        <v>0</v>
      </c>
      <c r="S785">
        <v>0</v>
      </c>
      <c r="T785">
        <v>0</v>
      </c>
      <c r="U785">
        <v>0</v>
      </c>
      <c r="V785" t="s">
        <v>1030</v>
      </c>
      <c r="W785">
        <v>19702134</v>
      </c>
    </row>
    <row r="786" spans="1:23" x14ac:dyDescent="0.25">
      <c r="A786" t="s">
        <v>1032</v>
      </c>
    </row>
    <row r="787" spans="1:23" x14ac:dyDescent="0.25">
      <c r="A787" t="s">
        <v>267</v>
      </c>
      <c r="B787" t="s">
        <v>1033</v>
      </c>
      <c r="C787" t="s">
        <v>1031</v>
      </c>
      <c r="D787">
        <v>5</v>
      </c>
      <c r="E787">
        <v>0</v>
      </c>
      <c r="F787" t="s">
        <v>1034</v>
      </c>
      <c r="G787" t="s">
        <v>1034</v>
      </c>
      <c r="H787" t="s">
        <v>1034</v>
      </c>
      <c r="I787" t="s">
        <v>1034</v>
      </c>
      <c r="J787" t="s">
        <v>1034</v>
      </c>
      <c r="K787" t="s">
        <v>1034</v>
      </c>
      <c r="L787" t="s">
        <v>1034</v>
      </c>
      <c r="M787" t="s">
        <v>1034</v>
      </c>
      <c r="N787" t="s">
        <v>1034</v>
      </c>
      <c r="O787" t="s">
        <v>1034</v>
      </c>
      <c r="P787" t="s">
        <v>1034</v>
      </c>
      <c r="Q787" t="s">
        <v>1034</v>
      </c>
      <c r="R787" t="s">
        <v>1034</v>
      </c>
      <c r="S787" t="s">
        <v>1034</v>
      </c>
      <c r="T787" t="s">
        <v>1034</v>
      </c>
      <c r="U787" t="s">
        <v>1034</v>
      </c>
      <c r="V787" t="s">
        <v>1034</v>
      </c>
      <c r="W787" t="s">
        <v>1035</v>
      </c>
    </row>
    <row r="788" spans="1:23" x14ac:dyDescent="0.25">
      <c r="A788" t="s">
        <v>270</v>
      </c>
      <c r="B788" t="s">
        <v>1033</v>
      </c>
      <c r="C788" t="s">
        <v>1031</v>
      </c>
      <c r="D788">
        <v>0</v>
      </c>
      <c r="E788">
        <v>2233633</v>
      </c>
      <c r="F788">
        <v>267544</v>
      </c>
      <c r="G788">
        <v>17344</v>
      </c>
      <c r="H788">
        <v>249304</v>
      </c>
      <c r="I788">
        <v>0</v>
      </c>
      <c r="J788">
        <v>48.770139200000003</v>
      </c>
      <c r="K788">
        <v>49.578559499999997</v>
      </c>
      <c r="L788">
        <v>26.114247200000001</v>
      </c>
      <c r="M788">
        <v>43.028651199999999</v>
      </c>
      <c r="N788">
        <v>46.881728099999997</v>
      </c>
      <c r="O788">
        <v>0</v>
      </c>
      <c r="P788">
        <v>19.994</v>
      </c>
      <c r="Q788">
        <v>3.6850000000000001</v>
      </c>
      <c r="R788">
        <v>0</v>
      </c>
      <c r="S788">
        <v>0</v>
      </c>
      <c r="T788">
        <v>0</v>
      </c>
      <c r="U788">
        <v>0</v>
      </c>
      <c r="V788" t="s">
        <v>1030</v>
      </c>
      <c r="W788">
        <v>3614251</v>
      </c>
    </row>
    <row r="789" spans="1:23" x14ac:dyDescent="0.25">
      <c r="A789" t="s">
        <v>270</v>
      </c>
      <c r="B789" t="s">
        <v>1033</v>
      </c>
      <c r="C789" t="s">
        <v>1031</v>
      </c>
      <c r="D789">
        <v>1</v>
      </c>
      <c r="E789">
        <v>3092789</v>
      </c>
      <c r="F789">
        <v>836600</v>
      </c>
      <c r="G789">
        <v>54480</v>
      </c>
      <c r="H789">
        <v>781224</v>
      </c>
      <c r="I789">
        <v>0</v>
      </c>
      <c r="J789">
        <v>60.205872300000003</v>
      </c>
      <c r="K789">
        <v>64.290694599999995</v>
      </c>
      <c r="L789">
        <v>30.0936469</v>
      </c>
      <c r="M789">
        <v>45.051035900000002</v>
      </c>
      <c r="N789">
        <v>48.188634499999999</v>
      </c>
      <c r="O789">
        <v>0</v>
      </c>
      <c r="P789">
        <v>18.678000000000001</v>
      </c>
      <c r="Q789">
        <v>2.8029999999999999</v>
      </c>
      <c r="R789">
        <v>0</v>
      </c>
      <c r="S789">
        <v>0</v>
      </c>
      <c r="T789">
        <v>0</v>
      </c>
      <c r="U789">
        <v>0</v>
      </c>
      <c r="V789" t="s">
        <v>1030</v>
      </c>
      <c r="W789">
        <v>3614251</v>
      </c>
    </row>
    <row r="790" spans="1:23" x14ac:dyDescent="0.25">
      <c r="A790" t="s">
        <v>270</v>
      </c>
      <c r="B790" t="s">
        <v>1033</v>
      </c>
      <c r="C790" t="s">
        <v>1031</v>
      </c>
      <c r="D790">
        <v>2</v>
      </c>
      <c r="E790">
        <v>3106434</v>
      </c>
      <c r="F790">
        <v>1995768</v>
      </c>
      <c r="G790">
        <v>175784</v>
      </c>
      <c r="H790">
        <v>1819168</v>
      </c>
      <c r="I790">
        <v>0</v>
      </c>
      <c r="J790">
        <v>65.769265799999999</v>
      </c>
      <c r="K790">
        <v>70.597715899999997</v>
      </c>
      <c r="L790">
        <v>31.962475000000001</v>
      </c>
      <c r="M790">
        <v>46.1612291</v>
      </c>
      <c r="N790">
        <v>48.752891699999999</v>
      </c>
      <c r="O790">
        <v>0</v>
      </c>
      <c r="P790">
        <v>18.824999999999999</v>
      </c>
      <c r="Q790">
        <v>3.2</v>
      </c>
      <c r="R790">
        <v>0</v>
      </c>
      <c r="S790">
        <v>0</v>
      </c>
      <c r="T790">
        <v>0</v>
      </c>
      <c r="U790">
        <v>0</v>
      </c>
      <c r="V790" t="s">
        <v>1030</v>
      </c>
      <c r="W790">
        <v>3614251</v>
      </c>
    </row>
    <row r="791" spans="1:23" x14ac:dyDescent="0.25">
      <c r="A791" t="s">
        <v>270</v>
      </c>
      <c r="B791" t="s">
        <v>1033</v>
      </c>
      <c r="C791" t="s">
        <v>1031</v>
      </c>
      <c r="D791">
        <v>3</v>
      </c>
      <c r="E791">
        <v>4173729</v>
      </c>
      <c r="F791">
        <v>5632272</v>
      </c>
      <c r="G791">
        <v>614680</v>
      </c>
      <c r="H791">
        <v>5016776</v>
      </c>
      <c r="I791">
        <v>0</v>
      </c>
      <c r="J791">
        <v>69.765749200000002</v>
      </c>
      <c r="K791">
        <v>72.627085800000003</v>
      </c>
      <c r="L791">
        <v>33.814488300000001</v>
      </c>
      <c r="M791">
        <v>47.585963499999998</v>
      </c>
      <c r="N791">
        <v>49.562085099999997</v>
      </c>
      <c r="O791">
        <v>0</v>
      </c>
      <c r="P791">
        <v>25.074000000000002</v>
      </c>
      <c r="Q791">
        <v>5.9560000000000004</v>
      </c>
      <c r="R791">
        <v>0</v>
      </c>
      <c r="S791">
        <v>0</v>
      </c>
      <c r="T791">
        <v>0</v>
      </c>
      <c r="U791">
        <v>0</v>
      </c>
      <c r="V791" t="s">
        <v>1030</v>
      </c>
      <c r="W791">
        <v>3614251</v>
      </c>
    </row>
    <row r="792" spans="1:23" x14ac:dyDescent="0.25">
      <c r="A792" t="s">
        <v>1032</v>
      </c>
    </row>
    <row r="793" spans="1:23" x14ac:dyDescent="0.25">
      <c r="A793" t="s">
        <v>270</v>
      </c>
      <c r="B793" t="s">
        <v>1033</v>
      </c>
      <c r="C793" t="s">
        <v>1031</v>
      </c>
      <c r="D793">
        <v>5</v>
      </c>
      <c r="E793">
        <v>0</v>
      </c>
      <c r="F793" t="s">
        <v>1034</v>
      </c>
      <c r="G793" t="s">
        <v>1034</v>
      </c>
      <c r="H793" t="s">
        <v>1034</v>
      </c>
      <c r="I793" t="s">
        <v>1034</v>
      </c>
      <c r="J793" t="s">
        <v>1034</v>
      </c>
      <c r="K793" t="s">
        <v>1034</v>
      </c>
      <c r="L793" t="s">
        <v>1034</v>
      </c>
      <c r="M793" t="s">
        <v>1034</v>
      </c>
      <c r="N793" t="s">
        <v>1034</v>
      </c>
      <c r="O793" t="s">
        <v>1034</v>
      </c>
      <c r="P793" t="s">
        <v>1034</v>
      </c>
      <c r="Q793" t="s">
        <v>1034</v>
      </c>
      <c r="R793" t="s">
        <v>1034</v>
      </c>
      <c r="S793" t="s">
        <v>1034</v>
      </c>
      <c r="T793" t="s">
        <v>1034</v>
      </c>
      <c r="U793" t="s">
        <v>1034</v>
      </c>
      <c r="V793" t="s">
        <v>1034</v>
      </c>
      <c r="W793" t="s">
        <v>1035</v>
      </c>
    </row>
    <row r="794" spans="1:23" x14ac:dyDescent="0.25">
      <c r="A794" t="s">
        <v>273</v>
      </c>
      <c r="B794" t="s">
        <v>1033</v>
      </c>
      <c r="C794" t="s">
        <v>1031</v>
      </c>
      <c r="D794">
        <v>0</v>
      </c>
      <c r="E794">
        <v>16794373</v>
      </c>
      <c r="F794">
        <v>2565872</v>
      </c>
      <c r="G794">
        <v>125040</v>
      </c>
      <c r="H794">
        <v>2438776</v>
      </c>
      <c r="I794">
        <v>0</v>
      </c>
      <c r="J794">
        <v>55.130734699999998</v>
      </c>
      <c r="K794">
        <v>55.761971600000003</v>
      </c>
      <c r="L794">
        <v>24.8450101</v>
      </c>
      <c r="M794">
        <v>39.502136299999997</v>
      </c>
      <c r="N794">
        <v>44.643479399999997</v>
      </c>
      <c r="O794">
        <v>0</v>
      </c>
      <c r="P794">
        <v>112.22199999999999</v>
      </c>
      <c r="Q794">
        <v>32.780999999999999</v>
      </c>
      <c r="R794">
        <v>0</v>
      </c>
      <c r="S794">
        <v>0</v>
      </c>
      <c r="T794">
        <v>0</v>
      </c>
      <c r="U794">
        <v>0</v>
      </c>
      <c r="V794" t="s">
        <v>1030</v>
      </c>
      <c r="W794">
        <v>13903516</v>
      </c>
    </row>
    <row r="795" spans="1:23" x14ac:dyDescent="0.25">
      <c r="A795" t="s">
        <v>273</v>
      </c>
      <c r="B795" t="s">
        <v>1033</v>
      </c>
      <c r="C795" t="s">
        <v>1031</v>
      </c>
      <c r="D795">
        <v>1</v>
      </c>
      <c r="E795">
        <v>16327522</v>
      </c>
      <c r="F795">
        <v>6976408</v>
      </c>
      <c r="G795">
        <v>380888</v>
      </c>
      <c r="H795">
        <v>6593624</v>
      </c>
      <c r="I795">
        <v>0</v>
      </c>
      <c r="J795">
        <v>67.689477100000005</v>
      </c>
      <c r="K795">
        <v>71.308047000000002</v>
      </c>
      <c r="L795">
        <v>28.905556099999998</v>
      </c>
      <c r="M795">
        <v>42.591940700000002</v>
      </c>
      <c r="N795">
        <v>47.3221092</v>
      </c>
      <c r="O795">
        <v>0</v>
      </c>
      <c r="P795">
        <v>98.772000000000006</v>
      </c>
      <c r="Q795">
        <v>15.8</v>
      </c>
      <c r="R795">
        <v>0</v>
      </c>
      <c r="S795">
        <v>0</v>
      </c>
      <c r="T795">
        <v>0</v>
      </c>
      <c r="U795">
        <v>0</v>
      </c>
      <c r="V795" t="s">
        <v>1030</v>
      </c>
      <c r="W795">
        <v>13903516</v>
      </c>
    </row>
    <row r="796" spans="1:23" x14ac:dyDescent="0.25">
      <c r="A796" t="s">
        <v>273</v>
      </c>
      <c r="B796" t="s">
        <v>1033</v>
      </c>
      <c r="C796" t="s">
        <v>1031</v>
      </c>
      <c r="D796">
        <v>2</v>
      </c>
      <c r="E796">
        <v>13942091</v>
      </c>
      <c r="F796">
        <v>14575768</v>
      </c>
      <c r="G796">
        <v>1321488</v>
      </c>
      <c r="H796">
        <v>13252464</v>
      </c>
      <c r="I796">
        <v>0</v>
      </c>
      <c r="J796">
        <v>71.530000299999998</v>
      </c>
      <c r="K796">
        <v>75.941246000000007</v>
      </c>
      <c r="L796">
        <v>30.564925500000001</v>
      </c>
      <c r="M796">
        <v>44.236835599999999</v>
      </c>
      <c r="N796">
        <v>48.514256099999997</v>
      </c>
      <c r="O796">
        <v>0</v>
      </c>
      <c r="P796">
        <v>99.230999999999995</v>
      </c>
      <c r="Q796">
        <v>14.696</v>
      </c>
      <c r="R796">
        <v>0</v>
      </c>
      <c r="S796">
        <v>0</v>
      </c>
      <c r="T796">
        <v>0</v>
      </c>
      <c r="U796">
        <v>0</v>
      </c>
      <c r="V796" t="s">
        <v>1030</v>
      </c>
      <c r="W796">
        <v>13903516</v>
      </c>
    </row>
    <row r="797" spans="1:23" x14ac:dyDescent="0.25">
      <c r="A797" t="s">
        <v>273</v>
      </c>
      <c r="B797" t="s">
        <v>1033</v>
      </c>
      <c r="C797" t="s">
        <v>1031</v>
      </c>
      <c r="D797">
        <v>3</v>
      </c>
      <c r="E797">
        <v>15501434</v>
      </c>
      <c r="F797">
        <v>32926616</v>
      </c>
      <c r="G797">
        <v>4829928</v>
      </c>
      <c r="H797">
        <v>28094872</v>
      </c>
      <c r="I797">
        <v>0</v>
      </c>
      <c r="J797">
        <v>73.360866299999998</v>
      </c>
      <c r="K797">
        <v>78.287945100000002</v>
      </c>
      <c r="L797">
        <v>31.637950499999999</v>
      </c>
      <c r="M797">
        <v>46.070763100000001</v>
      </c>
      <c r="N797">
        <v>49.827241600000001</v>
      </c>
      <c r="O797">
        <v>0</v>
      </c>
      <c r="P797">
        <v>145.77000000000001</v>
      </c>
      <c r="Q797">
        <v>28.786999999999999</v>
      </c>
      <c r="R797">
        <v>0</v>
      </c>
      <c r="S797">
        <v>0</v>
      </c>
      <c r="T797">
        <v>0</v>
      </c>
      <c r="U797">
        <v>0</v>
      </c>
      <c r="V797" t="s">
        <v>1030</v>
      </c>
      <c r="W797">
        <v>13903516</v>
      </c>
    </row>
    <row r="798" spans="1:23" x14ac:dyDescent="0.25">
      <c r="A798" t="s">
        <v>1032</v>
      </c>
    </row>
    <row r="799" spans="1:23" x14ac:dyDescent="0.25">
      <c r="A799" t="s">
        <v>273</v>
      </c>
      <c r="B799" t="s">
        <v>1033</v>
      </c>
      <c r="C799" t="s">
        <v>1031</v>
      </c>
      <c r="D799">
        <v>5</v>
      </c>
      <c r="E799">
        <v>0</v>
      </c>
      <c r="F799" t="s">
        <v>1034</v>
      </c>
      <c r="G799" t="s">
        <v>1034</v>
      </c>
      <c r="H799" t="s">
        <v>1034</v>
      </c>
      <c r="I799" t="s">
        <v>1034</v>
      </c>
      <c r="J799" t="s">
        <v>1034</v>
      </c>
      <c r="K799" t="s">
        <v>1034</v>
      </c>
      <c r="L799" t="s">
        <v>1034</v>
      </c>
      <c r="M799" t="s">
        <v>1034</v>
      </c>
      <c r="N799" t="s">
        <v>1034</v>
      </c>
      <c r="O799" t="s">
        <v>1034</v>
      </c>
      <c r="P799" t="s">
        <v>1034</v>
      </c>
      <c r="Q799" t="s">
        <v>1034</v>
      </c>
      <c r="R799" t="s">
        <v>1034</v>
      </c>
      <c r="S799" t="s">
        <v>1034</v>
      </c>
      <c r="T799" t="s">
        <v>1034</v>
      </c>
      <c r="U799" t="s">
        <v>1034</v>
      </c>
      <c r="V799" t="s">
        <v>1034</v>
      </c>
      <c r="W799" t="s">
        <v>1035</v>
      </c>
    </row>
    <row r="800" spans="1:23" x14ac:dyDescent="0.25">
      <c r="A800" t="s">
        <v>276</v>
      </c>
      <c r="B800" t="s">
        <v>1033</v>
      </c>
      <c r="C800" t="s">
        <v>1031</v>
      </c>
      <c r="D800">
        <v>0</v>
      </c>
      <c r="E800">
        <v>2147569</v>
      </c>
      <c r="F800">
        <v>367312</v>
      </c>
      <c r="G800">
        <v>16496</v>
      </c>
      <c r="H800">
        <v>349840</v>
      </c>
      <c r="I800">
        <v>0</v>
      </c>
      <c r="J800">
        <v>50.946210200000003</v>
      </c>
      <c r="K800">
        <v>54.138122099999997</v>
      </c>
      <c r="L800">
        <v>24.137281399999999</v>
      </c>
      <c r="M800">
        <v>38.436757100000001</v>
      </c>
      <c r="N800">
        <v>41.083348800000003</v>
      </c>
      <c r="O800">
        <v>0</v>
      </c>
      <c r="P800">
        <v>18.702999999999999</v>
      </c>
      <c r="Q800">
        <v>3.1</v>
      </c>
      <c r="R800">
        <v>0</v>
      </c>
      <c r="S800">
        <v>0</v>
      </c>
      <c r="T800">
        <v>0</v>
      </c>
      <c r="U800">
        <v>0</v>
      </c>
      <c r="V800" t="s">
        <v>1030</v>
      </c>
      <c r="W800">
        <v>4848745</v>
      </c>
    </row>
    <row r="801" spans="1:23" x14ac:dyDescent="0.25">
      <c r="A801" t="s">
        <v>276</v>
      </c>
      <c r="B801" t="s">
        <v>1033</v>
      </c>
      <c r="C801" t="s">
        <v>1031</v>
      </c>
      <c r="D801">
        <v>1</v>
      </c>
      <c r="E801">
        <v>3689129</v>
      </c>
      <c r="F801">
        <v>1360504</v>
      </c>
      <c r="G801">
        <v>47480</v>
      </c>
      <c r="H801">
        <v>1312128</v>
      </c>
      <c r="I801">
        <v>0</v>
      </c>
      <c r="J801">
        <v>61.937266399999999</v>
      </c>
      <c r="K801">
        <v>65.290520599999994</v>
      </c>
      <c r="L801">
        <v>27.872013899999999</v>
      </c>
      <c r="M801">
        <v>40.549032599999997</v>
      </c>
      <c r="N801">
        <v>42.420190499999997</v>
      </c>
      <c r="O801">
        <v>0</v>
      </c>
      <c r="P801">
        <v>19.562000000000001</v>
      </c>
      <c r="Q801">
        <v>3.5009999999999999</v>
      </c>
      <c r="R801">
        <v>0</v>
      </c>
      <c r="S801">
        <v>0</v>
      </c>
      <c r="T801">
        <v>0</v>
      </c>
      <c r="U801">
        <v>0</v>
      </c>
      <c r="V801" t="s">
        <v>1030</v>
      </c>
      <c r="W801">
        <v>4848745</v>
      </c>
    </row>
    <row r="802" spans="1:23" x14ac:dyDescent="0.25">
      <c r="A802" t="s">
        <v>276</v>
      </c>
      <c r="B802" t="s">
        <v>1033</v>
      </c>
      <c r="C802" t="s">
        <v>1031</v>
      </c>
      <c r="D802">
        <v>2</v>
      </c>
      <c r="E802">
        <v>3320545</v>
      </c>
      <c r="F802">
        <v>2953936</v>
      </c>
      <c r="G802">
        <v>168304</v>
      </c>
      <c r="H802">
        <v>2784736</v>
      </c>
      <c r="I802">
        <v>0</v>
      </c>
      <c r="J802">
        <v>66.667799700000003</v>
      </c>
      <c r="K802">
        <v>69.856256299999998</v>
      </c>
      <c r="L802">
        <v>29.546177</v>
      </c>
      <c r="M802">
        <v>42.086328999999999</v>
      </c>
      <c r="N802">
        <v>43.491628400000003</v>
      </c>
      <c r="O802">
        <v>0</v>
      </c>
      <c r="P802">
        <v>19.936</v>
      </c>
      <c r="Q802">
        <v>3.4870000000000001</v>
      </c>
      <c r="R802">
        <v>0</v>
      </c>
      <c r="S802">
        <v>0</v>
      </c>
      <c r="T802">
        <v>0</v>
      </c>
      <c r="U802">
        <v>0</v>
      </c>
      <c r="V802" t="s">
        <v>1030</v>
      </c>
      <c r="W802">
        <v>4848745</v>
      </c>
    </row>
    <row r="803" spans="1:23" x14ac:dyDescent="0.25">
      <c r="A803" t="s">
        <v>276</v>
      </c>
      <c r="B803" t="s">
        <v>1033</v>
      </c>
      <c r="C803" t="s">
        <v>1031</v>
      </c>
      <c r="D803">
        <v>3</v>
      </c>
      <c r="E803">
        <v>4373549</v>
      </c>
      <c r="F803">
        <v>7374000</v>
      </c>
      <c r="G803">
        <v>645312</v>
      </c>
      <c r="H803">
        <v>6727792</v>
      </c>
      <c r="I803">
        <v>0</v>
      </c>
      <c r="J803">
        <v>69.335817500000005</v>
      </c>
      <c r="K803">
        <v>72.212328900000003</v>
      </c>
      <c r="L803">
        <v>30.484538100000002</v>
      </c>
      <c r="M803">
        <v>43.247930099999998</v>
      </c>
      <c r="N803">
        <v>44.591450600000002</v>
      </c>
      <c r="O803">
        <v>0</v>
      </c>
      <c r="P803">
        <v>28.477</v>
      </c>
      <c r="Q803">
        <v>6.782</v>
      </c>
      <c r="R803">
        <v>0</v>
      </c>
      <c r="S803">
        <v>0</v>
      </c>
      <c r="T803">
        <v>0</v>
      </c>
      <c r="U803">
        <v>0</v>
      </c>
      <c r="V803" t="s">
        <v>1030</v>
      </c>
      <c r="W803">
        <v>4848745</v>
      </c>
    </row>
    <row r="804" spans="1:23" x14ac:dyDescent="0.25">
      <c r="A804" t="s">
        <v>1032</v>
      </c>
    </row>
    <row r="805" spans="1:23" x14ac:dyDescent="0.25">
      <c r="A805" t="s">
        <v>276</v>
      </c>
      <c r="B805" t="s">
        <v>1033</v>
      </c>
      <c r="C805" t="s">
        <v>1031</v>
      </c>
      <c r="D805">
        <v>5</v>
      </c>
      <c r="E805">
        <v>0</v>
      </c>
      <c r="F805" t="s">
        <v>1034</v>
      </c>
      <c r="G805" t="s">
        <v>1034</v>
      </c>
      <c r="H805" t="s">
        <v>1034</v>
      </c>
      <c r="I805" t="s">
        <v>1034</v>
      </c>
      <c r="J805" t="s">
        <v>1034</v>
      </c>
      <c r="K805" t="s">
        <v>1034</v>
      </c>
      <c r="L805" t="s">
        <v>1034</v>
      </c>
      <c r="M805" t="s">
        <v>1034</v>
      </c>
      <c r="N805" t="s">
        <v>1034</v>
      </c>
      <c r="O805" t="s">
        <v>1034</v>
      </c>
      <c r="P805" t="s">
        <v>1034</v>
      </c>
      <c r="Q805" t="s">
        <v>1034</v>
      </c>
      <c r="R805" t="s">
        <v>1034</v>
      </c>
      <c r="S805" t="s">
        <v>1034</v>
      </c>
      <c r="T805" t="s">
        <v>1034</v>
      </c>
      <c r="U805" t="s">
        <v>1034</v>
      </c>
      <c r="V805" t="s">
        <v>1034</v>
      </c>
      <c r="W805" t="s">
        <v>1035</v>
      </c>
    </row>
    <row r="806" spans="1:23" x14ac:dyDescent="0.25">
      <c r="A806" t="s">
        <v>279</v>
      </c>
      <c r="B806" t="s">
        <v>1033</v>
      </c>
      <c r="C806" t="s">
        <v>1031</v>
      </c>
      <c r="D806">
        <v>0</v>
      </c>
      <c r="E806">
        <v>12568561</v>
      </c>
      <c r="F806">
        <v>3807640</v>
      </c>
      <c r="G806">
        <v>75968</v>
      </c>
      <c r="H806">
        <v>3729376</v>
      </c>
      <c r="I806">
        <v>0</v>
      </c>
      <c r="J806">
        <v>67.611583100000004</v>
      </c>
      <c r="K806">
        <v>72.976930999999993</v>
      </c>
      <c r="L806">
        <v>24.177714000000002</v>
      </c>
      <c r="M806">
        <v>38.079721900000003</v>
      </c>
      <c r="N806">
        <v>39.5287656</v>
      </c>
      <c r="O806">
        <v>0</v>
      </c>
      <c r="P806">
        <v>141.65899999999999</v>
      </c>
      <c r="Q806">
        <v>9.93</v>
      </c>
      <c r="R806">
        <v>0</v>
      </c>
      <c r="S806">
        <v>0</v>
      </c>
      <c r="T806">
        <v>0</v>
      </c>
      <c r="U806">
        <v>0</v>
      </c>
      <c r="V806" t="s">
        <v>1030</v>
      </c>
      <c r="W806">
        <v>71948094</v>
      </c>
    </row>
    <row r="807" spans="1:23" x14ac:dyDescent="0.25">
      <c r="A807" t="s">
        <v>279</v>
      </c>
      <c r="B807" t="s">
        <v>1033</v>
      </c>
      <c r="C807" t="s">
        <v>1031</v>
      </c>
      <c r="D807">
        <v>1</v>
      </c>
      <c r="E807">
        <v>12810801</v>
      </c>
      <c r="F807">
        <v>9800160</v>
      </c>
      <c r="G807">
        <v>245968</v>
      </c>
      <c r="H807">
        <v>9551896</v>
      </c>
      <c r="I807">
        <v>0</v>
      </c>
      <c r="J807">
        <v>73.007217999999995</v>
      </c>
      <c r="K807">
        <v>77.685370000000006</v>
      </c>
      <c r="L807">
        <v>25.5704864</v>
      </c>
      <c r="M807">
        <v>39.313893700000001</v>
      </c>
      <c r="N807">
        <v>41.045814</v>
      </c>
      <c r="O807">
        <v>0</v>
      </c>
      <c r="P807">
        <v>124.68300000000001</v>
      </c>
      <c r="Q807">
        <v>12.098000000000001</v>
      </c>
      <c r="R807">
        <v>0</v>
      </c>
      <c r="S807">
        <v>0</v>
      </c>
      <c r="T807">
        <v>0</v>
      </c>
      <c r="U807">
        <v>0</v>
      </c>
      <c r="V807" t="s">
        <v>1030</v>
      </c>
      <c r="W807">
        <v>71948094</v>
      </c>
    </row>
    <row r="808" spans="1:23" x14ac:dyDescent="0.25">
      <c r="A808" t="s">
        <v>279</v>
      </c>
      <c r="B808" t="s">
        <v>1033</v>
      </c>
      <c r="C808" t="s">
        <v>1031</v>
      </c>
      <c r="D808">
        <v>2</v>
      </c>
      <c r="E808">
        <v>14351356</v>
      </c>
      <c r="F808">
        <v>24334776</v>
      </c>
      <c r="G808">
        <v>1092776</v>
      </c>
      <c r="H808">
        <v>23239704</v>
      </c>
      <c r="I808">
        <v>0</v>
      </c>
      <c r="J808">
        <v>78.432040499999999</v>
      </c>
      <c r="K808">
        <v>80.750787200000005</v>
      </c>
      <c r="L808">
        <v>26.728054100000001</v>
      </c>
      <c r="M808">
        <v>40.784712300000002</v>
      </c>
      <c r="N808">
        <v>42.643380100000002</v>
      </c>
      <c r="O808">
        <v>0</v>
      </c>
      <c r="P808">
        <v>137.76499999999999</v>
      </c>
      <c r="Q808">
        <v>18.756</v>
      </c>
      <c r="R808">
        <v>0</v>
      </c>
      <c r="S808">
        <v>0</v>
      </c>
      <c r="T808">
        <v>0</v>
      </c>
      <c r="U808">
        <v>0</v>
      </c>
      <c r="V808" t="s">
        <v>1030</v>
      </c>
      <c r="W808">
        <v>71948094</v>
      </c>
    </row>
    <row r="809" spans="1:23" x14ac:dyDescent="0.25">
      <c r="A809" t="s">
        <v>279</v>
      </c>
      <c r="B809" t="s">
        <v>1033</v>
      </c>
      <c r="C809" t="s">
        <v>1031</v>
      </c>
      <c r="D809">
        <v>3</v>
      </c>
      <c r="E809">
        <v>15195636</v>
      </c>
      <c r="F809">
        <v>49632920</v>
      </c>
      <c r="G809">
        <v>4345720</v>
      </c>
      <c r="H809">
        <v>45284904</v>
      </c>
      <c r="I809">
        <v>0</v>
      </c>
      <c r="J809">
        <v>81.0018101</v>
      </c>
      <c r="K809">
        <v>82.862695900000006</v>
      </c>
      <c r="L809">
        <v>27.548743099999999</v>
      </c>
      <c r="M809">
        <v>42.2754926</v>
      </c>
      <c r="N809">
        <v>44.154893299999998</v>
      </c>
      <c r="O809">
        <v>0</v>
      </c>
      <c r="P809">
        <v>149.91300000000001</v>
      </c>
      <c r="Q809">
        <v>28.170999999999999</v>
      </c>
      <c r="R809">
        <v>0</v>
      </c>
      <c r="S809">
        <v>0</v>
      </c>
      <c r="T809">
        <v>0</v>
      </c>
      <c r="U809">
        <v>0</v>
      </c>
      <c r="V809" t="s">
        <v>1030</v>
      </c>
      <c r="W809">
        <v>71948094</v>
      </c>
    </row>
    <row r="810" spans="1:23" x14ac:dyDescent="0.25">
      <c r="A810" t="s">
        <v>1032</v>
      </c>
    </row>
    <row r="811" spans="1:23" x14ac:dyDescent="0.25">
      <c r="A811" t="s">
        <v>279</v>
      </c>
      <c r="B811" t="s">
        <v>1033</v>
      </c>
      <c r="C811" t="s">
        <v>1031</v>
      </c>
      <c r="D811">
        <v>5</v>
      </c>
      <c r="E811">
        <v>0</v>
      </c>
      <c r="F811" t="s">
        <v>1034</v>
      </c>
      <c r="G811" t="s">
        <v>1034</v>
      </c>
      <c r="H811" t="s">
        <v>1034</v>
      </c>
      <c r="I811" t="s">
        <v>1034</v>
      </c>
      <c r="J811" t="s">
        <v>1034</v>
      </c>
      <c r="K811" t="s">
        <v>1034</v>
      </c>
      <c r="L811" t="s">
        <v>1034</v>
      </c>
      <c r="M811" t="s">
        <v>1034</v>
      </c>
      <c r="N811" t="s">
        <v>1034</v>
      </c>
      <c r="O811" t="s">
        <v>1034</v>
      </c>
      <c r="P811" t="s">
        <v>1034</v>
      </c>
      <c r="Q811" t="s">
        <v>1034</v>
      </c>
      <c r="R811" t="s">
        <v>1034</v>
      </c>
      <c r="S811" t="s">
        <v>1034</v>
      </c>
      <c r="T811" t="s">
        <v>1034</v>
      </c>
      <c r="U811" t="s">
        <v>1034</v>
      </c>
      <c r="V811" t="s">
        <v>1034</v>
      </c>
      <c r="W811" t="s">
        <v>1035</v>
      </c>
    </row>
    <row r="812" spans="1:23" x14ac:dyDescent="0.25">
      <c r="A812" t="s">
        <v>282</v>
      </c>
      <c r="B812" t="s">
        <v>1033</v>
      </c>
      <c r="C812" t="s">
        <v>1031</v>
      </c>
      <c r="D812">
        <v>0</v>
      </c>
      <c r="E812">
        <v>3461686</v>
      </c>
      <c r="F812">
        <v>808656</v>
      </c>
      <c r="G812">
        <v>28080</v>
      </c>
      <c r="H812">
        <v>779800</v>
      </c>
      <c r="I812">
        <v>0</v>
      </c>
      <c r="J812">
        <v>62.354093900000002</v>
      </c>
      <c r="K812">
        <v>62.729881399999996</v>
      </c>
      <c r="L812">
        <v>30.6844526</v>
      </c>
      <c r="M812">
        <v>37.605077199999997</v>
      </c>
      <c r="N812">
        <v>36.752899200000002</v>
      </c>
      <c r="O812">
        <v>0</v>
      </c>
      <c r="P812">
        <v>14.791</v>
      </c>
      <c r="Q812">
        <v>3.1989999999999998</v>
      </c>
      <c r="R812">
        <v>0</v>
      </c>
      <c r="S812">
        <v>0</v>
      </c>
      <c r="T812">
        <v>0</v>
      </c>
      <c r="U812">
        <v>0</v>
      </c>
      <c r="V812" t="s">
        <v>1030</v>
      </c>
      <c r="W812">
        <v>3096122</v>
      </c>
    </row>
    <row r="813" spans="1:23" x14ac:dyDescent="0.25">
      <c r="A813" t="s">
        <v>282</v>
      </c>
      <c r="B813" t="s">
        <v>1033</v>
      </c>
      <c r="C813" t="s">
        <v>1031</v>
      </c>
      <c r="D813">
        <v>1</v>
      </c>
      <c r="E813">
        <v>3216950</v>
      </c>
      <c r="F813">
        <v>1611504</v>
      </c>
      <c r="G813">
        <v>85888</v>
      </c>
      <c r="H813">
        <v>1524840</v>
      </c>
      <c r="I813">
        <v>0</v>
      </c>
      <c r="J813">
        <v>69.284953000000002</v>
      </c>
      <c r="K813">
        <v>70.312575499999994</v>
      </c>
      <c r="L813">
        <v>34.183044899999999</v>
      </c>
      <c r="M813">
        <v>41.019394499999997</v>
      </c>
      <c r="N813">
        <v>40.495902899999997</v>
      </c>
      <c r="O813">
        <v>0</v>
      </c>
      <c r="P813">
        <v>13.22</v>
      </c>
      <c r="Q813">
        <v>3.17</v>
      </c>
      <c r="R813">
        <v>0</v>
      </c>
      <c r="S813">
        <v>0</v>
      </c>
      <c r="T813">
        <v>0</v>
      </c>
      <c r="U813">
        <v>0</v>
      </c>
      <c r="V813" t="s">
        <v>1030</v>
      </c>
      <c r="W813">
        <v>3096122</v>
      </c>
    </row>
    <row r="814" spans="1:23" x14ac:dyDescent="0.25">
      <c r="A814" t="s">
        <v>282</v>
      </c>
      <c r="B814" t="s">
        <v>1033</v>
      </c>
      <c r="C814" t="s">
        <v>1031</v>
      </c>
      <c r="D814">
        <v>2</v>
      </c>
      <c r="E814">
        <v>3263082</v>
      </c>
      <c r="F814">
        <v>3279664</v>
      </c>
      <c r="G814">
        <v>276912</v>
      </c>
      <c r="H814">
        <v>3001976</v>
      </c>
      <c r="I814">
        <v>0</v>
      </c>
      <c r="J814">
        <v>73.061216599999995</v>
      </c>
      <c r="K814">
        <v>75.318983599999996</v>
      </c>
      <c r="L814">
        <v>36.450034899999999</v>
      </c>
      <c r="M814">
        <v>43.727763699999997</v>
      </c>
      <c r="N814">
        <v>43.100115000000002</v>
      </c>
      <c r="O814">
        <v>0</v>
      </c>
      <c r="P814">
        <v>14.093999999999999</v>
      </c>
      <c r="Q814">
        <v>4.1840000000000002</v>
      </c>
      <c r="R814">
        <v>0</v>
      </c>
      <c r="S814">
        <v>0</v>
      </c>
      <c r="T814">
        <v>0</v>
      </c>
      <c r="U814">
        <v>0</v>
      </c>
      <c r="V814" t="s">
        <v>1030</v>
      </c>
      <c r="W814">
        <v>3096122</v>
      </c>
    </row>
    <row r="815" spans="1:23" x14ac:dyDescent="0.25">
      <c r="A815" t="s">
        <v>282</v>
      </c>
      <c r="B815" t="s">
        <v>1033</v>
      </c>
      <c r="C815" t="s">
        <v>1031</v>
      </c>
      <c r="D815">
        <v>3</v>
      </c>
      <c r="E815">
        <v>3402266</v>
      </c>
      <c r="F815">
        <v>6663816</v>
      </c>
      <c r="G815">
        <v>835584</v>
      </c>
      <c r="H815">
        <v>5827456</v>
      </c>
      <c r="I815">
        <v>0</v>
      </c>
      <c r="J815">
        <v>73.929904899999997</v>
      </c>
      <c r="K815">
        <v>76.708850200000001</v>
      </c>
      <c r="L815">
        <v>37.848932599999998</v>
      </c>
      <c r="M815">
        <v>45.760730199999998</v>
      </c>
      <c r="N815">
        <v>44.944960299999998</v>
      </c>
      <c r="O815">
        <v>0</v>
      </c>
      <c r="P815">
        <v>17.576000000000001</v>
      </c>
      <c r="Q815">
        <v>7.0949999999999998</v>
      </c>
      <c r="R815">
        <v>0</v>
      </c>
      <c r="S815">
        <v>0</v>
      </c>
      <c r="T815">
        <v>0</v>
      </c>
      <c r="U815">
        <v>0</v>
      </c>
      <c r="V815" t="s">
        <v>1030</v>
      </c>
      <c r="W815">
        <v>3096122</v>
      </c>
    </row>
    <row r="816" spans="1:23" x14ac:dyDescent="0.25">
      <c r="A816" t="s">
        <v>1032</v>
      </c>
    </row>
    <row r="817" spans="1:23" x14ac:dyDescent="0.25">
      <c r="A817" t="s">
        <v>282</v>
      </c>
      <c r="B817" t="s">
        <v>1033</v>
      </c>
      <c r="C817" t="s">
        <v>1031</v>
      </c>
      <c r="D817">
        <v>5</v>
      </c>
      <c r="E817">
        <v>0</v>
      </c>
      <c r="F817" t="s">
        <v>1034</v>
      </c>
      <c r="G817" t="s">
        <v>1034</v>
      </c>
      <c r="H817" t="s">
        <v>1034</v>
      </c>
      <c r="I817" t="s">
        <v>1034</v>
      </c>
      <c r="J817" t="s">
        <v>1034</v>
      </c>
      <c r="K817" t="s">
        <v>1034</v>
      </c>
      <c r="L817" t="s">
        <v>1034</v>
      </c>
      <c r="M817" t="s">
        <v>1034</v>
      </c>
      <c r="N817" t="s">
        <v>1034</v>
      </c>
      <c r="O817" t="s">
        <v>1034</v>
      </c>
      <c r="P817" t="s">
        <v>1034</v>
      </c>
      <c r="Q817" t="s">
        <v>1034</v>
      </c>
      <c r="R817" t="s">
        <v>1034</v>
      </c>
      <c r="S817" t="s">
        <v>1034</v>
      </c>
      <c r="T817" t="s">
        <v>1034</v>
      </c>
      <c r="U817" t="s">
        <v>1034</v>
      </c>
      <c r="V817" t="s">
        <v>1034</v>
      </c>
      <c r="W817" t="s">
        <v>1035</v>
      </c>
    </row>
    <row r="818" spans="1:23" x14ac:dyDescent="0.25">
      <c r="A818" t="s">
        <v>285</v>
      </c>
      <c r="B818" t="s">
        <v>1033</v>
      </c>
      <c r="C818" t="s">
        <v>1031</v>
      </c>
      <c r="D818">
        <v>0</v>
      </c>
      <c r="E818">
        <v>3230237</v>
      </c>
      <c r="F818">
        <v>193664</v>
      </c>
      <c r="G818">
        <v>25104</v>
      </c>
      <c r="H818">
        <v>167784</v>
      </c>
      <c r="I818">
        <v>0</v>
      </c>
      <c r="J818">
        <v>63.958267300000003</v>
      </c>
      <c r="K818">
        <v>64.382754599999998</v>
      </c>
      <c r="L818">
        <v>37.174741099999999</v>
      </c>
      <c r="M818">
        <v>49.407747700000002</v>
      </c>
      <c r="N818">
        <v>49.076288699999999</v>
      </c>
      <c r="O818">
        <v>0</v>
      </c>
      <c r="P818">
        <v>14.584</v>
      </c>
      <c r="Q818">
        <v>3.4009999999999998</v>
      </c>
      <c r="R818">
        <v>0</v>
      </c>
      <c r="S818">
        <v>0</v>
      </c>
      <c r="T818">
        <v>0</v>
      </c>
      <c r="U818">
        <v>0</v>
      </c>
      <c r="V818" t="s">
        <v>1030</v>
      </c>
      <c r="W818">
        <v>3017285</v>
      </c>
    </row>
    <row r="819" spans="1:23" x14ac:dyDescent="0.25">
      <c r="A819" t="s">
        <v>285</v>
      </c>
      <c r="B819" t="s">
        <v>1033</v>
      </c>
      <c r="C819" t="s">
        <v>1031</v>
      </c>
      <c r="D819">
        <v>1</v>
      </c>
      <c r="E819">
        <v>3029910</v>
      </c>
      <c r="F819">
        <v>405640</v>
      </c>
      <c r="G819">
        <v>76136</v>
      </c>
      <c r="H819">
        <v>328728</v>
      </c>
      <c r="I819">
        <v>0</v>
      </c>
      <c r="J819">
        <v>69.984952300000003</v>
      </c>
      <c r="K819">
        <v>71.128644199999997</v>
      </c>
      <c r="L819">
        <v>40.615293800000003</v>
      </c>
      <c r="M819">
        <v>51.277098700000003</v>
      </c>
      <c r="N819">
        <v>51.515663199999999</v>
      </c>
      <c r="O819">
        <v>0</v>
      </c>
      <c r="P819">
        <v>13.359</v>
      </c>
      <c r="Q819">
        <v>3.1429999999999998</v>
      </c>
      <c r="R819">
        <v>0</v>
      </c>
      <c r="S819">
        <v>0</v>
      </c>
      <c r="T819">
        <v>0</v>
      </c>
      <c r="U819">
        <v>0</v>
      </c>
      <c r="V819" t="s">
        <v>1030</v>
      </c>
      <c r="W819">
        <v>3017285</v>
      </c>
    </row>
    <row r="820" spans="1:23" x14ac:dyDescent="0.25">
      <c r="A820" t="s">
        <v>285</v>
      </c>
      <c r="B820" t="s">
        <v>1033</v>
      </c>
      <c r="C820" t="s">
        <v>1031</v>
      </c>
      <c r="D820">
        <v>2</v>
      </c>
      <c r="E820">
        <v>3110158</v>
      </c>
      <c r="F820">
        <v>909040</v>
      </c>
      <c r="G820">
        <v>249664</v>
      </c>
      <c r="H820">
        <v>658600</v>
      </c>
      <c r="I820">
        <v>0</v>
      </c>
      <c r="J820">
        <v>73.094911499999995</v>
      </c>
      <c r="K820">
        <v>75.320075599999996</v>
      </c>
      <c r="L820">
        <v>43.4899968</v>
      </c>
      <c r="M820">
        <v>52.797392799999997</v>
      </c>
      <c r="N820">
        <v>53.123227399999998</v>
      </c>
      <c r="O820">
        <v>0</v>
      </c>
      <c r="P820">
        <v>13.835000000000001</v>
      </c>
      <c r="Q820">
        <v>4.0460000000000003</v>
      </c>
      <c r="R820">
        <v>0</v>
      </c>
      <c r="S820">
        <v>0</v>
      </c>
      <c r="T820">
        <v>0</v>
      </c>
      <c r="U820">
        <v>0</v>
      </c>
      <c r="V820" t="s">
        <v>1030</v>
      </c>
      <c r="W820">
        <v>3017285</v>
      </c>
    </row>
    <row r="821" spans="1:23" x14ac:dyDescent="0.25">
      <c r="A821" t="s">
        <v>285</v>
      </c>
      <c r="B821" t="s">
        <v>1033</v>
      </c>
      <c r="C821" t="s">
        <v>1031</v>
      </c>
      <c r="D821">
        <v>3</v>
      </c>
      <c r="E821">
        <v>3241473</v>
      </c>
      <c r="F821">
        <v>2089496</v>
      </c>
      <c r="G821">
        <v>756984</v>
      </c>
      <c r="H821">
        <v>1331736</v>
      </c>
      <c r="I821">
        <v>0</v>
      </c>
      <c r="J821">
        <v>73.989809399999999</v>
      </c>
      <c r="K821">
        <v>76.767349100000004</v>
      </c>
      <c r="L821">
        <v>45.434465600000003</v>
      </c>
      <c r="M821">
        <v>53.983180400000002</v>
      </c>
      <c r="N821">
        <v>54.265851599999998</v>
      </c>
      <c r="O821">
        <v>0</v>
      </c>
      <c r="P821">
        <v>17.196999999999999</v>
      </c>
      <c r="Q821">
        <v>6.742</v>
      </c>
      <c r="R821">
        <v>0</v>
      </c>
      <c r="S821">
        <v>0</v>
      </c>
      <c r="T821">
        <v>0</v>
      </c>
      <c r="U821">
        <v>0</v>
      </c>
      <c r="V821" t="s">
        <v>1030</v>
      </c>
      <c r="W821">
        <v>3017285</v>
      </c>
    </row>
    <row r="822" spans="1:23" x14ac:dyDescent="0.25">
      <c r="A822" t="s">
        <v>1032</v>
      </c>
    </row>
    <row r="823" spans="1:23" x14ac:dyDescent="0.25">
      <c r="A823" t="s">
        <v>285</v>
      </c>
      <c r="B823" t="s">
        <v>1033</v>
      </c>
      <c r="C823" t="s">
        <v>1031</v>
      </c>
      <c r="D823">
        <v>5</v>
      </c>
      <c r="E823">
        <v>0</v>
      </c>
      <c r="F823" t="s">
        <v>1034</v>
      </c>
      <c r="G823" t="s">
        <v>1034</v>
      </c>
      <c r="H823" t="s">
        <v>1034</v>
      </c>
      <c r="I823" t="s">
        <v>1034</v>
      </c>
      <c r="J823" t="s">
        <v>1034</v>
      </c>
      <c r="K823" t="s">
        <v>1034</v>
      </c>
      <c r="L823" t="s">
        <v>1034</v>
      </c>
      <c r="M823" t="s">
        <v>1034</v>
      </c>
      <c r="N823" t="s">
        <v>1034</v>
      </c>
      <c r="O823" t="s">
        <v>1034</v>
      </c>
      <c r="P823" t="s">
        <v>1034</v>
      </c>
      <c r="Q823" t="s">
        <v>1034</v>
      </c>
      <c r="R823" t="s">
        <v>1034</v>
      </c>
      <c r="S823" t="s">
        <v>1034</v>
      </c>
      <c r="T823" t="s">
        <v>1034</v>
      </c>
      <c r="U823" t="s">
        <v>1034</v>
      </c>
      <c r="V823" t="s">
        <v>1034</v>
      </c>
      <c r="W823" t="s">
        <v>1035</v>
      </c>
    </row>
    <row r="824" spans="1:23" x14ac:dyDescent="0.25">
      <c r="A824" t="s">
        <v>288</v>
      </c>
      <c r="B824" t="s">
        <v>1033</v>
      </c>
      <c r="C824" t="s">
        <v>1031</v>
      </c>
      <c r="D824">
        <v>0</v>
      </c>
      <c r="E824">
        <v>3108442</v>
      </c>
      <c r="F824">
        <v>361440</v>
      </c>
      <c r="G824">
        <v>26112</v>
      </c>
      <c r="H824">
        <v>334552</v>
      </c>
      <c r="I824">
        <v>0</v>
      </c>
      <c r="J824">
        <v>62.393483000000003</v>
      </c>
      <c r="K824">
        <v>63.111673000000003</v>
      </c>
      <c r="L824">
        <v>35.501854799999997</v>
      </c>
      <c r="M824">
        <v>42.4187674</v>
      </c>
      <c r="N824">
        <v>37.301728699999998</v>
      </c>
      <c r="O824">
        <v>0</v>
      </c>
      <c r="P824">
        <v>13.555</v>
      </c>
      <c r="Q824">
        <v>2.8650000000000002</v>
      </c>
      <c r="R824">
        <v>0</v>
      </c>
      <c r="S824">
        <v>0</v>
      </c>
      <c r="T824">
        <v>0</v>
      </c>
      <c r="U824">
        <v>0</v>
      </c>
      <c r="V824" t="s">
        <v>1030</v>
      </c>
      <c r="W824">
        <v>2770567</v>
      </c>
    </row>
    <row r="825" spans="1:23" x14ac:dyDescent="0.25">
      <c r="A825" t="s">
        <v>288</v>
      </c>
      <c r="B825" t="s">
        <v>1033</v>
      </c>
      <c r="C825" t="s">
        <v>1031</v>
      </c>
      <c r="D825">
        <v>1</v>
      </c>
      <c r="E825">
        <v>2940848</v>
      </c>
      <c r="F825">
        <v>751720</v>
      </c>
      <c r="G825">
        <v>81424</v>
      </c>
      <c r="H825">
        <v>669520</v>
      </c>
      <c r="I825">
        <v>0</v>
      </c>
      <c r="J825">
        <v>69.201573699999997</v>
      </c>
      <c r="K825">
        <v>70.270598699999994</v>
      </c>
      <c r="L825">
        <v>38.912178300000001</v>
      </c>
      <c r="M825">
        <v>44.332771000000001</v>
      </c>
      <c r="N825">
        <v>41.125714700000003</v>
      </c>
      <c r="O825">
        <v>0</v>
      </c>
      <c r="P825">
        <v>12.375999999999999</v>
      </c>
      <c r="Q825">
        <v>2.98</v>
      </c>
      <c r="R825">
        <v>0</v>
      </c>
      <c r="S825">
        <v>0</v>
      </c>
      <c r="T825">
        <v>0</v>
      </c>
      <c r="U825">
        <v>0</v>
      </c>
      <c r="V825" t="s">
        <v>1030</v>
      </c>
      <c r="W825">
        <v>2770567</v>
      </c>
    </row>
    <row r="826" spans="1:23" x14ac:dyDescent="0.25">
      <c r="A826" t="s">
        <v>288</v>
      </c>
      <c r="B826" t="s">
        <v>1033</v>
      </c>
      <c r="C826" t="s">
        <v>1031</v>
      </c>
      <c r="D826">
        <v>2</v>
      </c>
      <c r="E826">
        <v>2458016</v>
      </c>
      <c r="F826">
        <v>1495312</v>
      </c>
      <c r="G826">
        <v>270800</v>
      </c>
      <c r="H826">
        <v>1223736</v>
      </c>
      <c r="I826">
        <v>0</v>
      </c>
      <c r="J826">
        <v>72.643912</v>
      </c>
      <c r="K826">
        <v>75.093141900000006</v>
      </c>
      <c r="L826">
        <v>40.423302300000003</v>
      </c>
      <c r="M826">
        <v>45.9627002</v>
      </c>
      <c r="N826">
        <v>42.794520599999998</v>
      </c>
      <c r="O826">
        <v>0</v>
      </c>
      <c r="P826">
        <v>12.121</v>
      </c>
      <c r="Q826">
        <v>3.14</v>
      </c>
      <c r="R826">
        <v>0</v>
      </c>
      <c r="S826">
        <v>0</v>
      </c>
      <c r="T826">
        <v>0</v>
      </c>
      <c r="U826">
        <v>0</v>
      </c>
      <c r="V826" t="s">
        <v>1030</v>
      </c>
      <c r="W826">
        <v>2770567</v>
      </c>
    </row>
    <row r="827" spans="1:23" x14ac:dyDescent="0.25">
      <c r="A827" t="s">
        <v>288</v>
      </c>
      <c r="B827" t="s">
        <v>1033</v>
      </c>
      <c r="C827" t="s">
        <v>1031</v>
      </c>
      <c r="D827">
        <v>3</v>
      </c>
      <c r="E827">
        <v>3134386</v>
      </c>
      <c r="F827">
        <v>3705536</v>
      </c>
      <c r="G827">
        <v>833480</v>
      </c>
      <c r="H827">
        <v>2871200</v>
      </c>
      <c r="I827">
        <v>0</v>
      </c>
      <c r="J827">
        <v>73.771609699999999</v>
      </c>
      <c r="K827">
        <v>76.562188500000005</v>
      </c>
      <c r="L827">
        <v>42.917597600000001</v>
      </c>
      <c r="M827">
        <v>48.306696799999997</v>
      </c>
      <c r="N827">
        <v>45.045533900000002</v>
      </c>
      <c r="O827">
        <v>0</v>
      </c>
      <c r="P827">
        <v>18.93</v>
      </c>
      <c r="Q827">
        <v>8.2940000000000005</v>
      </c>
      <c r="R827">
        <v>0</v>
      </c>
      <c r="S827">
        <v>0</v>
      </c>
      <c r="T827">
        <v>0</v>
      </c>
      <c r="U827">
        <v>0</v>
      </c>
      <c r="V827" t="s">
        <v>1030</v>
      </c>
      <c r="W827">
        <v>2770567</v>
      </c>
    </row>
    <row r="828" spans="1:23" x14ac:dyDescent="0.25">
      <c r="A828" t="s">
        <v>1032</v>
      </c>
    </row>
    <row r="829" spans="1:23" x14ac:dyDescent="0.25">
      <c r="A829" t="s">
        <v>288</v>
      </c>
      <c r="B829" t="s">
        <v>1033</v>
      </c>
      <c r="C829" t="s">
        <v>1031</v>
      </c>
      <c r="D829">
        <v>5</v>
      </c>
      <c r="E829">
        <v>0</v>
      </c>
      <c r="F829" t="s">
        <v>1034</v>
      </c>
      <c r="G829" t="s">
        <v>1034</v>
      </c>
      <c r="H829" t="s">
        <v>1034</v>
      </c>
      <c r="I829" t="s">
        <v>1034</v>
      </c>
      <c r="J829" t="s">
        <v>1034</v>
      </c>
      <c r="K829" t="s">
        <v>1034</v>
      </c>
      <c r="L829" t="s">
        <v>1034</v>
      </c>
      <c r="M829" t="s">
        <v>1034</v>
      </c>
      <c r="N829" t="s">
        <v>1034</v>
      </c>
      <c r="O829" t="s">
        <v>1034</v>
      </c>
      <c r="P829" t="s">
        <v>1034</v>
      </c>
      <c r="Q829" t="s">
        <v>1034</v>
      </c>
      <c r="R829" t="s">
        <v>1034</v>
      </c>
      <c r="S829" t="s">
        <v>1034</v>
      </c>
      <c r="T829" t="s">
        <v>1034</v>
      </c>
      <c r="U829" t="s">
        <v>1034</v>
      </c>
      <c r="V829" t="s">
        <v>1034</v>
      </c>
      <c r="W829" t="s">
        <v>1035</v>
      </c>
    </row>
    <row r="830" spans="1:23" x14ac:dyDescent="0.25">
      <c r="A830" t="s">
        <v>291</v>
      </c>
      <c r="B830" t="s">
        <v>1033</v>
      </c>
      <c r="C830" t="s">
        <v>1031</v>
      </c>
      <c r="D830">
        <v>0</v>
      </c>
      <c r="E830">
        <v>4505447</v>
      </c>
      <c r="F830">
        <v>453616</v>
      </c>
      <c r="G830">
        <v>37432</v>
      </c>
      <c r="H830">
        <v>415248</v>
      </c>
      <c r="I830">
        <v>0</v>
      </c>
      <c r="J830">
        <v>62.900395500000002</v>
      </c>
      <c r="K830">
        <v>63.260548999999997</v>
      </c>
      <c r="L830">
        <v>33.609003100000002</v>
      </c>
      <c r="M830">
        <v>47.506033299999999</v>
      </c>
      <c r="N830">
        <v>48.565131999999998</v>
      </c>
      <c r="O830">
        <v>0</v>
      </c>
      <c r="P830">
        <v>19.802</v>
      </c>
      <c r="Q830">
        <v>4.7549999999999999</v>
      </c>
      <c r="R830">
        <v>0</v>
      </c>
      <c r="S830">
        <v>0</v>
      </c>
      <c r="T830">
        <v>0</v>
      </c>
      <c r="U830">
        <v>0</v>
      </c>
      <c r="V830" t="s">
        <v>1030</v>
      </c>
      <c r="W830">
        <v>4001754</v>
      </c>
    </row>
    <row r="831" spans="1:23" x14ac:dyDescent="0.25">
      <c r="A831" t="s">
        <v>291</v>
      </c>
      <c r="B831" t="s">
        <v>1033</v>
      </c>
      <c r="C831" t="s">
        <v>1031</v>
      </c>
      <c r="D831">
        <v>1</v>
      </c>
      <c r="E831">
        <v>4192863</v>
      </c>
      <c r="F831">
        <v>921608</v>
      </c>
      <c r="G831">
        <v>115104</v>
      </c>
      <c r="H831">
        <v>805568</v>
      </c>
      <c r="I831">
        <v>0</v>
      </c>
      <c r="J831">
        <v>69.779321400000001</v>
      </c>
      <c r="K831">
        <v>70.862057800000002</v>
      </c>
      <c r="L831">
        <v>37.587721600000002</v>
      </c>
      <c r="M831">
        <v>49.340065699999997</v>
      </c>
      <c r="N831">
        <v>50.417751000000003</v>
      </c>
      <c r="O831">
        <v>0</v>
      </c>
      <c r="P831">
        <v>18.858000000000001</v>
      </c>
      <c r="Q831">
        <v>5.1459999999999999</v>
      </c>
      <c r="R831">
        <v>0</v>
      </c>
      <c r="S831">
        <v>0</v>
      </c>
      <c r="T831">
        <v>0</v>
      </c>
      <c r="U831">
        <v>0</v>
      </c>
      <c r="V831" t="s">
        <v>1030</v>
      </c>
      <c r="W831">
        <v>4001754</v>
      </c>
    </row>
    <row r="832" spans="1:23" x14ac:dyDescent="0.25">
      <c r="A832" t="s">
        <v>291</v>
      </c>
      <c r="B832" t="s">
        <v>1033</v>
      </c>
      <c r="C832" t="s">
        <v>1031</v>
      </c>
      <c r="D832">
        <v>2</v>
      </c>
      <c r="E832">
        <v>4234414</v>
      </c>
      <c r="F832">
        <v>1959712</v>
      </c>
      <c r="G832">
        <v>369640</v>
      </c>
      <c r="H832">
        <v>1589136</v>
      </c>
      <c r="I832">
        <v>0</v>
      </c>
      <c r="J832">
        <v>73.170900000000003</v>
      </c>
      <c r="K832">
        <v>75.436350500000003</v>
      </c>
      <c r="L832">
        <v>40.265275199999998</v>
      </c>
      <c r="M832">
        <v>51.030246900000002</v>
      </c>
      <c r="N832">
        <v>52.093045199999999</v>
      </c>
      <c r="O832">
        <v>0</v>
      </c>
      <c r="P832">
        <v>19.314</v>
      </c>
      <c r="Q832">
        <v>5.5830000000000002</v>
      </c>
      <c r="R832">
        <v>0</v>
      </c>
      <c r="S832">
        <v>0</v>
      </c>
      <c r="T832">
        <v>0</v>
      </c>
      <c r="U832">
        <v>0</v>
      </c>
      <c r="V832" t="s">
        <v>1030</v>
      </c>
      <c r="W832">
        <v>4001754</v>
      </c>
    </row>
    <row r="833" spans="1:23" x14ac:dyDescent="0.25">
      <c r="A833" t="s">
        <v>291</v>
      </c>
      <c r="B833" t="s">
        <v>1033</v>
      </c>
      <c r="C833" t="s">
        <v>1031</v>
      </c>
      <c r="D833">
        <v>3</v>
      </c>
      <c r="E833">
        <v>4426422</v>
      </c>
      <c r="F833">
        <v>4286776</v>
      </c>
      <c r="G833">
        <v>1090968</v>
      </c>
      <c r="H833">
        <v>3194872</v>
      </c>
      <c r="I833">
        <v>0</v>
      </c>
      <c r="J833">
        <v>73.986686300000002</v>
      </c>
      <c r="K833">
        <v>76.7677829</v>
      </c>
      <c r="L833">
        <v>41.972880799999999</v>
      </c>
      <c r="M833">
        <v>52.6026071</v>
      </c>
      <c r="N833">
        <v>53.507137100000001</v>
      </c>
      <c r="O833">
        <v>0</v>
      </c>
      <c r="P833">
        <v>23.716000000000001</v>
      </c>
      <c r="Q833">
        <v>9.1820000000000004</v>
      </c>
      <c r="R833">
        <v>0</v>
      </c>
      <c r="S833">
        <v>0</v>
      </c>
      <c r="T833">
        <v>0</v>
      </c>
      <c r="U833">
        <v>0</v>
      </c>
      <c r="V833" t="s">
        <v>1030</v>
      </c>
      <c r="W833">
        <v>4001754</v>
      </c>
    </row>
    <row r="834" spans="1:23" x14ac:dyDescent="0.25">
      <c r="A834" t="s">
        <v>1032</v>
      </c>
    </row>
    <row r="835" spans="1:23" x14ac:dyDescent="0.25">
      <c r="A835" t="s">
        <v>291</v>
      </c>
      <c r="B835" t="s">
        <v>1033</v>
      </c>
      <c r="C835" t="s">
        <v>1031</v>
      </c>
      <c r="D835">
        <v>5</v>
      </c>
      <c r="E835">
        <v>0</v>
      </c>
      <c r="F835" t="s">
        <v>1034</v>
      </c>
      <c r="G835" t="s">
        <v>1034</v>
      </c>
      <c r="H835" t="s">
        <v>1034</v>
      </c>
      <c r="I835" t="s">
        <v>1034</v>
      </c>
      <c r="J835" t="s">
        <v>1034</v>
      </c>
      <c r="K835" t="s">
        <v>1034</v>
      </c>
      <c r="L835" t="s">
        <v>1034</v>
      </c>
      <c r="M835" t="s">
        <v>1034</v>
      </c>
      <c r="N835" t="s">
        <v>1034</v>
      </c>
      <c r="O835" t="s">
        <v>1034</v>
      </c>
      <c r="P835" t="s">
        <v>1034</v>
      </c>
      <c r="Q835" t="s">
        <v>1034</v>
      </c>
      <c r="R835" t="s">
        <v>1034</v>
      </c>
      <c r="S835" t="s">
        <v>1034</v>
      </c>
      <c r="T835" t="s">
        <v>1034</v>
      </c>
      <c r="U835" t="s">
        <v>1034</v>
      </c>
      <c r="V835" t="s">
        <v>1034</v>
      </c>
      <c r="W835" t="s">
        <v>1035</v>
      </c>
    </row>
    <row r="836" spans="1:23" x14ac:dyDescent="0.25">
      <c r="A836" t="s">
        <v>294</v>
      </c>
      <c r="B836" t="s">
        <v>1033</v>
      </c>
      <c r="C836" t="s">
        <v>1031</v>
      </c>
      <c r="D836">
        <v>0</v>
      </c>
      <c r="E836">
        <v>502000</v>
      </c>
      <c r="F836">
        <v>272208</v>
      </c>
      <c r="G836">
        <v>5248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P836">
        <v>5.0949999999999998</v>
      </c>
      <c r="Q836">
        <v>0.48599999999999999</v>
      </c>
      <c r="R836">
        <v>0</v>
      </c>
      <c r="S836">
        <v>0</v>
      </c>
      <c r="T836">
        <v>0</v>
      </c>
      <c r="U836">
        <v>0</v>
      </c>
      <c r="V836" t="s">
        <v>1030</v>
      </c>
      <c r="W836">
        <v>1481746</v>
      </c>
    </row>
    <row r="837" spans="1:23" x14ac:dyDescent="0.25">
      <c r="A837" t="s">
        <v>294</v>
      </c>
      <c r="B837" t="s">
        <v>1033</v>
      </c>
      <c r="C837" t="s">
        <v>1031</v>
      </c>
      <c r="D837">
        <v>1</v>
      </c>
      <c r="E837">
        <v>533014</v>
      </c>
      <c r="F837">
        <v>681912</v>
      </c>
      <c r="G837">
        <v>20600</v>
      </c>
      <c r="H837">
        <v>660816</v>
      </c>
      <c r="I837">
        <v>0</v>
      </c>
      <c r="J837">
        <v>51.536327300000004</v>
      </c>
      <c r="K837">
        <v>58.353511500000003</v>
      </c>
      <c r="L837">
        <v>19.9327705</v>
      </c>
      <c r="M837">
        <v>36.917826099999999</v>
      </c>
      <c r="N837">
        <v>36.650725700000002</v>
      </c>
      <c r="O837">
        <v>0</v>
      </c>
      <c r="P837">
        <v>4.88</v>
      </c>
      <c r="Q837">
        <v>0.59299999999999997</v>
      </c>
      <c r="R837">
        <v>0</v>
      </c>
      <c r="S837">
        <v>0</v>
      </c>
      <c r="T837">
        <v>0</v>
      </c>
      <c r="U837">
        <v>0</v>
      </c>
      <c r="V837" t="s">
        <v>1030</v>
      </c>
      <c r="W837">
        <v>1481746</v>
      </c>
    </row>
    <row r="838" spans="1:23" x14ac:dyDescent="0.25">
      <c r="A838" t="s">
        <v>294</v>
      </c>
      <c r="B838" t="s">
        <v>1033</v>
      </c>
      <c r="C838" t="s">
        <v>1031</v>
      </c>
      <c r="D838">
        <v>2</v>
      </c>
      <c r="E838">
        <v>748282</v>
      </c>
      <c r="F838">
        <v>1867176</v>
      </c>
      <c r="G838">
        <v>99512</v>
      </c>
      <c r="H838">
        <v>1767168</v>
      </c>
      <c r="I838">
        <v>0</v>
      </c>
      <c r="J838">
        <v>58.046260500000002</v>
      </c>
      <c r="K838">
        <v>61.9190179</v>
      </c>
      <c r="L838">
        <v>20.846536400000002</v>
      </c>
      <c r="M838">
        <v>37.696304099999999</v>
      </c>
      <c r="N838">
        <v>37.496207800000001</v>
      </c>
      <c r="O838">
        <v>0</v>
      </c>
      <c r="P838">
        <v>5.4669999999999996</v>
      </c>
      <c r="Q838">
        <v>1.0269999999999999</v>
      </c>
      <c r="R838">
        <v>0</v>
      </c>
      <c r="S838">
        <v>0</v>
      </c>
      <c r="T838">
        <v>0</v>
      </c>
      <c r="U838">
        <v>0</v>
      </c>
      <c r="V838" t="s">
        <v>1030</v>
      </c>
      <c r="W838">
        <v>1481746</v>
      </c>
    </row>
    <row r="839" spans="1:23" x14ac:dyDescent="0.25">
      <c r="A839" t="s">
        <v>294</v>
      </c>
      <c r="B839" t="s">
        <v>1033</v>
      </c>
      <c r="C839" t="s">
        <v>1031</v>
      </c>
      <c r="D839">
        <v>3</v>
      </c>
      <c r="E839">
        <v>989795</v>
      </c>
      <c r="F839">
        <v>4282592</v>
      </c>
      <c r="G839">
        <v>434432</v>
      </c>
      <c r="H839">
        <v>3847664</v>
      </c>
      <c r="I839">
        <v>0</v>
      </c>
      <c r="J839">
        <v>59.622194100000002</v>
      </c>
      <c r="K839">
        <v>63.776591400000001</v>
      </c>
      <c r="L839">
        <v>21.567219300000001</v>
      </c>
      <c r="M839">
        <v>38.544176700000001</v>
      </c>
      <c r="N839">
        <v>38.376640399999999</v>
      </c>
      <c r="O839">
        <v>0</v>
      </c>
      <c r="P839">
        <v>7.335</v>
      </c>
      <c r="Q839">
        <v>2.1589999999999998</v>
      </c>
      <c r="R839">
        <v>0</v>
      </c>
      <c r="S839">
        <v>0</v>
      </c>
      <c r="T839">
        <v>0</v>
      </c>
      <c r="U839">
        <v>0</v>
      </c>
      <c r="V839" t="s">
        <v>1030</v>
      </c>
      <c r="W839">
        <v>1481746</v>
      </c>
    </row>
    <row r="840" spans="1:23" x14ac:dyDescent="0.25">
      <c r="A840" t="s">
        <v>1032</v>
      </c>
    </row>
    <row r="841" spans="1:23" x14ac:dyDescent="0.25">
      <c r="A841" t="s">
        <v>294</v>
      </c>
      <c r="B841" t="s">
        <v>1033</v>
      </c>
      <c r="C841" t="s">
        <v>1031</v>
      </c>
      <c r="D841">
        <v>5</v>
      </c>
      <c r="E841">
        <v>0</v>
      </c>
      <c r="F841" t="s">
        <v>1034</v>
      </c>
      <c r="G841" t="s">
        <v>1034</v>
      </c>
      <c r="H841" t="s">
        <v>1034</v>
      </c>
      <c r="I841" t="s">
        <v>1034</v>
      </c>
      <c r="J841" t="s">
        <v>1034</v>
      </c>
      <c r="K841" t="s">
        <v>1034</v>
      </c>
      <c r="L841" t="s">
        <v>1034</v>
      </c>
      <c r="M841" t="s">
        <v>1034</v>
      </c>
      <c r="N841" t="s">
        <v>1034</v>
      </c>
      <c r="O841" t="s">
        <v>1034</v>
      </c>
      <c r="P841" t="s">
        <v>1034</v>
      </c>
      <c r="Q841" t="s">
        <v>1034</v>
      </c>
      <c r="R841" t="s">
        <v>1034</v>
      </c>
      <c r="S841" t="s">
        <v>1034</v>
      </c>
      <c r="T841" t="s">
        <v>1034</v>
      </c>
      <c r="U841" t="s">
        <v>1034</v>
      </c>
      <c r="V841" t="s">
        <v>1034</v>
      </c>
      <c r="W841" t="s">
        <v>1035</v>
      </c>
    </row>
    <row r="842" spans="1:23" x14ac:dyDescent="0.25">
      <c r="A842" t="s">
        <v>298</v>
      </c>
      <c r="B842" t="s">
        <v>1033</v>
      </c>
      <c r="C842" t="s">
        <v>1031</v>
      </c>
      <c r="D842">
        <v>0</v>
      </c>
      <c r="E842">
        <v>586518</v>
      </c>
      <c r="F842">
        <v>58632</v>
      </c>
      <c r="G842">
        <v>4664</v>
      </c>
      <c r="H842">
        <v>53472</v>
      </c>
      <c r="I842">
        <v>0</v>
      </c>
      <c r="J842">
        <v>51.549403699999999</v>
      </c>
      <c r="K842">
        <v>53.887101800000003</v>
      </c>
      <c r="L842">
        <v>29.470320099999999</v>
      </c>
      <c r="M842">
        <v>41.132962200000001</v>
      </c>
      <c r="N842">
        <v>42.317703999999999</v>
      </c>
      <c r="O842">
        <v>0</v>
      </c>
      <c r="P842">
        <v>2.3159999999999998</v>
      </c>
      <c r="Q842">
        <v>0.59499999999999997</v>
      </c>
      <c r="R842">
        <v>0</v>
      </c>
      <c r="S842">
        <v>0</v>
      </c>
      <c r="T842">
        <v>0</v>
      </c>
      <c r="U842">
        <v>0</v>
      </c>
      <c r="V842" t="s">
        <v>1030</v>
      </c>
      <c r="W842">
        <v>272684</v>
      </c>
    </row>
    <row r="843" spans="1:23" x14ac:dyDescent="0.25">
      <c r="A843" t="s">
        <v>298</v>
      </c>
      <c r="B843" t="s">
        <v>1033</v>
      </c>
      <c r="C843" t="s">
        <v>1031</v>
      </c>
      <c r="D843">
        <v>1</v>
      </c>
      <c r="E843">
        <v>577779</v>
      </c>
      <c r="F843">
        <v>137440</v>
      </c>
      <c r="G843">
        <v>15408</v>
      </c>
      <c r="H843">
        <v>121536</v>
      </c>
      <c r="I843">
        <v>0</v>
      </c>
      <c r="J843">
        <v>56.8496819</v>
      </c>
      <c r="K843">
        <v>59.1435344</v>
      </c>
      <c r="L843">
        <v>31.929566000000001</v>
      </c>
      <c r="M843">
        <v>42.544028699999998</v>
      </c>
      <c r="N843">
        <v>43.7222534</v>
      </c>
      <c r="O843">
        <v>0</v>
      </c>
      <c r="P843">
        <v>2.153</v>
      </c>
      <c r="Q843">
        <v>0.60899999999999999</v>
      </c>
      <c r="R843">
        <v>0</v>
      </c>
      <c r="S843">
        <v>0</v>
      </c>
      <c r="T843">
        <v>0</v>
      </c>
      <c r="U843">
        <v>0</v>
      </c>
      <c r="V843" t="s">
        <v>1030</v>
      </c>
      <c r="W843">
        <v>272684</v>
      </c>
    </row>
    <row r="844" spans="1:23" x14ac:dyDescent="0.25">
      <c r="A844" t="s">
        <v>298</v>
      </c>
      <c r="B844" t="s">
        <v>1033</v>
      </c>
      <c r="C844" t="s">
        <v>1031</v>
      </c>
      <c r="D844">
        <v>2</v>
      </c>
      <c r="E844">
        <v>701141</v>
      </c>
      <c r="F844">
        <v>371168</v>
      </c>
      <c r="G844">
        <v>66216</v>
      </c>
      <c r="H844">
        <v>304456</v>
      </c>
      <c r="I844">
        <v>0</v>
      </c>
      <c r="J844">
        <v>58.268028899999997</v>
      </c>
      <c r="K844">
        <v>61.254691600000001</v>
      </c>
      <c r="L844">
        <v>33.290388</v>
      </c>
      <c r="M844">
        <v>45.017171300000001</v>
      </c>
      <c r="N844">
        <v>45.874400000000001</v>
      </c>
      <c r="O844">
        <v>0</v>
      </c>
      <c r="P844">
        <v>2.7090000000000001</v>
      </c>
      <c r="Q844">
        <v>0.95</v>
      </c>
      <c r="R844">
        <v>0</v>
      </c>
      <c r="S844">
        <v>0</v>
      </c>
      <c r="T844">
        <v>0</v>
      </c>
      <c r="U844">
        <v>0</v>
      </c>
      <c r="V844" t="s">
        <v>1030</v>
      </c>
      <c r="W844">
        <v>272684</v>
      </c>
    </row>
    <row r="845" spans="1:23" x14ac:dyDescent="0.25">
      <c r="A845" t="s">
        <v>298</v>
      </c>
      <c r="B845" t="s">
        <v>1033</v>
      </c>
      <c r="C845" t="s">
        <v>1031</v>
      </c>
      <c r="D845">
        <v>3</v>
      </c>
      <c r="E845">
        <v>906656</v>
      </c>
      <c r="F845">
        <v>1006216</v>
      </c>
      <c r="G845">
        <v>284792</v>
      </c>
      <c r="H845">
        <v>720928</v>
      </c>
      <c r="I845">
        <v>0</v>
      </c>
      <c r="J845">
        <v>58.5266935</v>
      </c>
      <c r="K845">
        <v>61.444343799999999</v>
      </c>
      <c r="L845">
        <v>34.108649</v>
      </c>
      <c r="M845">
        <v>46.162240799999999</v>
      </c>
      <c r="N845">
        <v>47.248068500000002</v>
      </c>
      <c r="O845">
        <v>0</v>
      </c>
      <c r="P845">
        <v>3.9740000000000002</v>
      </c>
      <c r="Q845">
        <v>1.764</v>
      </c>
      <c r="R845">
        <v>0</v>
      </c>
      <c r="S845">
        <v>0</v>
      </c>
      <c r="T845">
        <v>0</v>
      </c>
      <c r="U845">
        <v>0</v>
      </c>
      <c r="V845" t="s">
        <v>1030</v>
      </c>
      <c r="W845">
        <v>272684</v>
      </c>
    </row>
    <row r="846" spans="1:23" x14ac:dyDescent="0.25">
      <c r="A846" t="s">
        <v>1032</v>
      </c>
    </row>
    <row r="847" spans="1:23" x14ac:dyDescent="0.25">
      <c r="A847" t="s">
        <v>298</v>
      </c>
      <c r="B847" t="s">
        <v>1033</v>
      </c>
      <c r="C847" t="s">
        <v>1031</v>
      </c>
      <c r="D847">
        <v>5</v>
      </c>
      <c r="E847">
        <v>0</v>
      </c>
      <c r="F847" t="s">
        <v>1034</v>
      </c>
      <c r="G847" t="s">
        <v>1034</v>
      </c>
      <c r="H847" t="s">
        <v>1034</v>
      </c>
      <c r="I847" t="s">
        <v>1034</v>
      </c>
      <c r="J847" t="s">
        <v>1034</v>
      </c>
      <c r="K847" t="s">
        <v>1034</v>
      </c>
      <c r="L847" t="s">
        <v>1034</v>
      </c>
      <c r="M847" t="s">
        <v>1034</v>
      </c>
      <c r="N847" t="s">
        <v>1034</v>
      </c>
      <c r="O847" t="s">
        <v>1034</v>
      </c>
      <c r="P847" t="s">
        <v>1034</v>
      </c>
      <c r="Q847" t="s">
        <v>1034</v>
      </c>
      <c r="R847" t="s">
        <v>1034</v>
      </c>
      <c r="S847" t="s">
        <v>1034</v>
      </c>
      <c r="T847" t="s">
        <v>1034</v>
      </c>
      <c r="U847" t="s">
        <v>1034</v>
      </c>
      <c r="V847" t="s">
        <v>1034</v>
      </c>
      <c r="W847" t="s">
        <v>1035</v>
      </c>
    </row>
    <row r="848" spans="1:23" x14ac:dyDescent="0.25">
      <c r="A848" t="s">
        <v>301</v>
      </c>
      <c r="B848" t="s">
        <v>1033</v>
      </c>
      <c r="C848" t="s">
        <v>1031</v>
      </c>
      <c r="D848">
        <v>0</v>
      </c>
      <c r="E848">
        <v>409710</v>
      </c>
      <c r="F848">
        <v>384944</v>
      </c>
      <c r="G848">
        <v>2880</v>
      </c>
      <c r="H848">
        <v>381560</v>
      </c>
      <c r="I848">
        <v>0</v>
      </c>
      <c r="J848">
        <v>50.357263199999998</v>
      </c>
      <c r="K848">
        <v>55.418456599999999</v>
      </c>
      <c r="L848">
        <v>15.816716100000001</v>
      </c>
      <c r="M848">
        <v>35.609755300000003</v>
      </c>
      <c r="N848">
        <v>32.718710799999997</v>
      </c>
      <c r="O848">
        <v>0</v>
      </c>
      <c r="P848">
        <v>8.0329999999999995</v>
      </c>
      <c r="Q848">
        <v>0.36499999999999999</v>
      </c>
      <c r="R848">
        <v>0</v>
      </c>
      <c r="S848">
        <v>0</v>
      </c>
      <c r="T848">
        <v>0</v>
      </c>
      <c r="U848">
        <v>0</v>
      </c>
      <c r="V848" t="s">
        <v>1030</v>
      </c>
      <c r="W848">
        <v>4187594</v>
      </c>
    </row>
    <row r="849" spans="1:23" x14ac:dyDescent="0.25">
      <c r="A849" t="s">
        <v>301</v>
      </c>
      <c r="B849" t="s">
        <v>1033</v>
      </c>
      <c r="C849" t="s">
        <v>1031</v>
      </c>
      <c r="D849">
        <v>1</v>
      </c>
      <c r="E849">
        <v>497511</v>
      </c>
      <c r="F849">
        <v>990968</v>
      </c>
      <c r="G849">
        <v>13480</v>
      </c>
      <c r="H849">
        <v>976984</v>
      </c>
      <c r="I849">
        <v>0</v>
      </c>
      <c r="J849">
        <v>55.099773399999997</v>
      </c>
      <c r="K849">
        <v>59.153181400000001</v>
      </c>
      <c r="L849">
        <v>16.4158638</v>
      </c>
      <c r="M849">
        <v>36.149169700000002</v>
      </c>
      <c r="N849">
        <v>33.3399395</v>
      </c>
      <c r="O849">
        <v>0</v>
      </c>
      <c r="P849">
        <v>7.742</v>
      </c>
      <c r="Q849">
        <v>0.52400000000000002</v>
      </c>
      <c r="R849">
        <v>0</v>
      </c>
      <c r="S849">
        <v>0</v>
      </c>
      <c r="T849">
        <v>0</v>
      </c>
      <c r="U849">
        <v>0</v>
      </c>
      <c r="V849" t="s">
        <v>1030</v>
      </c>
      <c r="W849">
        <v>4187594</v>
      </c>
    </row>
    <row r="850" spans="1:23" x14ac:dyDescent="0.25">
      <c r="A850" t="s">
        <v>301</v>
      </c>
      <c r="B850" t="s">
        <v>1033</v>
      </c>
      <c r="C850" t="s">
        <v>1031</v>
      </c>
      <c r="D850">
        <v>2</v>
      </c>
      <c r="E850">
        <v>693194</v>
      </c>
      <c r="F850">
        <v>2413392</v>
      </c>
      <c r="G850">
        <v>71240</v>
      </c>
      <c r="H850">
        <v>2341648</v>
      </c>
      <c r="I850">
        <v>0</v>
      </c>
      <c r="J850">
        <v>58.075682999999998</v>
      </c>
      <c r="K850">
        <v>61.283220399999998</v>
      </c>
      <c r="L850">
        <v>16.913461300000002</v>
      </c>
      <c r="M850">
        <v>36.8319337</v>
      </c>
      <c r="N850">
        <v>34.127380899999999</v>
      </c>
      <c r="O850">
        <v>0</v>
      </c>
      <c r="P850">
        <v>8.5820000000000007</v>
      </c>
      <c r="Q850">
        <v>0.91900000000000004</v>
      </c>
      <c r="R850">
        <v>0</v>
      </c>
      <c r="S850">
        <v>0</v>
      </c>
      <c r="T850">
        <v>0</v>
      </c>
      <c r="U850">
        <v>0</v>
      </c>
      <c r="V850" t="s">
        <v>1030</v>
      </c>
      <c r="W850">
        <v>4187594</v>
      </c>
    </row>
    <row r="851" spans="1:23" x14ac:dyDescent="0.25">
      <c r="A851" t="s">
        <v>301</v>
      </c>
      <c r="B851" t="s">
        <v>1033</v>
      </c>
      <c r="C851" t="s">
        <v>1031</v>
      </c>
      <c r="D851">
        <v>3</v>
      </c>
      <c r="E851">
        <v>895483</v>
      </c>
      <c r="F851">
        <v>5046576</v>
      </c>
      <c r="G851">
        <v>320152</v>
      </c>
      <c r="H851">
        <v>4725920</v>
      </c>
      <c r="I851">
        <v>0</v>
      </c>
      <c r="J851">
        <v>60.4682295</v>
      </c>
      <c r="K851">
        <v>64.084518900000006</v>
      </c>
      <c r="L851">
        <v>17.614501000000001</v>
      </c>
      <c r="M851">
        <v>37.928235000000001</v>
      </c>
      <c r="N851">
        <v>35.366882500000003</v>
      </c>
      <c r="O851">
        <v>0</v>
      </c>
      <c r="P851">
        <v>9.8529999999999998</v>
      </c>
      <c r="Q851">
        <v>1.806</v>
      </c>
      <c r="R851">
        <v>0</v>
      </c>
      <c r="S851">
        <v>0</v>
      </c>
      <c r="T851">
        <v>0</v>
      </c>
      <c r="U851">
        <v>0</v>
      </c>
      <c r="V851" t="s">
        <v>1030</v>
      </c>
      <c r="W851">
        <v>4187594</v>
      </c>
    </row>
    <row r="852" spans="1:23" x14ac:dyDescent="0.25">
      <c r="A852" t="s">
        <v>1032</v>
      </c>
    </row>
    <row r="853" spans="1:23" x14ac:dyDescent="0.25">
      <c r="A853" t="s">
        <v>301</v>
      </c>
      <c r="B853" t="s">
        <v>1033</v>
      </c>
      <c r="C853" t="s">
        <v>1031</v>
      </c>
      <c r="D853">
        <v>5</v>
      </c>
      <c r="E853">
        <v>0</v>
      </c>
      <c r="F853" t="s">
        <v>1034</v>
      </c>
      <c r="G853" t="s">
        <v>1034</v>
      </c>
      <c r="H853" t="s">
        <v>1034</v>
      </c>
      <c r="I853" t="s">
        <v>1034</v>
      </c>
      <c r="J853" t="s">
        <v>1034</v>
      </c>
      <c r="K853" t="s">
        <v>1034</v>
      </c>
      <c r="L853" t="s">
        <v>1034</v>
      </c>
      <c r="M853" t="s">
        <v>1034</v>
      </c>
      <c r="N853" t="s">
        <v>1034</v>
      </c>
      <c r="O853" t="s">
        <v>1034</v>
      </c>
      <c r="P853" t="s">
        <v>1034</v>
      </c>
      <c r="Q853" t="s">
        <v>1034</v>
      </c>
      <c r="R853" t="s">
        <v>1034</v>
      </c>
      <c r="S853" t="s">
        <v>1034</v>
      </c>
      <c r="T853" t="s">
        <v>1034</v>
      </c>
      <c r="U853" t="s">
        <v>1034</v>
      </c>
      <c r="V853" t="s">
        <v>1034</v>
      </c>
      <c r="W853" t="s">
        <v>1035</v>
      </c>
    </row>
    <row r="854" spans="1:23" x14ac:dyDescent="0.25">
      <c r="A854" t="s">
        <v>304</v>
      </c>
      <c r="B854" t="s">
        <v>1033</v>
      </c>
      <c r="C854" t="s">
        <v>1031</v>
      </c>
      <c r="D854">
        <v>0</v>
      </c>
      <c r="E854">
        <v>345051</v>
      </c>
      <c r="F854">
        <v>182544</v>
      </c>
      <c r="G854">
        <v>3088</v>
      </c>
      <c r="H854">
        <v>178880</v>
      </c>
      <c r="I854">
        <v>0</v>
      </c>
      <c r="J854">
        <v>41.675676500000002</v>
      </c>
      <c r="K854">
        <v>46.334807499999997</v>
      </c>
      <c r="L854">
        <v>17.4158911</v>
      </c>
      <c r="M854">
        <v>29.384487499999999</v>
      </c>
      <c r="N854">
        <v>32.345200699999999</v>
      </c>
      <c r="O854">
        <v>0</v>
      </c>
      <c r="P854">
        <v>3.9369999999999998</v>
      </c>
      <c r="Q854">
        <v>0.498</v>
      </c>
      <c r="R854">
        <v>0</v>
      </c>
      <c r="S854">
        <v>0</v>
      </c>
      <c r="T854">
        <v>0</v>
      </c>
      <c r="U854">
        <v>0</v>
      </c>
      <c r="V854" t="s">
        <v>1030</v>
      </c>
      <c r="W854">
        <v>1009132</v>
      </c>
    </row>
    <row r="855" spans="1:23" x14ac:dyDescent="0.25">
      <c r="A855" t="s">
        <v>304</v>
      </c>
      <c r="B855" t="s">
        <v>1033</v>
      </c>
      <c r="C855" t="s">
        <v>1031</v>
      </c>
      <c r="D855">
        <v>1</v>
      </c>
      <c r="E855">
        <v>1195139</v>
      </c>
      <c r="F855">
        <v>1257296</v>
      </c>
      <c r="G855">
        <v>10744</v>
      </c>
      <c r="H855">
        <v>1245976</v>
      </c>
      <c r="I855">
        <v>0</v>
      </c>
      <c r="J855">
        <v>52.081678599999996</v>
      </c>
      <c r="K855">
        <v>56.607746300000002</v>
      </c>
      <c r="L855">
        <v>21.185129700000001</v>
      </c>
      <c r="M855">
        <v>33.272500600000001</v>
      </c>
      <c r="N855">
        <v>35.2120058</v>
      </c>
      <c r="O855">
        <v>0</v>
      </c>
      <c r="P855">
        <v>6.4009999999999998</v>
      </c>
      <c r="Q855">
        <v>1.675</v>
      </c>
      <c r="R855">
        <v>0</v>
      </c>
      <c r="S855">
        <v>0</v>
      </c>
      <c r="T855">
        <v>0</v>
      </c>
      <c r="U855">
        <v>0</v>
      </c>
      <c r="V855" t="s">
        <v>1030</v>
      </c>
      <c r="W855">
        <v>1009132</v>
      </c>
    </row>
    <row r="856" spans="1:23" x14ac:dyDescent="0.25">
      <c r="A856" t="s">
        <v>304</v>
      </c>
      <c r="B856" t="s">
        <v>1033</v>
      </c>
      <c r="C856" t="s">
        <v>1031</v>
      </c>
      <c r="D856">
        <v>2</v>
      </c>
      <c r="E856">
        <v>1391139</v>
      </c>
      <c r="F856">
        <v>2891048</v>
      </c>
      <c r="G856">
        <v>41864</v>
      </c>
      <c r="H856">
        <v>2848608</v>
      </c>
      <c r="I856">
        <v>0</v>
      </c>
      <c r="J856">
        <v>58.9832173</v>
      </c>
      <c r="K856">
        <v>61.661114499999996</v>
      </c>
      <c r="L856">
        <v>23.376738799999998</v>
      </c>
      <c r="M856">
        <v>35.934335900000001</v>
      </c>
      <c r="N856">
        <v>37.401969999999999</v>
      </c>
      <c r="O856">
        <v>0</v>
      </c>
      <c r="P856">
        <v>6.7850000000000001</v>
      </c>
      <c r="Q856">
        <v>1.6</v>
      </c>
      <c r="R856">
        <v>0</v>
      </c>
      <c r="S856">
        <v>0</v>
      </c>
      <c r="T856">
        <v>0</v>
      </c>
      <c r="U856">
        <v>0</v>
      </c>
      <c r="V856" t="s">
        <v>1030</v>
      </c>
      <c r="W856">
        <v>1009132</v>
      </c>
    </row>
    <row r="857" spans="1:23" x14ac:dyDescent="0.25">
      <c r="A857" t="s">
        <v>304</v>
      </c>
      <c r="B857" t="s">
        <v>1033</v>
      </c>
      <c r="C857" t="s">
        <v>1031</v>
      </c>
      <c r="D857">
        <v>3</v>
      </c>
      <c r="E857">
        <v>1631627</v>
      </c>
      <c r="F857">
        <v>5758792</v>
      </c>
      <c r="G857">
        <v>162648</v>
      </c>
      <c r="H857">
        <v>5595568</v>
      </c>
      <c r="I857">
        <v>0</v>
      </c>
      <c r="J857">
        <v>63.162532800000001</v>
      </c>
      <c r="K857">
        <v>66.103521400000005</v>
      </c>
      <c r="L857">
        <v>25.160846400000001</v>
      </c>
      <c r="M857">
        <v>38.2364447</v>
      </c>
      <c r="N857">
        <v>39.725978400000002</v>
      </c>
      <c r="O857">
        <v>0</v>
      </c>
      <c r="P857">
        <v>7.4379999999999997</v>
      </c>
      <c r="Q857">
        <v>2.3050000000000002</v>
      </c>
      <c r="R857">
        <v>0</v>
      </c>
      <c r="S857">
        <v>0</v>
      </c>
      <c r="T857">
        <v>0</v>
      </c>
      <c r="U857">
        <v>0</v>
      </c>
      <c r="V857" t="s">
        <v>1030</v>
      </c>
      <c r="W857">
        <v>1009132</v>
      </c>
    </row>
    <row r="858" spans="1:23" x14ac:dyDescent="0.25">
      <c r="A858" t="s">
        <v>1032</v>
      </c>
    </row>
    <row r="859" spans="1:23" x14ac:dyDescent="0.25">
      <c r="A859" t="s">
        <v>304</v>
      </c>
      <c r="B859" t="s">
        <v>1033</v>
      </c>
      <c r="C859" t="s">
        <v>1031</v>
      </c>
      <c r="D859">
        <v>5</v>
      </c>
      <c r="E859">
        <v>0</v>
      </c>
      <c r="F859" t="s">
        <v>1034</v>
      </c>
      <c r="G859" t="s">
        <v>1034</v>
      </c>
      <c r="H859" t="s">
        <v>1034</v>
      </c>
      <c r="I859" t="s">
        <v>1034</v>
      </c>
      <c r="J859" t="s">
        <v>1034</v>
      </c>
      <c r="K859" t="s">
        <v>1034</v>
      </c>
      <c r="L859" t="s">
        <v>1034</v>
      </c>
      <c r="M859" t="s">
        <v>1034</v>
      </c>
      <c r="N859" t="s">
        <v>1034</v>
      </c>
      <c r="O859" t="s">
        <v>1034</v>
      </c>
      <c r="P859" t="s">
        <v>1034</v>
      </c>
      <c r="Q859" t="s">
        <v>1034</v>
      </c>
      <c r="R859" t="s">
        <v>1034</v>
      </c>
      <c r="S859" t="s">
        <v>1034</v>
      </c>
      <c r="T859" t="s">
        <v>1034</v>
      </c>
      <c r="U859" t="s">
        <v>1034</v>
      </c>
      <c r="V859" t="s">
        <v>1034</v>
      </c>
      <c r="W859" t="s">
        <v>1035</v>
      </c>
    </row>
    <row r="860" spans="1:23" x14ac:dyDescent="0.25">
      <c r="A860" t="s">
        <v>307</v>
      </c>
      <c r="B860" t="s">
        <v>1033</v>
      </c>
      <c r="C860" t="s">
        <v>1031</v>
      </c>
      <c r="D860">
        <v>0</v>
      </c>
      <c r="E860">
        <v>22571413</v>
      </c>
      <c r="F860">
        <v>8115768</v>
      </c>
      <c r="G860">
        <v>163608</v>
      </c>
      <c r="H860">
        <v>7949096</v>
      </c>
      <c r="I860">
        <v>0</v>
      </c>
      <c r="J860">
        <v>64.9611673</v>
      </c>
      <c r="K860">
        <v>67.066179500000004</v>
      </c>
      <c r="L860">
        <v>22.7491497</v>
      </c>
      <c r="M860">
        <v>36.276609499999999</v>
      </c>
      <c r="N860">
        <v>39.487344200000003</v>
      </c>
      <c r="O860">
        <v>0</v>
      </c>
      <c r="P860">
        <v>156.33199999999999</v>
      </c>
      <c r="Q860">
        <v>23.963999999999999</v>
      </c>
      <c r="R860">
        <v>0</v>
      </c>
      <c r="S860">
        <v>0</v>
      </c>
      <c r="T860">
        <v>0</v>
      </c>
      <c r="U860">
        <v>0</v>
      </c>
      <c r="V860" t="s">
        <v>1030</v>
      </c>
      <c r="W860">
        <v>47062002</v>
      </c>
    </row>
    <row r="861" spans="1:23" x14ac:dyDescent="0.25">
      <c r="A861" t="s">
        <v>307</v>
      </c>
      <c r="B861" t="s">
        <v>1033</v>
      </c>
      <c r="C861" t="s">
        <v>1031</v>
      </c>
      <c r="D861">
        <v>1</v>
      </c>
      <c r="E861">
        <v>23467281</v>
      </c>
      <c r="F861">
        <v>16935744</v>
      </c>
      <c r="G861">
        <v>521040</v>
      </c>
      <c r="H861">
        <v>16411400</v>
      </c>
      <c r="I861">
        <v>0</v>
      </c>
      <c r="J861">
        <v>71.458594399999996</v>
      </c>
      <c r="K861">
        <v>73.940550500000001</v>
      </c>
      <c r="L861">
        <v>25.367981400000001</v>
      </c>
      <c r="M861">
        <v>38.708708199999997</v>
      </c>
      <c r="N861">
        <v>41.697593599999998</v>
      </c>
      <c r="O861">
        <v>0</v>
      </c>
      <c r="P861">
        <v>142.131</v>
      </c>
      <c r="Q861">
        <v>26.106000000000002</v>
      </c>
      <c r="R861">
        <v>0</v>
      </c>
      <c r="S861">
        <v>0</v>
      </c>
      <c r="T861">
        <v>0</v>
      </c>
      <c r="U861">
        <v>0</v>
      </c>
      <c r="V861" t="s">
        <v>1030</v>
      </c>
      <c r="W861">
        <v>47062002</v>
      </c>
    </row>
    <row r="862" spans="1:23" x14ac:dyDescent="0.25">
      <c r="A862" t="s">
        <v>307</v>
      </c>
      <c r="B862" t="s">
        <v>1033</v>
      </c>
      <c r="C862" t="s">
        <v>1031</v>
      </c>
      <c r="D862">
        <v>2</v>
      </c>
      <c r="E862">
        <v>23854604</v>
      </c>
      <c r="F862">
        <v>32456592</v>
      </c>
      <c r="G862">
        <v>1711576</v>
      </c>
      <c r="H862">
        <v>30741792</v>
      </c>
      <c r="I862">
        <v>0</v>
      </c>
      <c r="J862">
        <v>78.1355133</v>
      </c>
      <c r="K862">
        <v>79.2440316</v>
      </c>
      <c r="L862">
        <v>27.988663800000001</v>
      </c>
      <c r="M862">
        <v>41.5724284</v>
      </c>
      <c r="N862">
        <v>44.127755200000003</v>
      </c>
      <c r="O862">
        <v>0</v>
      </c>
      <c r="P862">
        <v>143.404</v>
      </c>
      <c r="Q862">
        <v>29.922000000000001</v>
      </c>
      <c r="R862">
        <v>0</v>
      </c>
      <c r="S862">
        <v>0</v>
      </c>
      <c r="T862">
        <v>0</v>
      </c>
      <c r="U862">
        <v>0</v>
      </c>
      <c r="V862" t="s">
        <v>1030</v>
      </c>
      <c r="W862">
        <v>47062002</v>
      </c>
    </row>
    <row r="863" spans="1:23" x14ac:dyDescent="0.25">
      <c r="A863" t="s">
        <v>307</v>
      </c>
      <c r="B863" t="s">
        <v>1033</v>
      </c>
      <c r="C863" t="s">
        <v>1031</v>
      </c>
      <c r="D863">
        <v>3</v>
      </c>
      <c r="E863">
        <v>22980023</v>
      </c>
      <c r="F863">
        <v>56022824</v>
      </c>
      <c r="G863">
        <v>5005264</v>
      </c>
      <c r="H863">
        <v>51014336</v>
      </c>
      <c r="I863">
        <v>0</v>
      </c>
      <c r="J863">
        <v>81.786106099999998</v>
      </c>
      <c r="K863">
        <v>84.453123700000006</v>
      </c>
      <c r="L863">
        <v>29.479945000000001</v>
      </c>
      <c r="M863">
        <v>43.812128999999999</v>
      </c>
      <c r="N863">
        <v>45.906871099999996</v>
      </c>
      <c r="O863">
        <v>0</v>
      </c>
      <c r="P863">
        <v>166.41499999999999</v>
      </c>
      <c r="Q863">
        <v>48.03</v>
      </c>
      <c r="R863">
        <v>0</v>
      </c>
      <c r="S863">
        <v>0</v>
      </c>
      <c r="T863">
        <v>0</v>
      </c>
      <c r="U863">
        <v>0</v>
      </c>
      <c r="V863" t="s">
        <v>1030</v>
      </c>
      <c r="W863">
        <v>47062002</v>
      </c>
    </row>
    <row r="864" spans="1:23" x14ac:dyDescent="0.25">
      <c r="A864" t="s">
        <v>1032</v>
      </c>
    </row>
    <row r="865" spans="1:23" x14ac:dyDescent="0.25">
      <c r="A865" t="s">
        <v>307</v>
      </c>
      <c r="B865" t="s">
        <v>1033</v>
      </c>
      <c r="C865" t="s">
        <v>1031</v>
      </c>
      <c r="D865">
        <v>5</v>
      </c>
      <c r="E865">
        <v>0</v>
      </c>
      <c r="F865" t="s">
        <v>1034</v>
      </c>
      <c r="G865" t="s">
        <v>1034</v>
      </c>
      <c r="H865" t="s">
        <v>1034</v>
      </c>
      <c r="I865" t="s">
        <v>1034</v>
      </c>
      <c r="J865" t="s">
        <v>1034</v>
      </c>
      <c r="K865" t="s">
        <v>1034</v>
      </c>
      <c r="L865" t="s">
        <v>1034</v>
      </c>
      <c r="M865" t="s">
        <v>1034</v>
      </c>
      <c r="N865" t="s">
        <v>1034</v>
      </c>
      <c r="O865" t="s">
        <v>1034</v>
      </c>
      <c r="P865" t="s">
        <v>1034</v>
      </c>
      <c r="Q865" t="s">
        <v>1034</v>
      </c>
      <c r="R865" t="s">
        <v>1034</v>
      </c>
      <c r="S865" t="s">
        <v>1034</v>
      </c>
      <c r="T865" t="s">
        <v>1034</v>
      </c>
      <c r="U865" t="s">
        <v>1034</v>
      </c>
      <c r="V865" t="s">
        <v>1034</v>
      </c>
      <c r="W865" t="s">
        <v>1035</v>
      </c>
    </row>
    <row r="866" spans="1:23" x14ac:dyDescent="0.25">
      <c r="A866" t="s">
        <v>310</v>
      </c>
      <c r="B866" t="s">
        <v>1033</v>
      </c>
      <c r="C866" t="s">
        <v>1031</v>
      </c>
      <c r="D866">
        <v>0</v>
      </c>
      <c r="E866">
        <v>27596787</v>
      </c>
      <c r="F866">
        <v>9671088</v>
      </c>
      <c r="G866">
        <v>224336</v>
      </c>
      <c r="H866">
        <v>9443368</v>
      </c>
      <c r="I866">
        <v>0</v>
      </c>
      <c r="J866">
        <v>65.326841299999998</v>
      </c>
      <c r="K866">
        <v>67.323438499999995</v>
      </c>
      <c r="L866">
        <v>23.224957400000001</v>
      </c>
      <c r="M866">
        <v>35.7830972</v>
      </c>
      <c r="N866">
        <v>37.302350699999998</v>
      </c>
      <c r="O866">
        <v>0</v>
      </c>
      <c r="P866">
        <v>156.358</v>
      </c>
      <c r="Q866">
        <v>25.096</v>
      </c>
      <c r="R866">
        <v>0</v>
      </c>
      <c r="S866">
        <v>0</v>
      </c>
      <c r="T866">
        <v>0</v>
      </c>
      <c r="U866">
        <v>0</v>
      </c>
      <c r="V866" t="s">
        <v>1030</v>
      </c>
      <c r="W866">
        <v>43399204</v>
      </c>
    </row>
    <row r="867" spans="1:23" x14ac:dyDescent="0.25">
      <c r="A867" t="s">
        <v>310</v>
      </c>
      <c r="B867" t="s">
        <v>1033</v>
      </c>
      <c r="C867" t="s">
        <v>1031</v>
      </c>
      <c r="D867">
        <v>1</v>
      </c>
      <c r="E867">
        <v>24266917</v>
      </c>
      <c r="F867">
        <v>17594592</v>
      </c>
      <c r="G867">
        <v>651768</v>
      </c>
      <c r="H867">
        <v>16939520</v>
      </c>
      <c r="I867">
        <v>0</v>
      </c>
      <c r="J867">
        <v>71.591594099999995</v>
      </c>
      <c r="K867">
        <v>74.276004</v>
      </c>
      <c r="L867">
        <v>25.352859299999999</v>
      </c>
      <c r="M867">
        <v>38.082069099999998</v>
      </c>
      <c r="N867">
        <v>39.574648099999997</v>
      </c>
      <c r="O867">
        <v>0</v>
      </c>
      <c r="P867">
        <v>146.62</v>
      </c>
      <c r="Q867">
        <v>24.183</v>
      </c>
      <c r="R867">
        <v>0</v>
      </c>
      <c r="S867">
        <v>0</v>
      </c>
      <c r="T867">
        <v>0</v>
      </c>
      <c r="U867">
        <v>0</v>
      </c>
      <c r="V867" t="s">
        <v>1030</v>
      </c>
      <c r="W867">
        <v>43399204</v>
      </c>
    </row>
    <row r="868" spans="1:23" x14ac:dyDescent="0.25">
      <c r="A868" t="s">
        <v>310</v>
      </c>
      <c r="B868" t="s">
        <v>1033</v>
      </c>
      <c r="C868" t="s">
        <v>1031</v>
      </c>
      <c r="D868">
        <v>2</v>
      </c>
      <c r="E868">
        <v>23652076</v>
      </c>
      <c r="F868">
        <v>33154568</v>
      </c>
      <c r="G868">
        <v>2249224</v>
      </c>
      <c r="H868">
        <v>30902040</v>
      </c>
      <c r="I868">
        <v>0</v>
      </c>
      <c r="J868">
        <v>77.076353600000004</v>
      </c>
      <c r="K868">
        <v>79.355503200000001</v>
      </c>
      <c r="L868">
        <v>27.521940099999998</v>
      </c>
      <c r="M868">
        <v>40.514017299999999</v>
      </c>
      <c r="N868">
        <v>41.941387599999999</v>
      </c>
      <c r="O868">
        <v>0</v>
      </c>
      <c r="P868">
        <v>152.66300000000001</v>
      </c>
      <c r="Q868">
        <v>29.321000000000002</v>
      </c>
      <c r="R868">
        <v>0</v>
      </c>
      <c r="S868">
        <v>0</v>
      </c>
      <c r="T868">
        <v>0</v>
      </c>
      <c r="U868">
        <v>0</v>
      </c>
      <c r="V868" t="s">
        <v>1030</v>
      </c>
      <c r="W868">
        <v>43399204</v>
      </c>
    </row>
    <row r="869" spans="1:23" x14ac:dyDescent="0.25">
      <c r="A869" t="s">
        <v>310</v>
      </c>
      <c r="B869" t="s">
        <v>1033</v>
      </c>
      <c r="C869" t="s">
        <v>1031</v>
      </c>
      <c r="D869">
        <v>3</v>
      </c>
      <c r="E869">
        <v>28351639</v>
      </c>
      <c r="F869">
        <v>70363704</v>
      </c>
      <c r="G869">
        <v>6970656</v>
      </c>
      <c r="H869">
        <v>63389824</v>
      </c>
      <c r="I869">
        <v>0</v>
      </c>
      <c r="J869">
        <v>80.904048299999999</v>
      </c>
      <c r="K869">
        <v>84.685882599999999</v>
      </c>
      <c r="L869">
        <v>29.2999008</v>
      </c>
      <c r="M869">
        <v>43.223295399999998</v>
      </c>
      <c r="N869">
        <v>44.499024599999998</v>
      </c>
      <c r="O869">
        <v>0</v>
      </c>
      <c r="P869">
        <v>205.27600000000001</v>
      </c>
      <c r="Q869">
        <v>59.895000000000003</v>
      </c>
      <c r="R869">
        <v>0</v>
      </c>
      <c r="S869">
        <v>0</v>
      </c>
      <c r="T869">
        <v>0</v>
      </c>
      <c r="U869">
        <v>0</v>
      </c>
      <c r="V869" t="s">
        <v>1030</v>
      </c>
      <c r="W869">
        <v>43399204</v>
      </c>
    </row>
    <row r="870" spans="1:23" x14ac:dyDescent="0.25">
      <c r="A870" t="s">
        <v>1032</v>
      </c>
    </row>
    <row r="871" spans="1:23" x14ac:dyDescent="0.25">
      <c r="A871" t="s">
        <v>310</v>
      </c>
      <c r="B871" t="s">
        <v>1033</v>
      </c>
      <c r="C871" t="s">
        <v>1031</v>
      </c>
      <c r="D871">
        <v>5</v>
      </c>
      <c r="E871">
        <v>0</v>
      </c>
      <c r="F871" t="s">
        <v>1034</v>
      </c>
      <c r="G871" t="s">
        <v>1034</v>
      </c>
      <c r="H871" t="s">
        <v>1034</v>
      </c>
      <c r="I871" t="s">
        <v>1034</v>
      </c>
      <c r="J871" t="s">
        <v>1034</v>
      </c>
      <c r="K871" t="s">
        <v>1034</v>
      </c>
      <c r="L871" t="s">
        <v>1034</v>
      </c>
      <c r="M871" t="s">
        <v>1034</v>
      </c>
      <c r="N871" t="s">
        <v>1034</v>
      </c>
      <c r="O871" t="s">
        <v>1034</v>
      </c>
      <c r="P871" t="s">
        <v>1034</v>
      </c>
      <c r="Q871" t="s">
        <v>1034</v>
      </c>
      <c r="R871" t="s">
        <v>1034</v>
      </c>
      <c r="S871" t="s">
        <v>1034</v>
      </c>
      <c r="T871" t="s">
        <v>1034</v>
      </c>
      <c r="U871" t="s">
        <v>1034</v>
      </c>
      <c r="V871" t="s">
        <v>1034</v>
      </c>
      <c r="W871" t="s">
        <v>1035</v>
      </c>
    </row>
    <row r="872" spans="1:23" x14ac:dyDescent="0.25">
      <c r="A872" t="s">
        <v>313</v>
      </c>
      <c r="B872" t="s">
        <v>1033</v>
      </c>
      <c r="C872" t="s">
        <v>1031</v>
      </c>
      <c r="D872">
        <v>0</v>
      </c>
      <c r="E872">
        <v>180864</v>
      </c>
      <c r="F872">
        <v>97968</v>
      </c>
      <c r="G872">
        <v>1600</v>
      </c>
      <c r="H872">
        <v>95872</v>
      </c>
      <c r="I872">
        <v>0</v>
      </c>
      <c r="J872">
        <v>46.9690777</v>
      </c>
      <c r="K872">
        <v>50.206985899999999</v>
      </c>
      <c r="L872">
        <v>21.317818299999999</v>
      </c>
      <c r="M872">
        <v>30.463516200000001</v>
      </c>
      <c r="N872">
        <v>33.025546300000002</v>
      </c>
      <c r="O872">
        <v>0</v>
      </c>
      <c r="P872">
        <v>1.45</v>
      </c>
      <c r="Q872">
        <v>0.16800000000000001</v>
      </c>
      <c r="R872">
        <v>0</v>
      </c>
      <c r="S872">
        <v>0</v>
      </c>
      <c r="T872">
        <v>0</v>
      </c>
      <c r="U872">
        <v>0</v>
      </c>
      <c r="V872" t="s">
        <v>1030</v>
      </c>
      <c r="W872">
        <v>499660</v>
      </c>
    </row>
    <row r="873" spans="1:23" x14ac:dyDescent="0.25">
      <c r="A873" t="s">
        <v>313</v>
      </c>
      <c r="B873" t="s">
        <v>1033</v>
      </c>
      <c r="C873" t="s">
        <v>1031</v>
      </c>
      <c r="D873">
        <v>1</v>
      </c>
      <c r="E873">
        <v>188056</v>
      </c>
      <c r="F873">
        <v>236288</v>
      </c>
      <c r="G873">
        <v>5792</v>
      </c>
      <c r="H873">
        <v>230000</v>
      </c>
      <c r="I873">
        <v>0</v>
      </c>
      <c r="J873">
        <v>55.3890916</v>
      </c>
      <c r="K873">
        <v>57.808177800000003</v>
      </c>
      <c r="L873">
        <v>23.926094200000001</v>
      </c>
      <c r="M873">
        <v>33.307333499999999</v>
      </c>
      <c r="N873">
        <v>35.302103299999999</v>
      </c>
      <c r="O873">
        <v>0</v>
      </c>
      <c r="P873">
        <v>1.29</v>
      </c>
      <c r="Q873">
        <v>0.184</v>
      </c>
      <c r="R873">
        <v>0</v>
      </c>
      <c r="S873">
        <v>0</v>
      </c>
      <c r="T873">
        <v>0</v>
      </c>
      <c r="U873">
        <v>0</v>
      </c>
      <c r="V873" t="s">
        <v>1030</v>
      </c>
      <c r="W873">
        <v>499660</v>
      </c>
    </row>
    <row r="874" spans="1:23" x14ac:dyDescent="0.25">
      <c r="A874" t="s">
        <v>313</v>
      </c>
      <c r="B874" t="s">
        <v>1033</v>
      </c>
      <c r="C874" t="s">
        <v>1031</v>
      </c>
      <c r="D874">
        <v>2</v>
      </c>
      <c r="E874">
        <v>221582</v>
      </c>
      <c r="F874">
        <v>546592</v>
      </c>
      <c r="G874">
        <v>24064</v>
      </c>
      <c r="H874">
        <v>522032</v>
      </c>
      <c r="I874">
        <v>0</v>
      </c>
      <c r="J874">
        <v>60.194902200000001</v>
      </c>
      <c r="K874">
        <v>62.6789445</v>
      </c>
      <c r="L874">
        <v>25.852046399999999</v>
      </c>
      <c r="M874">
        <v>35.585787699999997</v>
      </c>
      <c r="N874">
        <v>37.235421600000002</v>
      </c>
      <c r="O874">
        <v>0</v>
      </c>
      <c r="P874">
        <v>1.454</v>
      </c>
      <c r="Q874">
        <v>0.28799999999999998</v>
      </c>
      <c r="R874">
        <v>0</v>
      </c>
      <c r="S874">
        <v>0</v>
      </c>
      <c r="T874">
        <v>0</v>
      </c>
      <c r="U874">
        <v>0</v>
      </c>
      <c r="V874" t="s">
        <v>1030</v>
      </c>
      <c r="W874">
        <v>499660</v>
      </c>
    </row>
    <row r="875" spans="1:23" x14ac:dyDescent="0.25">
      <c r="A875" t="s">
        <v>313</v>
      </c>
      <c r="B875" t="s">
        <v>1033</v>
      </c>
      <c r="C875" t="s">
        <v>1031</v>
      </c>
      <c r="D875">
        <v>3</v>
      </c>
      <c r="E875">
        <v>279290</v>
      </c>
      <c r="F875">
        <v>1225496</v>
      </c>
      <c r="G875">
        <v>99848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P875">
        <v>1.8240000000000001</v>
      </c>
      <c r="Q875">
        <v>0.63</v>
      </c>
      <c r="R875">
        <v>0</v>
      </c>
      <c r="S875">
        <v>0</v>
      </c>
      <c r="T875">
        <v>0</v>
      </c>
      <c r="U875">
        <v>0</v>
      </c>
      <c r="V875" t="s">
        <v>1030</v>
      </c>
      <c r="W875">
        <v>499660</v>
      </c>
    </row>
    <row r="876" spans="1:23" x14ac:dyDescent="0.25">
      <c r="A876" t="s">
        <v>1032</v>
      </c>
    </row>
    <row r="877" spans="1:23" x14ac:dyDescent="0.25">
      <c r="A877" t="s">
        <v>313</v>
      </c>
      <c r="B877" t="s">
        <v>1033</v>
      </c>
      <c r="C877" t="s">
        <v>1031</v>
      </c>
      <c r="D877">
        <v>5</v>
      </c>
      <c r="E877">
        <v>0</v>
      </c>
      <c r="F877" t="s">
        <v>1034</v>
      </c>
      <c r="G877" t="s">
        <v>1034</v>
      </c>
      <c r="H877" t="s">
        <v>1034</v>
      </c>
      <c r="I877" t="s">
        <v>1034</v>
      </c>
      <c r="J877" t="s">
        <v>1034</v>
      </c>
      <c r="K877" t="s">
        <v>1034</v>
      </c>
      <c r="L877" t="s">
        <v>1034</v>
      </c>
      <c r="M877" t="s">
        <v>1034</v>
      </c>
      <c r="N877" t="s">
        <v>1034</v>
      </c>
      <c r="O877" t="s">
        <v>1034</v>
      </c>
      <c r="P877" t="s">
        <v>1034</v>
      </c>
      <c r="Q877" t="s">
        <v>1034</v>
      </c>
      <c r="R877" t="s">
        <v>1034</v>
      </c>
      <c r="S877" t="s">
        <v>1034</v>
      </c>
      <c r="T877" t="s">
        <v>1034</v>
      </c>
      <c r="U877" t="s">
        <v>1034</v>
      </c>
      <c r="V877" t="s">
        <v>1034</v>
      </c>
      <c r="W877" t="s">
        <v>1035</v>
      </c>
    </row>
    <row r="878" spans="1:23" x14ac:dyDescent="0.25">
      <c r="A878" t="s">
        <v>316</v>
      </c>
      <c r="B878" t="s">
        <v>1033</v>
      </c>
      <c r="C878" t="s">
        <v>1031</v>
      </c>
      <c r="D878">
        <v>0</v>
      </c>
      <c r="E878">
        <v>24483318</v>
      </c>
      <c r="F878">
        <v>4588744</v>
      </c>
      <c r="G878">
        <v>265272</v>
      </c>
      <c r="H878">
        <v>4320496</v>
      </c>
      <c r="I878">
        <v>0</v>
      </c>
      <c r="J878">
        <v>67.275510199999999</v>
      </c>
      <c r="K878">
        <v>70.862850699999996</v>
      </c>
      <c r="L878">
        <v>28.4214594</v>
      </c>
      <c r="M878">
        <v>40.772260699999997</v>
      </c>
      <c r="N878">
        <v>39.028180499999998</v>
      </c>
      <c r="O878">
        <v>0</v>
      </c>
      <c r="P878">
        <v>171.53100000000001</v>
      </c>
      <c r="Q878">
        <v>27.802</v>
      </c>
      <c r="R878">
        <v>0</v>
      </c>
      <c r="S878">
        <v>0</v>
      </c>
      <c r="T878">
        <v>0</v>
      </c>
      <c r="U878">
        <v>0</v>
      </c>
      <c r="V878" t="s">
        <v>1030</v>
      </c>
      <c r="W878">
        <v>63787119</v>
      </c>
    </row>
    <row r="879" spans="1:23" x14ac:dyDescent="0.25">
      <c r="A879" t="s">
        <v>316</v>
      </c>
      <c r="B879" t="s">
        <v>1033</v>
      </c>
      <c r="C879" t="s">
        <v>1031</v>
      </c>
      <c r="D879">
        <v>1</v>
      </c>
      <c r="E879">
        <v>25272797</v>
      </c>
      <c r="F879">
        <v>9953680</v>
      </c>
      <c r="G879">
        <v>763904</v>
      </c>
      <c r="H879">
        <v>9186880</v>
      </c>
      <c r="I879">
        <v>0</v>
      </c>
      <c r="J879">
        <v>72.542174000000003</v>
      </c>
      <c r="K879">
        <v>76.754673699999998</v>
      </c>
      <c r="L879">
        <v>31.392374400000001</v>
      </c>
      <c r="M879">
        <v>43.981385000000003</v>
      </c>
      <c r="N879">
        <v>42.144190600000002</v>
      </c>
      <c r="O879">
        <v>0</v>
      </c>
      <c r="P879">
        <v>160.35300000000001</v>
      </c>
      <c r="Q879">
        <v>29.071000000000002</v>
      </c>
      <c r="R879">
        <v>0</v>
      </c>
      <c r="S879">
        <v>0</v>
      </c>
      <c r="T879">
        <v>0</v>
      </c>
      <c r="U879">
        <v>0</v>
      </c>
      <c r="V879" t="s">
        <v>1030</v>
      </c>
      <c r="W879">
        <v>63787119</v>
      </c>
    </row>
    <row r="880" spans="1:23" x14ac:dyDescent="0.25">
      <c r="A880" t="s">
        <v>316</v>
      </c>
      <c r="B880" t="s">
        <v>1033</v>
      </c>
      <c r="C880" t="s">
        <v>1031</v>
      </c>
      <c r="D880">
        <v>2</v>
      </c>
      <c r="E880">
        <v>25701878</v>
      </c>
      <c r="F880">
        <v>21687192</v>
      </c>
      <c r="G880">
        <v>3040352</v>
      </c>
      <c r="H880">
        <v>18643864</v>
      </c>
      <c r="I880">
        <v>0</v>
      </c>
      <c r="J880">
        <v>77.384885699999998</v>
      </c>
      <c r="K880">
        <v>80.935910199999995</v>
      </c>
      <c r="L880">
        <v>33.683098200000003</v>
      </c>
      <c r="M880">
        <v>46.725393199999999</v>
      </c>
      <c r="N880">
        <v>44.727265199999998</v>
      </c>
      <c r="O880">
        <v>0</v>
      </c>
      <c r="P880">
        <v>180.392</v>
      </c>
      <c r="Q880">
        <v>47.478999999999999</v>
      </c>
      <c r="R880">
        <v>0</v>
      </c>
      <c r="S880">
        <v>0</v>
      </c>
      <c r="T880">
        <v>0</v>
      </c>
      <c r="U880">
        <v>0</v>
      </c>
      <c r="V880" t="s">
        <v>1030</v>
      </c>
      <c r="W880">
        <v>63787119</v>
      </c>
    </row>
    <row r="881" spans="1:23" x14ac:dyDescent="0.25">
      <c r="A881" t="s">
        <v>316</v>
      </c>
      <c r="B881" t="s">
        <v>1033</v>
      </c>
      <c r="C881" t="s">
        <v>1031</v>
      </c>
      <c r="D881">
        <v>3</v>
      </c>
      <c r="E881">
        <v>28169695</v>
      </c>
      <c r="F881">
        <v>48056192</v>
      </c>
      <c r="G881">
        <v>10429768</v>
      </c>
      <c r="H881">
        <v>37623528</v>
      </c>
      <c r="I881">
        <v>0</v>
      </c>
      <c r="J881">
        <v>80.510354399999997</v>
      </c>
      <c r="K881">
        <v>84.038455299999995</v>
      </c>
      <c r="L881">
        <v>35.678921799999998</v>
      </c>
      <c r="M881">
        <v>48.917583499999999</v>
      </c>
      <c r="N881">
        <v>47.225224300000001</v>
      </c>
      <c r="O881">
        <v>0</v>
      </c>
      <c r="P881">
        <v>213.00299999999999</v>
      </c>
      <c r="Q881">
        <v>71.694000000000003</v>
      </c>
      <c r="R881">
        <v>0</v>
      </c>
      <c r="S881">
        <v>0</v>
      </c>
      <c r="T881">
        <v>0</v>
      </c>
      <c r="U881">
        <v>0</v>
      </c>
      <c r="V881" t="s">
        <v>1030</v>
      </c>
      <c r="W881">
        <v>63787119</v>
      </c>
    </row>
    <row r="882" spans="1:23" x14ac:dyDescent="0.25">
      <c r="A882" t="s">
        <v>1032</v>
      </c>
    </row>
    <row r="883" spans="1:23" x14ac:dyDescent="0.25">
      <c r="A883" t="s">
        <v>316</v>
      </c>
      <c r="B883" t="s">
        <v>1033</v>
      </c>
      <c r="C883" t="s">
        <v>1031</v>
      </c>
      <c r="D883">
        <v>5</v>
      </c>
      <c r="E883">
        <v>0</v>
      </c>
      <c r="F883" t="s">
        <v>1034</v>
      </c>
      <c r="G883" t="s">
        <v>1034</v>
      </c>
      <c r="H883" t="s">
        <v>1034</v>
      </c>
      <c r="I883" t="s">
        <v>1034</v>
      </c>
      <c r="J883" t="s">
        <v>1034</v>
      </c>
      <c r="K883" t="s">
        <v>1034</v>
      </c>
      <c r="L883" t="s">
        <v>1034</v>
      </c>
      <c r="M883" t="s">
        <v>1034</v>
      </c>
      <c r="N883" t="s">
        <v>1034</v>
      </c>
      <c r="O883" t="s">
        <v>1034</v>
      </c>
      <c r="P883" t="s">
        <v>1034</v>
      </c>
      <c r="Q883" t="s">
        <v>1034</v>
      </c>
      <c r="R883" t="s">
        <v>1034</v>
      </c>
      <c r="S883" t="s">
        <v>1034</v>
      </c>
      <c r="T883" t="s">
        <v>1034</v>
      </c>
      <c r="U883" t="s">
        <v>1034</v>
      </c>
      <c r="V883" t="s">
        <v>1034</v>
      </c>
      <c r="W883" t="s">
        <v>1035</v>
      </c>
    </row>
    <row r="884" spans="1:23" x14ac:dyDescent="0.25">
      <c r="A884" t="s">
        <v>319</v>
      </c>
      <c r="B884" t="s">
        <v>1033</v>
      </c>
      <c r="C884" t="s">
        <v>1031</v>
      </c>
      <c r="D884">
        <v>0</v>
      </c>
      <c r="E884">
        <v>953417</v>
      </c>
      <c r="F884">
        <v>343552</v>
      </c>
      <c r="G884">
        <v>6280</v>
      </c>
      <c r="H884">
        <v>336616</v>
      </c>
      <c r="I884">
        <v>0</v>
      </c>
      <c r="J884">
        <v>39.726738400000002</v>
      </c>
      <c r="K884">
        <v>44.547941100000003</v>
      </c>
      <c r="L884">
        <v>17.9074627</v>
      </c>
      <c r="M884">
        <v>30.2878018</v>
      </c>
      <c r="N884">
        <v>29.339244699999998</v>
      </c>
      <c r="O884">
        <v>0</v>
      </c>
      <c r="P884">
        <v>7.5970000000000004</v>
      </c>
      <c r="Q884">
        <v>0.90400000000000003</v>
      </c>
      <c r="R884">
        <v>0</v>
      </c>
      <c r="S884">
        <v>0</v>
      </c>
      <c r="T884">
        <v>0</v>
      </c>
      <c r="U884">
        <v>0</v>
      </c>
      <c r="V884" t="s">
        <v>1030</v>
      </c>
      <c r="W884">
        <v>1995189</v>
      </c>
    </row>
    <row r="885" spans="1:23" x14ac:dyDescent="0.25">
      <c r="A885" t="s">
        <v>319</v>
      </c>
      <c r="B885" t="s">
        <v>1033</v>
      </c>
      <c r="C885" t="s">
        <v>1031</v>
      </c>
      <c r="D885">
        <v>1</v>
      </c>
      <c r="E885">
        <v>1779698</v>
      </c>
      <c r="F885">
        <v>1324120</v>
      </c>
      <c r="G885">
        <v>21480</v>
      </c>
      <c r="H885">
        <v>1301984</v>
      </c>
      <c r="I885">
        <v>0</v>
      </c>
      <c r="J885">
        <v>48.455887099999998</v>
      </c>
      <c r="K885">
        <v>49.678536200000003</v>
      </c>
      <c r="L885">
        <v>22.948182599999999</v>
      </c>
      <c r="M885">
        <v>35.270448100000003</v>
      </c>
      <c r="N885">
        <v>33.848412400000001</v>
      </c>
      <c r="O885">
        <v>0</v>
      </c>
      <c r="P885">
        <v>11.061</v>
      </c>
      <c r="Q885">
        <v>1.61</v>
      </c>
      <c r="R885">
        <v>0</v>
      </c>
      <c r="S885">
        <v>0</v>
      </c>
      <c r="T885">
        <v>0</v>
      </c>
      <c r="U885">
        <v>0</v>
      </c>
      <c r="V885" t="s">
        <v>1030</v>
      </c>
      <c r="W885">
        <v>1995189</v>
      </c>
    </row>
    <row r="886" spans="1:23" x14ac:dyDescent="0.25">
      <c r="A886" t="s">
        <v>319</v>
      </c>
      <c r="B886" t="s">
        <v>1033</v>
      </c>
      <c r="C886" t="s">
        <v>1031</v>
      </c>
      <c r="D886">
        <v>2</v>
      </c>
      <c r="E886">
        <v>2500166</v>
      </c>
      <c r="F886">
        <v>3363192</v>
      </c>
      <c r="G886">
        <v>76936</v>
      </c>
      <c r="H886">
        <v>3285600</v>
      </c>
      <c r="I886">
        <v>0</v>
      </c>
      <c r="J886">
        <v>60.2514927</v>
      </c>
      <c r="K886">
        <v>61.146888799999999</v>
      </c>
      <c r="L886">
        <v>27.905772200000001</v>
      </c>
      <c r="M886">
        <v>41.4384321</v>
      </c>
      <c r="N886">
        <v>40.242355500000002</v>
      </c>
      <c r="O886">
        <v>0</v>
      </c>
      <c r="P886">
        <v>16.809999999999999</v>
      </c>
      <c r="Q886">
        <v>2.181</v>
      </c>
      <c r="R886">
        <v>0</v>
      </c>
      <c r="S886">
        <v>0</v>
      </c>
      <c r="T886">
        <v>0</v>
      </c>
      <c r="U886">
        <v>0</v>
      </c>
      <c r="V886" t="s">
        <v>1030</v>
      </c>
      <c r="W886">
        <v>1995189</v>
      </c>
    </row>
    <row r="887" spans="1:23" x14ac:dyDescent="0.25">
      <c r="A887" t="s">
        <v>319</v>
      </c>
      <c r="B887" t="s">
        <v>1033</v>
      </c>
      <c r="C887" t="s">
        <v>1031</v>
      </c>
      <c r="D887">
        <v>3</v>
      </c>
      <c r="E887">
        <v>2750728</v>
      </c>
      <c r="F887">
        <v>5248488</v>
      </c>
      <c r="G887">
        <v>257352</v>
      </c>
      <c r="H887">
        <v>4990400</v>
      </c>
      <c r="I887">
        <v>0</v>
      </c>
      <c r="J887">
        <v>64.702781700000003</v>
      </c>
      <c r="K887">
        <v>67.478378399999997</v>
      </c>
      <c r="L887">
        <v>29.039956199999999</v>
      </c>
      <c r="M887">
        <v>43.095562899999997</v>
      </c>
      <c r="N887">
        <v>42.042013599999997</v>
      </c>
      <c r="O887">
        <v>0</v>
      </c>
      <c r="P887">
        <v>18.695</v>
      </c>
      <c r="Q887">
        <v>2.8140000000000001</v>
      </c>
      <c r="R887">
        <v>0</v>
      </c>
      <c r="S887">
        <v>0</v>
      </c>
      <c r="T887">
        <v>0</v>
      </c>
      <c r="U887">
        <v>0</v>
      </c>
      <c r="V887" t="s">
        <v>1030</v>
      </c>
      <c r="W887">
        <v>1995189</v>
      </c>
    </row>
    <row r="888" spans="1:23" x14ac:dyDescent="0.25">
      <c r="A888" t="s">
        <v>1032</v>
      </c>
    </row>
    <row r="889" spans="1:23" x14ac:dyDescent="0.25">
      <c r="A889" t="s">
        <v>319</v>
      </c>
      <c r="B889" t="s">
        <v>1033</v>
      </c>
      <c r="C889" t="s">
        <v>1031</v>
      </c>
      <c r="D889">
        <v>5</v>
      </c>
      <c r="E889">
        <v>0</v>
      </c>
      <c r="F889" t="s">
        <v>1034</v>
      </c>
      <c r="G889" t="s">
        <v>1034</v>
      </c>
      <c r="H889" t="s">
        <v>1034</v>
      </c>
      <c r="I889" t="s">
        <v>1034</v>
      </c>
      <c r="J889" t="s">
        <v>1034</v>
      </c>
      <c r="K889" t="s">
        <v>1034</v>
      </c>
      <c r="L889" t="s">
        <v>1034</v>
      </c>
      <c r="M889" t="s">
        <v>1034</v>
      </c>
      <c r="N889" t="s">
        <v>1034</v>
      </c>
      <c r="O889" t="s">
        <v>1034</v>
      </c>
      <c r="P889" t="s">
        <v>1034</v>
      </c>
      <c r="Q889" t="s">
        <v>1034</v>
      </c>
      <c r="R889" t="s">
        <v>1034</v>
      </c>
      <c r="S889" t="s">
        <v>1034</v>
      </c>
      <c r="T889" t="s">
        <v>1034</v>
      </c>
      <c r="U889" t="s">
        <v>1034</v>
      </c>
      <c r="V889" t="s">
        <v>1034</v>
      </c>
      <c r="W889" t="s">
        <v>1035</v>
      </c>
    </row>
    <row r="890" spans="1:23" x14ac:dyDescent="0.25">
      <c r="A890" t="s">
        <v>322</v>
      </c>
      <c r="B890" t="s">
        <v>1033</v>
      </c>
      <c r="C890" t="s">
        <v>1031</v>
      </c>
      <c r="D890">
        <v>0</v>
      </c>
      <c r="E890">
        <v>502997</v>
      </c>
      <c r="F890">
        <v>273544</v>
      </c>
      <c r="G890">
        <v>5288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P890">
        <v>5</v>
      </c>
      <c r="Q890">
        <v>0.47599999999999998</v>
      </c>
      <c r="R890">
        <v>0</v>
      </c>
      <c r="S890">
        <v>0</v>
      </c>
      <c r="T890">
        <v>0</v>
      </c>
      <c r="U890">
        <v>0</v>
      </c>
      <c r="V890" t="s">
        <v>1030</v>
      </c>
      <c r="W890">
        <v>1530552</v>
      </c>
    </row>
    <row r="891" spans="1:23" x14ac:dyDescent="0.25">
      <c r="A891" t="s">
        <v>322</v>
      </c>
      <c r="B891" t="s">
        <v>1033</v>
      </c>
      <c r="C891" t="s">
        <v>1031</v>
      </c>
      <c r="D891">
        <v>1</v>
      </c>
      <c r="E891">
        <v>533224</v>
      </c>
      <c r="F891">
        <v>683080</v>
      </c>
      <c r="G891">
        <v>20640</v>
      </c>
      <c r="H891">
        <v>661928</v>
      </c>
      <c r="I891">
        <v>0</v>
      </c>
      <c r="J891">
        <v>51.5707801</v>
      </c>
      <c r="K891">
        <v>58.4443713</v>
      </c>
      <c r="L891">
        <v>19.9515086</v>
      </c>
      <c r="M891">
        <v>36.902423400000004</v>
      </c>
      <c r="N891">
        <v>36.645406399999999</v>
      </c>
      <c r="O891">
        <v>0</v>
      </c>
      <c r="P891">
        <v>4.6399999999999997</v>
      </c>
      <c r="Q891">
        <v>0.59599999999999997</v>
      </c>
      <c r="R891">
        <v>0</v>
      </c>
      <c r="S891">
        <v>0</v>
      </c>
      <c r="T891">
        <v>0</v>
      </c>
      <c r="U891">
        <v>0</v>
      </c>
      <c r="V891" t="s">
        <v>1030</v>
      </c>
      <c r="W891">
        <v>1530552</v>
      </c>
    </row>
    <row r="892" spans="1:23" x14ac:dyDescent="0.25">
      <c r="A892" t="s">
        <v>322</v>
      </c>
      <c r="B892" t="s">
        <v>1033</v>
      </c>
      <c r="C892" t="s">
        <v>1031</v>
      </c>
      <c r="D892">
        <v>2</v>
      </c>
      <c r="E892">
        <v>748886</v>
      </c>
      <c r="F892">
        <v>1871984</v>
      </c>
      <c r="G892">
        <v>99600</v>
      </c>
      <c r="H892">
        <v>1771872</v>
      </c>
      <c r="I892">
        <v>0</v>
      </c>
      <c r="J892">
        <v>58.057163199999998</v>
      </c>
      <c r="K892">
        <v>61.929736900000002</v>
      </c>
      <c r="L892">
        <v>20.798084500000002</v>
      </c>
      <c r="M892">
        <v>37.6405885</v>
      </c>
      <c r="N892">
        <v>37.442549399999997</v>
      </c>
      <c r="O892">
        <v>0</v>
      </c>
      <c r="P892">
        <v>6.367</v>
      </c>
      <c r="Q892">
        <v>1.2230000000000001</v>
      </c>
      <c r="R892">
        <v>0</v>
      </c>
      <c r="S892">
        <v>0</v>
      </c>
      <c r="T892">
        <v>0</v>
      </c>
      <c r="U892">
        <v>0</v>
      </c>
      <c r="V892" t="s">
        <v>1030</v>
      </c>
      <c r="W892">
        <v>1530552</v>
      </c>
    </row>
    <row r="893" spans="1:23" x14ac:dyDescent="0.25">
      <c r="A893" t="s">
        <v>322</v>
      </c>
      <c r="B893" t="s">
        <v>1033</v>
      </c>
      <c r="C893" t="s">
        <v>1031</v>
      </c>
      <c r="D893">
        <v>3</v>
      </c>
      <c r="E893">
        <v>990179</v>
      </c>
      <c r="F893">
        <v>4302880</v>
      </c>
      <c r="G893">
        <v>434432</v>
      </c>
      <c r="H893">
        <v>3867936</v>
      </c>
      <c r="I893">
        <v>0</v>
      </c>
      <c r="J893">
        <v>59.6374797</v>
      </c>
      <c r="K893">
        <v>63.799921300000001</v>
      </c>
      <c r="L893">
        <v>21.532117499999998</v>
      </c>
      <c r="M893">
        <v>38.500713699999999</v>
      </c>
      <c r="N893">
        <v>38.318427700000001</v>
      </c>
      <c r="O893">
        <v>0</v>
      </c>
      <c r="P893">
        <v>8.4979999999999993</v>
      </c>
      <c r="Q893">
        <v>2.48</v>
      </c>
      <c r="R893">
        <v>0</v>
      </c>
      <c r="S893">
        <v>0</v>
      </c>
      <c r="T893">
        <v>0</v>
      </c>
      <c r="U893">
        <v>0</v>
      </c>
      <c r="V893" t="s">
        <v>1030</v>
      </c>
      <c r="W893">
        <v>1530552</v>
      </c>
    </row>
    <row r="894" spans="1:23" x14ac:dyDescent="0.25">
      <c r="A894" t="s">
        <v>1032</v>
      </c>
    </row>
    <row r="895" spans="1:23" x14ac:dyDescent="0.25">
      <c r="A895" t="s">
        <v>322</v>
      </c>
      <c r="B895" t="s">
        <v>1033</v>
      </c>
      <c r="C895" t="s">
        <v>1031</v>
      </c>
      <c r="D895">
        <v>5</v>
      </c>
      <c r="E895">
        <v>0</v>
      </c>
      <c r="F895" t="s">
        <v>1034</v>
      </c>
      <c r="G895" t="s">
        <v>1034</v>
      </c>
      <c r="H895" t="s">
        <v>1034</v>
      </c>
      <c r="I895" t="s">
        <v>1034</v>
      </c>
      <c r="J895" t="s">
        <v>1034</v>
      </c>
      <c r="K895" t="s">
        <v>1034</v>
      </c>
      <c r="L895" t="s">
        <v>1034</v>
      </c>
      <c r="M895" t="s">
        <v>1034</v>
      </c>
      <c r="N895" t="s">
        <v>1034</v>
      </c>
      <c r="O895" t="s">
        <v>1034</v>
      </c>
      <c r="P895" t="s">
        <v>1034</v>
      </c>
      <c r="Q895" t="s">
        <v>1034</v>
      </c>
      <c r="R895" t="s">
        <v>1034</v>
      </c>
      <c r="S895" t="s">
        <v>1034</v>
      </c>
      <c r="T895" t="s">
        <v>1034</v>
      </c>
      <c r="U895" t="s">
        <v>1034</v>
      </c>
      <c r="V895" t="s">
        <v>1034</v>
      </c>
      <c r="W895" t="s">
        <v>1035</v>
      </c>
    </row>
    <row r="896" spans="1:23" x14ac:dyDescent="0.25">
      <c r="A896" t="s">
        <v>326</v>
      </c>
      <c r="B896" t="s">
        <v>1033</v>
      </c>
      <c r="C896" t="s">
        <v>1031</v>
      </c>
      <c r="D896">
        <v>0</v>
      </c>
      <c r="E896">
        <v>587614</v>
      </c>
      <c r="F896">
        <v>58424</v>
      </c>
      <c r="G896">
        <v>4664</v>
      </c>
      <c r="H896">
        <v>53248</v>
      </c>
      <c r="I896">
        <v>0</v>
      </c>
      <c r="J896">
        <v>51.5627925</v>
      </c>
      <c r="K896">
        <v>53.869493400000003</v>
      </c>
      <c r="L896">
        <v>29.483657699999998</v>
      </c>
      <c r="M896">
        <v>41.079157299999999</v>
      </c>
      <c r="N896">
        <v>42.276691300000003</v>
      </c>
      <c r="O896">
        <v>0</v>
      </c>
      <c r="P896">
        <v>2.173</v>
      </c>
      <c r="Q896">
        <v>0.56699999999999995</v>
      </c>
      <c r="R896">
        <v>0</v>
      </c>
      <c r="S896">
        <v>0</v>
      </c>
      <c r="T896">
        <v>0</v>
      </c>
      <c r="U896">
        <v>0</v>
      </c>
      <c r="V896" t="s">
        <v>1030</v>
      </c>
      <c r="W896">
        <v>272689</v>
      </c>
    </row>
    <row r="897" spans="1:23" x14ac:dyDescent="0.25">
      <c r="A897" t="s">
        <v>326</v>
      </c>
      <c r="B897" t="s">
        <v>1033</v>
      </c>
      <c r="C897" t="s">
        <v>1031</v>
      </c>
      <c r="D897">
        <v>1</v>
      </c>
      <c r="E897">
        <v>579136</v>
      </c>
      <c r="F897">
        <v>138400</v>
      </c>
      <c r="G897">
        <v>15416</v>
      </c>
      <c r="H897">
        <v>122472</v>
      </c>
      <c r="I897">
        <v>0</v>
      </c>
      <c r="J897">
        <v>56.907617199999997</v>
      </c>
      <c r="K897">
        <v>59.135485199999998</v>
      </c>
      <c r="L897">
        <v>32.0327737</v>
      </c>
      <c r="M897">
        <v>42.5268698</v>
      </c>
      <c r="N897">
        <v>43.6819129</v>
      </c>
      <c r="O897">
        <v>0</v>
      </c>
      <c r="P897">
        <v>2.1469999999999998</v>
      </c>
      <c r="Q897">
        <v>0.60899999999999999</v>
      </c>
      <c r="R897">
        <v>0</v>
      </c>
      <c r="S897">
        <v>0</v>
      </c>
      <c r="T897">
        <v>0</v>
      </c>
      <c r="U897">
        <v>0</v>
      </c>
      <c r="V897" t="s">
        <v>1030</v>
      </c>
      <c r="W897">
        <v>272689</v>
      </c>
    </row>
    <row r="898" spans="1:23" x14ac:dyDescent="0.25">
      <c r="A898" t="s">
        <v>326</v>
      </c>
      <c r="B898" t="s">
        <v>1033</v>
      </c>
      <c r="C898" t="s">
        <v>1031</v>
      </c>
      <c r="D898">
        <v>2</v>
      </c>
      <c r="E898">
        <v>701677</v>
      </c>
      <c r="F898">
        <v>373208</v>
      </c>
      <c r="G898">
        <v>66280</v>
      </c>
      <c r="H898">
        <v>306416</v>
      </c>
      <c r="I898">
        <v>0</v>
      </c>
      <c r="J898">
        <v>58.2802948</v>
      </c>
      <c r="K898">
        <v>61.263579999999997</v>
      </c>
      <c r="L898">
        <v>33.288105000000002</v>
      </c>
      <c r="M898">
        <v>45.033077300000002</v>
      </c>
      <c r="N898">
        <v>45.895266100000001</v>
      </c>
      <c r="O898">
        <v>0</v>
      </c>
      <c r="P898">
        <v>2.6840000000000002</v>
      </c>
      <c r="Q898">
        <v>0.94299999999999995</v>
      </c>
      <c r="R898">
        <v>0</v>
      </c>
      <c r="S898">
        <v>0</v>
      </c>
      <c r="T898">
        <v>0</v>
      </c>
      <c r="U898">
        <v>0</v>
      </c>
      <c r="V898" t="s">
        <v>1030</v>
      </c>
      <c r="W898">
        <v>272689</v>
      </c>
    </row>
    <row r="899" spans="1:23" x14ac:dyDescent="0.25">
      <c r="A899" t="s">
        <v>326</v>
      </c>
      <c r="B899" t="s">
        <v>1033</v>
      </c>
      <c r="C899" t="s">
        <v>1031</v>
      </c>
      <c r="D899">
        <v>3</v>
      </c>
      <c r="E899">
        <v>907514</v>
      </c>
      <c r="F899">
        <v>1013552</v>
      </c>
      <c r="G899">
        <v>285336</v>
      </c>
      <c r="H899">
        <v>727704</v>
      </c>
      <c r="I899">
        <v>0</v>
      </c>
      <c r="J899">
        <v>58.552081200000003</v>
      </c>
      <c r="K899">
        <v>61.470979100000001</v>
      </c>
      <c r="L899">
        <v>34.119345299999999</v>
      </c>
      <c r="M899">
        <v>46.181816400000002</v>
      </c>
      <c r="N899">
        <v>47.257723499999997</v>
      </c>
      <c r="O899">
        <v>0</v>
      </c>
      <c r="P899">
        <v>3.9710000000000001</v>
      </c>
      <c r="Q899">
        <v>1.788</v>
      </c>
      <c r="R899">
        <v>0</v>
      </c>
      <c r="S899">
        <v>0</v>
      </c>
      <c r="T899">
        <v>0</v>
      </c>
      <c r="U899">
        <v>0</v>
      </c>
      <c r="V899" t="s">
        <v>1030</v>
      </c>
      <c r="W899">
        <v>272689</v>
      </c>
    </row>
    <row r="900" spans="1:23" x14ac:dyDescent="0.25">
      <c r="A900" t="s">
        <v>1032</v>
      </c>
    </row>
    <row r="901" spans="1:23" x14ac:dyDescent="0.25">
      <c r="A901" t="s">
        <v>326</v>
      </c>
      <c r="B901" t="s">
        <v>1033</v>
      </c>
      <c r="C901" t="s">
        <v>1031</v>
      </c>
      <c r="D901">
        <v>5</v>
      </c>
      <c r="E901">
        <v>0</v>
      </c>
      <c r="F901" t="s">
        <v>1034</v>
      </c>
      <c r="G901" t="s">
        <v>1034</v>
      </c>
      <c r="H901" t="s">
        <v>1034</v>
      </c>
      <c r="I901" t="s">
        <v>1034</v>
      </c>
      <c r="J901" t="s">
        <v>1034</v>
      </c>
      <c r="K901" t="s">
        <v>1034</v>
      </c>
      <c r="L901" t="s">
        <v>1034</v>
      </c>
      <c r="M901" t="s">
        <v>1034</v>
      </c>
      <c r="N901" t="s">
        <v>1034</v>
      </c>
      <c r="O901" t="s">
        <v>1034</v>
      </c>
      <c r="P901" t="s">
        <v>1034</v>
      </c>
      <c r="Q901" t="s">
        <v>1034</v>
      </c>
      <c r="R901" t="s">
        <v>1034</v>
      </c>
      <c r="S901" t="s">
        <v>1034</v>
      </c>
      <c r="T901" t="s">
        <v>1034</v>
      </c>
      <c r="U901" t="s">
        <v>1034</v>
      </c>
      <c r="V901" t="s">
        <v>1034</v>
      </c>
      <c r="W901" t="s">
        <v>1035</v>
      </c>
    </row>
    <row r="902" spans="1:23" x14ac:dyDescent="0.25">
      <c r="A902" t="s">
        <v>329</v>
      </c>
      <c r="B902" t="s">
        <v>1033</v>
      </c>
      <c r="C902" t="s">
        <v>1031</v>
      </c>
      <c r="D902">
        <v>0</v>
      </c>
      <c r="E902">
        <v>1472886</v>
      </c>
      <c r="F902">
        <v>536448</v>
      </c>
      <c r="G902">
        <v>8848</v>
      </c>
      <c r="H902">
        <v>526928</v>
      </c>
      <c r="I902">
        <v>0</v>
      </c>
      <c r="J902">
        <v>49.829944099999999</v>
      </c>
      <c r="K902">
        <v>51.444852400000002</v>
      </c>
      <c r="L902">
        <v>20.133431600000002</v>
      </c>
      <c r="M902">
        <v>37.706077999999998</v>
      </c>
      <c r="N902">
        <v>36.717527199999999</v>
      </c>
      <c r="O902">
        <v>0</v>
      </c>
      <c r="P902">
        <v>10.557</v>
      </c>
      <c r="Q902">
        <v>2.863</v>
      </c>
      <c r="R902">
        <v>0</v>
      </c>
      <c r="S902">
        <v>0</v>
      </c>
      <c r="T902">
        <v>0</v>
      </c>
      <c r="U902">
        <v>0</v>
      </c>
      <c r="V902" t="s">
        <v>1030</v>
      </c>
      <c r="W902">
        <v>1602990</v>
      </c>
    </row>
    <row r="903" spans="1:23" x14ac:dyDescent="0.25">
      <c r="A903" t="s">
        <v>329</v>
      </c>
      <c r="B903" t="s">
        <v>1033</v>
      </c>
      <c r="C903" t="s">
        <v>1031</v>
      </c>
      <c r="D903">
        <v>1</v>
      </c>
      <c r="E903">
        <v>1634383</v>
      </c>
      <c r="F903">
        <v>1366032</v>
      </c>
      <c r="G903">
        <v>33312</v>
      </c>
      <c r="H903">
        <v>1332048</v>
      </c>
      <c r="I903">
        <v>0</v>
      </c>
      <c r="J903">
        <v>58.6125902</v>
      </c>
      <c r="K903">
        <v>61.657561899999997</v>
      </c>
      <c r="L903">
        <v>25.733671699999999</v>
      </c>
      <c r="M903">
        <v>40.779609000000001</v>
      </c>
      <c r="N903">
        <v>39.259905099999997</v>
      </c>
      <c r="O903">
        <v>0</v>
      </c>
      <c r="P903">
        <v>9.48</v>
      </c>
      <c r="Q903">
        <v>1.306</v>
      </c>
      <c r="R903">
        <v>0</v>
      </c>
      <c r="S903">
        <v>0</v>
      </c>
      <c r="T903">
        <v>0</v>
      </c>
      <c r="U903">
        <v>0</v>
      </c>
      <c r="V903" t="s">
        <v>1030</v>
      </c>
      <c r="W903">
        <v>1602990</v>
      </c>
    </row>
    <row r="904" spans="1:23" x14ac:dyDescent="0.25">
      <c r="A904" t="s">
        <v>329</v>
      </c>
      <c r="B904" t="s">
        <v>1033</v>
      </c>
      <c r="C904" t="s">
        <v>1031</v>
      </c>
      <c r="D904">
        <v>2</v>
      </c>
      <c r="E904">
        <v>1692286</v>
      </c>
      <c r="F904">
        <v>2662008</v>
      </c>
      <c r="G904">
        <v>129760</v>
      </c>
      <c r="H904">
        <v>2531576</v>
      </c>
      <c r="I904">
        <v>0</v>
      </c>
      <c r="J904">
        <v>64.325395599999993</v>
      </c>
      <c r="K904">
        <v>67.850334900000007</v>
      </c>
      <c r="L904">
        <v>28.4332116</v>
      </c>
      <c r="M904">
        <v>43.0790632</v>
      </c>
      <c r="N904">
        <v>40.949229899999999</v>
      </c>
      <c r="O904">
        <v>0</v>
      </c>
      <c r="P904">
        <v>9.6639999999999997</v>
      </c>
      <c r="Q904">
        <v>1.587</v>
      </c>
      <c r="R904">
        <v>0</v>
      </c>
      <c r="S904">
        <v>0</v>
      </c>
      <c r="T904">
        <v>0</v>
      </c>
      <c r="U904">
        <v>0</v>
      </c>
      <c r="V904" t="s">
        <v>1030</v>
      </c>
      <c r="W904">
        <v>1602990</v>
      </c>
    </row>
    <row r="905" spans="1:23" x14ac:dyDescent="0.25">
      <c r="A905" t="s">
        <v>329</v>
      </c>
      <c r="B905" t="s">
        <v>1033</v>
      </c>
      <c r="C905" t="s">
        <v>1031</v>
      </c>
      <c r="D905">
        <v>3</v>
      </c>
      <c r="E905">
        <v>2179565</v>
      </c>
      <c r="F905">
        <v>5816688</v>
      </c>
      <c r="G905">
        <v>468488</v>
      </c>
      <c r="H905">
        <v>5347528</v>
      </c>
      <c r="I905">
        <v>0</v>
      </c>
      <c r="J905">
        <v>68.743561400000004</v>
      </c>
      <c r="K905">
        <v>71.651416900000001</v>
      </c>
      <c r="L905">
        <v>30.355022999999999</v>
      </c>
      <c r="M905">
        <v>45.860929300000002</v>
      </c>
      <c r="N905">
        <v>43.4889352</v>
      </c>
      <c r="O905">
        <v>0</v>
      </c>
      <c r="P905">
        <v>13.092000000000001</v>
      </c>
      <c r="Q905">
        <v>3.0209999999999999</v>
      </c>
      <c r="R905">
        <v>0</v>
      </c>
      <c r="S905">
        <v>0</v>
      </c>
      <c r="T905">
        <v>0</v>
      </c>
      <c r="U905">
        <v>0</v>
      </c>
      <c r="V905" t="s">
        <v>1030</v>
      </c>
      <c r="W905">
        <v>1602990</v>
      </c>
    </row>
    <row r="906" spans="1:23" x14ac:dyDescent="0.25">
      <c r="A906" t="s">
        <v>1032</v>
      </c>
    </row>
    <row r="907" spans="1:23" x14ac:dyDescent="0.25">
      <c r="A907" t="s">
        <v>329</v>
      </c>
      <c r="B907" t="s">
        <v>1033</v>
      </c>
      <c r="C907" t="s">
        <v>1031</v>
      </c>
      <c r="D907">
        <v>5</v>
      </c>
      <c r="E907">
        <v>0</v>
      </c>
      <c r="F907" t="s">
        <v>1034</v>
      </c>
      <c r="G907" t="s">
        <v>1034</v>
      </c>
      <c r="H907" t="s">
        <v>1034</v>
      </c>
      <c r="I907" t="s">
        <v>1034</v>
      </c>
      <c r="J907" t="s">
        <v>1034</v>
      </c>
      <c r="K907" t="s">
        <v>1034</v>
      </c>
      <c r="L907" t="s">
        <v>1034</v>
      </c>
      <c r="M907" t="s">
        <v>1034</v>
      </c>
      <c r="N907" t="s">
        <v>1034</v>
      </c>
      <c r="O907" t="s">
        <v>1034</v>
      </c>
      <c r="P907" t="s">
        <v>1034</v>
      </c>
      <c r="Q907" t="s">
        <v>1034</v>
      </c>
      <c r="R907" t="s">
        <v>1034</v>
      </c>
      <c r="S907" t="s">
        <v>1034</v>
      </c>
      <c r="T907" t="s">
        <v>1034</v>
      </c>
      <c r="U907" t="s">
        <v>1034</v>
      </c>
      <c r="V907" t="s">
        <v>1034</v>
      </c>
      <c r="W907" t="s">
        <v>1035</v>
      </c>
    </row>
    <row r="908" spans="1:23" x14ac:dyDescent="0.25">
      <c r="A908" t="s">
        <v>332</v>
      </c>
      <c r="B908" t="s">
        <v>1033</v>
      </c>
      <c r="C908" t="s">
        <v>1031</v>
      </c>
      <c r="D908">
        <v>0</v>
      </c>
      <c r="E908">
        <v>8331563</v>
      </c>
      <c r="F908">
        <v>1996096</v>
      </c>
      <c r="G908">
        <v>80032</v>
      </c>
      <c r="H908">
        <v>1914832</v>
      </c>
      <c r="I908">
        <v>0</v>
      </c>
      <c r="J908">
        <v>64.054314500000004</v>
      </c>
      <c r="K908">
        <v>70.582370100000006</v>
      </c>
      <c r="L908">
        <v>24.7129203</v>
      </c>
      <c r="M908">
        <v>40.0323992</v>
      </c>
      <c r="N908">
        <v>41.535104799999999</v>
      </c>
      <c r="O908">
        <v>0</v>
      </c>
      <c r="P908">
        <v>47.93</v>
      </c>
      <c r="Q908">
        <v>10.098000000000001</v>
      </c>
      <c r="R908">
        <v>0</v>
      </c>
      <c r="S908">
        <v>0</v>
      </c>
      <c r="T908">
        <v>0</v>
      </c>
      <c r="U908">
        <v>0</v>
      </c>
      <c r="V908" t="s">
        <v>1030</v>
      </c>
      <c r="W908">
        <v>8929532</v>
      </c>
    </row>
    <row r="909" spans="1:23" x14ac:dyDescent="0.25">
      <c r="A909" t="s">
        <v>332</v>
      </c>
      <c r="B909" t="s">
        <v>1033</v>
      </c>
      <c r="C909" t="s">
        <v>1031</v>
      </c>
      <c r="D909">
        <v>1</v>
      </c>
      <c r="E909">
        <v>8368266</v>
      </c>
      <c r="F909">
        <v>4975936</v>
      </c>
      <c r="G909">
        <v>290048</v>
      </c>
      <c r="H909">
        <v>4684656</v>
      </c>
      <c r="I909">
        <v>0</v>
      </c>
      <c r="J909">
        <v>69.430590100000003</v>
      </c>
      <c r="K909">
        <v>75.726335800000001</v>
      </c>
      <c r="L909">
        <v>27.023900099999999</v>
      </c>
      <c r="M909">
        <v>41.608630900000001</v>
      </c>
      <c r="N909">
        <v>42.865897199999999</v>
      </c>
      <c r="O909">
        <v>0</v>
      </c>
      <c r="P909">
        <v>46.56</v>
      </c>
      <c r="Q909">
        <v>10.878</v>
      </c>
      <c r="R909">
        <v>0</v>
      </c>
      <c r="S909">
        <v>0</v>
      </c>
      <c r="T909">
        <v>0</v>
      </c>
      <c r="U909">
        <v>0</v>
      </c>
      <c r="V909" t="s">
        <v>1030</v>
      </c>
      <c r="W909">
        <v>8929532</v>
      </c>
    </row>
    <row r="910" spans="1:23" x14ac:dyDescent="0.25">
      <c r="A910" t="s">
        <v>332</v>
      </c>
      <c r="B910" t="s">
        <v>1033</v>
      </c>
      <c r="C910" t="s">
        <v>1031</v>
      </c>
      <c r="D910">
        <v>2</v>
      </c>
      <c r="E910">
        <v>8142243</v>
      </c>
      <c r="F910">
        <v>10958160</v>
      </c>
      <c r="G910">
        <v>1312192</v>
      </c>
      <c r="H910">
        <v>9644736</v>
      </c>
      <c r="I910">
        <v>0</v>
      </c>
      <c r="J910">
        <v>75.702578599999995</v>
      </c>
      <c r="K910">
        <v>79.140433000000002</v>
      </c>
      <c r="L910">
        <v>29.025182600000001</v>
      </c>
      <c r="M910">
        <v>43.2578909</v>
      </c>
      <c r="N910">
        <v>44.288826700000001</v>
      </c>
      <c r="O910">
        <v>0</v>
      </c>
      <c r="P910">
        <v>51.372</v>
      </c>
      <c r="Q910">
        <v>12.911</v>
      </c>
      <c r="R910">
        <v>0</v>
      </c>
      <c r="S910">
        <v>0</v>
      </c>
      <c r="T910">
        <v>0</v>
      </c>
      <c r="U910">
        <v>0</v>
      </c>
      <c r="V910" t="s">
        <v>1030</v>
      </c>
      <c r="W910">
        <v>8929532</v>
      </c>
    </row>
    <row r="911" spans="1:23" x14ac:dyDescent="0.25">
      <c r="A911" t="s">
        <v>332</v>
      </c>
      <c r="B911" t="s">
        <v>1033</v>
      </c>
      <c r="C911" t="s">
        <v>1031</v>
      </c>
      <c r="D911">
        <v>3</v>
      </c>
      <c r="E911">
        <v>8687510</v>
      </c>
      <c r="F911">
        <v>25024776</v>
      </c>
      <c r="G911">
        <v>5435592</v>
      </c>
      <c r="H911">
        <v>19587952</v>
      </c>
      <c r="I911">
        <v>0</v>
      </c>
      <c r="J911">
        <v>77.357249400000001</v>
      </c>
      <c r="K911">
        <v>80.610934400000005</v>
      </c>
      <c r="L911">
        <v>30.247304</v>
      </c>
      <c r="M911">
        <v>44.988083000000003</v>
      </c>
      <c r="N911">
        <v>45.776974699999997</v>
      </c>
      <c r="O911">
        <v>0</v>
      </c>
      <c r="P911">
        <v>68.75</v>
      </c>
      <c r="Q911">
        <v>18.428999999999998</v>
      </c>
      <c r="R911">
        <v>0</v>
      </c>
      <c r="S911">
        <v>0</v>
      </c>
      <c r="T911">
        <v>0</v>
      </c>
      <c r="U911">
        <v>0</v>
      </c>
      <c r="V911" t="s">
        <v>1030</v>
      </c>
      <c r="W911">
        <v>8929532</v>
      </c>
    </row>
    <row r="912" spans="1:23" x14ac:dyDescent="0.25">
      <c r="A912" t="s">
        <v>1032</v>
      </c>
    </row>
    <row r="913" spans="1:23" x14ac:dyDescent="0.25">
      <c r="A913" t="s">
        <v>332</v>
      </c>
      <c r="B913" t="s">
        <v>1033</v>
      </c>
      <c r="C913" t="s">
        <v>1031</v>
      </c>
      <c r="D913">
        <v>5</v>
      </c>
      <c r="E913">
        <v>0</v>
      </c>
      <c r="F913" t="s">
        <v>1034</v>
      </c>
      <c r="G913" t="s">
        <v>1034</v>
      </c>
      <c r="H913" t="s">
        <v>1034</v>
      </c>
      <c r="I913" t="s">
        <v>1034</v>
      </c>
      <c r="J913" t="s">
        <v>1034</v>
      </c>
      <c r="K913" t="s">
        <v>1034</v>
      </c>
      <c r="L913" t="s">
        <v>1034</v>
      </c>
      <c r="M913" t="s">
        <v>1034</v>
      </c>
      <c r="N913" t="s">
        <v>1034</v>
      </c>
      <c r="O913" t="s">
        <v>1034</v>
      </c>
      <c r="P913" t="s">
        <v>1034</v>
      </c>
      <c r="Q913" t="s">
        <v>1034</v>
      </c>
      <c r="R913" t="s">
        <v>1034</v>
      </c>
      <c r="S913" t="s">
        <v>1034</v>
      </c>
      <c r="T913" t="s">
        <v>1034</v>
      </c>
      <c r="U913" t="s">
        <v>1034</v>
      </c>
      <c r="V913" t="s">
        <v>1034</v>
      </c>
      <c r="W913" t="s">
        <v>1035</v>
      </c>
    </row>
    <row r="914" spans="1:23" x14ac:dyDescent="0.25">
      <c r="A914" t="s">
        <v>335</v>
      </c>
      <c r="B914" t="s">
        <v>1033</v>
      </c>
      <c r="C914" t="s">
        <v>1031</v>
      </c>
      <c r="D914">
        <v>0</v>
      </c>
      <c r="E914">
        <v>14060180</v>
      </c>
      <c r="F914">
        <v>1544896</v>
      </c>
      <c r="G914">
        <v>98176</v>
      </c>
      <c r="H914">
        <v>1444768</v>
      </c>
      <c r="I914">
        <v>0</v>
      </c>
      <c r="J914">
        <v>68.124311899999995</v>
      </c>
      <c r="K914">
        <v>70.939592700000006</v>
      </c>
      <c r="L914">
        <v>30.318806500000001</v>
      </c>
      <c r="M914">
        <v>43.488492000000001</v>
      </c>
      <c r="N914">
        <v>45.539127000000001</v>
      </c>
      <c r="O914">
        <v>0</v>
      </c>
      <c r="P914">
        <v>81.537999999999997</v>
      </c>
      <c r="Q914">
        <v>15.196</v>
      </c>
      <c r="R914">
        <v>0</v>
      </c>
      <c r="S914">
        <v>0</v>
      </c>
      <c r="T914">
        <v>0</v>
      </c>
      <c r="U914">
        <v>0</v>
      </c>
      <c r="V914" t="s">
        <v>1030</v>
      </c>
      <c r="W914">
        <v>19714629</v>
      </c>
    </row>
    <row r="915" spans="1:23" x14ac:dyDescent="0.25">
      <c r="A915" t="s">
        <v>335</v>
      </c>
      <c r="B915" t="s">
        <v>1033</v>
      </c>
      <c r="C915" t="s">
        <v>1031</v>
      </c>
      <c r="D915">
        <v>1</v>
      </c>
      <c r="E915">
        <v>13818992</v>
      </c>
      <c r="F915">
        <v>4241440</v>
      </c>
      <c r="G915">
        <v>336080</v>
      </c>
      <c r="H915">
        <v>3903408</v>
      </c>
      <c r="I915">
        <v>0</v>
      </c>
      <c r="J915">
        <v>74.471132999999995</v>
      </c>
      <c r="K915">
        <v>76.897411000000005</v>
      </c>
      <c r="L915">
        <v>32.219813100000003</v>
      </c>
      <c r="M915">
        <v>44.533259700000002</v>
      </c>
      <c r="N915">
        <v>46.509392499999997</v>
      </c>
      <c r="O915">
        <v>0</v>
      </c>
      <c r="P915">
        <v>72.108000000000004</v>
      </c>
      <c r="Q915">
        <v>12.871</v>
      </c>
      <c r="R915">
        <v>0</v>
      </c>
      <c r="S915">
        <v>0</v>
      </c>
      <c r="T915">
        <v>0</v>
      </c>
      <c r="U915">
        <v>0</v>
      </c>
      <c r="V915" t="s">
        <v>1030</v>
      </c>
      <c r="W915">
        <v>19714629</v>
      </c>
    </row>
    <row r="916" spans="1:23" x14ac:dyDescent="0.25">
      <c r="A916" t="s">
        <v>335</v>
      </c>
      <c r="B916" t="s">
        <v>1033</v>
      </c>
      <c r="C916" t="s">
        <v>1031</v>
      </c>
      <c r="D916">
        <v>2</v>
      </c>
      <c r="E916">
        <v>14653942</v>
      </c>
      <c r="F916">
        <v>11406336</v>
      </c>
      <c r="G916">
        <v>1314640</v>
      </c>
      <c r="H916">
        <v>10089744</v>
      </c>
      <c r="I916">
        <v>0</v>
      </c>
      <c r="J916">
        <v>79.275107500000004</v>
      </c>
      <c r="K916">
        <v>81.044130600000003</v>
      </c>
      <c r="L916">
        <v>34.276671200000003</v>
      </c>
      <c r="M916">
        <v>45.744917700000002</v>
      </c>
      <c r="N916">
        <v>47.560994600000001</v>
      </c>
      <c r="O916">
        <v>0</v>
      </c>
      <c r="P916">
        <v>77.896000000000001</v>
      </c>
      <c r="Q916">
        <v>18.907</v>
      </c>
      <c r="R916">
        <v>0</v>
      </c>
      <c r="S916">
        <v>0</v>
      </c>
      <c r="T916">
        <v>0</v>
      </c>
      <c r="U916">
        <v>0</v>
      </c>
      <c r="V916" t="s">
        <v>1030</v>
      </c>
      <c r="W916">
        <v>19714629</v>
      </c>
    </row>
    <row r="917" spans="1:23" x14ac:dyDescent="0.25">
      <c r="A917" t="s">
        <v>335</v>
      </c>
      <c r="B917" t="s">
        <v>1033</v>
      </c>
      <c r="C917" t="s">
        <v>1031</v>
      </c>
      <c r="D917">
        <v>3</v>
      </c>
      <c r="E917">
        <v>15310570</v>
      </c>
      <c r="F917">
        <v>27960232</v>
      </c>
      <c r="G917">
        <v>4740656</v>
      </c>
      <c r="H917">
        <v>23217544</v>
      </c>
      <c r="I917">
        <v>0</v>
      </c>
      <c r="J917">
        <v>80.747432799999999</v>
      </c>
      <c r="K917">
        <v>83.198644099999996</v>
      </c>
      <c r="L917">
        <v>36.257960500000003</v>
      </c>
      <c r="M917">
        <v>47.039876399999997</v>
      </c>
      <c r="N917">
        <v>48.611754900000001</v>
      </c>
      <c r="O917">
        <v>0</v>
      </c>
      <c r="P917">
        <v>93.613</v>
      </c>
      <c r="Q917">
        <v>31.623999999999999</v>
      </c>
      <c r="R917">
        <v>0</v>
      </c>
      <c r="S917">
        <v>0</v>
      </c>
      <c r="T917">
        <v>0</v>
      </c>
      <c r="U917">
        <v>0</v>
      </c>
      <c r="V917" t="s">
        <v>1030</v>
      </c>
      <c r="W917">
        <v>19714629</v>
      </c>
    </row>
    <row r="918" spans="1:23" x14ac:dyDescent="0.25">
      <c r="A918" t="s">
        <v>1032</v>
      </c>
    </row>
    <row r="919" spans="1:23" x14ac:dyDescent="0.25">
      <c r="A919" t="s">
        <v>335</v>
      </c>
      <c r="B919" t="s">
        <v>1033</v>
      </c>
      <c r="C919" t="s">
        <v>1031</v>
      </c>
      <c r="D919">
        <v>5</v>
      </c>
      <c r="E919">
        <v>0</v>
      </c>
      <c r="F919" t="s">
        <v>1034</v>
      </c>
      <c r="G919" t="s">
        <v>1034</v>
      </c>
      <c r="H919" t="s">
        <v>1034</v>
      </c>
      <c r="I919" t="s">
        <v>1034</v>
      </c>
      <c r="J919" t="s">
        <v>1034</v>
      </c>
      <c r="K919" t="s">
        <v>1034</v>
      </c>
      <c r="L919" t="s">
        <v>1034</v>
      </c>
      <c r="M919" t="s">
        <v>1034</v>
      </c>
      <c r="N919" t="s">
        <v>1034</v>
      </c>
      <c r="O919" t="s">
        <v>1034</v>
      </c>
      <c r="P919" t="s">
        <v>1034</v>
      </c>
      <c r="Q919" t="s">
        <v>1034</v>
      </c>
      <c r="R919" t="s">
        <v>1034</v>
      </c>
      <c r="S919" t="s">
        <v>1034</v>
      </c>
      <c r="T919" t="s">
        <v>1034</v>
      </c>
      <c r="U919" t="s">
        <v>1034</v>
      </c>
      <c r="V919" t="s">
        <v>1034</v>
      </c>
      <c r="W919" t="s">
        <v>1035</v>
      </c>
    </row>
    <row r="920" spans="1:23" x14ac:dyDescent="0.25">
      <c r="A920" t="s">
        <v>338</v>
      </c>
      <c r="B920" t="s">
        <v>1033</v>
      </c>
      <c r="C920" t="s">
        <v>1031</v>
      </c>
      <c r="D920">
        <v>0</v>
      </c>
      <c r="E920">
        <v>2227791</v>
      </c>
      <c r="F920">
        <v>268952</v>
      </c>
      <c r="G920">
        <v>17288</v>
      </c>
      <c r="H920">
        <v>250752</v>
      </c>
      <c r="I920">
        <v>0</v>
      </c>
      <c r="J920">
        <v>48.708791499999997</v>
      </c>
      <c r="K920">
        <v>49.516698499999997</v>
      </c>
      <c r="L920">
        <v>26.012355700000001</v>
      </c>
      <c r="M920">
        <v>43.044419400000002</v>
      </c>
      <c r="N920">
        <v>46.886698199999998</v>
      </c>
      <c r="O920">
        <v>0</v>
      </c>
      <c r="P920">
        <v>19.664000000000001</v>
      </c>
      <c r="Q920">
        <v>3.5579999999999998</v>
      </c>
      <c r="R920">
        <v>0</v>
      </c>
      <c r="S920">
        <v>0</v>
      </c>
      <c r="T920">
        <v>0</v>
      </c>
      <c r="U920">
        <v>0</v>
      </c>
      <c r="V920" t="s">
        <v>1030</v>
      </c>
      <c r="W920">
        <v>3630907</v>
      </c>
    </row>
    <row r="921" spans="1:23" x14ac:dyDescent="0.25">
      <c r="A921" t="s">
        <v>338</v>
      </c>
      <c r="B921" t="s">
        <v>1033</v>
      </c>
      <c r="C921" t="s">
        <v>1031</v>
      </c>
      <c r="D921">
        <v>1</v>
      </c>
      <c r="E921">
        <v>3098314</v>
      </c>
      <c r="F921">
        <v>845848</v>
      </c>
      <c r="G921">
        <v>54512</v>
      </c>
      <c r="H921">
        <v>790424</v>
      </c>
      <c r="I921">
        <v>0</v>
      </c>
      <c r="J921">
        <v>60.263868700000003</v>
      </c>
      <c r="K921">
        <v>64.144637700000004</v>
      </c>
      <c r="L921">
        <v>30.056657999999999</v>
      </c>
      <c r="M921">
        <v>45.017836500000001</v>
      </c>
      <c r="N921">
        <v>48.166576999999997</v>
      </c>
      <c r="O921">
        <v>0</v>
      </c>
      <c r="P921">
        <v>18.847999999999999</v>
      </c>
      <c r="Q921">
        <v>2.8519999999999999</v>
      </c>
      <c r="R921">
        <v>0</v>
      </c>
      <c r="S921">
        <v>0</v>
      </c>
      <c r="T921">
        <v>0</v>
      </c>
      <c r="U921">
        <v>0</v>
      </c>
      <c r="V921" t="s">
        <v>1030</v>
      </c>
      <c r="W921">
        <v>3630907</v>
      </c>
    </row>
    <row r="922" spans="1:23" x14ac:dyDescent="0.25">
      <c r="A922" t="s">
        <v>338</v>
      </c>
      <c r="B922" t="s">
        <v>1033</v>
      </c>
      <c r="C922" t="s">
        <v>1031</v>
      </c>
      <c r="D922">
        <v>2</v>
      </c>
      <c r="E922">
        <v>3112862</v>
      </c>
      <c r="F922">
        <v>2027192</v>
      </c>
      <c r="G922">
        <v>176000</v>
      </c>
      <c r="H922">
        <v>1850360</v>
      </c>
      <c r="I922">
        <v>0</v>
      </c>
      <c r="J922">
        <v>66.016551899999996</v>
      </c>
      <c r="K922">
        <v>70.581139300000004</v>
      </c>
      <c r="L922">
        <v>32.053269299999997</v>
      </c>
      <c r="M922">
        <v>46.106862800000002</v>
      </c>
      <c r="N922">
        <v>48.711028900000002</v>
      </c>
      <c r="O922">
        <v>0</v>
      </c>
      <c r="P922">
        <v>18.911999999999999</v>
      </c>
      <c r="Q922">
        <v>3.258</v>
      </c>
      <c r="R922">
        <v>0</v>
      </c>
      <c r="S922">
        <v>0</v>
      </c>
      <c r="T922">
        <v>0</v>
      </c>
      <c r="U922">
        <v>0</v>
      </c>
      <c r="V922" t="s">
        <v>1030</v>
      </c>
      <c r="W922">
        <v>3630907</v>
      </c>
    </row>
    <row r="923" spans="1:23" x14ac:dyDescent="0.25">
      <c r="A923" t="s">
        <v>338</v>
      </c>
      <c r="B923" t="s">
        <v>1033</v>
      </c>
      <c r="C923" t="s">
        <v>1031</v>
      </c>
      <c r="D923">
        <v>3</v>
      </c>
      <c r="E923">
        <v>4177308</v>
      </c>
      <c r="F923">
        <v>5739408</v>
      </c>
      <c r="G923">
        <v>615872</v>
      </c>
      <c r="H923">
        <v>5122704</v>
      </c>
      <c r="I923">
        <v>0</v>
      </c>
      <c r="J923">
        <v>69.978666500000003</v>
      </c>
      <c r="K923">
        <v>72.765655300000006</v>
      </c>
      <c r="L923">
        <v>34.055718499999998</v>
      </c>
      <c r="M923">
        <v>47.4668907</v>
      </c>
      <c r="N923">
        <v>49.445519300000001</v>
      </c>
      <c r="O923">
        <v>0</v>
      </c>
      <c r="P923">
        <v>24.167000000000002</v>
      </c>
      <c r="Q923">
        <v>6.383</v>
      </c>
      <c r="R923">
        <v>0</v>
      </c>
      <c r="S923">
        <v>0</v>
      </c>
      <c r="T923">
        <v>0</v>
      </c>
      <c r="U923">
        <v>0</v>
      </c>
      <c r="V923" t="s">
        <v>1030</v>
      </c>
      <c r="W923">
        <v>3630907</v>
      </c>
    </row>
    <row r="924" spans="1:23" x14ac:dyDescent="0.25">
      <c r="A924" t="s">
        <v>1032</v>
      </c>
    </row>
    <row r="925" spans="1:23" x14ac:dyDescent="0.25">
      <c r="A925" t="s">
        <v>338</v>
      </c>
      <c r="B925" t="s">
        <v>1033</v>
      </c>
      <c r="C925" t="s">
        <v>1031</v>
      </c>
      <c r="D925">
        <v>5</v>
      </c>
      <c r="E925">
        <v>0</v>
      </c>
      <c r="F925" t="s">
        <v>1034</v>
      </c>
      <c r="G925" t="s">
        <v>1034</v>
      </c>
      <c r="H925" t="s">
        <v>1034</v>
      </c>
      <c r="I925" t="s">
        <v>1034</v>
      </c>
      <c r="J925" t="s">
        <v>1034</v>
      </c>
      <c r="K925" t="s">
        <v>1034</v>
      </c>
      <c r="L925" t="s">
        <v>1034</v>
      </c>
      <c r="M925" t="s">
        <v>1034</v>
      </c>
      <c r="N925" t="s">
        <v>1034</v>
      </c>
      <c r="O925" t="s">
        <v>1034</v>
      </c>
      <c r="P925" t="s">
        <v>1034</v>
      </c>
      <c r="Q925" t="s">
        <v>1034</v>
      </c>
      <c r="R925" t="s">
        <v>1034</v>
      </c>
      <c r="S925" t="s">
        <v>1034</v>
      </c>
      <c r="T925" t="s">
        <v>1034</v>
      </c>
      <c r="U925" t="s">
        <v>1034</v>
      </c>
      <c r="V925" t="s">
        <v>1034</v>
      </c>
      <c r="W925" t="s">
        <v>1035</v>
      </c>
    </row>
    <row r="926" spans="1:23" x14ac:dyDescent="0.25">
      <c r="A926" t="s">
        <v>341</v>
      </c>
      <c r="B926" t="s">
        <v>1033</v>
      </c>
      <c r="C926" t="s">
        <v>1031</v>
      </c>
      <c r="D926">
        <v>0</v>
      </c>
      <c r="E926">
        <v>16792984</v>
      </c>
      <c r="F926">
        <v>2632472</v>
      </c>
      <c r="G926">
        <v>124992</v>
      </c>
      <c r="H926">
        <v>2505368</v>
      </c>
      <c r="I926">
        <v>0</v>
      </c>
      <c r="J926">
        <v>55.100464299999999</v>
      </c>
      <c r="K926">
        <v>55.723297299999999</v>
      </c>
      <c r="L926">
        <v>24.789859799999999</v>
      </c>
      <c r="M926">
        <v>39.449578899999999</v>
      </c>
      <c r="N926">
        <v>44.625402999999999</v>
      </c>
      <c r="O926">
        <v>0</v>
      </c>
      <c r="P926">
        <v>109.08199999999999</v>
      </c>
      <c r="Q926">
        <v>28.277000000000001</v>
      </c>
      <c r="R926">
        <v>0</v>
      </c>
      <c r="S926">
        <v>0</v>
      </c>
      <c r="T926">
        <v>0</v>
      </c>
      <c r="U926">
        <v>0</v>
      </c>
      <c r="V926" t="s">
        <v>1030</v>
      </c>
      <c r="W926">
        <v>14025709</v>
      </c>
    </row>
    <row r="927" spans="1:23" x14ac:dyDescent="0.25">
      <c r="A927" t="s">
        <v>341</v>
      </c>
      <c r="B927" t="s">
        <v>1033</v>
      </c>
      <c r="C927" t="s">
        <v>1031</v>
      </c>
      <c r="D927">
        <v>1</v>
      </c>
      <c r="E927">
        <v>16324229</v>
      </c>
      <c r="F927">
        <v>7069472</v>
      </c>
      <c r="G927">
        <v>381272</v>
      </c>
      <c r="H927">
        <v>6686248</v>
      </c>
      <c r="I927">
        <v>0</v>
      </c>
      <c r="J927">
        <v>67.698861600000001</v>
      </c>
      <c r="K927">
        <v>70.981409299999996</v>
      </c>
      <c r="L927">
        <v>28.858812400000001</v>
      </c>
      <c r="M927">
        <v>42.541223700000003</v>
      </c>
      <c r="N927">
        <v>47.262454900000002</v>
      </c>
      <c r="O927">
        <v>0</v>
      </c>
      <c r="P927">
        <v>97.811999999999998</v>
      </c>
      <c r="Q927">
        <v>15.032</v>
      </c>
      <c r="R927">
        <v>0</v>
      </c>
      <c r="S927">
        <v>0</v>
      </c>
      <c r="T927">
        <v>0</v>
      </c>
      <c r="U927">
        <v>0</v>
      </c>
      <c r="V927" t="s">
        <v>1030</v>
      </c>
      <c r="W927">
        <v>14025709</v>
      </c>
    </row>
    <row r="928" spans="1:23" x14ac:dyDescent="0.25">
      <c r="A928" t="s">
        <v>341</v>
      </c>
      <c r="B928" t="s">
        <v>1033</v>
      </c>
      <c r="C928" t="s">
        <v>1031</v>
      </c>
      <c r="D928">
        <v>2</v>
      </c>
      <c r="E928">
        <v>13962560</v>
      </c>
      <c r="F928">
        <v>14701816</v>
      </c>
      <c r="G928">
        <v>1323880</v>
      </c>
      <c r="H928">
        <v>13376064</v>
      </c>
      <c r="I928">
        <v>0</v>
      </c>
      <c r="J928">
        <v>71.664823699999999</v>
      </c>
      <c r="K928">
        <v>75.593614599999995</v>
      </c>
      <c r="L928">
        <v>30.350570999999999</v>
      </c>
      <c r="M928">
        <v>44.1672042</v>
      </c>
      <c r="N928">
        <v>48.437579900000003</v>
      </c>
      <c r="O928">
        <v>0</v>
      </c>
      <c r="P928">
        <v>98.319000000000003</v>
      </c>
      <c r="Q928">
        <v>14.401999999999999</v>
      </c>
      <c r="R928">
        <v>0</v>
      </c>
      <c r="S928">
        <v>0</v>
      </c>
      <c r="T928">
        <v>0</v>
      </c>
      <c r="U928">
        <v>0</v>
      </c>
      <c r="V928" t="s">
        <v>1030</v>
      </c>
      <c r="W928">
        <v>14025709</v>
      </c>
    </row>
    <row r="929" spans="1:23" x14ac:dyDescent="0.25">
      <c r="A929" t="s">
        <v>341</v>
      </c>
      <c r="B929" t="s">
        <v>1033</v>
      </c>
      <c r="C929" t="s">
        <v>1031</v>
      </c>
      <c r="D929">
        <v>3</v>
      </c>
      <c r="E929">
        <v>15510026</v>
      </c>
      <c r="F929">
        <v>32809040</v>
      </c>
      <c r="G929">
        <v>4828080</v>
      </c>
      <c r="H929">
        <v>27979088</v>
      </c>
      <c r="I929">
        <v>0</v>
      </c>
      <c r="J929">
        <v>73.465101099999998</v>
      </c>
      <c r="K929">
        <v>77.965103299999996</v>
      </c>
      <c r="L929">
        <v>31.235814600000001</v>
      </c>
      <c r="M929">
        <v>45.967348000000001</v>
      </c>
      <c r="N929">
        <v>49.723210000000002</v>
      </c>
      <c r="O929">
        <v>0</v>
      </c>
      <c r="P929">
        <v>136.11000000000001</v>
      </c>
      <c r="Q929">
        <v>27.61</v>
      </c>
      <c r="R929">
        <v>0</v>
      </c>
      <c r="S929">
        <v>0</v>
      </c>
      <c r="T929">
        <v>0</v>
      </c>
      <c r="U929">
        <v>0</v>
      </c>
      <c r="V929" t="s">
        <v>1030</v>
      </c>
      <c r="W929">
        <v>14025709</v>
      </c>
    </row>
    <row r="930" spans="1:23" x14ac:dyDescent="0.25">
      <c r="A930" t="s">
        <v>1032</v>
      </c>
    </row>
    <row r="931" spans="1:23" x14ac:dyDescent="0.25">
      <c r="A931" t="s">
        <v>341</v>
      </c>
      <c r="B931" t="s">
        <v>1033</v>
      </c>
      <c r="C931" t="s">
        <v>1031</v>
      </c>
      <c r="D931">
        <v>5</v>
      </c>
      <c r="E931">
        <v>0</v>
      </c>
      <c r="F931" t="s">
        <v>1034</v>
      </c>
      <c r="G931" t="s">
        <v>1034</v>
      </c>
      <c r="H931" t="s">
        <v>1034</v>
      </c>
      <c r="I931" t="s">
        <v>1034</v>
      </c>
      <c r="J931" t="s">
        <v>1034</v>
      </c>
      <c r="K931" t="s">
        <v>1034</v>
      </c>
      <c r="L931" t="s">
        <v>1034</v>
      </c>
      <c r="M931" t="s">
        <v>1034</v>
      </c>
      <c r="N931" t="s">
        <v>1034</v>
      </c>
      <c r="O931" t="s">
        <v>1034</v>
      </c>
      <c r="P931" t="s">
        <v>1034</v>
      </c>
      <c r="Q931" t="s">
        <v>1034</v>
      </c>
      <c r="R931" t="s">
        <v>1034</v>
      </c>
      <c r="S931" t="s">
        <v>1034</v>
      </c>
      <c r="T931" t="s">
        <v>1034</v>
      </c>
      <c r="U931" t="s">
        <v>1034</v>
      </c>
      <c r="V931" t="s">
        <v>1034</v>
      </c>
      <c r="W931" t="s">
        <v>1035</v>
      </c>
    </row>
    <row r="932" spans="1:23" x14ac:dyDescent="0.25">
      <c r="A932" t="s">
        <v>344</v>
      </c>
      <c r="B932" t="s">
        <v>1033</v>
      </c>
      <c r="C932" t="s">
        <v>1031</v>
      </c>
      <c r="D932">
        <v>0</v>
      </c>
      <c r="E932">
        <v>2151927</v>
      </c>
      <c r="F932">
        <v>370752</v>
      </c>
      <c r="G932">
        <v>16520</v>
      </c>
      <c r="H932">
        <v>353240</v>
      </c>
      <c r="I932">
        <v>0</v>
      </c>
      <c r="J932">
        <v>50.993274300000003</v>
      </c>
      <c r="K932">
        <v>54.065404399999998</v>
      </c>
      <c r="L932">
        <v>24.078042799999999</v>
      </c>
      <c r="M932">
        <v>38.397964999999999</v>
      </c>
      <c r="N932">
        <v>41.047561299999998</v>
      </c>
      <c r="O932">
        <v>0</v>
      </c>
      <c r="P932">
        <v>19.57</v>
      </c>
      <c r="Q932">
        <v>3.19</v>
      </c>
      <c r="R932">
        <v>0</v>
      </c>
      <c r="S932">
        <v>0</v>
      </c>
      <c r="T932">
        <v>0</v>
      </c>
      <c r="U932">
        <v>0</v>
      </c>
      <c r="V932" t="s">
        <v>1030</v>
      </c>
      <c r="W932">
        <v>5001077</v>
      </c>
    </row>
    <row r="933" spans="1:23" x14ac:dyDescent="0.25">
      <c r="A933" t="s">
        <v>344</v>
      </c>
      <c r="B933" t="s">
        <v>1033</v>
      </c>
      <c r="C933" t="s">
        <v>1031</v>
      </c>
      <c r="D933">
        <v>1</v>
      </c>
      <c r="E933">
        <v>3700372</v>
      </c>
      <c r="F933">
        <v>1383760</v>
      </c>
      <c r="G933">
        <v>47664</v>
      </c>
      <c r="H933">
        <v>1335184</v>
      </c>
      <c r="I933">
        <v>0</v>
      </c>
      <c r="J933">
        <v>62.011363799999998</v>
      </c>
      <c r="K933">
        <v>65.223749100000006</v>
      </c>
      <c r="L933">
        <v>27.730615</v>
      </c>
      <c r="M933">
        <v>40.516727400000001</v>
      </c>
      <c r="N933">
        <v>42.386274200000003</v>
      </c>
      <c r="O933">
        <v>0</v>
      </c>
      <c r="P933">
        <v>21.135999999999999</v>
      </c>
      <c r="Q933">
        <v>3.0870000000000002</v>
      </c>
      <c r="R933">
        <v>0</v>
      </c>
      <c r="S933">
        <v>0</v>
      </c>
      <c r="T933">
        <v>0</v>
      </c>
      <c r="U933">
        <v>0</v>
      </c>
      <c r="V933" t="s">
        <v>1030</v>
      </c>
      <c r="W933">
        <v>5001077</v>
      </c>
    </row>
    <row r="934" spans="1:23" x14ac:dyDescent="0.25">
      <c r="A934" t="s">
        <v>344</v>
      </c>
      <c r="B934" t="s">
        <v>1033</v>
      </c>
      <c r="C934" t="s">
        <v>1031</v>
      </c>
      <c r="D934">
        <v>2</v>
      </c>
      <c r="E934">
        <v>3316233</v>
      </c>
      <c r="F934">
        <v>2989904</v>
      </c>
      <c r="G934">
        <v>167912</v>
      </c>
      <c r="H934">
        <v>2821080</v>
      </c>
      <c r="I934">
        <v>0</v>
      </c>
      <c r="J934">
        <v>66.871473800000004</v>
      </c>
      <c r="K934">
        <v>69.862087000000002</v>
      </c>
      <c r="L934">
        <v>29.449991000000001</v>
      </c>
      <c r="M934">
        <v>42.023685399999998</v>
      </c>
      <c r="N934">
        <v>43.377606100000001</v>
      </c>
      <c r="O934">
        <v>0</v>
      </c>
      <c r="P934">
        <v>21.247</v>
      </c>
      <c r="Q934">
        <v>3.1760000000000002</v>
      </c>
      <c r="R934">
        <v>0</v>
      </c>
      <c r="S934">
        <v>0</v>
      </c>
      <c r="T934">
        <v>0</v>
      </c>
      <c r="U934">
        <v>0</v>
      </c>
      <c r="V934" t="s">
        <v>1030</v>
      </c>
      <c r="W934">
        <v>5001077</v>
      </c>
    </row>
    <row r="935" spans="1:23" x14ac:dyDescent="0.25">
      <c r="A935" t="s">
        <v>344</v>
      </c>
      <c r="B935" t="s">
        <v>1033</v>
      </c>
      <c r="C935" t="s">
        <v>1031</v>
      </c>
      <c r="D935">
        <v>3</v>
      </c>
      <c r="E935">
        <v>4378688</v>
      </c>
      <c r="F935">
        <v>7618784</v>
      </c>
      <c r="G935">
        <v>646552</v>
      </c>
      <c r="H935">
        <v>6971320</v>
      </c>
      <c r="I935">
        <v>0</v>
      </c>
      <c r="J935">
        <v>69.495015199999997</v>
      </c>
      <c r="K935">
        <v>72.316153200000002</v>
      </c>
      <c r="L935">
        <v>30.519293099999999</v>
      </c>
      <c r="M935">
        <v>43.254105199999998</v>
      </c>
      <c r="N935">
        <v>44.535181700000003</v>
      </c>
      <c r="O935">
        <v>0</v>
      </c>
      <c r="P935">
        <v>28.323</v>
      </c>
      <c r="Q935">
        <v>6.6680000000000001</v>
      </c>
      <c r="R935">
        <v>0</v>
      </c>
      <c r="S935">
        <v>0</v>
      </c>
      <c r="T935">
        <v>0</v>
      </c>
      <c r="U935">
        <v>0</v>
      </c>
      <c r="V935" t="s">
        <v>1030</v>
      </c>
      <c r="W935">
        <v>5001077</v>
      </c>
    </row>
    <row r="936" spans="1:23" x14ac:dyDescent="0.25">
      <c r="A936" t="s">
        <v>1032</v>
      </c>
    </row>
    <row r="937" spans="1:23" x14ac:dyDescent="0.25">
      <c r="A937" t="s">
        <v>344</v>
      </c>
      <c r="B937" t="s">
        <v>1033</v>
      </c>
      <c r="C937" t="s">
        <v>1031</v>
      </c>
      <c r="D937">
        <v>5</v>
      </c>
      <c r="E937">
        <v>0</v>
      </c>
      <c r="F937" t="s">
        <v>1034</v>
      </c>
      <c r="G937" t="s">
        <v>1034</v>
      </c>
      <c r="H937" t="s">
        <v>1034</v>
      </c>
      <c r="I937" t="s">
        <v>1034</v>
      </c>
      <c r="J937" t="s">
        <v>1034</v>
      </c>
      <c r="K937" t="s">
        <v>1034</v>
      </c>
      <c r="L937" t="s">
        <v>1034</v>
      </c>
      <c r="M937" t="s">
        <v>1034</v>
      </c>
      <c r="N937" t="s">
        <v>1034</v>
      </c>
      <c r="O937" t="s">
        <v>1034</v>
      </c>
      <c r="P937" t="s">
        <v>1034</v>
      </c>
      <c r="Q937" t="s">
        <v>1034</v>
      </c>
      <c r="R937" t="s">
        <v>1034</v>
      </c>
      <c r="S937" t="s">
        <v>1034</v>
      </c>
      <c r="T937" t="s">
        <v>1034</v>
      </c>
      <c r="U937" t="s">
        <v>1034</v>
      </c>
      <c r="V937" t="s">
        <v>1034</v>
      </c>
      <c r="W937" t="s">
        <v>1035</v>
      </c>
    </row>
    <row r="938" spans="1:23" x14ac:dyDescent="0.25">
      <c r="A938" t="s">
        <v>347</v>
      </c>
      <c r="B938" t="s">
        <v>1033</v>
      </c>
      <c r="C938" t="s">
        <v>1031</v>
      </c>
      <c r="D938">
        <v>0</v>
      </c>
      <c r="E938">
        <v>12558049</v>
      </c>
      <c r="F938">
        <v>3846120</v>
      </c>
      <c r="G938">
        <v>75736</v>
      </c>
      <c r="H938">
        <v>3768032</v>
      </c>
      <c r="I938">
        <v>0</v>
      </c>
      <c r="J938">
        <v>67.502890399999998</v>
      </c>
      <c r="K938">
        <v>72.881238999999994</v>
      </c>
      <c r="L938">
        <v>24.059380399999998</v>
      </c>
      <c r="M938">
        <v>37.990922500000003</v>
      </c>
      <c r="N938">
        <v>39.487600299999997</v>
      </c>
      <c r="O938">
        <v>0</v>
      </c>
      <c r="P938">
        <v>145.12</v>
      </c>
      <c r="Q938">
        <v>10.151999999999999</v>
      </c>
      <c r="R938">
        <v>0</v>
      </c>
      <c r="S938">
        <v>0</v>
      </c>
      <c r="T938">
        <v>0</v>
      </c>
      <c r="U938">
        <v>0</v>
      </c>
      <c r="V938" t="s">
        <v>1030</v>
      </c>
      <c r="W938">
        <v>72145549</v>
      </c>
    </row>
    <row r="939" spans="1:23" x14ac:dyDescent="0.25">
      <c r="A939" t="s">
        <v>347</v>
      </c>
      <c r="B939" t="s">
        <v>1033</v>
      </c>
      <c r="C939" t="s">
        <v>1031</v>
      </c>
      <c r="D939">
        <v>1</v>
      </c>
      <c r="E939">
        <v>12814639</v>
      </c>
      <c r="F939">
        <v>9866560</v>
      </c>
      <c r="G939">
        <v>245800</v>
      </c>
      <c r="H939">
        <v>9618408</v>
      </c>
      <c r="I939">
        <v>0</v>
      </c>
      <c r="J939">
        <v>72.972889300000006</v>
      </c>
      <c r="K939">
        <v>77.572054100000003</v>
      </c>
      <c r="L939">
        <v>25.426195</v>
      </c>
      <c r="M939">
        <v>39.175930999999999</v>
      </c>
      <c r="N939">
        <v>40.979330400000002</v>
      </c>
      <c r="O939">
        <v>0</v>
      </c>
      <c r="P939">
        <v>135.04400000000001</v>
      </c>
      <c r="Q939">
        <v>13.188000000000001</v>
      </c>
      <c r="R939">
        <v>0</v>
      </c>
      <c r="S939">
        <v>0</v>
      </c>
      <c r="T939">
        <v>0</v>
      </c>
      <c r="U939">
        <v>0</v>
      </c>
      <c r="V939" t="s">
        <v>1030</v>
      </c>
      <c r="W939">
        <v>72145549</v>
      </c>
    </row>
    <row r="940" spans="1:23" x14ac:dyDescent="0.25">
      <c r="A940" t="s">
        <v>347</v>
      </c>
      <c r="B940" t="s">
        <v>1033</v>
      </c>
      <c r="C940" t="s">
        <v>1031</v>
      </c>
      <c r="D940">
        <v>2</v>
      </c>
      <c r="E940">
        <v>14349024</v>
      </c>
      <c r="F940">
        <v>24452192</v>
      </c>
      <c r="G940">
        <v>1092760</v>
      </c>
      <c r="H940">
        <v>23357080</v>
      </c>
      <c r="I940">
        <v>0</v>
      </c>
      <c r="J940">
        <v>78.737445300000005</v>
      </c>
      <c r="K940">
        <v>80.626881499999996</v>
      </c>
      <c r="L940">
        <v>26.5794861</v>
      </c>
      <c r="M940">
        <v>40.621979799999998</v>
      </c>
      <c r="N940">
        <v>42.518365199999998</v>
      </c>
      <c r="O940">
        <v>0</v>
      </c>
      <c r="P940">
        <v>129.846</v>
      </c>
      <c r="Q940">
        <v>17.838999999999999</v>
      </c>
      <c r="R940">
        <v>0</v>
      </c>
      <c r="S940">
        <v>0</v>
      </c>
      <c r="T940">
        <v>0</v>
      </c>
      <c r="U940">
        <v>0</v>
      </c>
      <c r="V940" t="s">
        <v>1030</v>
      </c>
      <c r="W940">
        <v>72145549</v>
      </c>
    </row>
    <row r="941" spans="1:23" x14ac:dyDescent="0.25">
      <c r="A941" t="s">
        <v>347</v>
      </c>
      <c r="B941" t="s">
        <v>1033</v>
      </c>
      <c r="C941" t="s">
        <v>1031</v>
      </c>
      <c r="D941">
        <v>3</v>
      </c>
      <c r="E941">
        <v>15198639</v>
      </c>
      <c r="F941">
        <v>49786696</v>
      </c>
      <c r="G941">
        <v>4344256</v>
      </c>
      <c r="H941">
        <v>45440088</v>
      </c>
      <c r="I941">
        <v>0</v>
      </c>
      <c r="J941">
        <v>81.322397499999994</v>
      </c>
      <c r="K941">
        <v>82.667531299999993</v>
      </c>
      <c r="L941">
        <v>27.429962100000001</v>
      </c>
      <c r="M941">
        <v>42.059112599999999</v>
      </c>
      <c r="N941">
        <v>43.9327276</v>
      </c>
      <c r="O941">
        <v>0</v>
      </c>
      <c r="P941">
        <v>152.27699999999999</v>
      </c>
      <c r="Q941">
        <v>31.488</v>
      </c>
      <c r="R941">
        <v>0</v>
      </c>
      <c r="S941">
        <v>0</v>
      </c>
      <c r="T941">
        <v>0</v>
      </c>
      <c r="U941">
        <v>0</v>
      </c>
      <c r="V941" t="s">
        <v>1030</v>
      </c>
      <c r="W941">
        <v>72145549</v>
      </c>
    </row>
    <row r="942" spans="1:23" x14ac:dyDescent="0.25">
      <c r="A942" t="s">
        <v>1032</v>
      </c>
    </row>
    <row r="943" spans="1:23" x14ac:dyDescent="0.25">
      <c r="A943" t="s">
        <v>347</v>
      </c>
      <c r="B943" t="s">
        <v>1033</v>
      </c>
      <c r="C943" t="s">
        <v>1031</v>
      </c>
      <c r="D943">
        <v>5</v>
      </c>
      <c r="E943">
        <v>0</v>
      </c>
      <c r="F943" t="s">
        <v>1034</v>
      </c>
      <c r="G943" t="s">
        <v>1034</v>
      </c>
      <c r="H943" t="s">
        <v>1034</v>
      </c>
      <c r="I943" t="s">
        <v>1034</v>
      </c>
      <c r="J943" t="s">
        <v>1034</v>
      </c>
      <c r="K943" t="s">
        <v>1034</v>
      </c>
      <c r="L943" t="s">
        <v>1034</v>
      </c>
      <c r="M943" t="s">
        <v>1034</v>
      </c>
      <c r="N943" t="s">
        <v>1034</v>
      </c>
      <c r="O943" t="s">
        <v>1034</v>
      </c>
      <c r="P943" t="s">
        <v>1034</v>
      </c>
      <c r="Q943" t="s">
        <v>1034</v>
      </c>
      <c r="R943" t="s">
        <v>1034</v>
      </c>
      <c r="S943" t="s">
        <v>1034</v>
      </c>
      <c r="T943" t="s">
        <v>1034</v>
      </c>
      <c r="U943" t="s">
        <v>1034</v>
      </c>
      <c r="V943" t="s">
        <v>1034</v>
      </c>
      <c r="W943" t="s">
        <v>1035</v>
      </c>
    </row>
    <row r="944" spans="1:23" x14ac:dyDescent="0.25">
      <c r="A944" t="s">
        <v>350</v>
      </c>
      <c r="B944" t="s">
        <v>1033</v>
      </c>
      <c r="C944" t="s">
        <v>1031</v>
      </c>
      <c r="D944">
        <v>0</v>
      </c>
      <c r="E944">
        <v>409775</v>
      </c>
      <c r="F944">
        <v>384920</v>
      </c>
      <c r="G944">
        <v>2880</v>
      </c>
      <c r="H944">
        <v>381528</v>
      </c>
      <c r="I944">
        <v>0</v>
      </c>
      <c r="J944">
        <v>50.359326299999999</v>
      </c>
      <c r="K944">
        <v>55.305697000000002</v>
      </c>
      <c r="L944">
        <v>15.8235359</v>
      </c>
      <c r="M944">
        <v>35.601610200000003</v>
      </c>
      <c r="N944">
        <v>32.7329224</v>
      </c>
      <c r="O944">
        <v>0</v>
      </c>
      <c r="P944">
        <v>8.0760000000000005</v>
      </c>
      <c r="Q944">
        <v>0.374</v>
      </c>
      <c r="R944">
        <v>0</v>
      </c>
      <c r="S944">
        <v>0</v>
      </c>
      <c r="T944">
        <v>0</v>
      </c>
      <c r="U944">
        <v>0</v>
      </c>
      <c r="V944" t="s">
        <v>1030</v>
      </c>
      <c r="W944">
        <v>4203962</v>
      </c>
    </row>
    <row r="945" spans="1:23" x14ac:dyDescent="0.25">
      <c r="A945" t="s">
        <v>350</v>
      </c>
      <c r="B945" t="s">
        <v>1033</v>
      </c>
      <c r="C945" t="s">
        <v>1031</v>
      </c>
      <c r="D945">
        <v>1</v>
      </c>
      <c r="E945">
        <v>497978</v>
      </c>
      <c r="F945">
        <v>992912</v>
      </c>
      <c r="G945">
        <v>13480</v>
      </c>
      <c r="H945">
        <v>978920</v>
      </c>
      <c r="I945">
        <v>0</v>
      </c>
      <c r="J945">
        <v>55.109979299999999</v>
      </c>
      <c r="K945">
        <v>59.144158500000003</v>
      </c>
      <c r="L945">
        <v>16.417218099999999</v>
      </c>
      <c r="M945">
        <v>36.143320699999997</v>
      </c>
      <c r="N945">
        <v>33.331430400000002</v>
      </c>
      <c r="O945">
        <v>0</v>
      </c>
      <c r="P945">
        <v>7.5839999999999996</v>
      </c>
      <c r="Q945">
        <v>0.56000000000000005</v>
      </c>
      <c r="R945">
        <v>0</v>
      </c>
      <c r="S945">
        <v>0</v>
      </c>
      <c r="T945">
        <v>0</v>
      </c>
      <c r="U945">
        <v>0</v>
      </c>
      <c r="V945" t="s">
        <v>1030</v>
      </c>
      <c r="W945">
        <v>4203962</v>
      </c>
    </row>
    <row r="946" spans="1:23" x14ac:dyDescent="0.25">
      <c r="A946" t="s">
        <v>350</v>
      </c>
      <c r="B946" t="s">
        <v>1033</v>
      </c>
      <c r="C946" t="s">
        <v>1031</v>
      </c>
      <c r="D946">
        <v>2</v>
      </c>
      <c r="E946">
        <v>693760</v>
      </c>
      <c r="F946">
        <v>2416104</v>
      </c>
      <c r="G946">
        <v>71312</v>
      </c>
      <c r="H946">
        <v>2344280</v>
      </c>
      <c r="I946">
        <v>0</v>
      </c>
      <c r="J946">
        <v>58.080408599999998</v>
      </c>
      <c r="K946">
        <v>61.284813399999997</v>
      </c>
      <c r="L946">
        <v>16.903275600000001</v>
      </c>
      <c r="M946">
        <v>36.834740099999998</v>
      </c>
      <c r="N946">
        <v>34.128588100000002</v>
      </c>
      <c r="O946">
        <v>0</v>
      </c>
      <c r="P946">
        <v>9.4380000000000006</v>
      </c>
      <c r="Q946">
        <v>1.056</v>
      </c>
      <c r="R946">
        <v>0</v>
      </c>
      <c r="S946">
        <v>0</v>
      </c>
      <c r="T946">
        <v>0</v>
      </c>
      <c r="U946">
        <v>0</v>
      </c>
      <c r="V946" t="s">
        <v>1030</v>
      </c>
      <c r="W946">
        <v>4203962</v>
      </c>
    </row>
    <row r="947" spans="1:23" x14ac:dyDescent="0.25">
      <c r="A947" t="s">
        <v>350</v>
      </c>
      <c r="B947" t="s">
        <v>1033</v>
      </c>
      <c r="C947" t="s">
        <v>1031</v>
      </c>
      <c r="D947">
        <v>3</v>
      </c>
      <c r="E947">
        <v>895917</v>
      </c>
      <c r="F947">
        <v>5049312</v>
      </c>
      <c r="G947">
        <v>320128</v>
      </c>
      <c r="H947">
        <v>4728672</v>
      </c>
      <c r="I947">
        <v>0</v>
      </c>
      <c r="J947">
        <v>60.472808800000003</v>
      </c>
      <c r="K947">
        <v>64.090337700000006</v>
      </c>
      <c r="L947">
        <v>17.628336300000001</v>
      </c>
      <c r="M947">
        <v>37.930191600000001</v>
      </c>
      <c r="N947">
        <v>35.361235499999999</v>
      </c>
      <c r="O947">
        <v>0</v>
      </c>
      <c r="P947">
        <v>9.8369999999999997</v>
      </c>
      <c r="Q947">
        <v>1.8759999999999999</v>
      </c>
      <c r="R947">
        <v>0</v>
      </c>
      <c r="S947">
        <v>0</v>
      </c>
      <c r="T947">
        <v>0</v>
      </c>
      <c r="U947">
        <v>0</v>
      </c>
      <c r="V947" t="s">
        <v>1030</v>
      </c>
      <c r="W947">
        <v>4203962</v>
      </c>
    </row>
    <row r="948" spans="1:23" x14ac:dyDescent="0.25">
      <c r="A948" t="s">
        <v>1032</v>
      </c>
    </row>
    <row r="949" spans="1:23" x14ac:dyDescent="0.25">
      <c r="A949" t="s">
        <v>350</v>
      </c>
      <c r="B949" t="s">
        <v>1033</v>
      </c>
      <c r="C949" t="s">
        <v>1031</v>
      </c>
      <c r="D949">
        <v>5</v>
      </c>
      <c r="E949">
        <v>0</v>
      </c>
      <c r="F949" t="s">
        <v>1034</v>
      </c>
      <c r="G949" t="s">
        <v>1034</v>
      </c>
      <c r="H949" t="s">
        <v>1034</v>
      </c>
      <c r="I949" t="s">
        <v>1034</v>
      </c>
      <c r="J949" t="s">
        <v>1034</v>
      </c>
      <c r="K949" t="s">
        <v>1034</v>
      </c>
      <c r="L949" t="s">
        <v>1034</v>
      </c>
      <c r="M949" t="s">
        <v>1034</v>
      </c>
      <c r="N949" t="s">
        <v>1034</v>
      </c>
      <c r="O949" t="s">
        <v>1034</v>
      </c>
      <c r="P949" t="s">
        <v>1034</v>
      </c>
      <c r="Q949" t="s">
        <v>1034</v>
      </c>
      <c r="R949" t="s">
        <v>1034</v>
      </c>
      <c r="S949" t="s">
        <v>1034</v>
      </c>
      <c r="T949" t="s">
        <v>1034</v>
      </c>
      <c r="U949" t="s">
        <v>1034</v>
      </c>
      <c r="V949" t="s">
        <v>1034</v>
      </c>
      <c r="W949" t="s">
        <v>1035</v>
      </c>
    </row>
    <row r="950" spans="1:23" x14ac:dyDescent="0.25">
      <c r="A950" t="s">
        <v>353</v>
      </c>
      <c r="B950" t="s">
        <v>1033</v>
      </c>
      <c r="C950" t="s">
        <v>1031</v>
      </c>
      <c r="D950">
        <v>0</v>
      </c>
      <c r="E950">
        <v>349357</v>
      </c>
      <c r="F950">
        <v>184536</v>
      </c>
      <c r="G950">
        <v>3104</v>
      </c>
      <c r="H950">
        <v>180840</v>
      </c>
      <c r="I950">
        <v>0</v>
      </c>
      <c r="J950">
        <v>41.808844499999999</v>
      </c>
      <c r="K950">
        <v>46.382413900000003</v>
      </c>
      <c r="L950">
        <v>17.411753399999998</v>
      </c>
      <c r="M950">
        <v>29.463602600000002</v>
      </c>
      <c r="N950">
        <v>32.375095000000002</v>
      </c>
      <c r="O950">
        <v>0</v>
      </c>
      <c r="P950">
        <v>3.8260000000000001</v>
      </c>
      <c r="Q950">
        <v>0.48199999999999998</v>
      </c>
      <c r="R950">
        <v>0</v>
      </c>
      <c r="S950">
        <v>0</v>
      </c>
      <c r="T950">
        <v>0</v>
      </c>
      <c r="U950">
        <v>0</v>
      </c>
      <c r="V950" t="s">
        <v>1030</v>
      </c>
      <c r="W950">
        <v>1010591</v>
      </c>
    </row>
    <row r="951" spans="1:23" x14ac:dyDescent="0.25">
      <c r="A951" t="s">
        <v>353</v>
      </c>
      <c r="B951" t="s">
        <v>1033</v>
      </c>
      <c r="C951" t="s">
        <v>1031</v>
      </c>
      <c r="D951">
        <v>1</v>
      </c>
      <c r="E951">
        <v>1191121</v>
      </c>
      <c r="F951">
        <v>1260208</v>
      </c>
      <c r="G951">
        <v>10728</v>
      </c>
      <c r="H951">
        <v>1248888</v>
      </c>
      <c r="I951">
        <v>0</v>
      </c>
      <c r="J951">
        <v>52.133903099999998</v>
      </c>
      <c r="K951">
        <v>56.576918399999997</v>
      </c>
      <c r="L951">
        <v>21.2486836</v>
      </c>
      <c r="M951">
        <v>33.216641000000003</v>
      </c>
      <c r="N951">
        <v>35.200271000000001</v>
      </c>
      <c r="O951">
        <v>0</v>
      </c>
      <c r="P951">
        <v>6.1859999999999999</v>
      </c>
      <c r="Q951">
        <v>1.9239999999999999</v>
      </c>
      <c r="R951">
        <v>0</v>
      </c>
      <c r="S951">
        <v>0</v>
      </c>
      <c r="T951">
        <v>0</v>
      </c>
      <c r="U951">
        <v>0</v>
      </c>
      <c r="V951" t="s">
        <v>1030</v>
      </c>
      <c r="W951">
        <v>1010591</v>
      </c>
    </row>
    <row r="952" spans="1:23" x14ac:dyDescent="0.25">
      <c r="A952" t="s">
        <v>353</v>
      </c>
      <c r="B952" t="s">
        <v>1033</v>
      </c>
      <c r="C952" t="s">
        <v>1031</v>
      </c>
      <c r="D952">
        <v>2</v>
      </c>
      <c r="E952">
        <v>1390973</v>
      </c>
      <c r="F952">
        <v>2909232</v>
      </c>
      <c r="G952">
        <v>41792</v>
      </c>
      <c r="H952">
        <v>2866848</v>
      </c>
      <c r="I952">
        <v>0</v>
      </c>
      <c r="J952">
        <v>59.060043200000003</v>
      </c>
      <c r="K952">
        <v>61.682374799999998</v>
      </c>
      <c r="L952">
        <v>23.644577699999999</v>
      </c>
      <c r="M952">
        <v>35.927036600000001</v>
      </c>
      <c r="N952">
        <v>37.405248700000001</v>
      </c>
      <c r="O952">
        <v>0</v>
      </c>
      <c r="P952">
        <v>6.383</v>
      </c>
      <c r="Q952">
        <v>1.6919999999999999</v>
      </c>
      <c r="R952">
        <v>0</v>
      </c>
      <c r="S952">
        <v>0</v>
      </c>
      <c r="T952">
        <v>0</v>
      </c>
      <c r="U952">
        <v>0</v>
      </c>
      <c r="V952" t="s">
        <v>1030</v>
      </c>
      <c r="W952">
        <v>1010591</v>
      </c>
    </row>
    <row r="953" spans="1:23" x14ac:dyDescent="0.25">
      <c r="A953" t="s">
        <v>353</v>
      </c>
      <c r="B953" t="s">
        <v>1033</v>
      </c>
      <c r="C953" t="s">
        <v>1031</v>
      </c>
      <c r="D953">
        <v>3</v>
      </c>
      <c r="E953">
        <v>1631629</v>
      </c>
      <c r="F953">
        <v>5802776</v>
      </c>
      <c r="G953">
        <v>162264</v>
      </c>
      <c r="H953">
        <v>5639920</v>
      </c>
      <c r="I953">
        <v>0</v>
      </c>
      <c r="J953">
        <v>63.198995099999998</v>
      </c>
      <c r="K953">
        <v>66.131390600000003</v>
      </c>
      <c r="L953">
        <v>25.134756899999999</v>
      </c>
      <c r="M953">
        <v>38.3744102</v>
      </c>
      <c r="N953">
        <v>39.796758400000002</v>
      </c>
      <c r="O953">
        <v>0</v>
      </c>
      <c r="P953">
        <v>7.1920000000000002</v>
      </c>
      <c r="Q953">
        <v>2.4470000000000001</v>
      </c>
      <c r="R953">
        <v>0</v>
      </c>
      <c r="S953">
        <v>0</v>
      </c>
      <c r="T953">
        <v>0</v>
      </c>
      <c r="U953">
        <v>0</v>
      </c>
      <c r="V953" t="s">
        <v>1030</v>
      </c>
      <c r="W953">
        <v>1010591</v>
      </c>
    </row>
    <row r="954" spans="1:23" x14ac:dyDescent="0.25">
      <c r="A954" t="s">
        <v>1032</v>
      </c>
    </row>
    <row r="955" spans="1:23" x14ac:dyDescent="0.25">
      <c r="A955" t="s">
        <v>353</v>
      </c>
      <c r="B955" t="s">
        <v>1033</v>
      </c>
      <c r="C955" t="s">
        <v>1031</v>
      </c>
      <c r="D955">
        <v>5</v>
      </c>
      <c r="E955">
        <v>0</v>
      </c>
      <c r="F955" t="s">
        <v>1034</v>
      </c>
      <c r="G955" t="s">
        <v>1034</v>
      </c>
      <c r="H955" t="s">
        <v>1034</v>
      </c>
      <c r="I955" t="s">
        <v>1034</v>
      </c>
      <c r="J955" t="s">
        <v>1034</v>
      </c>
      <c r="K955" t="s">
        <v>1034</v>
      </c>
      <c r="L955" t="s">
        <v>1034</v>
      </c>
      <c r="M955" t="s">
        <v>1034</v>
      </c>
      <c r="N955" t="s">
        <v>1034</v>
      </c>
      <c r="O955" t="s">
        <v>1034</v>
      </c>
      <c r="P955" t="s">
        <v>1034</v>
      </c>
      <c r="Q955" t="s">
        <v>1034</v>
      </c>
      <c r="R955" t="s">
        <v>1034</v>
      </c>
      <c r="S955" t="s">
        <v>1034</v>
      </c>
      <c r="T955" t="s">
        <v>1034</v>
      </c>
      <c r="U955" t="s">
        <v>1034</v>
      </c>
      <c r="V955" t="s">
        <v>1034</v>
      </c>
      <c r="W955" t="s">
        <v>1035</v>
      </c>
    </row>
    <row r="956" spans="1:23" x14ac:dyDescent="0.25">
      <c r="A956" t="s">
        <v>356</v>
      </c>
      <c r="B956" t="s">
        <v>1033</v>
      </c>
      <c r="C956" t="s">
        <v>1031</v>
      </c>
      <c r="D956">
        <v>0</v>
      </c>
      <c r="E956">
        <v>22580640</v>
      </c>
      <c r="F956">
        <v>8120880</v>
      </c>
      <c r="G956">
        <v>163736</v>
      </c>
      <c r="H956">
        <v>7954072</v>
      </c>
      <c r="I956">
        <v>0</v>
      </c>
      <c r="J956">
        <v>64.958584900000005</v>
      </c>
      <c r="K956">
        <v>67.074013600000001</v>
      </c>
      <c r="L956">
        <v>22.731438199999999</v>
      </c>
      <c r="M956">
        <v>36.2625618</v>
      </c>
      <c r="N956">
        <v>39.467170500000002</v>
      </c>
      <c r="O956">
        <v>0</v>
      </c>
      <c r="P956">
        <v>153.464</v>
      </c>
      <c r="Q956">
        <v>20.32</v>
      </c>
      <c r="R956">
        <v>0</v>
      </c>
      <c r="S956">
        <v>0</v>
      </c>
      <c r="T956">
        <v>0</v>
      </c>
      <c r="U956">
        <v>0</v>
      </c>
      <c r="V956" t="s">
        <v>1030</v>
      </c>
      <c r="W956">
        <v>47062018</v>
      </c>
    </row>
    <row r="957" spans="1:23" x14ac:dyDescent="0.25">
      <c r="A957" t="s">
        <v>356</v>
      </c>
      <c r="B957" t="s">
        <v>1033</v>
      </c>
      <c r="C957" t="s">
        <v>1031</v>
      </c>
      <c r="D957">
        <v>1</v>
      </c>
      <c r="E957">
        <v>23469349</v>
      </c>
      <c r="F957">
        <v>16950552</v>
      </c>
      <c r="G957">
        <v>521040</v>
      </c>
      <c r="H957">
        <v>16426200</v>
      </c>
      <c r="I957">
        <v>0</v>
      </c>
      <c r="J957">
        <v>71.475352599999994</v>
      </c>
      <c r="K957">
        <v>73.951538999999997</v>
      </c>
      <c r="L957">
        <v>25.367441199999998</v>
      </c>
      <c r="M957">
        <v>38.687678400000003</v>
      </c>
      <c r="N957">
        <v>41.680261899999998</v>
      </c>
      <c r="O957">
        <v>0</v>
      </c>
      <c r="P957">
        <v>143.13800000000001</v>
      </c>
      <c r="Q957">
        <v>20.998999999999999</v>
      </c>
      <c r="R957">
        <v>0</v>
      </c>
      <c r="S957">
        <v>0</v>
      </c>
      <c r="T957">
        <v>0</v>
      </c>
      <c r="U957">
        <v>0</v>
      </c>
      <c r="V957" t="s">
        <v>1030</v>
      </c>
      <c r="W957">
        <v>47062018</v>
      </c>
    </row>
    <row r="958" spans="1:23" x14ac:dyDescent="0.25">
      <c r="A958" t="s">
        <v>356</v>
      </c>
      <c r="B958" t="s">
        <v>1033</v>
      </c>
      <c r="C958" t="s">
        <v>1031</v>
      </c>
      <c r="D958">
        <v>2</v>
      </c>
      <c r="E958">
        <v>23859585</v>
      </c>
      <c r="F958">
        <v>32477528</v>
      </c>
      <c r="G958">
        <v>1711304</v>
      </c>
      <c r="H958">
        <v>30762992</v>
      </c>
      <c r="I958">
        <v>0</v>
      </c>
      <c r="J958">
        <v>78.212803399999999</v>
      </c>
      <c r="K958">
        <v>79.321104700000006</v>
      </c>
      <c r="L958">
        <v>28.005349299999999</v>
      </c>
      <c r="M958">
        <v>41.542626499999997</v>
      </c>
      <c r="N958">
        <v>44.101230000000001</v>
      </c>
      <c r="O958">
        <v>0</v>
      </c>
      <c r="P958">
        <v>145.78800000000001</v>
      </c>
      <c r="Q958">
        <v>25.968</v>
      </c>
      <c r="R958">
        <v>0</v>
      </c>
      <c r="S958">
        <v>0</v>
      </c>
      <c r="T958">
        <v>0</v>
      </c>
      <c r="U958">
        <v>0</v>
      </c>
      <c r="V958" t="s">
        <v>1030</v>
      </c>
      <c r="W958">
        <v>47062018</v>
      </c>
    </row>
    <row r="959" spans="1:23" x14ac:dyDescent="0.25">
      <c r="A959" t="s">
        <v>356</v>
      </c>
      <c r="B959" t="s">
        <v>1033</v>
      </c>
      <c r="C959" t="s">
        <v>1031</v>
      </c>
      <c r="D959">
        <v>3</v>
      </c>
      <c r="E959">
        <v>22981365</v>
      </c>
      <c r="F959">
        <v>56078192</v>
      </c>
      <c r="G959">
        <v>5000712</v>
      </c>
      <c r="H959">
        <v>51074248</v>
      </c>
      <c r="I959">
        <v>0</v>
      </c>
      <c r="J959">
        <v>81.803137899999996</v>
      </c>
      <c r="K959">
        <v>84.474502900000005</v>
      </c>
      <c r="L959">
        <v>29.4883886</v>
      </c>
      <c r="M959">
        <v>43.780985999999999</v>
      </c>
      <c r="N959">
        <v>45.902689600000002</v>
      </c>
      <c r="O959">
        <v>0</v>
      </c>
      <c r="P959">
        <v>163.46299999999999</v>
      </c>
      <c r="Q959">
        <v>41.268000000000001</v>
      </c>
      <c r="R959">
        <v>0</v>
      </c>
      <c r="S959">
        <v>0</v>
      </c>
      <c r="T959">
        <v>0</v>
      </c>
      <c r="U959">
        <v>0</v>
      </c>
      <c r="V959" t="s">
        <v>1030</v>
      </c>
      <c r="W959">
        <v>47062018</v>
      </c>
    </row>
    <row r="960" spans="1:23" x14ac:dyDescent="0.25">
      <c r="A960" t="s">
        <v>1032</v>
      </c>
    </row>
    <row r="961" spans="1:23" x14ac:dyDescent="0.25">
      <c r="A961" t="s">
        <v>356</v>
      </c>
      <c r="B961" t="s">
        <v>1033</v>
      </c>
      <c r="C961" t="s">
        <v>1031</v>
      </c>
      <c r="D961">
        <v>5</v>
      </c>
      <c r="E961">
        <v>0</v>
      </c>
      <c r="F961" t="s">
        <v>1034</v>
      </c>
      <c r="G961" t="s">
        <v>1034</v>
      </c>
      <c r="H961" t="s">
        <v>1034</v>
      </c>
      <c r="I961" t="s">
        <v>1034</v>
      </c>
      <c r="J961" t="s">
        <v>1034</v>
      </c>
      <c r="K961" t="s">
        <v>1034</v>
      </c>
      <c r="L961" t="s">
        <v>1034</v>
      </c>
      <c r="M961" t="s">
        <v>1034</v>
      </c>
      <c r="N961" t="s">
        <v>1034</v>
      </c>
      <c r="O961" t="s">
        <v>1034</v>
      </c>
      <c r="P961" t="s">
        <v>1034</v>
      </c>
      <c r="Q961" t="s">
        <v>1034</v>
      </c>
      <c r="R961" t="s">
        <v>1034</v>
      </c>
      <c r="S961" t="s">
        <v>1034</v>
      </c>
      <c r="T961" t="s">
        <v>1034</v>
      </c>
      <c r="U961" t="s">
        <v>1034</v>
      </c>
      <c r="V961" t="s">
        <v>1034</v>
      </c>
      <c r="W961" t="s">
        <v>1035</v>
      </c>
    </row>
    <row r="962" spans="1:23" x14ac:dyDescent="0.25">
      <c r="A962" t="s">
        <v>359</v>
      </c>
      <c r="B962" t="s">
        <v>1033</v>
      </c>
      <c r="C962" t="s">
        <v>1031</v>
      </c>
      <c r="D962">
        <v>0</v>
      </c>
      <c r="E962">
        <v>26908355</v>
      </c>
      <c r="F962">
        <v>9486016</v>
      </c>
      <c r="G962">
        <v>224448</v>
      </c>
      <c r="H962">
        <v>9258176</v>
      </c>
      <c r="I962">
        <v>0</v>
      </c>
      <c r="J962">
        <v>65.367402600000005</v>
      </c>
      <c r="K962">
        <v>67.325220700000003</v>
      </c>
      <c r="L962">
        <v>23.203959900000001</v>
      </c>
      <c r="M962">
        <v>35.755133999999998</v>
      </c>
      <c r="N962">
        <v>37.263612299999998</v>
      </c>
      <c r="O962">
        <v>0</v>
      </c>
      <c r="P962">
        <v>166.97900000000001</v>
      </c>
      <c r="Q962">
        <v>26.542000000000002</v>
      </c>
      <c r="R962">
        <v>0</v>
      </c>
      <c r="S962">
        <v>0</v>
      </c>
      <c r="T962">
        <v>0</v>
      </c>
      <c r="U962">
        <v>0</v>
      </c>
      <c r="V962" t="s">
        <v>1030</v>
      </c>
      <c r="W962">
        <v>43399207</v>
      </c>
    </row>
    <row r="963" spans="1:23" x14ac:dyDescent="0.25">
      <c r="A963" t="s">
        <v>359</v>
      </c>
      <c r="B963" t="s">
        <v>1033</v>
      </c>
      <c r="C963" t="s">
        <v>1031</v>
      </c>
      <c r="D963">
        <v>1</v>
      </c>
      <c r="E963">
        <v>24267649</v>
      </c>
      <c r="F963">
        <v>17596728</v>
      </c>
      <c r="G963">
        <v>651016</v>
      </c>
      <c r="H963">
        <v>16942400</v>
      </c>
      <c r="I963">
        <v>0</v>
      </c>
      <c r="J963">
        <v>71.591053400000007</v>
      </c>
      <c r="K963">
        <v>74.278454699999998</v>
      </c>
      <c r="L963">
        <v>25.359470999999999</v>
      </c>
      <c r="M963">
        <v>38.068172300000001</v>
      </c>
      <c r="N963">
        <v>39.556527600000003</v>
      </c>
      <c r="O963">
        <v>0</v>
      </c>
      <c r="P963">
        <v>149.41200000000001</v>
      </c>
      <c r="Q963">
        <v>24.59</v>
      </c>
      <c r="R963">
        <v>0</v>
      </c>
      <c r="S963">
        <v>0</v>
      </c>
      <c r="T963">
        <v>0</v>
      </c>
      <c r="U963">
        <v>0</v>
      </c>
      <c r="V963" t="s">
        <v>1030</v>
      </c>
      <c r="W963">
        <v>43399207</v>
      </c>
    </row>
    <row r="964" spans="1:23" x14ac:dyDescent="0.25">
      <c r="A964" t="s">
        <v>359</v>
      </c>
      <c r="B964" t="s">
        <v>1033</v>
      </c>
      <c r="C964" t="s">
        <v>1031</v>
      </c>
      <c r="D964">
        <v>2</v>
      </c>
      <c r="E964">
        <v>23648999</v>
      </c>
      <c r="F964">
        <v>33173032</v>
      </c>
      <c r="G964">
        <v>2247488</v>
      </c>
      <c r="H964">
        <v>30922232</v>
      </c>
      <c r="I964">
        <v>0</v>
      </c>
      <c r="J964">
        <v>77.148806199999996</v>
      </c>
      <c r="K964">
        <v>79.457846900000007</v>
      </c>
      <c r="L964">
        <v>27.550509600000002</v>
      </c>
      <c r="M964">
        <v>40.491797400000003</v>
      </c>
      <c r="N964">
        <v>41.913561700000002</v>
      </c>
      <c r="O964">
        <v>0</v>
      </c>
      <c r="P964">
        <v>162.04900000000001</v>
      </c>
      <c r="Q964">
        <v>31.042000000000002</v>
      </c>
      <c r="R964">
        <v>0</v>
      </c>
      <c r="S964">
        <v>0</v>
      </c>
      <c r="T964">
        <v>0</v>
      </c>
      <c r="U964">
        <v>0</v>
      </c>
      <c r="V964" t="s">
        <v>1030</v>
      </c>
      <c r="W964">
        <v>43399207</v>
      </c>
    </row>
    <row r="965" spans="1:23" x14ac:dyDescent="0.25">
      <c r="A965" t="s">
        <v>359</v>
      </c>
      <c r="B965" t="s">
        <v>1033</v>
      </c>
      <c r="C965" t="s">
        <v>1031</v>
      </c>
      <c r="D965">
        <v>3</v>
      </c>
      <c r="E965">
        <v>28367281</v>
      </c>
      <c r="F965">
        <v>70450304</v>
      </c>
      <c r="G965">
        <v>6978664</v>
      </c>
      <c r="H965">
        <v>63468408</v>
      </c>
      <c r="I965">
        <v>0</v>
      </c>
      <c r="J965">
        <v>80.913527400000007</v>
      </c>
      <c r="K965">
        <v>84.701199000000003</v>
      </c>
      <c r="L965">
        <v>29.2901077</v>
      </c>
      <c r="M965">
        <v>43.220345199999997</v>
      </c>
      <c r="N965">
        <v>44.496513299999997</v>
      </c>
      <c r="O965">
        <v>0</v>
      </c>
      <c r="P965">
        <v>206.31800000000001</v>
      </c>
      <c r="Q965">
        <v>60.192999999999998</v>
      </c>
      <c r="R965">
        <v>0</v>
      </c>
      <c r="S965">
        <v>0</v>
      </c>
      <c r="T965">
        <v>0</v>
      </c>
      <c r="U965">
        <v>0</v>
      </c>
      <c r="V965" t="s">
        <v>1030</v>
      </c>
      <c r="W965">
        <v>43399207</v>
      </c>
    </row>
    <row r="966" spans="1:23" x14ac:dyDescent="0.25">
      <c r="A966" t="s">
        <v>1032</v>
      </c>
    </row>
    <row r="967" spans="1:23" x14ac:dyDescent="0.25">
      <c r="A967" t="s">
        <v>359</v>
      </c>
      <c r="B967" t="s">
        <v>1033</v>
      </c>
      <c r="C967" t="s">
        <v>1031</v>
      </c>
      <c r="D967">
        <v>5</v>
      </c>
      <c r="E967">
        <v>0</v>
      </c>
      <c r="F967" t="s">
        <v>1034</v>
      </c>
      <c r="G967" t="s">
        <v>1034</v>
      </c>
      <c r="H967" t="s">
        <v>1034</v>
      </c>
      <c r="I967" t="s">
        <v>1034</v>
      </c>
      <c r="J967" t="s">
        <v>1034</v>
      </c>
      <c r="K967" t="s">
        <v>1034</v>
      </c>
      <c r="L967" t="s">
        <v>1034</v>
      </c>
      <c r="M967" t="s">
        <v>1034</v>
      </c>
      <c r="N967" t="s">
        <v>1034</v>
      </c>
      <c r="O967" t="s">
        <v>1034</v>
      </c>
      <c r="P967" t="s">
        <v>1034</v>
      </c>
      <c r="Q967" t="s">
        <v>1034</v>
      </c>
      <c r="R967" t="s">
        <v>1034</v>
      </c>
      <c r="S967" t="s">
        <v>1034</v>
      </c>
      <c r="T967" t="s">
        <v>1034</v>
      </c>
      <c r="U967" t="s">
        <v>1034</v>
      </c>
      <c r="V967" t="s">
        <v>1034</v>
      </c>
      <c r="W967" t="s">
        <v>1035</v>
      </c>
    </row>
    <row r="968" spans="1:23" x14ac:dyDescent="0.25">
      <c r="A968" t="s">
        <v>362</v>
      </c>
      <c r="B968" t="s">
        <v>1033</v>
      </c>
      <c r="C968" t="s">
        <v>1031</v>
      </c>
      <c r="D968">
        <v>0</v>
      </c>
      <c r="E968">
        <v>179513</v>
      </c>
      <c r="F968">
        <v>96712</v>
      </c>
      <c r="G968">
        <v>1600</v>
      </c>
      <c r="H968">
        <v>94600</v>
      </c>
      <c r="I968">
        <v>0</v>
      </c>
      <c r="J968">
        <v>46.915517000000001</v>
      </c>
      <c r="K968">
        <v>50.308353500000003</v>
      </c>
      <c r="L968">
        <v>21.272909899999998</v>
      </c>
      <c r="M968">
        <v>30.3780699</v>
      </c>
      <c r="N968">
        <v>33.045393500000003</v>
      </c>
      <c r="O968">
        <v>0</v>
      </c>
      <c r="P968">
        <v>1.427</v>
      </c>
      <c r="Q968">
        <v>0.161</v>
      </c>
      <c r="R968">
        <v>0</v>
      </c>
      <c r="S968">
        <v>0</v>
      </c>
      <c r="T968">
        <v>0</v>
      </c>
      <c r="U968">
        <v>0</v>
      </c>
      <c r="V968" t="s">
        <v>1030</v>
      </c>
      <c r="W968">
        <v>499886</v>
      </c>
    </row>
    <row r="969" spans="1:23" x14ac:dyDescent="0.25">
      <c r="A969" t="s">
        <v>362</v>
      </c>
      <c r="B969" t="s">
        <v>1033</v>
      </c>
      <c r="C969" t="s">
        <v>1031</v>
      </c>
      <c r="D969">
        <v>1</v>
      </c>
      <c r="E969">
        <v>189070</v>
      </c>
      <c r="F969">
        <v>236856</v>
      </c>
      <c r="G969">
        <v>5768</v>
      </c>
      <c r="H969">
        <v>230576</v>
      </c>
      <c r="I969">
        <v>0</v>
      </c>
      <c r="J969">
        <v>55.431299000000003</v>
      </c>
      <c r="K969">
        <v>57.8334051</v>
      </c>
      <c r="L969">
        <v>23.8386745</v>
      </c>
      <c r="M969">
        <v>33.235189900000002</v>
      </c>
      <c r="N969">
        <v>35.238463199999998</v>
      </c>
      <c r="O969">
        <v>0</v>
      </c>
      <c r="P969">
        <v>1.2709999999999999</v>
      </c>
      <c r="Q969">
        <v>0.19500000000000001</v>
      </c>
      <c r="R969">
        <v>0</v>
      </c>
      <c r="S969">
        <v>0</v>
      </c>
      <c r="T969">
        <v>0</v>
      </c>
      <c r="U969">
        <v>0</v>
      </c>
      <c r="V969" t="s">
        <v>1030</v>
      </c>
      <c r="W969">
        <v>499886</v>
      </c>
    </row>
    <row r="970" spans="1:23" x14ac:dyDescent="0.25">
      <c r="A970" t="s">
        <v>362</v>
      </c>
      <c r="B970" t="s">
        <v>1033</v>
      </c>
      <c r="C970" t="s">
        <v>1031</v>
      </c>
      <c r="D970">
        <v>2</v>
      </c>
      <c r="E970">
        <v>221353</v>
      </c>
      <c r="F970">
        <v>548448</v>
      </c>
      <c r="G970">
        <v>24160</v>
      </c>
      <c r="H970">
        <v>523776</v>
      </c>
      <c r="I970">
        <v>0</v>
      </c>
      <c r="J970">
        <v>60.2046098</v>
      </c>
      <c r="K970">
        <v>62.684133799999998</v>
      </c>
      <c r="L970">
        <v>25.791467999999998</v>
      </c>
      <c r="M970">
        <v>35.445369800000002</v>
      </c>
      <c r="N970">
        <v>37.1168385</v>
      </c>
      <c r="O970">
        <v>0</v>
      </c>
      <c r="P970">
        <v>1.4810000000000001</v>
      </c>
      <c r="Q970">
        <v>0.30299999999999999</v>
      </c>
      <c r="R970">
        <v>0</v>
      </c>
      <c r="S970">
        <v>0</v>
      </c>
      <c r="T970">
        <v>0</v>
      </c>
      <c r="U970">
        <v>0</v>
      </c>
      <c r="V970" t="s">
        <v>1030</v>
      </c>
      <c r="W970">
        <v>499886</v>
      </c>
    </row>
    <row r="971" spans="1:23" x14ac:dyDescent="0.25">
      <c r="A971" t="s">
        <v>362</v>
      </c>
      <c r="B971" t="s">
        <v>1033</v>
      </c>
      <c r="C971" t="s">
        <v>1031</v>
      </c>
      <c r="D971">
        <v>3</v>
      </c>
      <c r="E971">
        <v>278948</v>
      </c>
      <c r="F971">
        <v>1227072</v>
      </c>
      <c r="G971">
        <v>100112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P971">
        <v>1.9910000000000001</v>
      </c>
      <c r="Q971">
        <v>0.61899999999999999</v>
      </c>
      <c r="R971">
        <v>0</v>
      </c>
      <c r="S971">
        <v>0</v>
      </c>
      <c r="T971">
        <v>0</v>
      </c>
      <c r="U971">
        <v>0</v>
      </c>
      <c r="V971" t="s">
        <v>1030</v>
      </c>
      <c r="W971">
        <v>499886</v>
      </c>
    </row>
    <row r="972" spans="1:23" x14ac:dyDescent="0.25">
      <c r="A972" t="s">
        <v>1032</v>
      </c>
    </row>
    <row r="973" spans="1:23" x14ac:dyDescent="0.25">
      <c r="A973" t="s">
        <v>362</v>
      </c>
      <c r="B973" t="s">
        <v>1033</v>
      </c>
      <c r="C973" t="s">
        <v>1031</v>
      </c>
      <c r="D973">
        <v>5</v>
      </c>
      <c r="E973">
        <v>0</v>
      </c>
      <c r="F973" t="s">
        <v>1034</v>
      </c>
      <c r="G973" t="s">
        <v>1034</v>
      </c>
      <c r="H973" t="s">
        <v>1034</v>
      </c>
      <c r="I973" t="s">
        <v>1034</v>
      </c>
      <c r="J973" t="s">
        <v>1034</v>
      </c>
      <c r="K973" t="s">
        <v>1034</v>
      </c>
      <c r="L973" t="s">
        <v>1034</v>
      </c>
      <c r="M973" t="s">
        <v>1034</v>
      </c>
      <c r="N973" t="s">
        <v>1034</v>
      </c>
      <c r="O973" t="s">
        <v>1034</v>
      </c>
      <c r="P973" t="s">
        <v>1034</v>
      </c>
      <c r="Q973" t="s">
        <v>1034</v>
      </c>
      <c r="R973" t="s">
        <v>1034</v>
      </c>
      <c r="S973" t="s">
        <v>1034</v>
      </c>
      <c r="T973" t="s">
        <v>1034</v>
      </c>
      <c r="U973" t="s">
        <v>1034</v>
      </c>
      <c r="V973" t="s">
        <v>1034</v>
      </c>
      <c r="W973" t="s">
        <v>1035</v>
      </c>
    </row>
    <row r="974" spans="1:23" x14ac:dyDescent="0.25">
      <c r="A974" t="s">
        <v>365</v>
      </c>
      <c r="B974" t="s">
        <v>1033</v>
      </c>
      <c r="C974" t="s">
        <v>1031</v>
      </c>
      <c r="D974">
        <v>0</v>
      </c>
      <c r="E974">
        <v>24482260</v>
      </c>
      <c r="F974">
        <v>4600408</v>
      </c>
      <c r="G974">
        <v>264768</v>
      </c>
      <c r="H974">
        <v>4332648</v>
      </c>
      <c r="I974">
        <v>0</v>
      </c>
      <c r="J974">
        <v>67.293165599999995</v>
      </c>
      <c r="K974">
        <v>70.843313300000005</v>
      </c>
      <c r="L974">
        <v>28.349098000000001</v>
      </c>
      <c r="M974">
        <v>40.732086500000001</v>
      </c>
      <c r="N974">
        <v>39.0133802</v>
      </c>
      <c r="O974">
        <v>0</v>
      </c>
      <c r="P974">
        <v>177.06200000000001</v>
      </c>
      <c r="Q974">
        <v>29.195</v>
      </c>
      <c r="R974">
        <v>0</v>
      </c>
      <c r="S974">
        <v>0</v>
      </c>
      <c r="T974">
        <v>0</v>
      </c>
      <c r="U974">
        <v>0</v>
      </c>
      <c r="V974" t="s">
        <v>1030</v>
      </c>
      <c r="W974">
        <v>63864641</v>
      </c>
    </row>
    <row r="975" spans="1:23" x14ac:dyDescent="0.25">
      <c r="A975" t="s">
        <v>365</v>
      </c>
      <c r="B975" t="s">
        <v>1033</v>
      </c>
      <c r="C975" t="s">
        <v>1031</v>
      </c>
      <c r="D975">
        <v>1</v>
      </c>
      <c r="E975">
        <v>25275331</v>
      </c>
      <c r="F975">
        <v>9968888</v>
      </c>
      <c r="G975">
        <v>763576</v>
      </c>
      <c r="H975">
        <v>9202400</v>
      </c>
      <c r="I975">
        <v>0</v>
      </c>
      <c r="J975">
        <v>72.549793800000003</v>
      </c>
      <c r="K975">
        <v>76.760713699999997</v>
      </c>
      <c r="L975">
        <v>31.244550499999999</v>
      </c>
      <c r="M975">
        <v>43.901753800000002</v>
      </c>
      <c r="N975">
        <v>42.050425300000001</v>
      </c>
      <c r="O975">
        <v>0</v>
      </c>
      <c r="P975">
        <v>162.209</v>
      </c>
      <c r="Q975">
        <v>29.155000000000001</v>
      </c>
      <c r="R975">
        <v>0</v>
      </c>
      <c r="S975">
        <v>0</v>
      </c>
      <c r="T975">
        <v>0</v>
      </c>
      <c r="U975">
        <v>0</v>
      </c>
      <c r="V975" t="s">
        <v>1030</v>
      </c>
      <c r="W975">
        <v>63864641</v>
      </c>
    </row>
    <row r="976" spans="1:23" x14ac:dyDescent="0.25">
      <c r="A976" t="s">
        <v>365</v>
      </c>
      <c r="B976" t="s">
        <v>1033</v>
      </c>
      <c r="C976" t="s">
        <v>1031</v>
      </c>
      <c r="D976">
        <v>2</v>
      </c>
      <c r="E976">
        <v>25719563</v>
      </c>
      <c r="F976">
        <v>21721496</v>
      </c>
      <c r="G976">
        <v>3041408</v>
      </c>
      <c r="H976">
        <v>18677096</v>
      </c>
      <c r="I976">
        <v>0</v>
      </c>
      <c r="J976">
        <v>77.440397200000007</v>
      </c>
      <c r="K976">
        <v>80.989064600000006</v>
      </c>
      <c r="L976">
        <v>33.457279300000003</v>
      </c>
      <c r="M976">
        <v>46.6195412</v>
      </c>
      <c r="N976">
        <v>44.611514499999998</v>
      </c>
      <c r="O976">
        <v>0</v>
      </c>
      <c r="P976">
        <v>169.86799999999999</v>
      </c>
      <c r="Q976">
        <v>44.743000000000002</v>
      </c>
      <c r="R976">
        <v>0</v>
      </c>
      <c r="S976">
        <v>0</v>
      </c>
      <c r="T976">
        <v>0</v>
      </c>
      <c r="U976">
        <v>0</v>
      </c>
      <c r="V976" t="s">
        <v>1030</v>
      </c>
      <c r="W976">
        <v>63864641</v>
      </c>
    </row>
    <row r="977" spans="1:23" x14ac:dyDescent="0.25">
      <c r="A977" t="s">
        <v>365</v>
      </c>
      <c r="B977" t="s">
        <v>1033</v>
      </c>
      <c r="C977" t="s">
        <v>1031</v>
      </c>
      <c r="D977">
        <v>3</v>
      </c>
      <c r="E977">
        <v>28581019</v>
      </c>
      <c r="F977">
        <v>48483808</v>
      </c>
      <c r="G977">
        <v>10428032</v>
      </c>
      <c r="H977">
        <v>38052864</v>
      </c>
      <c r="I977">
        <v>0</v>
      </c>
      <c r="J977">
        <v>80.639510900000005</v>
      </c>
      <c r="K977">
        <v>84.087719800000002</v>
      </c>
      <c r="L977">
        <v>35.413938399999999</v>
      </c>
      <c r="M977">
        <v>48.855183799999999</v>
      </c>
      <c r="N977">
        <v>46.981489699999997</v>
      </c>
      <c r="O977">
        <v>0</v>
      </c>
      <c r="P977">
        <v>222.94300000000001</v>
      </c>
      <c r="Q977">
        <v>73.724000000000004</v>
      </c>
      <c r="R977">
        <v>0</v>
      </c>
      <c r="S977">
        <v>0</v>
      </c>
      <c r="T977">
        <v>0</v>
      </c>
      <c r="U977">
        <v>0</v>
      </c>
      <c r="V977" t="s">
        <v>1030</v>
      </c>
      <c r="W977">
        <v>63864641</v>
      </c>
    </row>
    <row r="978" spans="1:23" x14ac:dyDescent="0.25">
      <c r="A978" t="s">
        <v>1032</v>
      </c>
    </row>
    <row r="979" spans="1:23" x14ac:dyDescent="0.25">
      <c r="A979" t="s">
        <v>365</v>
      </c>
      <c r="B979" t="s">
        <v>1033</v>
      </c>
      <c r="C979" t="s">
        <v>1031</v>
      </c>
      <c r="D979">
        <v>5</v>
      </c>
      <c r="E979">
        <v>0</v>
      </c>
      <c r="F979" t="s">
        <v>1034</v>
      </c>
      <c r="G979" t="s">
        <v>1034</v>
      </c>
      <c r="H979" t="s">
        <v>1034</v>
      </c>
      <c r="I979" t="s">
        <v>1034</v>
      </c>
      <c r="J979" t="s">
        <v>1034</v>
      </c>
      <c r="K979" t="s">
        <v>1034</v>
      </c>
      <c r="L979" t="s">
        <v>1034</v>
      </c>
      <c r="M979" t="s">
        <v>1034</v>
      </c>
      <c r="N979" t="s">
        <v>1034</v>
      </c>
      <c r="O979" t="s">
        <v>1034</v>
      </c>
      <c r="P979" t="s">
        <v>1034</v>
      </c>
      <c r="Q979" t="s">
        <v>1034</v>
      </c>
      <c r="R979" t="s">
        <v>1034</v>
      </c>
      <c r="S979" t="s">
        <v>1034</v>
      </c>
      <c r="T979" t="s">
        <v>1034</v>
      </c>
      <c r="U979" t="s">
        <v>1034</v>
      </c>
      <c r="V979" t="s">
        <v>1034</v>
      </c>
      <c r="W979" t="s">
        <v>1035</v>
      </c>
    </row>
    <row r="980" spans="1:23" x14ac:dyDescent="0.25">
      <c r="A980" t="s">
        <v>368</v>
      </c>
      <c r="B980" t="s">
        <v>1033</v>
      </c>
      <c r="C980" t="s">
        <v>1031</v>
      </c>
      <c r="D980">
        <v>0</v>
      </c>
      <c r="E980">
        <v>955200</v>
      </c>
      <c r="F980">
        <v>347576</v>
      </c>
      <c r="G980">
        <v>6288</v>
      </c>
      <c r="H980">
        <v>340616</v>
      </c>
      <c r="I980">
        <v>0</v>
      </c>
      <c r="J980">
        <v>39.720366400000003</v>
      </c>
      <c r="K980">
        <v>44.512676200000001</v>
      </c>
      <c r="L980">
        <v>17.8792258</v>
      </c>
      <c r="M980">
        <v>30.338321100000002</v>
      </c>
      <c r="N980">
        <v>29.342950800000001</v>
      </c>
      <c r="O980">
        <v>0</v>
      </c>
      <c r="P980">
        <v>8.2620000000000005</v>
      </c>
      <c r="Q980">
        <v>1.1140000000000001</v>
      </c>
      <c r="R980">
        <v>0</v>
      </c>
      <c r="S980">
        <v>0</v>
      </c>
      <c r="T980">
        <v>0</v>
      </c>
      <c r="U980">
        <v>0</v>
      </c>
      <c r="V980" t="s">
        <v>1030</v>
      </c>
      <c r="W980">
        <v>2000297</v>
      </c>
    </row>
    <row r="981" spans="1:23" x14ac:dyDescent="0.25">
      <c r="A981" t="s">
        <v>368</v>
      </c>
      <c r="B981" t="s">
        <v>1033</v>
      </c>
      <c r="C981" t="s">
        <v>1031</v>
      </c>
      <c r="D981">
        <v>1</v>
      </c>
      <c r="E981">
        <v>1774449</v>
      </c>
      <c r="F981">
        <v>1319760</v>
      </c>
      <c r="G981">
        <v>21488</v>
      </c>
      <c r="H981">
        <v>1297600</v>
      </c>
      <c r="I981">
        <v>0</v>
      </c>
      <c r="J981">
        <v>48.424760300000003</v>
      </c>
      <c r="K981">
        <v>49.708514200000003</v>
      </c>
      <c r="L981">
        <v>22.953913700000001</v>
      </c>
      <c r="M981">
        <v>35.263804100000002</v>
      </c>
      <c r="N981">
        <v>33.8290066</v>
      </c>
      <c r="O981">
        <v>0</v>
      </c>
      <c r="P981">
        <v>11.69</v>
      </c>
      <c r="Q981">
        <v>1.9670000000000001</v>
      </c>
      <c r="R981">
        <v>0</v>
      </c>
      <c r="S981">
        <v>0</v>
      </c>
      <c r="T981">
        <v>0</v>
      </c>
      <c r="U981">
        <v>0</v>
      </c>
      <c r="V981" t="s">
        <v>1030</v>
      </c>
      <c r="W981">
        <v>2000297</v>
      </c>
    </row>
    <row r="982" spans="1:23" x14ac:dyDescent="0.25">
      <c r="A982" t="s">
        <v>368</v>
      </c>
      <c r="B982" t="s">
        <v>1033</v>
      </c>
      <c r="C982" t="s">
        <v>1031</v>
      </c>
      <c r="D982">
        <v>2</v>
      </c>
      <c r="E982">
        <v>2499328</v>
      </c>
      <c r="F982">
        <v>3372656</v>
      </c>
      <c r="G982">
        <v>76872</v>
      </c>
      <c r="H982">
        <v>3295112</v>
      </c>
      <c r="I982">
        <v>0</v>
      </c>
      <c r="J982">
        <v>60.237495699999997</v>
      </c>
      <c r="K982">
        <v>61.118178499999999</v>
      </c>
      <c r="L982">
        <v>27.911836999999998</v>
      </c>
      <c r="M982">
        <v>41.394165000000001</v>
      </c>
      <c r="N982">
        <v>40.241406400000002</v>
      </c>
      <c r="O982">
        <v>0</v>
      </c>
      <c r="P982">
        <v>17.533999999999999</v>
      </c>
      <c r="Q982">
        <v>2.5350000000000001</v>
      </c>
      <c r="R982">
        <v>0</v>
      </c>
      <c r="S982">
        <v>0</v>
      </c>
      <c r="T982">
        <v>0</v>
      </c>
      <c r="U982">
        <v>0</v>
      </c>
      <c r="V982" t="s">
        <v>1030</v>
      </c>
      <c r="W982">
        <v>2000297</v>
      </c>
    </row>
    <row r="983" spans="1:23" x14ac:dyDescent="0.25">
      <c r="A983" t="s">
        <v>368</v>
      </c>
      <c r="B983" t="s">
        <v>1033</v>
      </c>
      <c r="C983" t="s">
        <v>1031</v>
      </c>
      <c r="D983">
        <v>3</v>
      </c>
      <c r="E983">
        <v>2751317</v>
      </c>
      <c r="F983">
        <v>5269888</v>
      </c>
      <c r="G983">
        <v>257848</v>
      </c>
      <c r="H983">
        <v>5011288</v>
      </c>
      <c r="I983">
        <v>0</v>
      </c>
      <c r="J983">
        <v>64.718006000000003</v>
      </c>
      <c r="K983">
        <v>67.493249599999999</v>
      </c>
      <c r="L983">
        <v>29.0589543</v>
      </c>
      <c r="M983">
        <v>43.103475600000003</v>
      </c>
      <c r="N983">
        <v>42.0446709</v>
      </c>
      <c r="O983">
        <v>0</v>
      </c>
      <c r="P983">
        <v>19.454000000000001</v>
      </c>
      <c r="Q983">
        <v>3.2210000000000001</v>
      </c>
      <c r="R983">
        <v>0</v>
      </c>
      <c r="S983">
        <v>0</v>
      </c>
      <c r="T983">
        <v>0</v>
      </c>
      <c r="U983">
        <v>0</v>
      </c>
      <c r="V983" t="s">
        <v>1030</v>
      </c>
      <c r="W983">
        <v>2000297</v>
      </c>
    </row>
    <row r="984" spans="1:23" x14ac:dyDescent="0.25">
      <c r="A984" t="s">
        <v>1032</v>
      </c>
    </row>
    <row r="985" spans="1:23" x14ac:dyDescent="0.25">
      <c r="A985" t="s">
        <v>368</v>
      </c>
      <c r="B985" t="s">
        <v>1033</v>
      </c>
      <c r="C985" t="s">
        <v>1031</v>
      </c>
      <c r="D985">
        <v>5</v>
      </c>
      <c r="E985">
        <v>0</v>
      </c>
      <c r="F985" t="s">
        <v>1034</v>
      </c>
      <c r="G985" t="s">
        <v>1034</v>
      </c>
      <c r="H985" t="s">
        <v>1034</v>
      </c>
      <c r="I985" t="s">
        <v>1034</v>
      </c>
      <c r="J985" t="s">
        <v>1034</v>
      </c>
      <c r="K985" t="s">
        <v>1034</v>
      </c>
      <c r="L985" t="s">
        <v>1034</v>
      </c>
      <c r="M985" t="s">
        <v>1034</v>
      </c>
      <c r="N985" t="s">
        <v>1034</v>
      </c>
      <c r="O985" t="s">
        <v>1034</v>
      </c>
      <c r="P985" t="s">
        <v>1034</v>
      </c>
      <c r="Q985" t="s">
        <v>1034</v>
      </c>
      <c r="R985" t="s">
        <v>1034</v>
      </c>
      <c r="S985" t="s">
        <v>1034</v>
      </c>
      <c r="T985" t="s">
        <v>1034</v>
      </c>
      <c r="U985" t="s">
        <v>1034</v>
      </c>
      <c r="V985" t="s">
        <v>1034</v>
      </c>
      <c r="W985" t="s">
        <v>1035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topLeftCell="A691" workbookViewId="0">
      <selection activeCell="A710" sqref="A710:W985"/>
    </sheetView>
  </sheetViews>
  <sheetFormatPr defaultRowHeight="14" x14ac:dyDescent="0.25"/>
  <cols>
    <col min="16" max="16" width="9.1796875" customWidth="1"/>
  </cols>
  <sheetData>
    <row r="1" spans="1:22" ht="56.5" thickBot="1" x14ac:dyDescent="0.3">
      <c r="A1" t="s">
        <v>94</v>
      </c>
      <c r="B1" t="s">
        <v>1021</v>
      </c>
      <c r="C1" t="s">
        <v>1022</v>
      </c>
      <c r="D1" t="s">
        <v>1023</v>
      </c>
      <c r="E1" s="11" t="s">
        <v>1024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1025</v>
      </c>
      <c r="S1" s="93" t="s">
        <v>1026</v>
      </c>
      <c r="T1" s="93" t="s">
        <v>1027</v>
      </c>
      <c r="U1" s="93" t="s">
        <v>1028</v>
      </c>
      <c r="V1" s="93" t="s">
        <v>1029</v>
      </c>
    </row>
    <row r="710" spans="1:23" x14ac:dyDescent="0.25">
      <c r="A710" t="s">
        <v>223</v>
      </c>
      <c r="B710" t="s">
        <v>1036</v>
      </c>
      <c r="C710" t="s">
        <v>1031</v>
      </c>
      <c r="D710">
        <v>0</v>
      </c>
      <c r="E710">
        <v>2562769</v>
      </c>
      <c r="F710">
        <v>111584</v>
      </c>
      <c r="G710">
        <v>22384</v>
      </c>
      <c r="H710">
        <v>88344</v>
      </c>
      <c r="I710">
        <v>0</v>
      </c>
      <c r="J710">
        <v>64.552699500000003</v>
      </c>
      <c r="K710">
        <v>65.314211200000003</v>
      </c>
      <c r="L710">
        <v>33.187804399999997</v>
      </c>
      <c r="M710">
        <v>42.9201063</v>
      </c>
      <c r="N710">
        <v>46.557139599999999</v>
      </c>
      <c r="O710">
        <v>0</v>
      </c>
      <c r="P710">
        <v>13.589</v>
      </c>
      <c r="Q710">
        <v>3.1930000000000001</v>
      </c>
      <c r="R710">
        <v>0</v>
      </c>
      <c r="S710">
        <v>0</v>
      </c>
      <c r="T710">
        <v>0</v>
      </c>
      <c r="U710">
        <v>0</v>
      </c>
      <c r="V710" t="s">
        <v>1030</v>
      </c>
      <c r="W710">
        <v>2925514</v>
      </c>
    </row>
    <row r="711" spans="1:23" x14ac:dyDescent="0.25">
      <c r="A711" t="s">
        <v>223</v>
      </c>
      <c r="B711" t="s">
        <v>1036</v>
      </c>
      <c r="C711" t="s">
        <v>1031</v>
      </c>
      <c r="D711">
        <v>1</v>
      </c>
      <c r="E711">
        <v>2382817</v>
      </c>
      <c r="F711">
        <v>255912</v>
      </c>
      <c r="G711">
        <v>66552</v>
      </c>
      <c r="H711">
        <v>188504</v>
      </c>
      <c r="I711">
        <v>0</v>
      </c>
      <c r="J711">
        <v>69.932934000000003</v>
      </c>
      <c r="K711">
        <v>73.148303999999996</v>
      </c>
      <c r="L711">
        <v>36.262378699999999</v>
      </c>
      <c r="M711">
        <v>43.878692299999997</v>
      </c>
      <c r="N711">
        <v>48.174634699999999</v>
      </c>
      <c r="O711">
        <v>0</v>
      </c>
      <c r="P711">
        <v>12.374000000000001</v>
      </c>
      <c r="Q711">
        <v>3.286</v>
      </c>
      <c r="R711">
        <v>0</v>
      </c>
      <c r="S711">
        <v>0</v>
      </c>
      <c r="T711">
        <v>0</v>
      </c>
      <c r="U711">
        <v>0</v>
      </c>
      <c r="V711" t="s">
        <v>1030</v>
      </c>
      <c r="W711">
        <v>2925514</v>
      </c>
    </row>
    <row r="712" spans="1:23" x14ac:dyDescent="0.25">
      <c r="A712" t="s">
        <v>223</v>
      </c>
      <c r="B712" t="s">
        <v>1036</v>
      </c>
      <c r="C712" t="s">
        <v>1031</v>
      </c>
      <c r="D712">
        <v>2</v>
      </c>
      <c r="E712">
        <v>2486407</v>
      </c>
      <c r="F712">
        <v>668720</v>
      </c>
      <c r="G712">
        <v>214520</v>
      </c>
      <c r="H712">
        <v>453344</v>
      </c>
      <c r="I712">
        <v>0</v>
      </c>
      <c r="J712">
        <v>74.792384499999997</v>
      </c>
      <c r="K712">
        <v>78.582891500000002</v>
      </c>
      <c r="L712">
        <v>39.380264400000002</v>
      </c>
      <c r="M712">
        <v>45.1157246</v>
      </c>
      <c r="N712">
        <v>49.573635299999999</v>
      </c>
      <c r="O712">
        <v>0</v>
      </c>
      <c r="P712">
        <v>12.093999999999999</v>
      </c>
      <c r="Q712">
        <v>4.4459999999999997</v>
      </c>
      <c r="R712">
        <v>0</v>
      </c>
      <c r="S712">
        <v>0</v>
      </c>
      <c r="T712">
        <v>0</v>
      </c>
      <c r="U712">
        <v>0</v>
      </c>
      <c r="V712" t="s">
        <v>1030</v>
      </c>
      <c r="W712">
        <v>2925514</v>
      </c>
    </row>
    <row r="713" spans="1:23" x14ac:dyDescent="0.25">
      <c r="A713" t="s">
        <v>223</v>
      </c>
      <c r="B713" t="s">
        <v>1036</v>
      </c>
      <c r="C713" t="s">
        <v>1031</v>
      </c>
      <c r="D713">
        <v>3</v>
      </c>
      <c r="E713">
        <v>2779567</v>
      </c>
      <c r="F713">
        <v>1829472</v>
      </c>
      <c r="G713">
        <v>667432</v>
      </c>
      <c r="H713">
        <v>1161184</v>
      </c>
      <c r="I713">
        <v>0</v>
      </c>
      <c r="J713">
        <v>76.972874300000001</v>
      </c>
      <c r="K713">
        <v>80.703711699999999</v>
      </c>
      <c r="L713">
        <v>41.743918100000002</v>
      </c>
      <c r="M713">
        <v>46.658238599999997</v>
      </c>
      <c r="N713">
        <v>50.818193700000002</v>
      </c>
      <c r="O713">
        <v>0</v>
      </c>
      <c r="P713">
        <v>16.672999999999998</v>
      </c>
      <c r="Q713">
        <v>6.9290000000000003</v>
      </c>
      <c r="R713">
        <v>0</v>
      </c>
      <c r="S713">
        <v>0</v>
      </c>
      <c r="T713">
        <v>0</v>
      </c>
      <c r="U713">
        <v>0</v>
      </c>
      <c r="V713" t="s">
        <v>1030</v>
      </c>
      <c r="W713">
        <v>2925514</v>
      </c>
    </row>
    <row r="714" spans="1:23" x14ac:dyDescent="0.25">
      <c r="A714" t="s">
        <v>1032</v>
      </c>
    </row>
    <row r="715" spans="1:23" x14ac:dyDescent="0.25">
      <c r="A715" t="s">
        <v>223</v>
      </c>
      <c r="B715" t="s">
        <v>1036</v>
      </c>
      <c r="C715" t="s">
        <v>1031</v>
      </c>
      <c r="D715">
        <v>5</v>
      </c>
      <c r="E715">
        <v>0</v>
      </c>
      <c r="F715" t="s">
        <v>1034</v>
      </c>
      <c r="G715" t="s">
        <v>1034</v>
      </c>
      <c r="H715" t="s">
        <v>1034</v>
      </c>
      <c r="I715" t="s">
        <v>1034</v>
      </c>
      <c r="J715" t="s">
        <v>1034</v>
      </c>
      <c r="K715" t="s">
        <v>1034</v>
      </c>
      <c r="L715" t="s">
        <v>1034</v>
      </c>
      <c r="M715" t="s">
        <v>1034</v>
      </c>
      <c r="N715" t="s">
        <v>1034</v>
      </c>
      <c r="O715" t="s">
        <v>1034</v>
      </c>
      <c r="P715" t="s">
        <v>1034</v>
      </c>
      <c r="Q715" t="s">
        <v>1034</v>
      </c>
      <c r="R715" t="s">
        <v>1034</v>
      </c>
      <c r="S715" t="s">
        <v>1034</v>
      </c>
      <c r="T715" t="s">
        <v>1034</v>
      </c>
      <c r="U715" t="s">
        <v>1034</v>
      </c>
      <c r="V715" t="s">
        <v>1034</v>
      </c>
      <c r="W715" t="s">
        <v>1035</v>
      </c>
    </row>
    <row r="716" spans="1:23" x14ac:dyDescent="0.25">
      <c r="A716" t="s">
        <v>233</v>
      </c>
      <c r="B716" t="s">
        <v>1036</v>
      </c>
      <c r="C716" t="s">
        <v>1031</v>
      </c>
      <c r="D716">
        <v>0</v>
      </c>
      <c r="E716">
        <v>2362205</v>
      </c>
      <c r="F716">
        <v>122280</v>
      </c>
      <c r="G716">
        <v>19744</v>
      </c>
      <c r="H716">
        <v>101840</v>
      </c>
      <c r="I716">
        <v>0</v>
      </c>
      <c r="J716">
        <v>64.572422000000003</v>
      </c>
      <c r="K716">
        <v>65.082380299999997</v>
      </c>
      <c r="L716">
        <v>32.271849099999997</v>
      </c>
      <c r="M716">
        <v>43.798497099999999</v>
      </c>
      <c r="N716">
        <v>46.386035</v>
      </c>
      <c r="O716">
        <v>0</v>
      </c>
      <c r="P716">
        <v>11.648999999999999</v>
      </c>
      <c r="Q716">
        <v>2.7959999999999998</v>
      </c>
      <c r="R716">
        <v>0</v>
      </c>
      <c r="S716">
        <v>0</v>
      </c>
      <c r="T716">
        <v>0</v>
      </c>
      <c r="U716">
        <v>0</v>
      </c>
      <c r="V716" t="s">
        <v>1030</v>
      </c>
      <c r="W716">
        <v>2592758</v>
      </c>
    </row>
    <row r="717" spans="1:23" x14ac:dyDescent="0.25">
      <c r="A717" t="s">
        <v>233</v>
      </c>
      <c r="B717" t="s">
        <v>1036</v>
      </c>
      <c r="C717" t="s">
        <v>1031</v>
      </c>
      <c r="D717">
        <v>1</v>
      </c>
      <c r="E717">
        <v>2173560</v>
      </c>
      <c r="F717">
        <v>269072</v>
      </c>
      <c r="G717">
        <v>57920</v>
      </c>
      <c r="H717">
        <v>210456</v>
      </c>
      <c r="I717">
        <v>0</v>
      </c>
      <c r="J717">
        <v>69.852487400000001</v>
      </c>
      <c r="K717">
        <v>73.030027899999993</v>
      </c>
      <c r="L717">
        <v>35.837640399999998</v>
      </c>
      <c r="M717">
        <v>44.840191500000003</v>
      </c>
      <c r="N717">
        <v>48.160470799999999</v>
      </c>
      <c r="O717">
        <v>0</v>
      </c>
      <c r="P717">
        <v>10.502000000000001</v>
      </c>
      <c r="Q717">
        <v>2.78</v>
      </c>
      <c r="R717">
        <v>0</v>
      </c>
      <c r="S717">
        <v>0</v>
      </c>
      <c r="T717">
        <v>0</v>
      </c>
      <c r="U717">
        <v>0</v>
      </c>
      <c r="V717" t="s">
        <v>1030</v>
      </c>
      <c r="W717">
        <v>2592758</v>
      </c>
    </row>
    <row r="718" spans="1:23" x14ac:dyDescent="0.25">
      <c r="A718" t="s">
        <v>233</v>
      </c>
      <c r="B718" t="s">
        <v>1036</v>
      </c>
      <c r="C718" t="s">
        <v>1031</v>
      </c>
      <c r="D718">
        <v>2</v>
      </c>
      <c r="E718">
        <v>2260462</v>
      </c>
      <c r="F718">
        <v>679032</v>
      </c>
      <c r="G718">
        <v>188608</v>
      </c>
      <c r="H718">
        <v>489728</v>
      </c>
      <c r="I718">
        <v>0</v>
      </c>
      <c r="J718">
        <v>74.822828900000005</v>
      </c>
      <c r="K718">
        <v>78.233407099999994</v>
      </c>
      <c r="L718">
        <v>38.869795799999999</v>
      </c>
      <c r="M718">
        <v>46.1024575</v>
      </c>
      <c r="N718">
        <v>49.568514899999997</v>
      </c>
      <c r="O718">
        <v>0</v>
      </c>
      <c r="P718">
        <v>11.589</v>
      </c>
      <c r="Q718">
        <v>3.7149999999999999</v>
      </c>
      <c r="R718">
        <v>0</v>
      </c>
      <c r="S718">
        <v>0</v>
      </c>
      <c r="T718">
        <v>0</v>
      </c>
      <c r="U718">
        <v>0</v>
      </c>
      <c r="V718" t="s">
        <v>1030</v>
      </c>
      <c r="W718">
        <v>2592758</v>
      </c>
    </row>
    <row r="719" spans="1:23" x14ac:dyDescent="0.25">
      <c r="A719" t="s">
        <v>233</v>
      </c>
      <c r="B719" t="s">
        <v>1036</v>
      </c>
      <c r="C719" t="s">
        <v>1031</v>
      </c>
      <c r="D719">
        <v>3</v>
      </c>
      <c r="E719">
        <v>2476329</v>
      </c>
      <c r="F719">
        <v>1740608</v>
      </c>
      <c r="G719">
        <v>582184</v>
      </c>
      <c r="H719">
        <v>1157728</v>
      </c>
      <c r="I719">
        <v>0</v>
      </c>
      <c r="J719">
        <v>77.084119400000006</v>
      </c>
      <c r="K719">
        <v>80.632223400000001</v>
      </c>
      <c r="L719">
        <v>41.206914599999998</v>
      </c>
      <c r="M719">
        <v>47.536417200000002</v>
      </c>
      <c r="N719">
        <v>50.879132900000002</v>
      </c>
      <c r="O719">
        <v>0</v>
      </c>
      <c r="P719">
        <v>14.478999999999999</v>
      </c>
      <c r="Q719">
        <v>6.0709999999999997</v>
      </c>
      <c r="R719">
        <v>0</v>
      </c>
      <c r="S719">
        <v>0</v>
      </c>
      <c r="T719">
        <v>0</v>
      </c>
      <c r="U719">
        <v>0</v>
      </c>
      <c r="V719" t="s">
        <v>1030</v>
      </c>
      <c r="W719">
        <v>2592758</v>
      </c>
    </row>
    <row r="720" spans="1:23" x14ac:dyDescent="0.25">
      <c r="A720" t="s">
        <v>1032</v>
      </c>
    </row>
    <row r="721" spans="1:23" x14ac:dyDescent="0.25">
      <c r="A721" t="s">
        <v>233</v>
      </c>
      <c r="B721" t="s">
        <v>1036</v>
      </c>
      <c r="C721" t="s">
        <v>1031</v>
      </c>
      <c r="D721">
        <v>5</v>
      </c>
      <c r="E721">
        <v>0</v>
      </c>
      <c r="F721" t="s">
        <v>1034</v>
      </c>
      <c r="G721" t="s">
        <v>1034</v>
      </c>
      <c r="H721" t="s">
        <v>1034</v>
      </c>
      <c r="I721" t="s">
        <v>1034</v>
      </c>
      <c r="J721" t="s">
        <v>1034</v>
      </c>
      <c r="K721" t="s">
        <v>1034</v>
      </c>
      <c r="L721" t="s">
        <v>1034</v>
      </c>
      <c r="M721" t="s">
        <v>1034</v>
      </c>
      <c r="N721" t="s">
        <v>1034</v>
      </c>
      <c r="O721" t="s">
        <v>1034</v>
      </c>
      <c r="P721" t="s">
        <v>1034</v>
      </c>
      <c r="Q721" t="s">
        <v>1034</v>
      </c>
      <c r="R721" t="s">
        <v>1034</v>
      </c>
      <c r="S721" t="s">
        <v>1034</v>
      </c>
      <c r="T721" t="s">
        <v>1034</v>
      </c>
      <c r="U721" t="s">
        <v>1034</v>
      </c>
      <c r="V721" t="s">
        <v>1034</v>
      </c>
      <c r="W721" t="s">
        <v>1035</v>
      </c>
    </row>
    <row r="722" spans="1:23" x14ac:dyDescent="0.25">
      <c r="A722" t="s">
        <v>236</v>
      </c>
      <c r="B722" t="s">
        <v>1036</v>
      </c>
      <c r="C722" t="s">
        <v>1031</v>
      </c>
      <c r="D722">
        <v>0</v>
      </c>
      <c r="E722">
        <v>3540611</v>
      </c>
      <c r="F722">
        <v>155528</v>
      </c>
      <c r="G722">
        <v>26360</v>
      </c>
      <c r="H722">
        <v>128256</v>
      </c>
      <c r="I722">
        <v>0</v>
      </c>
      <c r="J722">
        <v>60.4630334</v>
      </c>
      <c r="K722">
        <v>64.614456300000001</v>
      </c>
      <c r="L722">
        <v>28.536194900000002</v>
      </c>
      <c r="M722">
        <v>42.693890400000001</v>
      </c>
      <c r="N722">
        <v>44.552842599999998</v>
      </c>
      <c r="O722">
        <v>0</v>
      </c>
      <c r="P722">
        <v>17.038</v>
      </c>
      <c r="Q722">
        <v>3.8559999999999999</v>
      </c>
      <c r="R722">
        <v>0</v>
      </c>
      <c r="S722">
        <v>0</v>
      </c>
      <c r="T722">
        <v>0</v>
      </c>
      <c r="U722">
        <v>0</v>
      </c>
      <c r="V722" t="s">
        <v>1030</v>
      </c>
      <c r="W722">
        <v>4061755</v>
      </c>
    </row>
    <row r="723" spans="1:23" x14ac:dyDescent="0.25">
      <c r="A723" t="s">
        <v>236</v>
      </c>
      <c r="B723" t="s">
        <v>1036</v>
      </c>
      <c r="C723" t="s">
        <v>1031</v>
      </c>
      <c r="D723">
        <v>1</v>
      </c>
      <c r="E723">
        <v>3454165</v>
      </c>
      <c r="F723">
        <v>513320</v>
      </c>
      <c r="G723">
        <v>86000</v>
      </c>
      <c r="H723">
        <v>426488</v>
      </c>
      <c r="I723">
        <v>0</v>
      </c>
      <c r="J723">
        <v>67.378152600000007</v>
      </c>
      <c r="K723">
        <v>71.766873000000004</v>
      </c>
      <c r="L723">
        <v>30.612691099999999</v>
      </c>
      <c r="M723">
        <v>43.900626500000001</v>
      </c>
      <c r="N723">
        <v>45.696502700000003</v>
      </c>
      <c r="O723">
        <v>0</v>
      </c>
      <c r="P723">
        <v>15.311</v>
      </c>
      <c r="Q723">
        <v>3.8410000000000002</v>
      </c>
      <c r="R723">
        <v>0</v>
      </c>
      <c r="S723">
        <v>0</v>
      </c>
      <c r="T723">
        <v>0</v>
      </c>
      <c r="U723">
        <v>0</v>
      </c>
      <c r="V723" t="s">
        <v>1030</v>
      </c>
      <c r="W723">
        <v>4061755</v>
      </c>
    </row>
    <row r="724" spans="1:23" x14ac:dyDescent="0.25">
      <c r="A724" t="s">
        <v>236</v>
      </c>
      <c r="B724" t="s">
        <v>1036</v>
      </c>
      <c r="C724" t="s">
        <v>1031</v>
      </c>
      <c r="D724">
        <v>2</v>
      </c>
      <c r="E724">
        <v>3708987</v>
      </c>
      <c r="F724">
        <v>1980568</v>
      </c>
      <c r="G724">
        <v>330024</v>
      </c>
      <c r="H724">
        <v>1649712</v>
      </c>
      <c r="I724">
        <v>0</v>
      </c>
      <c r="J724">
        <v>73.421271000000004</v>
      </c>
      <c r="K724">
        <v>76.773324900000006</v>
      </c>
      <c r="L724">
        <v>33.409660299999999</v>
      </c>
      <c r="M724">
        <v>45.125260699999998</v>
      </c>
      <c r="N724">
        <v>46.863731799999996</v>
      </c>
      <c r="O724">
        <v>0</v>
      </c>
      <c r="P724">
        <v>17.734000000000002</v>
      </c>
      <c r="Q724">
        <v>5.5279999999999996</v>
      </c>
      <c r="R724">
        <v>0</v>
      </c>
      <c r="S724">
        <v>0</v>
      </c>
      <c r="T724">
        <v>0</v>
      </c>
      <c r="U724">
        <v>0</v>
      </c>
      <c r="V724" t="s">
        <v>1030</v>
      </c>
      <c r="W724">
        <v>4061755</v>
      </c>
    </row>
    <row r="725" spans="1:23" x14ac:dyDescent="0.25">
      <c r="A725" t="s">
        <v>236</v>
      </c>
      <c r="B725" t="s">
        <v>1036</v>
      </c>
      <c r="C725" t="s">
        <v>1031</v>
      </c>
      <c r="D725">
        <v>3</v>
      </c>
      <c r="E725">
        <v>3934070</v>
      </c>
      <c r="F725">
        <v>6096944</v>
      </c>
      <c r="G725">
        <v>1126352</v>
      </c>
      <c r="H725">
        <v>4969760</v>
      </c>
      <c r="I725">
        <v>0</v>
      </c>
      <c r="J725">
        <v>76.425802099999999</v>
      </c>
      <c r="K725">
        <v>79.631650800000003</v>
      </c>
      <c r="L725">
        <v>36.556637799999997</v>
      </c>
      <c r="M725">
        <v>46.556860899999997</v>
      </c>
      <c r="N725">
        <v>48.1003051</v>
      </c>
      <c r="O725">
        <v>0</v>
      </c>
      <c r="P725">
        <v>21.86</v>
      </c>
      <c r="Q725">
        <v>8.8770000000000007</v>
      </c>
      <c r="R725">
        <v>0</v>
      </c>
      <c r="S725">
        <v>0</v>
      </c>
      <c r="T725">
        <v>0</v>
      </c>
      <c r="U725">
        <v>0</v>
      </c>
      <c r="V725" t="s">
        <v>1030</v>
      </c>
      <c r="W725">
        <v>4061755</v>
      </c>
    </row>
    <row r="726" spans="1:23" x14ac:dyDescent="0.25">
      <c r="A726" t="s">
        <v>1032</v>
      </c>
    </row>
    <row r="727" spans="1:23" x14ac:dyDescent="0.25">
      <c r="A727" t="s">
        <v>236</v>
      </c>
      <c r="B727" t="s">
        <v>1036</v>
      </c>
      <c r="C727" t="s">
        <v>1031</v>
      </c>
      <c r="D727">
        <v>5</v>
      </c>
      <c r="E727">
        <v>0</v>
      </c>
      <c r="F727" t="s">
        <v>1034</v>
      </c>
      <c r="G727" t="s">
        <v>1034</v>
      </c>
      <c r="H727" t="s">
        <v>1034</v>
      </c>
      <c r="I727" t="s">
        <v>1034</v>
      </c>
      <c r="J727" t="s">
        <v>1034</v>
      </c>
      <c r="K727" t="s">
        <v>1034</v>
      </c>
      <c r="L727" t="s">
        <v>1034</v>
      </c>
      <c r="M727" t="s">
        <v>1034</v>
      </c>
      <c r="N727" t="s">
        <v>1034</v>
      </c>
      <c r="O727" t="s">
        <v>1034</v>
      </c>
      <c r="P727" t="s">
        <v>1034</v>
      </c>
      <c r="Q727" t="s">
        <v>1034</v>
      </c>
      <c r="R727" t="s">
        <v>1034</v>
      </c>
      <c r="S727" t="s">
        <v>1034</v>
      </c>
      <c r="T727" t="s">
        <v>1034</v>
      </c>
      <c r="U727" t="s">
        <v>1034</v>
      </c>
      <c r="V727" t="s">
        <v>1034</v>
      </c>
      <c r="W727" t="s">
        <v>1035</v>
      </c>
    </row>
    <row r="728" spans="1:23" x14ac:dyDescent="0.25">
      <c r="A728" t="s">
        <v>239</v>
      </c>
      <c r="B728" t="s">
        <v>1036</v>
      </c>
      <c r="C728" t="s">
        <v>1031</v>
      </c>
      <c r="D728">
        <v>0</v>
      </c>
      <c r="E728">
        <v>798786</v>
      </c>
      <c r="F728">
        <v>166800</v>
      </c>
      <c r="G728">
        <v>5848</v>
      </c>
      <c r="H728">
        <v>160496</v>
      </c>
      <c r="I728">
        <v>0</v>
      </c>
      <c r="J728">
        <v>55.662947799999998</v>
      </c>
      <c r="K728">
        <v>56.068221000000001</v>
      </c>
      <c r="L728">
        <v>25.600324400000002</v>
      </c>
      <c r="M728">
        <v>33.267253799999999</v>
      </c>
      <c r="N728">
        <v>32.1414616</v>
      </c>
      <c r="O728">
        <v>0</v>
      </c>
      <c r="P728">
        <v>4.0190000000000001</v>
      </c>
      <c r="Q728">
        <v>0.97599999999999998</v>
      </c>
      <c r="R728">
        <v>0</v>
      </c>
      <c r="S728">
        <v>0</v>
      </c>
      <c r="T728">
        <v>0</v>
      </c>
      <c r="U728">
        <v>0</v>
      </c>
      <c r="V728" t="s">
        <v>1030</v>
      </c>
      <c r="W728">
        <v>857966</v>
      </c>
    </row>
    <row r="729" spans="1:23" x14ac:dyDescent="0.25">
      <c r="A729" t="s">
        <v>239</v>
      </c>
      <c r="B729" t="s">
        <v>1036</v>
      </c>
      <c r="C729" t="s">
        <v>1031</v>
      </c>
      <c r="D729">
        <v>1</v>
      </c>
      <c r="E729">
        <v>785548</v>
      </c>
      <c r="F729">
        <v>449616</v>
      </c>
      <c r="G729">
        <v>20784</v>
      </c>
      <c r="H729">
        <v>428376</v>
      </c>
      <c r="I729">
        <v>0</v>
      </c>
      <c r="J729">
        <v>62.665526</v>
      </c>
      <c r="K729">
        <v>63.462958200000003</v>
      </c>
      <c r="L729">
        <v>29.382175799999999</v>
      </c>
      <c r="M729">
        <v>36.758782600000004</v>
      </c>
      <c r="N729">
        <v>36.06221</v>
      </c>
      <c r="O729">
        <v>0</v>
      </c>
      <c r="P729">
        <v>3.681</v>
      </c>
      <c r="Q729">
        <v>1.016</v>
      </c>
      <c r="R729">
        <v>0</v>
      </c>
      <c r="S729">
        <v>0</v>
      </c>
      <c r="T729">
        <v>0</v>
      </c>
      <c r="U729">
        <v>0</v>
      </c>
      <c r="V729" t="s">
        <v>1030</v>
      </c>
      <c r="W729">
        <v>857966</v>
      </c>
    </row>
    <row r="730" spans="1:23" x14ac:dyDescent="0.25">
      <c r="A730" t="s">
        <v>239</v>
      </c>
      <c r="B730" t="s">
        <v>1036</v>
      </c>
      <c r="C730" t="s">
        <v>1031</v>
      </c>
      <c r="D730">
        <v>2</v>
      </c>
      <c r="E730">
        <v>794765</v>
      </c>
      <c r="F730">
        <v>1090112</v>
      </c>
      <c r="G730">
        <v>73568</v>
      </c>
      <c r="H730">
        <v>1016088</v>
      </c>
      <c r="I730">
        <v>0</v>
      </c>
      <c r="J730">
        <v>68.603975599999998</v>
      </c>
      <c r="K730">
        <v>70.457534600000002</v>
      </c>
      <c r="L730">
        <v>33.209563600000003</v>
      </c>
      <c r="M730">
        <v>40.263356299999998</v>
      </c>
      <c r="N730">
        <v>39.743478400000001</v>
      </c>
      <c r="O730">
        <v>0</v>
      </c>
      <c r="P730">
        <v>3.7839999999999998</v>
      </c>
      <c r="Q730">
        <v>1.31</v>
      </c>
      <c r="R730">
        <v>0</v>
      </c>
      <c r="S730">
        <v>0</v>
      </c>
      <c r="T730">
        <v>0</v>
      </c>
      <c r="U730">
        <v>0</v>
      </c>
      <c r="V730" t="s">
        <v>1030</v>
      </c>
      <c r="W730">
        <v>857966</v>
      </c>
    </row>
    <row r="731" spans="1:23" x14ac:dyDescent="0.25">
      <c r="A731" t="s">
        <v>239</v>
      </c>
      <c r="B731" t="s">
        <v>1036</v>
      </c>
      <c r="C731" t="s">
        <v>1031</v>
      </c>
      <c r="D731">
        <v>3</v>
      </c>
      <c r="E731">
        <v>848283</v>
      </c>
      <c r="F731">
        <v>2311240</v>
      </c>
      <c r="G731">
        <v>223568</v>
      </c>
      <c r="H731">
        <v>2087216</v>
      </c>
      <c r="I731">
        <v>0</v>
      </c>
      <c r="J731">
        <v>71.030531600000003</v>
      </c>
      <c r="K731">
        <v>73.966118699999996</v>
      </c>
      <c r="L731">
        <v>36.3510749</v>
      </c>
      <c r="M731">
        <v>43.382034099999998</v>
      </c>
      <c r="N731">
        <v>42.847161700000001</v>
      </c>
      <c r="O731">
        <v>0</v>
      </c>
      <c r="P731">
        <v>4.54</v>
      </c>
      <c r="Q731">
        <v>2.012</v>
      </c>
      <c r="R731">
        <v>0</v>
      </c>
      <c r="S731">
        <v>0</v>
      </c>
      <c r="T731">
        <v>0</v>
      </c>
      <c r="U731">
        <v>0</v>
      </c>
      <c r="V731" t="s">
        <v>1030</v>
      </c>
      <c r="W731">
        <v>857966</v>
      </c>
    </row>
    <row r="732" spans="1:23" x14ac:dyDescent="0.25">
      <c r="A732" t="s">
        <v>1032</v>
      </c>
    </row>
    <row r="733" spans="1:23" x14ac:dyDescent="0.25">
      <c r="A733" t="s">
        <v>239</v>
      </c>
      <c r="B733" t="s">
        <v>1036</v>
      </c>
      <c r="C733" t="s">
        <v>1031</v>
      </c>
      <c r="D733">
        <v>5</v>
      </c>
      <c r="E733">
        <v>0</v>
      </c>
      <c r="F733" t="s">
        <v>1034</v>
      </c>
      <c r="G733" t="s">
        <v>1034</v>
      </c>
      <c r="H733" t="s">
        <v>1034</v>
      </c>
      <c r="I733" t="s">
        <v>1034</v>
      </c>
      <c r="J733" t="s">
        <v>1034</v>
      </c>
      <c r="K733" t="s">
        <v>1034</v>
      </c>
      <c r="L733" t="s">
        <v>1034</v>
      </c>
      <c r="M733" t="s">
        <v>1034</v>
      </c>
      <c r="N733" t="s">
        <v>1034</v>
      </c>
      <c r="O733" t="s">
        <v>1034</v>
      </c>
      <c r="P733" t="s">
        <v>1034</v>
      </c>
      <c r="Q733" t="s">
        <v>1034</v>
      </c>
      <c r="R733" t="s">
        <v>1034</v>
      </c>
      <c r="S733" t="s">
        <v>1034</v>
      </c>
      <c r="T733" t="s">
        <v>1034</v>
      </c>
      <c r="U733" t="s">
        <v>1034</v>
      </c>
      <c r="V733" t="s">
        <v>1034</v>
      </c>
      <c r="W733" t="s">
        <v>1035</v>
      </c>
    </row>
    <row r="734" spans="1:23" x14ac:dyDescent="0.25">
      <c r="A734" t="s">
        <v>242</v>
      </c>
      <c r="B734" t="s">
        <v>1036</v>
      </c>
      <c r="C734" t="s">
        <v>1031</v>
      </c>
      <c r="D734">
        <v>0</v>
      </c>
      <c r="E734">
        <v>744741</v>
      </c>
      <c r="F734">
        <v>31784</v>
      </c>
      <c r="G734">
        <v>5616</v>
      </c>
      <c r="H734">
        <v>25720</v>
      </c>
      <c r="I734">
        <v>0</v>
      </c>
      <c r="J734">
        <v>55.265234999999997</v>
      </c>
      <c r="K734">
        <v>57.684685700000003</v>
      </c>
      <c r="L734">
        <v>31.181336600000002</v>
      </c>
      <c r="M734">
        <v>45.093254000000002</v>
      </c>
      <c r="N734">
        <v>43.564839499999998</v>
      </c>
      <c r="O734">
        <v>0</v>
      </c>
      <c r="P734">
        <v>3.7050000000000001</v>
      </c>
      <c r="Q734">
        <v>0.90500000000000003</v>
      </c>
      <c r="R734">
        <v>0</v>
      </c>
      <c r="S734">
        <v>0</v>
      </c>
      <c r="T734">
        <v>0</v>
      </c>
      <c r="U734">
        <v>0</v>
      </c>
      <c r="V734" t="s">
        <v>1030</v>
      </c>
      <c r="W734">
        <v>805285</v>
      </c>
    </row>
    <row r="735" spans="1:23" x14ac:dyDescent="0.25">
      <c r="A735" t="s">
        <v>242</v>
      </c>
      <c r="B735" t="s">
        <v>1036</v>
      </c>
      <c r="C735" t="s">
        <v>1031</v>
      </c>
      <c r="D735">
        <v>1</v>
      </c>
      <c r="E735">
        <v>713242</v>
      </c>
      <c r="F735">
        <v>92016</v>
      </c>
      <c r="G735">
        <v>18536</v>
      </c>
      <c r="H735">
        <v>73032</v>
      </c>
      <c r="I735">
        <v>0</v>
      </c>
      <c r="J735">
        <v>63.174662499999997</v>
      </c>
      <c r="K735">
        <v>65.221003100000004</v>
      </c>
      <c r="L735">
        <v>34.3431304</v>
      </c>
      <c r="M735">
        <v>47.927879099999998</v>
      </c>
      <c r="N735">
        <v>47.332049599999998</v>
      </c>
      <c r="O735">
        <v>0</v>
      </c>
      <c r="P735">
        <v>3.3730000000000002</v>
      </c>
      <c r="Q735">
        <v>0.95499999999999996</v>
      </c>
      <c r="R735">
        <v>0</v>
      </c>
      <c r="S735">
        <v>0</v>
      </c>
      <c r="T735">
        <v>0</v>
      </c>
      <c r="U735">
        <v>0</v>
      </c>
      <c r="V735" t="s">
        <v>1030</v>
      </c>
      <c r="W735">
        <v>805285</v>
      </c>
    </row>
    <row r="736" spans="1:23" x14ac:dyDescent="0.25">
      <c r="A736" t="s">
        <v>242</v>
      </c>
      <c r="B736" t="s">
        <v>1036</v>
      </c>
      <c r="C736" t="s">
        <v>1031</v>
      </c>
      <c r="D736">
        <v>2</v>
      </c>
      <c r="E736">
        <v>735256</v>
      </c>
      <c r="F736">
        <v>254896</v>
      </c>
      <c r="G736">
        <v>64136</v>
      </c>
      <c r="H736">
        <v>190312</v>
      </c>
      <c r="I736">
        <v>0</v>
      </c>
      <c r="J736">
        <v>68.457422199999996</v>
      </c>
      <c r="K736">
        <v>71.269121299999995</v>
      </c>
      <c r="L736">
        <v>38.142346500000002</v>
      </c>
      <c r="M736">
        <v>49.656261399999998</v>
      </c>
      <c r="N736">
        <v>49.876925200000002</v>
      </c>
      <c r="O736">
        <v>0</v>
      </c>
      <c r="P736">
        <v>3.5070000000000001</v>
      </c>
      <c r="Q736">
        <v>1.181</v>
      </c>
      <c r="R736">
        <v>0</v>
      </c>
      <c r="S736">
        <v>0</v>
      </c>
      <c r="T736">
        <v>0</v>
      </c>
      <c r="U736">
        <v>0</v>
      </c>
      <c r="V736" t="s">
        <v>1030</v>
      </c>
      <c r="W736">
        <v>805285</v>
      </c>
    </row>
    <row r="737" spans="1:23" x14ac:dyDescent="0.25">
      <c r="A737" t="s">
        <v>242</v>
      </c>
      <c r="B737" t="s">
        <v>1036</v>
      </c>
      <c r="C737" t="s">
        <v>1031</v>
      </c>
      <c r="D737">
        <v>3</v>
      </c>
      <c r="E737">
        <v>791635</v>
      </c>
      <c r="F737">
        <v>634440</v>
      </c>
      <c r="G737">
        <v>199344</v>
      </c>
      <c r="H737">
        <v>434648</v>
      </c>
      <c r="I737">
        <v>0</v>
      </c>
      <c r="J737">
        <v>71.087727599999994</v>
      </c>
      <c r="K737">
        <v>74.127178999999998</v>
      </c>
      <c r="L737">
        <v>41.584620600000001</v>
      </c>
      <c r="M737">
        <v>51.302557700000001</v>
      </c>
      <c r="N737">
        <v>51.612146199999998</v>
      </c>
      <c r="O737">
        <v>0</v>
      </c>
      <c r="P737">
        <v>4.3570000000000002</v>
      </c>
      <c r="Q737">
        <v>1.895</v>
      </c>
      <c r="R737">
        <v>0</v>
      </c>
      <c r="S737">
        <v>0</v>
      </c>
      <c r="T737">
        <v>0</v>
      </c>
      <c r="U737">
        <v>0</v>
      </c>
      <c r="V737" t="s">
        <v>1030</v>
      </c>
      <c r="W737">
        <v>805285</v>
      </c>
    </row>
    <row r="738" spans="1:23" x14ac:dyDescent="0.25">
      <c r="A738" t="s">
        <v>1032</v>
      </c>
    </row>
    <row r="739" spans="1:23" x14ac:dyDescent="0.25">
      <c r="A739" t="s">
        <v>242</v>
      </c>
      <c r="B739" t="s">
        <v>1036</v>
      </c>
      <c r="C739" t="s">
        <v>1031</v>
      </c>
      <c r="D739">
        <v>5</v>
      </c>
      <c r="E739">
        <v>0</v>
      </c>
      <c r="F739" t="s">
        <v>1034</v>
      </c>
      <c r="G739" t="s">
        <v>1034</v>
      </c>
      <c r="H739" t="s">
        <v>1034</v>
      </c>
      <c r="I739" t="s">
        <v>1034</v>
      </c>
      <c r="J739" t="s">
        <v>1034</v>
      </c>
      <c r="K739" t="s">
        <v>1034</v>
      </c>
      <c r="L739" t="s">
        <v>1034</v>
      </c>
      <c r="M739" t="s">
        <v>1034</v>
      </c>
      <c r="N739" t="s">
        <v>1034</v>
      </c>
      <c r="O739" t="s">
        <v>1034</v>
      </c>
      <c r="P739" t="s">
        <v>1034</v>
      </c>
      <c r="Q739" t="s">
        <v>1034</v>
      </c>
      <c r="R739" t="s">
        <v>1034</v>
      </c>
      <c r="S739" t="s">
        <v>1034</v>
      </c>
      <c r="T739" t="s">
        <v>1034</v>
      </c>
      <c r="U739" t="s">
        <v>1034</v>
      </c>
      <c r="V739" t="s">
        <v>1034</v>
      </c>
      <c r="W739" t="s">
        <v>1035</v>
      </c>
    </row>
    <row r="740" spans="1:23" x14ac:dyDescent="0.25">
      <c r="A740" t="s">
        <v>245</v>
      </c>
      <c r="B740" t="s">
        <v>1036</v>
      </c>
      <c r="C740" t="s">
        <v>1031</v>
      </c>
      <c r="D740">
        <v>0</v>
      </c>
      <c r="E740">
        <v>748174</v>
      </c>
      <c r="F740">
        <v>67248</v>
      </c>
      <c r="G740">
        <v>6160</v>
      </c>
      <c r="H740">
        <v>60552</v>
      </c>
      <c r="I740">
        <v>0</v>
      </c>
      <c r="J740">
        <v>55.798470500000001</v>
      </c>
      <c r="K740">
        <v>57.223654699999997</v>
      </c>
      <c r="L740">
        <v>26.038338</v>
      </c>
      <c r="M740">
        <v>35.265930699999998</v>
      </c>
      <c r="N740">
        <v>32.748586899999999</v>
      </c>
      <c r="O740">
        <v>0</v>
      </c>
      <c r="P740">
        <v>4.12</v>
      </c>
      <c r="Q740">
        <v>0.9</v>
      </c>
      <c r="R740">
        <v>0</v>
      </c>
      <c r="S740">
        <v>0</v>
      </c>
      <c r="T740">
        <v>0</v>
      </c>
      <c r="U740">
        <v>0</v>
      </c>
      <c r="V740" t="s">
        <v>1030</v>
      </c>
      <c r="W740">
        <v>1000993</v>
      </c>
    </row>
    <row r="741" spans="1:23" x14ac:dyDescent="0.25">
      <c r="A741" t="s">
        <v>245</v>
      </c>
      <c r="B741" t="s">
        <v>1036</v>
      </c>
      <c r="C741" t="s">
        <v>1031</v>
      </c>
      <c r="D741">
        <v>1</v>
      </c>
      <c r="E741">
        <v>727315</v>
      </c>
      <c r="F741">
        <v>180992</v>
      </c>
      <c r="G741">
        <v>19576</v>
      </c>
      <c r="H741">
        <v>160880</v>
      </c>
      <c r="I741">
        <v>0</v>
      </c>
      <c r="J741">
        <v>62.654553999999997</v>
      </c>
      <c r="K741">
        <v>64.231159500000004</v>
      </c>
      <c r="L741">
        <v>30.239020199999999</v>
      </c>
      <c r="M741">
        <v>39.761894599999998</v>
      </c>
      <c r="N741">
        <v>37.429049200000001</v>
      </c>
      <c r="O741">
        <v>0</v>
      </c>
      <c r="P741">
        <v>3.8220000000000001</v>
      </c>
      <c r="Q741">
        <v>0.98799999999999999</v>
      </c>
      <c r="R741">
        <v>0</v>
      </c>
      <c r="S741">
        <v>0</v>
      </c>
      <c r="T741">
        <v>0</v>
      </c>
      <c r="U741">
        <v>0</v>
      </c>
      <c r="V741" t="s">
        <v>1030</v>
      </c>
      <c r="W741">
        <v>1000993</v>
      </c>
    </row>
    <row r="742" spans="1:23" x14ac:dyDescent="0.25">
      <c r="A742" t="s">
        <v>245</v>
      </c>
      <c r="B742" t="s">
        <v>1036</v>
      </c>
      <c r="C742" t="s">
        <v>1031</v>
      </c>
      <c r="D742">
        <v>2</v>
      </c>
      <c r="E742">
        <v>768496</v>
      </c>
      <c r="F742">
        <v>436368</v>
      </c>
      <c r="G742">
        <v>67400</v>
      </c>
      <c r="H742">
        <v>368432</v>
      </c>
      <c r="I742">
        <v>0</v>
      </c>
      <c r="J742">
        <v>67.687436399999996</v>
      </c>
      <c r="K742">
        <v>71.010397999999995</v>
      </c>
      <c r="L742">
        <v>33.788297999999998</v>
      </c>
      <c r="M742">
        <v>43.856356300000002</v>
      </c>
      <c r="N742">
        <v>41.8423017</v>
      </c>
      <c r="O742">
        <v>0</v>
      </c>
      <c r="P742">
        <v>4.0369999999999999</v>
      </c>
      <c r="Q742">
        <v>1.244</v>
      </c>
      <c r="R742">
        <v>0</v>
      </c>
      <c r="S742">
        <v>0</v>
      </c>
      <c r="T742">
        <v>0</v>
      </c>
      <c r="U742">
        <v>0</v>
      </c>
      <c r="V742" t="s">
        <v>1030</v>
      </c>
      <c r="W742">
        <v>1000993</v>
      </c>
    </row>
    <row r="743" spans="1:23" x14ac:dyDescent="0.25">
      <c r="A743" t="s">
        <v>245</v>
      </c>
      <c r="B743" t="s">
        <v>1036</v>
      </c>
      <c r="C743" t="s">
        <v>1031</v>
      </c>
      <c r="D743">
        <v>3</v>
      </c>
      <c r="E743">
        <v>868051</v>
      </c>
      <c r="F743">
        <v>1030280</v>
      </c>
      <c r="G743">
        <v>215592</v>
      </c>
      <c r="H743">
        <v>814152</v>
      </c>
      <c r="I743">
        <v>0</v>
      </c>
      <c r="J743">
        <v>70.041063100000002</v>
      </c>
      <c r="K743">
        <v>73.9976226</v>
      </c>
      <c r="L743">
        <v>36.857415799999998</v>
      </c>
      <c r="M743">
        <v>46.710065399999998</v>
      </c>
      <c r="N743">
        <v>45.239263200000003</v>
      </c>
      <c r="O743">
        <v>0</v>
      </c>
      <c r="P743">
        <v>5.0810000000000004</v>
      </c>
      <c r="Q743">
        <v>2.097</v>
      </c>
      <c r="R743">
        <v>0</v>
      </c>
      <c r="S743">
        <v>0</v>
      </c>
      <c r="T743">
        <v>0</v>
      </c>
      <c r="U743">
        <v>0</v>
      </c>
      <c r="V743" t="s">
        <v>1030</v>
      </c>
      <c r="W743">
        <v>1000993</v>
      </c>
    </row>
    <row r="744" spans="1:23" x14ac:dyDescent="0.25">
      <c r="A744" t="s">
        <v>1032</v>
      </c>
    </row>
    <row r="745" spans="1:23" x14ac:dyDescent="0.25">
      <c r="A745" t="s">
        <v>245</v>
      </c>
      <c r="B745" t="s">
        <v>1036</v>
      </c>
      <c r="C745" t="s">
        <v>1031</v>
      </c>
      <c r="D745">
        <v>5</v>
      </c>
      <c r="E745">
        <v>0</v>
      </c>
      <c r="F745" t="s">
        <v>1034</v>
      </c>
      <c r="G745" t="s">
        <v>1034</v>
      </c>
      <c r="H745" t="s">
        <v>1034</v>
      </c>
      <c r="I745" t="s">
        <v>1034</v>
      </c>
      <c r="J745" t="s">
        <v>1034</v>
      </c>
      <c r="K745" t="s">
        <v>1034</v>
      </c>
      <c r="L745" t="s">
        <v>1034</v>
      </c>
      <c r="M745" t="s">
        <v>1034</v>
      </c>
      <c r="N745" t="s">
        <v>1034</v>
      </c>
      <c r="O745" t="s">
        <v>1034</v>
      </c>
      <c r="P745" t="s">
        <v>1034</v>
      </c>
      <c r="Q745" t="s">
        <v>1034</v>
      </c>
      <c r="R745" t="s">
        <v>1034</v>
      </c>
      <c r="S745" t="s">
        <v>1034</v>
      </c>
      <c r="T745" t="s">
        <v>1034</v>
      </c>
      <c r="U745" t="s">
        <v>1034</v>
      </c>
      <c r="V745" t="s">
        <v>1034</v>
      </c>
      <c r="W745" t="s">
        <v>1035</v>
      </c>
    </row>
    <row r="746" spans="1:23" x14ac:dyDescent="0.25">
      <c r="A746" t="s">
        <v>248</v>
      </c>
      <c r="B746" t="s">
        <v>1036</v>
      </c>
      <c r="C746" t="s">
        <v>1031</v>
      </c>
      <c r="D746">
        <v>0</v>
      </c>
      <c r="E746">
        <v>681685</v>
      </c>
      <c r="F746">
        <v>78080</v>
      </c>
      <c r="G746">
        <v>5392</v>
      </c>
      <c r="H746">
        <v>72232</v>
      </c>
      <c r="I746">
        <v>0</v>
      </c>
      <c r="J746">
        <v>54.165061199999997</v>
      </c>
      <c r="K746">
        <v>55.856567699999999</v>
      </c>
      <c r="L746">
        <v>30.357939099999999</v>
      </c>
      <c r="M746">
        <v>39.742211900000001</v>
      </c>
      <c r="N746">
        <v>31.272787900000001</v>
      </c>
      <c r="O746">
        <v>0</v>
      </c>
      <c r="P746">
        <v>3.569</v>
      </c>
      <c r="Q746">
        <v>0.85199999999999998</v>
      </c>
      <c r="R746">
        <v>0</v>
      </c>
      <c r="S746">
        <v>0</v>
      </c>
      <c r="T746">
        <v>0</v>
      </c>
      <c r="U746">
        <v>0</v>
      </c>
      <c r="V746" t="s">
        <v>1030</v>
      </c>
      <c r="W746">
        <v>757691</v>
      </c>
    </row>
    <row r="747" spans="1:23" x14ac:dyDescent="0.25">
      <c r="A747" t="s">
        <v>248</v>
      </c>
      <c r="B747" t="s">
        <v>1036</v>
      </c>
      <c r="C747" t="s">
        <v>1031</v>
      </c>
      <c r="D747">
        <v>1</v>
      </c>
      <c r="E747">
        <v>674894</v>
      </c>
      <c r="F747">
        <v>194336</v>
      </c>
      <c r="G747">
        <v>18928</v>
      </c>
      <c r="H747">
        <v>174952</v>
      </c>
      <c r="I747">
        <v>0</v>
      </c>
      <c r="J747">
        <v>61.528152400000003</v>
      </c>
      <c r="K747">
        <v>63.6189283</v>
      </c>
      <c r="L747">
        <v>34.001285799999998</v>
      </c>
      <c r="M747">
        <v>41.833258700000002</v>
      </c>
      <c r="N747">
        <v>35.902466500000003</v>
      </c>
      <c r="O747">
        <v>0</v>
      </c>
      <c r="P747">
        <v>3.121</v>
      </c>
      <c r="Q747">
        <v>0.86699999999999999</v>
      </c>
      <c r="R747">
        <v>0</v>
      </c>
      <c r="S747">
        <v>0</v>
      </c>
      <c r="T747">
        <v>0</v>
      </c>
      <c r="U747">
        <v>0</v>
      </c>
      <c r="V747" t="s">
        <v>1030</v>
      </c>
      <c r="W747">
        <v>757691</v>
      </c>
    </row>
    <row r="748" spans="1:23" x14ac:dyDescent="0.25">
      <c r="A748" t="s">
        <v>248</v>
      </c>
      <c r="B748" t="s">
        <v>1036</v>
      </c>
      <c r="C748" t="s">
        <v>1031</v>
      </c>
      <c r="D748">
        <v>2</v>
      </c>
      <c r="E748">
        <v>697086</v>
      </c>
      <c r="F748">
        <v>480848</v>
      </c>
      <c r="G748">
        <v>67664</v>
      </c>
      <c r="H748">
        <v>412728</v>
      </c>
      <c r="I748">
        <v>0</v>
      </c>
      <c r="J748">
        <v>67.917225200000004</v>
      </c>
      <c r="K748">
        <v>70.313265400000006</v>
      </c>
      <c r="L748">
        <v>37.643708199999999</v>
      </c>
      <c r="M748">
        <v>43.747535399999997</v>
      </c>
      <c r="N748">
        <v>39.8466661</v>
      </c>
      <c r="O748">
        <v>0</v>
      </c>
      <c r="P748">
        <v>3.4830000000000001</v>
      </c>
      <c r="Q748">
        <v>1.153</v>
      </c>
      <c r="R748">
        <v>0</v>
      </c>
      <c r="S748">
        <v>0</v>
      </c>
      <c r="T748">
        <v>0</v>
      </c>
      <c r="U748">
        <v>0</v>
      </c>
      <c r="V748" t="s">
        <v>1030</v>
      </c>
      <c r="W748">
        <v>757691</v>
      </c>
    </row>
    <row r="749" spans="1:23" x14ac:dyDescent="0.25">
      <c r="A749" t="s">
        <v>248</v>
      </c>
      <c r="B749" t="s">
        <v>1036</v>
      </c>
      <c r="C749" t="s">
        <v>1031</v>
      </c>
      <c r="D749">
        <v>3</v>
      </c>
      <c r="E749">
        <v>754207</v>
      </c>
      <c r="F749">
        <v>1153040</v>
      </c>
      <c r="G749">
        <v>212440</v>
      </c>
      <c r="H749">
        <v>940144</v>
      </c>
      <c r="I749">
        <v>0</v>
      </c>
      <c r="J749">
        <v>70.785146100000006</v>
      </c>
      <c r="K749">
        <v>73.698294099999998</v>
      </c>
      <c r="L749">
        <v>40.818941100000004</v>
      </c>
      <c r="M749">
        <v>45.921238099999997</v>
      </c>
      <c r="N749">
        <v>43.2058386</v>
      </c>
      <c r="O749">
        <v>0</v>
      </c>
      <c r="P749">
        <v>4.2640000000000002</v>
      </c>
      <c r="Q749">
        <v>1.8779999999999999</v>
      </c>
      <c r="R749">
        <v>0</v>
      </c>
      <c r="S749">
        <v>0</v>
      </c>
      <c r="T749">
        <v>0</v>
      </c>
      <c r="U749">
        <v>0</v>
      </c>
      <c r="V749" t="s">
        <v>1030</v>
      </c>
      <c r="W749">
        <v>757691</v>
      </c>
    </row>
    <row r="750" spans="1:23" x14ac:dyDescent="0.25">
      <c r="A750" t="s">
        <v>1032</v>
      </c>
    </row>
    <row r="751" spans="1:23" x14ac:dyDescent="0.25">
      <c r="A751" t="s">
        <v>248</v>
      </c>
      <c r="B751" t="s">
        <v>1036</v>
      </c>
      <c r="C751" t="s">
        <v>1031</v>
      </c>
      <c r="D751">
        <v>5</v>
      </c>
      <c r="E751">
        <v>0</v>
      </c>
      <c r="F751" t="s">
        <v>1034</v>
      </c>
      <c r="G751" t="s">
        <v>1034</v>
      </c>
      <c r="H751" t="s">
        <v>1034</v>
      </c>
      <c r="I751" t="s">
        <v>1034</v>
      </c>
      <c r="J751" t="s">
        <v>1034</v>
      </c>
      <c r="K751" t="s">
        <v>1034</v>
      </c>
      <c r="L751" t="s">
        <v>1034</v>
      </c>
      <c r="M751" t="s">
        <v>1034</v>
      </c>
      <c r="N751" t="s">
        <v>1034</v>
      </c>
      <c r="O751" t="s">
        <v>1034</v>
      </c>
      <c r="P751" t="s">
        <v>1034</v>
      </c>
      <c r="Q751" t="s">
        <v>1034</v>
      </c>
      <c r="R751" t="s">
        <v>1034</v>
      </c>
      <c r="S751" t="s">
        <v>1034</v>
      </c>
      <c r="T751" t="s">
        <v>1034</v>
      </c>
      <c r="U751" t="s">
        <v>1034</v>
      </c>
      <c r="V751" t="s">
        <v>1034</v>
      </c>
      <c r="W751" t="s">
        <v>1035</v>
      </c>
    </row>
    <row r="752" spans="1:23" x14ac:dyDescent="0.25">
      <c r="A752" t="s">
        <v>251</v>
      </c>
      <c r="B752" t="s">
        <v>1036</v>
      </c>
      <c r="C752" t="s">
        <v>1031</v>
      </c>
      <c r="D752">
        <v>0</v>
      </c>
      <c r="E752">
        <v>1027229</v>
      </c>
      <c r="F752">
        <v>77208</v>
      </c>
      <c r="G752">
        <v>8600</v>
      </c>
      <c r="H752">
        <v>68080</v>
      </c>
      <c r="I752">
        <v>0</v>
      </c>
      <c r="J752">
        <v>55.221762900000002</v>
      </c>
      <c r="K752">
        <v>56.765035500000003</v>
      </c>
      <c r="L752">
        <v>28.014441900000001</v>
      </c>
      <c r="M752">
        <v>44.902485800000001</v>
      </c>
      <c r="N752">
        <v>45.497867999999997</v>
      </c>
      <c r="O752">
        <v>0</v>
      </c>
      <c r="P752">
        <v>5.0129999999999999</v>
      </c>
      <c r="Q752">
        <v>1.365</v>
      </c>
      <c r="R752">
        <v>0</v>
      </c>
      <c r="S752">
        <v>0</v>
      </c>
      <c r="T752">
        <v>0</v>
      </c>
      <c r="U752">
        <v>0</v>
      </c>
      <c r="V752" t="s">
        <v>1030</v>
      </c>
      <c r="W752">
        <v>1089091</v>
      </c>
    </row>
    <row r="753" spans="1:23" x14ac:dyDescent="0.25">
      <c r="A753" t="s">
        <v>251</v>
      </c>
      <c r="B753" t="s">
        <v>1036</v>
      </c>
      <c r="C753" t="s">
        <v>1031</v>
      </c>
      <c r="D753">
        <v>1</v>
      </c>
      <c r="E753">
        <v>978990</v>
      </c>
      <c r="F753">
        <v>206016</v>
      </c>
      <c r="G753">
        <v>28328</v>
      </c>
      <c r="H753">
        <v>177160</v>
      </c>
      <c r="I753">
        <v>0</v>
      </c>
      <c r="J753">
        <v>63.359857699999999</v>
      </c>
      <c r="K753">
        <v>64.321419800000001</v>
      </c>
      <c r="L753">
        <v>32.019770700000002</v>
      </c>
      <c r="M753">
        <v>46.860816700000001</v>
      </c>
      <c r="N753">
        <v>47.505224599999998</v>
      </c>
      <c r="O753">
        <v>0</v>
      </c>
      <c r="P753">
        <v>4.5010000000000003</v>
      </c>
      <c r="Q753">
        <v>1.2490000000000001</v>
      </c>
      <c r="R753">
        <v>0</v>
      </c>
      <c r="S753">
        <v>0</v>
      </c>
      <c r="T753">
        <v>0</v>
      </c>
      <c r="U753">
        <v>0</v>
      </c>
      <c r="V753" t="s">
        <v>1030</v>
      </c>
      <c r="W753">
        <v>1089091</v>
      </c>
    </row>
    <row r="754" spans="1:23" x14ac:dyDescent="0.25">
      <c r="A754" t="s">
        <v>251</v>
      </c>
      <c r="B754" t="s">
        <v>1036</v>
      </c>
      <c r="C754" t="s">
        <v>1031</v>
      </c>
      <c r="D754">
        <v>2</v>
      </c>
      <c r="E754">
        <v>999049</v>
      </c>
      <c r="F754">
        <v>537776</v>
      </c>
      <c r="G754">
        <v>99496</v>
      </c>
      <c r="H754">
        <v>437752</v>
      </c>
      <c r="I754">
        <v>0</v>
      </c>
      <c r="J754">
        <v>68.543634499999996</v>
      </c>
      <c r="K754">
        <v>71.031899199999998</v>
      </c>
      <c r="L754">
        <v>36.056911999999997</v>
      </c>
      <c r="M754">
        <v>48.7110804</v>
      </c>
      <c r="N754">
        <v>49.394374900000003</v>
      </c>
      <c r="O754">
        <v>0</v>
      </c>
      <c r="P754">
        <v>4.6689999999999996</v>
      </c>
      <c r="Q754">
        <v>1.625</v>
      </c>
      <c r="R754">
        <v>0</v>
      </c>
      <c r="S754">
        <v>0</v>
      </c>
      <c r="T754">
        <v>0</v>
      </c>
      <c r="U754">
        <v>0</v>
      </c>
      <c r="V754" t="s">
        <v>1030</v>
      </c>
      <c r="W754">
        <v>1089091</v>
      </c>
    </row>
    <row r="755" spans="1:23" x14ac:dyDescent="0.25">
      <c r="A755" t="s">
        <v>251</v>
      </c>
      <c r="B755" t="s">
        <v>1036</v>
      </c>
      <c r="C755" t="s">
        <v>1031</v>
      </c>
      <c r="D755">
        <v>3</v>
      </c>
      <c r="E755">
        <v>1073874</v>
      </c>
      <c r="F755">
        <v>1259568</v>
      </c>
      <c r="G755">
        <v>299712</v>
      </c>
      <c r="H755">
        <v>959328</v>
      </c>
      <c r="I755">
        <v>0</v>
      </c>
      <c r="J755">
        <v>71.0163297</v>
      </c>
      <c r="K755">
        <v>74.128181799999993</v>
      </c>
      <c r="L755">
        <v>39.625661999999998</v>
      </c>
      <c r="M755">
        <v>50.609757999999999</v>
      </c>
      <c r="N755">
        <v>51.297490699999997</v>
      </c>
      <c r="O755">
        <v>0</v>
      </c>
      <c r="P755">
        <v>6.1109999999999998</v>
      </c>
      <c r="Q755">
        <v>2.9729999999999999</v>
      </c>
      <c r="R755">
        <v>0</v>
      </c>
      <c r="S755">
        <v>0</v>
      </c>
      <c r="T755">
        <v>0</v>
      </c>
      <c r="U755">
        <v>0</v>
      </c>
      <c r="V755" t="s">
        <v>1030</v>
      </c>
      <c r="W755">
        <v>1089091</v>
      </c>
    </row>
    <row r="756" spans="1:23" x14ac:dyDescent="0.25">
      <c r="A756" t="s">
        <v>1032</v>
      </c>
    </row>
    <row r="757" spans="1:23" x14ac:dyDescent="0.25">
      <c r="A757" t="s">
        <v>251</v>
      </c>
      <c r="B757" t="s">
        <v>1036</v>
      </c>
      <c r="C757" t="s">
        <v>1031</v>
      </c>
      <c r="D757">
        <v>5</v>
      </c>
      <c r="E757">
        <v>0</v>
      </c>
      <c r="F757" t="s">
        <v>1034</v>
      </c>
      <c r="G757" t="s">
        <v>1034</v>
      </c>
      <c r="H757" t="s">
        <v>1034</v>
      </c>
      <c r="I757" t="s">
        <v>1034</v>
      </c>
      <c r="J757" t="s">
        <v>1034</v>
      </c>
      <c r="K757" t="s">
        <v>1034</v>
      </c>
      <c r="L757" t="s">
        <v>1034</v>
      </c>
      <c r="M757" t="s">
        <v>1034</v>
      </c>
      <c r="N757" t="s">
        <v>1034</v>
      </c>
      <c r="O757" t="s">
        <v>1034</v>
      </c>
      <c r="P757" t="s">
        <v>1034</v>
      </c>
      <c r="Q757" t="s">
        <v>1034</v>
      </c>
      <c r="R757" t="s">
        <v>1034</v>
      </c>
      <c r="S757" t="s">
        <v>1034</v>
      </c>
      <c r="T757" t="s">
        <v>1034</v>
      </c>
      <c r="U757" t="s">
        <v>1034</v>
      </c>
      <c r="V757" t="s">
        <v>1034</v>
      </c>
      <c r="W757" t="s">
        <v>1035</v>
      </c>
    </row>
    <row r="758" spans="1:23" x14ac:dyDescent="0.25">
      <c r="A758" t="s">
        <v>254</v>
      </c>
      <c r="B758" t="s">
        <v>1036</v>
      </c>
      <c r="C758" t="s">
        <v>1031</v>
      </c>
      <c r="D758">
        <v>0</v>
      </c>
      <c r="E758">
        <v>931947</v>
      </c>
      <c r="F758">
        <v>132544</v>
      </c>
      <c r="G758">
        <v>7512</v>
      </c>
      <c r="H758">
        <v>124488</v>
      </c>
      <c r="I758">
        <v>0</v>
      </c>
      <c r="J758">
        <v>61.420519599999999</v>
      </c>
      <c r="K758">
        <v>62.330017300000002</v>
      </c>
      <c r="L758">
        <v>26.839001700000001</v>
      </c>
      <c r="M758">
        <v>35.291375500000001</v>
      </c>
      <c r="N758">
        <v>35.412753899999998</v>
      </c>
      <c r="O758">
        <v>0</v>
      </c>
      <c r="P758">
        <v>7.2750000000000004</v>
      </c>
      <c r="Q758">
        <v>1.1020000000000001</v>
      </c>
      <c r="R758">
        <v>0</v>
      </c>
      <c r="S758">
        <v>0</v>
      </c>
      <c r="T758">
        <v>0</v>
      </c>
      <c r="U758">
        <v>0</v>
      </c>
      <c r="V758" t="s">
        <v>1030</v>
      </c>
      <c r="W758">
        <v>3130215</v>
      </c>
    </row>
    <row r="759" spans="1:23" x14ac:dyDescent="0.25">
      <c r="A759" t="s">
        <v>254</v>
      </c>
      <c r="B759" t="s">
        <v>1036</v>
      </c>
      <c r="C759" t="s">
        <v>1031</v>
      </c>
      <c r="D759">
        <v>1</v>
      </c>
      <c r="E759">
        <v>892106</v>
      </c>
      <c r="F759">
        <v>372768</v>
      </c>
      <c r="G759">
        <v>25384</v>
      </c>
      <c r="H759">
        <v>346840</v>
      </c>
      <c r="I759">
        <v>0</v>
      </c>
      <c r="J759">
        <v>68.131775399999995</v>
      </c>
      <c r="K759">
        <v>70.0470021</v>
      </c>
      <c r="L759">
        <v>30.246391200000001</v>
      </c>
      <c r="M759">
        <v>38.7720646</v>
      </c>
      <c r="N759">
        <v>38.875118800000003</v>
      </c>
      <c r="O759">
        <v>0</v>
      </c>
      <c r="P759">
        <v>6.577</v>
      </c>
      <c r="Q759">
        <v>1.145</v>
      </c>
      <c r="R759">
        <v>0</v>
      </c>
      <c r="S759">
        <v>0</v>
      </c>
      <c r="T759">
        <v>0</v>
      </c>
      <c r="U759">
        <v>0</v>
      </c>
      <c r="V759" t="s">
        <v>1030</v>
      </c>
      <c r="W759">
        <v>3130215</v>
      </c>
    </row>
    <row r="760" spans="1:23" x14ac:dyDescent="0.25">
      <c r="A760" t="s">
        <v>254</v>
      </c>
      <c r="B760" t="s">
        <v>1036</v>
      </c>
      <c r="C760" t="s">
        <v>1031</v>
      </c>
      <c r="D760">
        <v>2</v>
      </c>
      <c r="E760">
        <v>922914</v>
      </c>
      <c r="F760">
        <v>915512</v>
      </c>
      <c r="G760">
        <v>89104</v>
      </c>
      <c r="H760">
        <v>825864</v>
      </c>
      <c r="I760">
        <v>0</v>
      </c>
      <c r="J760">
        <v>73.398913100000001</v>
      </c>
      <c r="K760">
        <v>75.143049500000004</v>
      </c>
      <c r="L760">
        <v>33.5654556</v>
      </c>
      <c r="M760">
        <v>42.123215299999998</v>
      </c>
      <c r="N760">
        <v>42.2501441</v>
      </c>
      <c r="O760">
        <v>0</v>
      </c>
      <c r="P760">
        <v>6.8440000000000003</v>
      </c>
      <c r="Q760">
        <v>1.52</v>
      </c>
      <c r="R760">
        <v>0</v>
      </c>
      <c r="S760">
        <v>0</v>
      </c>
      <c r="T760">
        <v>0</v>
      </c>
      <c r="U760">
        <v>0</v>
      </c>
      <c r="V760" t="s">
        <v>1030</v>
      </c>
      <c r="W760">
        <v>3130215</v>
      </c>
    </row>
    <row r="761" spans="1:23" x14ac:dyDescent="0.25">
      <c r="A761" t="s">
        <v>254</v>
      </c>
      <c r="B761" t="s">
        <v>1036</v>
      </c>
      <c r="C761" t="s">
        <v>1031</v>
      </c>
      <c r="D761">
        <v>3</v>
      </c>
      <c r="E761">
        <v>987797</v>
      </c>
      <c r="F761">
        <v>1891160</v>
      </c>
      <c r="G761">
        <v>268760</v>
      </c>
      <c r="H761">
        <v>1621856</v>
      </c>
      <c r="I761">
        <v>0</v>
      </c>
      <c r="J761">
        <v>74.497880899999998</v>
      </c>
      <c r="K761">
        <v>77.029299699999996</v>
      </c>
      <c r="L761">
        <v>35.328187399999997</v>
      </c>
      <c r="M761">
        <v>44.821672</v>
      </c>
      <c r="N761">
        <v>44.966087999999999</v>
      </c>
      <c r="O761">
        <v>0</v>
      </c>
      <c r="P761">
        <v>7.6120000000000001</v>
      </c>
      <c r="Q761">
        <v>2.339</v>
      </c>
      <c r="R761">
        <v>0</v>
      </c>
      <c r="S761">
        <v>0</v>
      </c>
      <c r="T761">
        <v>0</v>
      </c>
      <c r="U761">
        <v>0</v>
      </c>
      <c r="V761" t="s">
        <v>1030</v>
      </c>
      <c r="W761">
        <v>3130215</v>
      </c>
    </row>
    <row r="762" spans="1:23" x14ac:dyDescent="0.25">
      <c r="A762" t="s">
        <v>1032</v>
      </c>
    </row>
    <row r="763" spans="1:23" x14ac:dyDescent="0.25">
      <c r="A763" t="s">
        <v>254</v>
      </c>
      <c r="B763" t="s">
        <v>1036</v>
      </c>
      <c r="C763" t="s">
        <v>1031</v>
      </c>
      <c r="D763">
        <v>5</v>
      </c>
      <c r="E763">
        <v>0</v>
      </c>
      <c r="F763" t="s">
        <v>1034</v>
      </c>
      <c r="G763" t="s">
        <v>1034</v>
      </c>
      <c r="H763" t="s">
        <v>1034</v>
      </c>
      <c r="I763" t="s">
        <v>1034</v>
      </c>
      <c r="J763" t="s">
        <v>1034</v>
      </c>
      <c r="K763" t="s">
        <v>1034</v>
      </c>
      <c r="L763" t="s">
        <v>1034</v>
      </c>
      <c r="M763" t="s">
        <v>1034</v>
      </c>
      <c r="N763" t="s">
        <v>1034</v>
      </c>
      <c r="O763" t="s">
        <v>1034</v>
      </c>
      <c r="P763" t="s">
        <v>1034</v>
      </c>
      <c r="Q763" t="s">
        <v>1034</v>
      </c>
      <c r="R763" t="s">
        <v>1034</v>
      </c>
      <c r="S763" t="s">
        <v>1034</v>
      </c>
      <c r="T763" t="s">
        <v>1034</v>
      </c>
      <c r="U763" t="s">
        <v>1034</v>
      </c>
      <c r="V763" t="s">
        <v>1034</v>
      </c>
      <c r="W763" t="s">
        <v>1035</v>
      </c>
    </row>
    <row r="764" spans="1:23" x14ac:dyDescent="0.25">
      <c r="A764" t="s">
        <v>257</v>
      </c>
      <c r="B764" t="s">
        <v>1036</v>
      </c>
      <c r="C764" t="s">
        <v>1031</v>
      </c>
      <c r="D764">
        <v>0</v>
      </c>
      <c r="E764">
        <v>3658897</v>
      </c>
      <c r="F764">
        <v>112568</v>
      </c>
      <c r="G764">
        <v>27728</v>
      </c>
      <c r="H764">
        <v>84088</v>
      </c>
      <c r="I764">
        <v>0</v>
      </c>
      <c r="J764">
        <v>64.387408100000002</v>
      </c>
      <c r="K764">
        <v>64.789556099999999</v>
      </c>
      <c r="L764">
        <v>35.2912496</v>
      </c>
      <c r="M764">
        <v>47.501413999999997</v>
      </c>
      <c r="N764">
        <v>47.743349700000003</v>
      </c>
      <c r="O764">
        <v>0</v>
      </c>
      <c r="P764">
        <v>17.132000000000001</v>
      </c>
      <c r="Q764">
        <v>4.29</v>
      </c>
      <c r="R764">
        <v>0</v>
      </c>
      <c r="S764">
        <v>0</v>
      </c>
      <c r="T764">
        <v>0</v>
      </c>
      <c r="U764">
        <v>0</v>
      </c>
      <c r="V764" t="s">
        <v>1030</v>
      </c>
      <c r="W764">
        <v>3493085</v>
      </c>
    </row>
    <row r="765" spans="1:23" x14ac:dyDescent="0.25">
      <c r="A765" t="s">
        <v>257</v>
      </c>
      <c r="B765" t="s">
        <v>1036</v>
      </c>
      <c r="C765" t="s">
        <v>1031</v>
      </c>
      <c r="D765">
        <v>1</v>
      </c>
      <c r="E765">
        <v>3452248</v>
      </c>
      <c r="F765">
        <v>261448</v>
      </c>
      <c r="G765">
        <v>84904</v>
      </c>
      <c r="H765">
        <v>175792</v>
      </c>
      <c r="I765">
        <v>0</v>
      </c>
      <c r="J765">
        <v>70.297645500000002</v>
      </c>
      <c r="K765">
        <v>71.446669700000001</v>
      </c>
      <c r="L765">
        <v>37.943262599999997</v>
      </c>
      <c r="M765">
        <v>48.955539299999998</v>
      </c>
      <c r="N765">
        <v>49.506735300000003</v>
      </c>
      <c r="O765">
        <v>0</v>
      </c>
      <c r="P765">
        <v>15.824</v>
      </c>
      <c r="Q765">
        <v>4.444</v>
      </c>
      <c r="R765">
        <v>0</v>
      </c>
      <c r="S765">
        <v>0</v>
      </c>
      <c r="T765">
        <v>0</v>
      </c>
      <c r="U765">
        <v>0</v>
      </c>
      <c r="V765" t="s">
        <v>1030</v>
      </c>
      <c r="W765">
        <v>3493085</v>
      </c>
    </row>
    <row r="766" spans="1:23" x14ac:dyDescent="0.25">
      <c r="A766" t="s">
        <v>257</v>
      </c>
      <c r="B766" t="s">
        <v>1036</v>
      </c>
      <c r="C766" t="s">
        <v>1031</v>
      </c>
      <c r="D766">
        <v>2</v>
      </c>
      <c r="E766">
        <v>3525630</v>
      </c>
      <c r="F766">
        <v>695680</v>
      </c>
      <c r="G766">
        <v>274936</v>
      </c>
      <c r="H766">
        <v>419992</v>
      </c>
      <c r="I766">
        <v>0</v>
      </c>
      <c r="J766">
        <v>73.295949399999998</v>
      </c>
      <c r="K766">
        <v>75.565333499999994</v>
      </c>
      <c r="L766">
        <v>40.455243600000003</v>
      </c>
      <c r="M766">
        <v>50.093083499999999</v>
      </c>
      <c r="N766">
        <v>50.680289700000003</v>
      </c>
      <c r="O766">
        <v>0</v>
      </c>
      <c r="P766">
        <v>16.927</v>
      </c>
      <c r="Q766">
        <v>5.476</v>
      </c>
      <c r="R766">
        <v>0</v>
      </c>
      <c r="S766">
        <v>0</v>
      </c>
      <c r="T766">
        <v>0</v>
      </c>
      <c r="U766">
        <v>0</v>
      </c>
      <c r="V766" t="s">
        <v>1030</v>
      </c>
      <c r="W766">
        <v>3493085</v>
      </c>
    </row>
    <row r="767" spans="1:23" x14ac:dyDescent="0.25">
      <c r="A767" t="s">
        <v>257</v>
      </c>
      <c r="B767" t="s">
        <v>1036</v>
      </c>
      <c r="C767" t="s">
        <v>1031</v>
      </c>
      <c r="D767">
        <v>3</v>
      </c>
      <c r="E767">
        <v>3700133</v>
      </c>
      <c r="F767">
        <v>1816248</v>
      </c>
      <c r="G767">
        <v>821624</v>
      </c>
      <c r="H767">
        <v>993872</v>
      </c>
      <c r="I767">
        <v>0</v>
      </c>
      <c r="J767">
        <v>73.985063499999995</v>
      </c>
      <c r="K767">
        <v>76.685447999999994</v>
      </c>
      <c r="L767">
        <v>42.8517729</v>
      </c>
      <c r="M767">
        <v>51.184546599999997</v>
      </c>
      <c r="N767">
        <v>51.757128100000003</v>
      </c>
      <c r="O767">
        <v>0</v>
      </c>
      <c r="P767">
        <v>20.771999999999998</v>
      </c>
      <c r="Q767">
        <v>8.5980000000000008</v>
      </c>
      <c r="R767">
        <v>0</v>
      </c>
      <c r="S767">
        <v>0</v>
      </c>
      <c r="T767">
        <v>0</v>
      </c>
      <c r="U767">
        <v>0</v>
      </c>
      <c r="V767" t="s">
        <v>1030</v>
      </c>
      <c r="W767">
        <v>3493085</v>
      </c>
    </row>
    <row r="768" spans="1:23" x14ac:dyDescent="0.25">
      <c r="A768" t="s">
        <v>1032</v>
      </c>
    </row>
    <row r="769" spans="1:23" x14ac:dyDescent="0.25">
      <c r="A769" t="s">
        <v>257</v>
      </c>
      <c r="B769" t="s">
        <v>1036</v>
      </c>
      <c r="C769" t="s">
        <v>1031</v>
      </c>
      <c r="D769">
        <v>5</v>
      </c>
      <c r="E769">
        <v>0</v>
      </c>
      <c r="F769" t="s">
        <v>1034</v>
      </c>
      <c r="G769" t="s">
        <v>1034</v>
      </c>
      <c r="H769" t="s">
        <v>1034</v>
      </c>
      <c r="I769" t="s">
        <v>1034</v>
      </c>
      <c r="J769" t="s">
        <v>1034</v>
      </c>
      <c r="K769" t="s">
        <v>1034</v>
      </c>
      <c r="L769" t="s">
        <v>1034</v>
      </c>
      <c r="M769" t="s">
        <v>1034</v>
      </c>
      <c r="N769" t="s">
        <v>1034</v>
      </c>
      <c r="O769" t="s">
        <v>1034</v>
      </c>
      <c r="P769" t="s">
        <v>1034</v>
      </c>
      <c r="Q769" t="s">
        <v>1034</v>
      </c>
      <c r="R769" t="s">
        <v>1034</v>
      </c>
      <c r="S769" t="s">
        <v>1034</v>
      </c>
      <c r="T769" t="s">
        <v>1034</v>
      </c>
      <c r="U769" t="s">
        <v>1034</v>
      </c>
      <c r="V769" t="s">
        <v>1034</v>
      </c>
      <c r="W769" t="s">
        <v>1035</v>
      </c>
    </row>
    <row r="770" spans="1:23" x14ac:dyDescent="0.25">
      <c r="A770" t="s">
        <v>261</v>
      </c>
      <c r="B770" t="s">
        <v>1036</v>
      </c>
      <c r="C770" t="s">
        <v>1031</v>
      </c>
      <c r="D770">
        <v>0</v>
      </c>
      <c r="E770">
        <v>1481838</v>
      </c>
      <c r="F770">
        <v>275328</v>
      </c>
      <c r="G770">
        <v>8896</v>
      </c>
      <c r="H770">
        <v>265800</v>
      </c>
      <c r="I770">
        <v>0</v>
      </c>
      <c r="J770">
        <v>49.891885799999997</v>
      </c>
      <c r="K770">
        <v>51.577021999999999</v>
      </c>
      <c r="L770">
        <v>19.3146372</v>
      </c>
      <c r="M770">
        <v>37.3316655</v>
      </c>
      <c r="N770">
        <v>36.474965599999997</v>
      </c>
      <c r="O770">
        <v>0</v>
      </c>
      <c r="P770">
        <v>9.5060000000000002</v>
      </c>
      <c r="Q770">
        <v>1.7</v>
      </c>
      <c r="R770">
        <v>0</v>
      </c>
      <c r="S770">
        <v>0</v>
      </c>
      <c r="T770">
        <v>0</v>
      </c>
      <c r="U770">
        <v>0</v>
      </c>
      <c r="V770" t="s">
        <v>1030</v>
      </c>
      <c r="W770">
        <v>1596085</v>
      </c>
    </row>
    <row r="771" spans="1:23" x14ac:dyDescent="0.25">
      <c r="A771" t="s">
        <v>261</v>
      </c>
      <c r="B771" t="s">
        <v>1036</v>
      </c>
      <c r="C771" t="s">
        <v>1031</v>
      </c>
      <c r="D771">
        <v>1</v>
      </c>
      <c r="E771">
        <v>1636060</v>
      </c>
      <c r="F771">
        <v>906552</v>
      </c>
      <c r="G771">
        <v>33360</v>
      </c>
      <c r="H771">
        <v>872560</v>
      </c>
      <c r="I771">
        <v>0</v>
      </c>
      <c r="J771">
        <v>58.599925200000001</v>
      </c>
      <c r="K771">
        <v>61.689542699999997</v>
      </c>
      <c r="L771">
        <v>25.269669100000002</v>
      </c>
      <c r="M771">
        <v>40.220768100000001</v>
      </c>
      <c r="N771">
        <v>38.828943000000002</v>
      </c>
      <c r="O771">
        <v>0</v>
      </c>
      <c r="P771">
        <v>10.007</v>
      </c>
      <c r="Q771">
        <v>2.0539999999999998</v>
      </c>
      <c r="R771">
        <v>0</v>
      </c>
      <c r="S771">
        <v>0</v>
      </c>
      <c r="T771">
        <v>0</v>
      </c>
      <c r="U771">
        <v>0</v>
      </c>
      <c r="V771" t="s">
        <v>1030</v>
      </c>
      <c r="W771">
        <v>1596085</v>
      </c>
    </row>
    <row r="772" spans="1:23" x14ac:dyDescent="0.25">
      <c r="A772" t="s">
        <v>261</v>
      </c>
      <c r="B772" t="s">
        <v>1036</v>
      </c>
      <c r="C772" t="s">
        <v>1031</v>
      </c>
      <c r="D772">
        <v>2</v>
      </c>
      <c r="E772">
        <v>1695660</v>
      </c>
      <c r="F772">
        <v>2029024</v>
      </c>
      <c r="G772">
        <v>129616</v>
      </c>
      <c r="H772">
        <v>1898776</v>
      </c>
      <c r="I772">
        <v>0</v>
      </c>
      <c r="J772">
        <v>64.280785300000005</v>
      </c>
      <c r="K772">
        <v>67.896638400000001</v>
      </c>
      <c r="L772">
        <v>28.3652151</v>
      </c>
      <c r="M772">
        <v>42.674617699999999</v>
      </c>
      <c r="N772">
        <v>40.742970300000003</v>
      </c>
      <c r="O772">
        <v>0</v>
      </c>
      <c r="P772">
        <v>10.323</v>
      </c>
      <c r="Q772">
        <v>2.3929999999999998</v>
      </c>
      <c r="R772">
        <v>0</v>
      </c>
      <c r="S772">
        <v>0</v>
      </c>
      <c r="T772">
        <v>0</v>
      </c>
      <c r="U772">
        <v>0</v>
      </c>
      <c r="V772" t="s">
        <v>1030</v>
      </c>
      <c r="W772">
        <v>1596085</v>
      </c>
    </row>
    <row r="773" spans="1:23" x14ac:dyDescent="0.25">
      <c r="A773" t="s">
        <v>261</v>
      </c>
      <c r="B773" t="s">
        <v>1036</v>
      </c>
      <c r="C773" t="s">
        <v>1031</v>
      </c>
      <c r="D773">
        <v>3</v>
      </c>
      <c r="E773">
        <v>2183058</v>
      </c>
      <c r="F773">
        <v>4610768</v>
      </c>
      <c r="G773">
        <v>467896</v>
      </c>
      <c r="H773">
        <v>4142240</v>
      </c>
      <c r="I773">
        <v>0</v>
      </c>
      <c r="J773">
        <v>68.575499300000004</v>
      </c>
      <c r="K773">
        <v>71.535505099999995</v>
      </c>
      <c r="L773">
        <v>30.1783483</v>
      </c>
      <c r="M773">
        <v>45.387297799999999</v>
      </c>
      <c r="N773">
        <v>42.984105200000002</v>
      </c>
      <c r="O773">
        <v>0</v>
      </c>
      <c r="P773">
        <v>14.96</v>
      </c>
      <c r="Q773">
        <v>4.4089999999999998</v>
      </c>
      <c r="R773">
        <v>0</v>
      </c>
      <c r="S773">
        <v>0</v>
      </c>
      <c r="T773">
        <v>0</v>
      </c>
      <c r="U773">
        <v>0</v>
      </c>
      <c r="V773" t="s">
        <v>1030</v>
      </c>
      <c r="W773">
        <v>1596085</v>
      </c>
    </row>
    <row r="774" spans="1:23" x14ac:dyDescent="0.25">
      <c r="A774" t="s">
        <v>1032</v>
      </c>
    </row>
    <row r="775" spans="1:23" x14ac:dyDescent="0.25">
      <c r="A775" t="s">
        <v>261</v>
      </c>
      <c r="B775" t="s">
        <v>1036</v>
      </c>
      <c r="C775" t="s">
        <v>1031</v>
      </c>
      <c r="D775">
        <v>5</v>
      </c>
      <c r="E775">
        <v>0</v>
      </c>
      <c r="F775" t="s">
        <v>1034</v>
      </c>
      <c r="G775" t="s">
        <v>1034</v>
      </c>
      <c r="H775" t="s">
        <v>1034</v>
      </c>
      <c r="I775" t="s">
        <v>1034</v>
      </c>
      <c r="J775" t="s">
        <v>1034</v>
      </c>
      <c r="K775" t="s">
        <v>1034</v>
      </c>
      <c r="L775" t="s">
        <v>1034</v>
      </c>
      <c r="M775" t="s">
        <v>1034</v>
      </c>
      <c r="N775" t="s">
        <v>1034</v>
      </c>
      <c r="O775" t="s">
        <v>1034</v>
      </c>
      <c r="P775" t="s">
        <v>1034</v>
      </c>
      <c r="Q775" t="s">
        <v>1034</v>
      </c>
      <c r="R775" t="s">
        <v>1034</v>
      </c>
      <c r="S775" t="s">
        <v>1034</v>
      </c>
      <c r="T775" t="s">
        <v>1034</v>
      </c>
      <c r="U775" t="s">
        <v>1034</v>
      </c>
      <c r="V775" t="s">
        <v>1034</v>
      </c>
      <c r="W775" t="s">
        <v>1035</v>
      </c>
    </row>
    <row r="776" spans="1:23" x14ac:dyDescent="0.25">
      <c r="A776" t="s">
        <v>264</v>
      </c>
      <c r="B776" t="s">
        <v>1036</v>
      </c>
      <c r="C776" t="s">
        <v>1031</v>
      </c>
      <c r="D776">
        <v>0</v>
      </c>
      <c r="E776">
        <v>8344441</v>
      </c>
      <c r="F776">
        <v>903048</v>
      </c>
      <c r="G776">
        <v>80104</v>
      </c>
      <c r="H776">
        <v>821752</v>
      </c>
      <c r="I776">
        <v>0</v>
      </c>
      <c r="J776">
        <v>64.062195700000004</v>
      </c>
      <c r="K776">
        <v>70.593779600000005</v>
      </c>
      <c r="L776">
        <v>23.945157099999999</v>
      </c>
      <c r="M776">
        <v>39.584747800000002</v>
      </c>
      <c r="N776">
        <v>40.894356500000001</v>
      </c>
      <c r="O776">
        <v>0</v>
      </c>
      <c r="P776">
        <v>47.694000000000003</v>
      </c>
      <c r="Q776">
        <v>10.076000000000001</v>
      </c>
      <c r="R776">
        <v>0</v>
      </c>
      <c r="S776">
        <v>0</v>
      </c>
      <c r="T776">
        <v>0</v>
      </c>
      <c r="U776">
        <v>0</v>
      </c>
      <c r="V776" t="s">
        <v>1030</v>
      </c>
      <c r="W776">
        <v>8907880</v>
      </c>
    </row>
    <row r="777" spans="1:23" x14ac:dyDescent="0.25">
      <c r="A777" t="s">
        <v>264</v>
      </c>
      <c r="B777" t="s">
        <v>1036</v>
      </c>
      <c r="C777" t="s">
        <v>1031</v>
      </c>
      <c r="D777">
        <v>1</v>
      </c>
      <c r="E777">
        <v>8369491</v>
      </c>
      <c r="F777">
        <v>2833960</v>
      </c>
      <c r="G777">
        <v>289280</v>
      </c>
      <c r="H777">
        <v>2543488</v>
      </c>
      <c r="I777">
        <v>0</v>
      </c>
      <c r="J777">
        <v>69.378488000000004</v>
      </c>
      <c r="K777">
        <v>75.685801499999997</v>
      </c>
      <c r="L777">
        <v>26.364135399999999</v>
      </c>
      <c r="M777">
        <v>41.2230074</v>
      </c>
      <c r="N777">
        <v>42.338209200000001</v>
      </c>
      <c r="O777">
        <v>0</v>
      </c>
      <c r="P777">
        <v>46.786000000000001</v>
      </c>
      <c r="Q777">
        <v>10.879</v>
      </c>
      <c r="R777">
        <v>0</v>
      </c>
      <c r="S777">
        <v>0</v>
      </c>
      <c r="T777">
        <v>0</v>
      </c>
      <c r="U777">
        <v>0</v>
      </c>
      <c r="V777" t="s">
        <v>1030</v>
      </c>
      <c r="W777">
        <v>8907880</v>
      </c>
    </row>
    <row r="778" spans="1:23" x14ac:dyDescent="0.25">
      <c r="A778" t="s">
        <v>264</v>
      </c>
      <c r="B778" t="s">
        <v>1036</v>
      </c>
      <c r="C778" t="s">
        <v>1031</v>
      </c>
      <c r="D778">
        <v>2</v>
      </c>
      <c r="E778">
        <v>8137292</v>
      </c>
      <c r="F778">
        <v>8159352</v>
      </c>
      <c r="G778">
        <v>1311088</v>
      </c>
      <c r="H778">
        <v>6847072</v>
      </c>
      <c r="I778">
        <v>0</v>
      </c>
      <c r="J778">
        <v>75.567869299999998</v>
      </c>
      <c r="K778">
        <v>79.091706200000004</v>
      </c>
      <c r="L778">
        <v>28.921105900000001</v>
      </c>
      <c r="M778">
        <v>42.956042799999999</v>
      </c>
      <c r="N778">
        <v>43.806904099999997</v>
      </c>
      <c r="O778">
        <v>0</v>
      </c>
      <c r="P778">
        <v>51.279000000000003</v>
      </c>
      <c r="Q778">
        <v>13.409000000000001</v>
      </c>
      <c r="R778">
        <v>0</v>
      </c>
      <c r="S778">
        <v>0</v>
      </c>
      <c r="T778">
        <v>0</v>
      </c>
      <c r="U778">
        <v>0</v>
      </c>
      <c r="V778" t="s">
        <v>1030</v>
      </c>
      <c r="W778">
        <v>8907880</v>
      </c>
    </row>
    <row r="779" spans="1:23" x14ac:dyDescent="0.25">
      <c r="A779" t="s">
        <v>264</v>
      </c>
      <c r="B779" t="s">
        <v>1036</v>
      </c>
      <c r="C779" t="s">
        <v>1031</v>
      </c>
      <c r="D779">
        <v>3</v>
      </c>
      <c r="E779">
        <v>8689325</v>
      </c>
      <c r="F779">
        <v>20649184</v>
      </c>
      <c r="G779">
        <v>5434928</v>
      </c>
      <c r="H779">
        <v>15213064</v>
      </c>
      <c r="I779">
        <v>0</v>
      </c>
      <c r="J779">
        <v>77.238729000000006</v>
      </c>
      <c r="K779">
        <v>80.4696797</v>
      </c>
      <c r="L779">
        <v>30.097591300000001</v>
      </c>
      <c r="M779">
        <v>44.288166599999997</v>
      </c>
      <c r="N779">
        <v>45.150685899999999</v>
      </c>
      <c r="O779">
        <v>0</v>
      </c>
      <c r="P779">
        <v>72.349999999999994</v>
      </c>
      <c r="Q779">
        <v>21.113</v>
      </c>
      <c r="R779">
        <v>0</v>
      </c>
      <c r="S779">
        <v>0</v>
      </c>
      <c r="T779">
        <v>0</v>
      </c>
      <c r="U779">
        <v>0</v>
      </c>
      <c r="V779" t="s">
        <v>1030</v>
      </c>
      <c r="W779">
        <v>8907880</v>
      </c>
    </row>
    <row r="780" spans="1:23" x14ac:dyDescent="0.25">
      <c r="A780" t="s">
        <v>1032</v>
      </c>
    </row>
    <row r="781" spans="1:23" x14ac:dyDescent="0.25">
      <c r="A781" t="s">
        <v>264</v>
      </c>
      <c r="B781" t="s">
        <v>1036</v>
      </c>
      <c r="C781" t="s">
        <v>1031</v>
      </c>
      <c r="D781">
        <v>5</v>
      </c>
      <c r="E781">
        <v>0</v>
      </c>
      <c r="F781" t="s">
        <v>1034</v>
      </c>
      <c r="G781" t="s">
        <v>1034</v>
      </c>
      <c r="H781" t="s">
        <v>1034</v>
      </c>
      <c r="I781" t="s">
        <v>1034</v>
      </c>
      <c r="J781" t="s">
        <v>1034</v>
      </c>
      <c r="K781" t="s">
        <v>1034</v>
      </c>
      <c r="L781" t="s">
        <v>1034</v>
      </c>
      <c r="M781" t="s">
        <v>1034</v>
      </c>
      <c r="N781" t="s">
        <v>1034</v>
      </c>
      <c r="O781" t="s">
        <v>1034</v>
      </c>
      <c r="P781" t="s">
        <v>1034</v>
      </c>
      <c r="Q781" t="s">
        <v>1034</v>
      </c>
      <c r="R781" t="s">
        <v>1034</v>
      </c>
      <c r="S781" t="s">
        <v>1034</v>
      </c>
      <c r="T781" t="s">
        <v>1034</v>
      </c>
      <c r="U781" t="s">
        <v>1034</v>
      </c>
      <c r="V781" t="s">
        <v>1034</v>
      </c>
      <c r="W781" t="s">
        <v>1035</v>
      </c>
    </row>
    <row r="782" spans="1:23" x14ac:dyDescent="0.25">
      <c r="A782" t="s">
        <v>267</v>
      </c>
      <c r="B782" t="s">
        <v>1036</v>
      </c>
      <c r="C782" t="s">
        <v>1031</v>
      </c>
      <c r="D782">
        <v>0</v>
      </c>
      <c r="E782">
        <v>14066722</v>
      </c>
      <c r="F782">
        <v>560944</v>
      </c>
      <c r="G782">
        <v>98184</v>
      </c>
      <c r="H782">
        <v>460848</v>
      </c>
      <c r="I782">
        <v>0</v>
      </c>
      <c r="J782">
        <v>68.065072200000003</v>
      </c>
      <c r="K782">
        <v>71.023796099999998</v>
      </c>
      <c r="L782">
        <v>29.245591000000001</v>
      </c>
      <c r="M782">
        <v>42.971907100000003</v>
      </c>
      <c r="N782">
        <v>44.863351399999999</v>
      </c>
      <c r="O782">
        <v>0</v>
      </c>
      <c r="P782">
        <v>78.971999999999994</v>
      </c>
      <c r="Q782">
        <v>17.105</v>
      </c>
      <c r="R782">
        <v>0</v>
      </c>
      <c r="S782">
        <v>0</v>
      </c>
      <c r="T782">
        <v>0</v>
      </c>
      <c r="U782">
        <v>0</v>
      </c>
      <c r="V782" t="s">
        <v>1030</v>
      </c>
      <c r="W782">
        <v>19702134</v>
      </c>
    </row>
    <row r="783" spans="1:23" x14ac:dyDescent="0.25">
      <c r="A783" t="s">
        <v>267</v>
      </c>
      <c r="B783" t="s">
        <v>1036</v>
      </c>
      <c r="C783" t="s">
        <v>1031</v>
      </c>
      <c r="D783">
        <v>1</v>
      </c>
      <c r="E783">
        <v>13820697</v>
      </c>
      <c r="F783">
        <v>1916000</v>
      </c>
      <c r="G783">
        <v>336008</v>
      </c>
      <c r="H783">
        <v>1578080</v>
      </c>
      <c r="I783">
        <v>0</v>
      </c>
      <c r="J783">
        <v>74.350648500000005</v>
      </c>
      <c r="K783">
        <v>76.928054700000004</v>
      </c>
      <c r="L783">
        <v>31.112538799999999</v>
      </c>
      <c r="M783">
        <v>43.975785000000002</v>
      </c>
      <c r="N783">
        <v>45.822047699999999</v>
      </c>
      <c r="O783">
        <v>0</v>
      </c>
      <c r="P783">
        <v>79.594999999999999</v>
      </c>
      <c r="Q783">
        <v>19.172999999999998</v>
      </c>
      <c r="R783">
        <v>0</v>
      </c>
      <c r="S783">
        <v>0</v>
      </c>
      <c r="T783">
        <v>0</v>
      </c>
      <c r="U783">
        <v>0</v>
      </c>
      <c r="V783" t="s">
        <v>1030</v>
      </c>
      <c r="W783">
        <v>19702134</v>
      </c>
    </row>
    <row r="784" spans="1:23" x14ac:dyDescent="0.25">
      <c r="A784" t="s">
        <v>267</v>
      </c>
      <c r="B784" t="s">
        <v>1036</v>
      </c>
      <c r="C784" t="s">
        <v>1031</v>
      </c>
      <c r="D784">
        <v>2</v>
      </c>
      <c r="E784">
        <v>14649623</v>
      </c>
      <c r="F784">
        <v>6920472</v>
      </c>
      <c r="G784">
        <v>1313344</v>
      </c>
      <c r="H784">
        <v>5605216</v>
      </c>
      <c r="I784">
        <v>0</v>
      </c>
      <c r="J784">
        <v>79.136447799999999</v>
      </c>
      <c r="K784">
        <v>80.941286899999994</v>
      </c>
      <c r="L784">
        <v>33.434518300000001</v>
      </c>
      <c r="M784">
        <v>45.123300100000002</v>
      </c>
      <c r="N784">
        <v>46.818135300000002</v>
      </c>
      <c r="O784">
        <v>0</v>
      </c>
      <c r="P784">
        <v>89.602000000000004</v>
      </c>
      <c r="Q784">
        <v>25.72</v>
      </c>
      <c r="R784">
        <v>0</v>
      </c>
      <c r="S784">
        <v>0</v>
      </c>
      <c r="T784">
        <v>0</v>
      </c>
      <c r="U784">
        <v>0</v>
      </c>
      <c r="V784" t="s">
        <v>1030</v>
      </c>
      <c r="W784">
        <v>19702134</v>
      </c>
    </row>
    <row r="785" spans="1:23" x14ac:dyDescent="0.25">
      <c r="A785" t="s">
        <v>267</v>
      </c>
      <c r="B785" t="s">
        <v>1036</v>
      </c>
      <c r="C785" t="s">
        <v>1031</v>
      </c>
      <c r="D785">
        <v>3</v>
      </c>
      <c r="E785">
        <v>15312134</v>
      </c>
      <c r="F785">
        <v>20349520</v>
      </c>
      <c r="G785">
        <v>4738800</v>
      </c>
      <c r="H785">
        <v>15608728</v>
      </c>
      <c r="I785">
        <v>0</v>
      </c>
      <c r="J785">
        <v>80.563472300000001</v>
      </c>
      <c r="K785">
        <v>83.014914200000007</v>
      </c>
      <c r="L785">
        <v>35.573440699999999</v>
      </c>
      <c r="M785">
        <v>46.436768999999998</v>
      </c>
      <c r="N785">
        <v>47.899064299999999</v>
      </c>
      <c r="O785">
        <v>0</v>
      </c>
      <c r="P785">
        <v>101.50700000000001</v>
      </c>
      <c r="Q785">
        <v>35.067999999999998</v>
      </c>
      <c r="R785">
        <v>0</v>
      </c>
      <c r="S785">
        <v>0</v>
      </c>
      <c r="T785">
        <v>0</v>
      </c>
      <c r="U785">
        <v>0</v>
      </c>
      <c r="V785" t="s">
        <v>1030</v>
      </c>
      <c r="W785">
        <v>19702134</v>
      </c>
    </row>
    <row r="786" spans="1:23" x14ac:dyDescent="0.25">
      <c r="A786" t="s">
        <v>1032</v>
      </c>
    </row>
    <row r="787" spans="1:23" x14ac:dyDescent="0.25">
      <c r="A787" t="s">
        <v>267</v>
      </c>
      <c r="B787" t="s">
        <v>1036</v>
      </c>
      <c r="C787" t="s">
        <v>1031</v>
      </c>
      <c r="D787">
        <v>5</v>
      </c>
      <c r="E787">
        <v>0</v>
      </c>
      <c r="F787" t="s">
        <v>1034</v>
      </c>
      <c r="G787" t="s">
        <v>1034</v>
      </c>
      <c r="H787" t="s">
        <v>1034</v>
      </c>
      <c r="I787" t="s">
        <v>1034</v>
      </c>
      <c r="J787" t="s">
        <v>1034</v>
      </c>
      <c r="K787" t="s">
        <v>1034</v>
      </c>
      <c r="L787" t="s">
        <v>1034</v>
      </c>
      <c r="M787" t="s">
        <v>1034</v>
      </c>
      <c r="N787" t="s">
        <v>1034</v>
      </c>
      <c r="O787" t="s">
        <v>1034</v>
      </c>
      <c r="P787" t="s">
        <v>1034</v>
      </c>
      <c r="Q787" t="s">
        <v>1034</v>
      </c>
      <c r="R787" t="s">
        <v>1034</v>
      </c>
      <c r="S787" t="s">
        <v>1034</v>
      </c>
      <c r="T787" t="s">
        <v>1034</v>
      </c>
      <c r="U787" t="s">
        <v>1034</v>
      </c>
      <c r="V787" t="s">
        <v>1034</v>
      </c>
      <c r="W787" t="s">
        <v>1035</v>
      </c>
    </row>
    <row r="788" spans="1:23" x14ac:dyDescent="0.25">
      <c r="A788" t="s">
        <v>270</v>
      </c>
      <c r="B788" t="s">
        <v>1036</v>
      </c>
      <c r="C788" t="s">
        <v>1031</v>
      </c>
      <c r="D788">
        <v>0</v>
      </c>
      <c r="E788">
        <v>2233633</v>
      </c>
      <c r="F788">
        <v>126320</v>
      </c>
      <c r="G788">
        <v>17344</v>
      </c>
      <c r="H788">
        <v>108104</v>
      </c>
      <c r="I788">
        <v>0</v>
      </c>
      <c r="J788">
        <v>48.770139200000003</v>
      </c>
      <c r="K788">
        <v>49.578559499999997</v>
      </c>
      <c r="L788">
        <v>25.513511099999999</v>
      </c>
      <c r="M788">
        <v>42.4201458</v>
      </c>
      <c r="N788">
        <v>46.271093200000003</v>
      </c>
      <c r="O788">
        <v>0</v>
      </c>
      <c r="P788">
        <v>18.573</v>
      </c>
      <c r="Q788">
        <v>2.6349999999999998</v>
      </c>
      <c r="R788">
        <v>0</v>
      </c>
      <c r="S788">
        <v>0</v>
      </c>
      <c r="T788">
        <v>0</v>
      </c>
      <c r="U788">
        <v>0</v>
      </c>
      <c r="V788" t="s">
        <v>1030</v>
      </c>
      <c r="W788">
        <v>3614251</v>
      </c>
    </row>
    <row r="789" spans="1:23" x14ac:dyDescent="0.25">
      <c r="A789" t="s">
        <v>270</v>
      </c>
      <c r="B789" t="s">
        <v>1036</v>
      </c>
      <c r="C789" t="s">
        <v>1031</v>
      </c>
      <c r="D789">
        <v>1</v>
      </c>
      <c r="E789">
        <v>3092789</v>
      </c>
      <c r="F789">
        <v>436496</v>
      </c>
      <c r="G789">
        <v>54480</v>
      </c>
      <c r="H789">
        <v>381144</v>
      </c>
      <c r="I789">
        <v>0</v>
      </c>
      <c r="J789">
        <v>60.205872300000003</v>
      </c>
      <c r="K789">
        <v>64.290694599999995</v>
      </c>
      <c r="L789">
        <v>29.357998299999998</v>
      </c>
      <c r="M789">
        <v>44.459400500000001</v>
      </c>
      <c r="N789">
        <v>47.338350800000001</v>
      </c>
      <c r="O789">
        <v>0</v>
      </c>
      <c r="P789">
        <v>19.54</v>
      </c>
      <c r="Q789">
        <v>3.96</v>
      </c>
      <c r="R789">
        <v>0</v>
      </c>
      <c r="S789">
        <v>0</v>
      </c>
      <c r="T789">
        <v>0</v>
      </c>
      <c r="U789">
        <v>0</v>
      </c>
      <c r="V789" t="s">
        <v>1030</v>
      </c>
      <c r="W789">
        <v>3614251</v>
      </c>
    </row>
    <row r="790" spans="1:23" x14ac:dyDescent="0.25">
      <c r="A790" t="s">
        <v>270</v>
      </c>
      <c r="B790" t="s">
        <v>1036</v>
      </c>
      <c r="C790" t="s">
        <v>1031</v>
      </c>
      <c r="D790">
        <v>2</v>
      </c>
      <c r="E790">
        <v>3106434</v>
      </c>
      <c r="F790">
        <v>1318192</v>
      </c>
      <c r="G790">
        <v>175784</v>
      </c>
      <c r="H790">
        <v>1141616</v>
      </c>
      <c r="I790">
        <v>0</v>
      </c>
      <c r="J790">
        <v>65.769265799999999</v>
      </c>
      <c r="K790">
        <v>70.597715899999997</v>
      </c>
      <c r="L790">
        <v>31.529705199999999</v>
      </c>
      <c r="M790">
        <v>45.603650399999999</v>
      </c>
      <c r="N790">
        <v>48.184564299999998</v>
      </c>
      <c r="O790">
        <v>0</v>
      </c>
      <c r="P790">
        <v>19.765000000000001</v>
      </c>
      <c r="Q790">
        <v>4.4770000000000003</v>
      </c>
      <c r="R790">
        <v>0</v>
      </c>
      <c r="S790">
        <v>0</v>
      </c>
      <c r="T790">
        <v>0</v>
      </c>
      <c r="U790">
        <v>0</v>
      </c>
      <c r="V790" t="s">
        <v>1030</v>
      </c>
      <c r="W790">
        <v>3614251</v>
      </c>
    </row>
    <row r="791" spans="1:23" x14ac:dyDescent="0.25">
      <c r="A791" t="s">
        <v>270</v>
      </c>
      <c r="B791" t="s">
        <v>1036</v>
      </c>
      <c r="C791" t="s">
        <v>1031</v>
      </c>
      <c r="D791">
        <v>3</v>
      </c>
      <c r="E791">
        <v>4173729</v>
      </c>
      <c r="F791">
        <v>3977760</v>
      </c>
      <c r="G791">
        <v>614680</v>
      </c>
      <c r="H791">
        <v>3362288</v>
      </c>
      <c r="I791">
        <v>0</v>
      </c>
      <c r="J791">
        <v>69.765749200000002</v>
      </c>
      <c r="K791">
        <v>72.627085800000003</v>
      </c>
      <c r="L791">
        <v>33.469769200000002</v>
      </c>
      <c r="M791">
        <v>46.905246699999999</v>
      </c>
      <c r="N791">
        <v>48.963209200000001</v>
      </c>
      <c r="O791">
        <v>0</v>
      </c>
      <c r="P791">
        <v>26.192</v>
      </c>
      <c r="Q791">
        <v>7.1669999999999998</v>
      </c>
      <c r="R791">
        <v>0</v>
      </c>
      <c r="S791">
        <v>0</v>
      </c>
      <c r="T791">
        <v>0</v>
      </c>
      <c r="U791">
        <v>0</v>
      </c>
      <c r="V791" t="s">
        <v>1030</v>
      </c>
      <c r="W791">
        <v>3614251</v>
      </c>
    </row>
    <row r="792" spans="1:23" x14ac:dyDescent="0.25">
      <c r="A792" t="s">
        <v>1032</v>
      </c>
    </row>
    <row r="793" spans="1:23" x14ac:dyDescent="0.25">
      <c r="A793" t="s">
        <v>270</v>
      </c>
      <c r="B793" t="s">
        <v>1036</v>
      </c>
      <c r="C793" t="s">
        <v>1031</v>
      </c>
      <c r="D793">
        <v>5</v>
      </c>
      <c r="E793">
        <v>0</v>
      </c>
      <c r="F793" t="s">
        <v>1034</v>
      </c>
      <c r="G793" t="s">
        <v>1034</v>
      </c>
      <c r="H793" t="s">
        <v>1034</v>
      </c>
      <c r="I793" t="s">
        <v>1034</v>
      </c>
      <c r="J793" t="s">
        <v>1034</v>
      </c>
      <c r="K793" t="s">
        <v>1034</v>
      </c>
      <c r="L793" t="s">
        <v>1034</v>
      </c>
      <c r="M793" t="s">
        <v>1034</v>
      </c>
      <c r="N793" t="s">
        <v>1034</v>
      </c>
      <c r="O793" t="s">
        <v>1034</v>
      </c>
      <c r="P793" t="s">
        <v>1034</v>
      </c>
      <c r="Q793" t="s">
        <v>1034</v>
      </c>
      <c r="R793" t="s">
        <v>1034</v>
      </c>
      <c r="S793" t="s">
        <v>1034</v>
      </c>
      <c r="T793" t="s">
        <v>1034</v>
      </c>
      <c r="U793" t="s">
        <v>1034</v>
      </c>
      <c r="V793" t="s">
        <v>1034</v>
      </c>
      <c r="W793" t="s">
        <v>1035</v>
      </c>
    </row>
    <row r="794" spans="1:23" x14ac:dyDescent="0.25">
      <c r="A794" t="s">
        <v>273</v>
      </c>
      <c r="B794" t="s">
        <v>1036</v>
      </c>
      <c r="C794" t="s">
        <v>1031</v>
      </c>
      <c r="D794">
        <v>0</v>
      </c>
      <c r="E794">
        <v>16794373</v>
      </c>
      <c r="F794">
        <v>1164736</v>
      </c>
      <c r="G794">
        <v>125040</v>
      </c>
      <c r="H794">
        <v>1037664</v>
      </c>
      <c r="I794">
        <v>0</v>
      </c>
      <c r="J794">
        <v>55.130734699999998</v>
      </c>
      <c r="K794">
        <v>55.761971600000003</v>
      </c>
      <c r="L794">
        <v>24.341210799999999</v>
      </c>
      <c r="M794">
        <v>39.051796600000003</v>
      </c>
      <c r="N794">
        <v>43.684196900000003</v>
      </c>
      <c r="O794">
        <v>0</v>
      </c>
      <c r="P794">
        <v>102.98399999999999</v>
      </c>
      <c r="Q794">
        <v>22.798999999999999</v>
      </c>
      <c r="R794">
        <v>0</v>
      </c>
      <c r="S794">
        <v>0</v>
      </c>
      <c r="T794">
        <v>0</v>
      </c>
      <c r="U794">
        <v>0</v>
      </c>
      <c r="V794" t="s">
        <v>1030</v>
      </c>
      <c r="W794">
        <v>13903516</v>
      </c>
    </row>
    <row r="795" spans="1:23" x14ac:dyDescent="0.25">
      <c r="A795" t="s">
        <v>273</v>
      </c>
      <c r="B795" t="s">
        <v>1036</v>
      </c>
      <c r="C795" t="s">
        <v>1031</v>
      </c>
      <c r="D795">
        <v>1</v>
      </c>
      <c r="E795">
        <v>16327522</v>
      </c>
      <c r="F795">
        <v>3944360</v>
      </c>
      <c r="G795">
        <v>380888</v>
      </c>
      <c r="H795">
        <v>3561600</v>
      </c>
      <c r="I795">
        <v>0</v>
      </c>
      <c r="J795">
        <v>67.689477100000005</v>
      </c>
      <c r="K795">
        <v>71.308047000000002</v>
      </c>
      <c r="L795">
        <v>28.063596499999999</v>
      </c>
      <c r="M795">
        <v>41.876536600000001</v>
      </c>
      <c r="N795">
        <v>46.123760400000002</v>
      </c>
      <c r="O795">
        <v>0</v>
      </c>
      <c r="P795">
        <v>108.31699999999999</v>
      </c>
      <c r="Q795">
        <v>24.456</v>
      </c>
      <c r="R795">
        <v>0</v>
      </c>
      <c r="S795">
        <v>0</v>
      </c>
      <c r="T795">
        <v>0</v>
      </c>
      <c r="U795">
        <v>0</v>
      </c>
      <c r="V795" t="s">
        <v>1030</v>
      </c>
      <c r="W795">
        <v>13903516</v>
      </c>
    </row>
    <row r="796" spans="1:23" x14ac:dyDescent="0.25">
      <c r="A796" t="s">
        <v>273</v>
      </c>
      <c r="B796" t="s">
        <v>1036</v>
      </c>
      <c r="C796" t="s">
        <v>1031</v>
      </c>
      <c r="D796">
        <v>2</v>
      </c>
      <c r="E796">
        <v>13942091</v>
      </c>
      <c r="F796">
        <v>10784096</v>
      </c>
      <c r="G796">
        <v>1321488</v>
      </c>
      <c r="H796">
        <v>9460816</v>
      </c>
      <c r="I796">
        <v>0</v>
      </c>
      <c r="J796">
        <v>71.530000299999998</v>
      </c>
      <c r="K796">
        <v>75.941246000000007</v>
      </c>
      <c r="L796">
        <v>30.142194</v>
      </c>
      <c r="M796">
        <v>43.588295899999999</v>
      </c>
      <c r="N796">
        <v>47.418911899999998</v>
      </c>
      <c r="O796">
        <v>0</v>
      </c>
      <c r="P796">
        <v>111.944</v>
      </c>
      <c r="Q796">
        <v>24.512</v>
      </c>
      <c r="R796">
        <v>0</v>
      </c>
      <c r="S796">
        <v>0</v>
      </c>
      <c r="T796">
        <v>0</v>
      </c>
      <c r="U796">
        <v>0</v>
      </c>
      <c r="V796" t="s">
        <v>1030</v>
      </c>
      <c r="W796">
        <v>13903516</v>
      </c>
    </row>
    <row r="797" spans="1:23" x14ac:dyDescent="0.25">
      <c r="A797" t="s">
        <v>273</v>
      </c>
      <c r="B797" t="s">
        <v>1036</v>
      </c>
      <c r="C797" t="s">
        <v>1031</v>
      </c>
      <c r="D797">
        <v>3</v>
      </c>
      <c r="E797">
        <v>15501434</v>
      </c>
      <c r="F797">
        <v>26746616</v>
      </c>
      <c r="G797">
        <v>4829928</v>
      </c>
      <c r="H797">
        <v>21914896</v>
      </c>
      <c r="I797">
        <v>0</v>
      </c>
      <c r="J797">
        <v>73.360866299999998</v>
      </c>
      <c r="K797">
        <v>78.287945100000002</v>
      </c>
      <c r="L797">
        <v>31.4752899</v>
      </c>
      <c r="M797">
        <v>45.4819478</v>
      </c>
      <c r="N797">
        <v>48.8336459</v>
      </c>
      <c r="O797">
        <v>0</v>
      </c>
      <c r="P797">
        <v>144.429</v>
      </c>
      <c r="Q797">
        <v>31.367000000000001</v>
      </c>
      <c r="R797">
        <v>0</v>
      </c>
      <c r="S797">
        <v>0</v>
      </c>
      <c r="T797">
        <v>0</v>
      </c>
      <c r="U797">
        <v>0</v>
      </c>
      <c r="V797" t="s">
        <v>1030</v>
      </c>
      <c r="W797">
        <v>13903516</v>
      </c>
    </row>
    <row r="798" spans="1:23" x14ac:dyDescent="0.25">
      <c r="A798" t="s">
        <v>1032</v>
      </c>
    </row>
    <row r="799" spans="1:23" x14ac:dyDescent="0.25">
      <c r="A799" t="s">
        <v>273</v>
      </c>
      <c r="B799" t="s">
        <v>1036</v>
      </c>
      <c r="C799" t="s">
        <v>1031</v>
      </c>
      <c r="D799">
        <v>5</v>
      </c>
      <c r="E799">
        <v>0</v>
      </c>
      <c r="F799" t="s">
        <v>1034</v>
      </c>
      <c r="G799" t="s">
        <v>1034</v>
      </c>
      <c r="H799" t="s">
        <v>1034</v>
      </c>
      <c r="I799" t="s">
        <v>1034</v>
      </c>
      <c r="J799" t="s">
        <v>1034</v>
      </c>
      <c r="K799" t="s">
        <v>1034</v>
      </c>
      <c r="L799" t="s">
        <v>1034</v>
      </c>
      <c r="M799" t="s">
        <v>1034</v>
      </c>
      <c r="N799" t="s">
        <v>1034</v>
      </c>
      <c r="O799" t="s">
        <v>1034</v>
      </c>
      <c r="P799" t="s">
        <v>1034</v>
      </c>
      <c r="Q799" t="s">
        <v>1034</v>
      </c>
      <c r="R799" t="s">
        <v>1034</v>
      </c>
      <c r="S799" t="s">
        <v>1034</v>
      </c>
      <c r="T799" t="s">
        <v>1034</v>
      </c>
      <c r="U799" t="s">
        <v>1034</v>
      </c>
      <c r="V799" t="s">
        <v>1034</v>
      </c>
      <c r="W799" t="s">
        <v>1035</v>
      </c>
    </row>
    <row r="800" spans="1:23" x14ac:dyDescent="0.25">
      <c r="A800" t="s">
        <v>276</v>
      </c>
      <c r="B800" t="s">
        <v>1036</v>
      </c>
      <c r="C800" t="s">
        <v>1031</v>
      </c>
      <c r="D800">
        <v>0</v>
      </c>
      <c r="E800">
        <v>2147569</v>
      </c>
      <c r="F800">
        <v>175216</v>
      </c>
      <c r="G800">
        <v>16496</v>
      </c>
      <c r="H800">
        <v>157768</v>
      </c>
      <c r="I800">
        <v>0</v>
      </c>
      <c r="J800">
        <v>50.946210200000003</v>
      </c>
      <c r="K800">
        <v>54.138122099999997</v>
      </c>
      <c r="L800">
        <v>23.661882599999998</v>
      </c>
      <c r="M800">
        <v>38.128851099999999</v>
      </c>
      <c r="N800">
        <v>40.735894100000003</v>
      </c>
      <c r="O800">
        <v>0</v>
      </c>
      <c r="P800">
        <v>18.242999999999999</v>
      </c>
      <c r="Q800">
        <v>2.2850000000000001</v>
      </c>
      <c r="R800">
        <v>0</v>
      </c>
      <c r="S800">
        <v>0</v>
      </c>
      <c r="T800">
        <v>0</v>
      </c>
      <c r="U800">
        <v>0</v>
      </c>
      <c r="V800" t="s">
        <v>1030</v>
      </c>
      <c r="W800">
        <v>4848745</v>
      </c>
    </row>
    <row r="801" spans="1:23" x14ac:dyDescent="0.25">
      <c r="A801" t="s">
        <v>276</v>
      </c>
      <c r="B801" t="s">
        <v>1036</v>
      </c>
      <c r="C801" t="s">
        <v>1031</v>
      </c>
      <c r="D801">
        <v>1</v>
      </c>
      <c r="E801">
        <v>3689129</v>
      </c>
      <c r="F801">
        <v>762088</v>
      </c>
      <c r="G801">
        <v>47480</v>
      </c>
      <c r="H801">
        <v>713736</v>
      </c>
      <c r="I801">
        <v>0</v>
      </c>
      <c r="J801">
        <v>61.937266399999999</v>
      </c>
      <c r="K801">
        <v>65.290520599999994</v>
      </c>
      <c r="L801">
        <v>27.377940599999999</v>
      </c>
      <c r="M801">
        <v>40.302767000000003</v>
      </c>
      <c r="N801">
        <v>42.025168499999999</v>
      </c>
      <c r="O801">
        <v>0</v>
      </c>
      <c r="P801">
        <v>22.742000000000001</v>
      </c>
      <c r="Q801">
        <v>4.2569999999999997</v>
      </c>
      <c r="R801">
        <v>0</v>
      </c>
      <c r="S801">
        <v>0</v>
      </c>
      <c r="T801">
        <v>0</v>
      </c>
      <c r="U801">
        <v>0</v>
      </c>
      <c r="V801" t="s">
        <v>1030</v>
      </c>
      <c r="W801">
        <v>4848745</v>
      </c>
    </row>
    <row r="802" spans="1:23" x14ac:dyDescent="0.25">
      <c r="A802" t="s">
        <v>276</v>
      </c>
      <c r="B802" t="s">
        <v>1036</v>
      </c>
      <c r="C802" t="s">
        <v>1031</v>
      </c>
      <c r="D802">
        <v>2</v>
      </c>
      <c r="E802">
        <v>3320545</v>
      </c>
      <c r="F802">
        <v>2121648</v>
      </c>
      <c r="G802">
        <v>168304</v>
      </c>
      <c r="H802">
        <v>1952472</v>
      </c>
      <c r="I802">
        <v>0</v>
      </c>
      <c r="J802">
        <v>66.667799700000003</v>
      </c>
      <c r="K802">
        <v>69.856256299999998</v>
      </c>
      <c r="L802">
        <v>29.3513357</v>
      </c>
      <c r="M802">
        <v>41.842602999999997</v>
      </c>
      <c r="N802">
        <v>43.073971899999997</v>
      </c>
      <c r="O802">
        <v>0</v>
      </c>
      <c r="P802">
        <v>22.306000000000001</v>
      </c>
      <c r="Q802">
        <v>4.4320000000000004</v>
      </c>
      <c r="R802">
        <v>0</v>
      </c>
      <c r="S802">
        <v>0</v>
      </c>
      <c r="T802">
        <v>0</v>
      </c>
      <c r="U802">
        <v>0</v>
      </c>
      <c r="V802" t="s">
        <v>1030</v>
      </c>
      <c r="W802">
        <v>4848745</v>
      </c>
    </row>
    <row r="803" spans="1:23" x14ac:dyDescent="0.25">
      <c r="A803" t="s">
        <v>276</v>
      </c>
      <c r="B803" t="s">
        <v>1036</v>
      </c>
      <c r="C803" t="s">
        <v>1031</v>
      </c>
      <c r="D803">
        <v>3</v>
      </c>
      <c r="E803">
        <v>4373549</v>
      </c>
      <c r="F803">
        <v>5833984</v>
      </c>
      <c r="G803">
        <v>645312</v>
      </c>
      <c r="H803">
        <v>5187800</v>
      </c>
      <c r="I803">
        <v>0</v>
      </c>
      <c r="J803">
        <v>69.335817500000005</v>
      </c>
      <c r="K803">
        <v>72.212328900000003</v>
      </c>
      <c r="L803">
        <v>30.430522400000001</v>
      </c>
      <c r="M803">
        <v>43.033002799999998</v>
      </c>
      <c r="N803">
        <v>44.242074199999998</v>
      </c>
      <c r="O803">
        <v>0</v>
      </c>
      <c r="P803">
        <v>28.818999999999999</v>
      </c>
      <c r="Q803">
        <v>7.1849999999999996</v>
      </c>
      <c r="R803">
        <v>0</v>
      </c>
      <c r="S803">
        <v>0</v>
      </c>
      <c r="T803">
        <v>0</v>
      </c>
      <c r="U803">
        <v>0</v>
      </c>
      <c r="V803" t="s">
        <v>1030</v>
      </c>
      <c r="W803">
        <v>4848745</v>
      </c>
    </row>
    <row r="804" spans="1:23" x14ac:dyDescent="0.25">
      <c r="A804" t="s">
        <v>1032</v>
      </c>
    </row>
    <row r="805" spans="1:23" x14ac:dyDescent="0.25">
      <c r="A805" t="s">
        <v>276</v>
      </c>
      <c r="B805" t="s">
        <v>1036</v>
      </c>
      <c r="C805" t="s">
        <v>1031</v>
      </c>
      <c r="D805">
        <v>5</v>
      </c>
      <c r="E805">
        <v>0</v>
      </c>
      <c r="F805" t="s">
        <v>1034</v>
      </c>
      <c r="G805" t="s">
        <v>1034</v>
      </c>
      <c r="H805" t="s">
        <v>1034</v>
      </c>
      <c r="I805" t="s">
        <v>1034</v>
      </c>
      <c r="J805" t="s">
        <v>1034</v>
      </c>
      <c r="K805" t="s">
        <v>1034</v>
      </c>
      <c r="L805" t="s">
        <v>1034</v>
      </c>
      <c r="M805" t="s">
        <v>1034</v>
      </c>
      <c r="N805" t="s">
        <v>1034</v>
      </c>
      <c r="O805" t="s">
        <v>1034</v>
      </c>
      <c r="P805" t="s">
        <v>1034</v>
      </c>
      <c r="Q805" t="s">
        <v>1034</v>
      </c>
      <c r="R805" t="s">
        <v>1034</v>
      </c>
      <c r="S805" t="s">
        <v>1034</v>
      </c>
      <c r="T805" t="s">
        <v>1034</v>
      </c>
      <c r="U805" t="s">
        <v>1034</v>
      </c>
      <c r="V805" t="s">
        <v>1034</v>
      </c>
      <c r="W805" t="s">
        <v>1035</v>
      </c>
    </row>
    <row r="806" spans="1:23" x14ac:dyDescent="0.25">
      <c r="A806" t="s">
        <v>279</v>
      </c>
      <c r="B806" t="s">
        <v>1036</v>
      </c>
      <c r="C806" t="s">
        <v>1031</v>
      </c>
      <c r="D806">
        <v>0</v>
      </c>
      <c r="E806">
        <v>12568561</v>
      </c>
      <c r="F806">
        <v>1565304</v>
      </c>
      <c r="G806">
        <v>75968</v>
      </c>
      <c r="H806">
        <v>1487064</v>
      </c>
      <c r="I806">
        <v>0</v>
      </c>
      <c r="J806">
        <v>67.611583100000004</v>
      </c>
      <c r="K806">
        <v>72.976930999999993</v>
      </c>
      <c r="L806">
        <v>23.5050296</v>
      </c>
      <c r="M806">
        <v>37.671579100000002</v>
      </c>
      <c r="N806">
        <v>38.7701621</v>
      </c>
      <c r="O806">
        <v>0</v>
      </c>
      <c r="P806">
        <v>146.43799999999999</v>
      </c>
      <c r="Q806">
        <v>11.919</v>
      </c>
      <c r="R806">
        <v>0</v>
      </c>
      <c r="S806">
        <v>0</v>
      </c>
      <c r="T806">
        <v>0</v>
      </c>
      <c r="U806">
        <v>0</v>
      </c>
      <c r="V806" t="s">
        <v>1030</v>
      </c>
      <c r="W806">
        <v>71948094</v>
      </c>
    </row>
    <row r="807" spans="1:23" x14ac:dyDescent="0.25">
      <c r="A807" t="s">
        <v>279</v>
      </c>
      <c r="B807" t="s">
        <v>1036</v>
      </c>
      <c r="C807" t="s">
        <v>1031</v>
      </c>
      <c r="D807">
        <v>1</v>
      </c>
      <c r="E807">
        <v>12810801</v>
      </c>
      <c r="F807">
        <v>5592640</v>
      </c>
      <c r="G807">
        <v>245968</v>
      </c>
      <c r="H807">
        <v>5344400</v>
      </c>
      <c r="I807">
        <v>0</v>
      </c>
      <c r="J807">
        <v>73.007217999999995</v>
      </c>
      <c r="K807">
        <v>77.685370000000006</v>
      </c>
      <c r="L807">
        <v>25.124640599999999</v>
      </c>
      <c r="M807">
        <v>38.966206700000001</v>
      </c>
      <c r="N807">
        <v>40.3093431</v>
      </c>
      <c r="O807">
        <v>0</v>
      </c>
      <c r="P807">
        <v>137.09399999999999</v>
      </c>
      <c r="Q807">
        <v>13.209</v>
      </c>
      <c r="R807">
        <v>0</v>
      </c>
      <c r="S807">
        <v>0</v>
      </c>
      <c r="T807">
        <v>0</v>
      </c>
      <c r="U807">
        <v>0</v>
      </c>
      <c r="V807" t="s">
        <v>1030</v>
      </c>
      <c r="W807">
        <v>71948094</v>
      </c>
    </row>
    <row r="808" spans="1:23" x14ac:dyDescent="0.25">
      <c r="A808" t="s">
        <v>279</v>
      </c>
      <c r="B808" t="s">
        <v>1036</v>
      </c>
      <c r="C808" t="s">
        <v>1031</v>
      </c>
      <c r="D808">
        <v>2</v>
      </c>
      <c r="E808">
        <v>14351356</v>
      </c>
      <c r="F808">
        <v>17565792</v>
      </c>
      <c r="G808">
        <v>1092776</v>
      </c>
      <c r="H808">
        <v>16470744</v>
      </c>
      <c r="I808">
        <v>0</v>
      </c>
      <c r="J808">
        <v>78.432040499999999</v>
      </c>
      <c r="K808">
        <v>80.750787200000005</v>
      </c>
      <c r="L808">
        <v>26.5338122</v>
      </c>
      <c r="M808">
        <v>40.477826499999999</v>
      </c>
      <c r="N808">
        <v>41.963101100000003</v>
      </c>
      <c r="O808">
        <v>0</v>
      </c>
      <c r="P808">
        <v>140.29900000000001</v>
      </c>
      <c r="Q808">
        <v>19.02</v>
      </c>
      <c r="R808">
        <v>0</v>
      </c>
      <c r="S808">
        <v>0</v>
      </c>
      <c r="T808">
        <v>0</v>
      </c>
      <c r="U808">
        <v>0</v>
      </c>
      <c r="V808" t="s">
        <v>1030</v>
      </c>
      <c r="W808">
        <v>71948094</v>
      </c>
    </row>
    <row r="809" spans="1:23" x14ac:dyDescent="0.25">
      <c r="A809" t="s">
        <v>279</v>
      </c>
      <c r="B809" t="s">
        <v>1036</v>
      </c>
      <c r="C809" t="s">
        <v>1031</v>
      </c>
      <c r="D809">
        <v>3</v>
      </c>
      <c r="E809">
        <v>15195636</v>
      </c>
      <c r="F809">
        <v>40993368</v>
      </c>
      <c r="G809">
        <v>4345720</v>
      </c>
      <c r="H809">
        <v>36645376</v>
      </c>
      <c r="I809">
        <v>0</v>
      </c>
      <c r="J809">
        <v>81.0018101</v>
      </c>
      <c r="K809">
        <v>82.862695900000006</v>
      </c>
      <c r="L809">
        <v>27.467487299999998</v>
      </c>
      <c r="M809">
        <v>42.015529000000001</v>
      </c>
      <c r="N809">
        <v>43.646991499999999</v>
      </c>
      <c r="O809">
        <v>0</v>
      </c>
      <c r="P809">
        <v>159.648</v>
      </c>
      <c r="Q809">
        <v>31.460999999999999</v>
      </c>
      <c r="R809">
        <v>0</v>
      </c>
      <c r="S809">
        <v>0</v>
      </c>
      <c r="T809">
        <v>0</v>
      </c>
      <c r="U809">
        <v>0</v>
      </c>
      <c r="V809" t="s">
        <v>1030</v>
      </c>
      <c r="W809">
        <v>71948094</v>
      </c>
    </row>
    <row r="810" spans="1:23" x14ac:dyDescent="0.25">
      <c r="A810" t="s">
        <v>1032</v>
      </c>
    </row>
    <row r="811" spans="1:23" x14ac:dyDescent="0.25">
      <c r="A811" t="s">
        <v>279</v>
      </c>
      <c r="B811" t="s">
        <v>1036</v>
      </c>
      <c r="C811" t="s">
        <v>1031</v>
      </c>
      <c r="D811">
        <v>5</v>
      </c>
      <c r="E811">
        <v>0</v>
      </c>
      <c r="F811" t="s">
        <v>1034</v>
      </c>
      <c r="G811" t="s">
        <v>1034</v>
      </c>
      <c r="H811" t="s">
        <v>1034</v>
      </c>
      <c r="I811" t="s">
        <v>1034</v>
      </c>
      <c r="J811" t="s">
        <v>1034</v>
      </c>
      <c r="K811" t="s">
        <v>1034</v>
      </c>
      <c r="L811" t="s">
        <v>1034</v>
      </c>
      <c r="M811" t="s">
        <v>1034</v>
      </c>
      <c r="N811" t="s">
        <v>1034</v>
      </c>
      <c r="O811" t="s">
        <v>1034</v>
      </c>
      <c r="P811" t="s">
        <v>1034</v>
      </c>
      <c r="Q811" t="s">
        <v>1034</v>
      </c>
      <c r="R811" t="s">
        <v>1034</v>
      </c>
      <c r="S811" t="s">
        <v>1034</v>
      </c>
      <c r="T811" t="s">
        <v>1034</v>
      </c>
      <c r="U811" t="s">
        <v>1034</v>
      </c>
      <c r="V811" t="s">
        <v>1034</v>
      </c>
      <c r="W811" t="s">
        <v>1035</v>
      </c>
    </row>
    <row r="812" spans="1:23" x14ac:dyDescent="0.25">
      <c r="A812" t="s">
        <v>282</v>
      </c>
      <c r="B812" t="s">
        <v>1036</v>
      </c>
      <c r="C812" t="s">
        <v>1031</v>
      </c>
      <c r="D812">
        <v>0</v>
      </c>
      <c r="E812">
        <v>3461686</v>
      </c>
      <c r="F812">
        <v>485792</v>
      </c>
      <c r="G812">
        <v>28080</v>
      </c>
      <c r="H812">
        <v>456960</v>
      </c>
      <c r="I812">
        <v>0</v>
      </c>
      <c r="J812">
        <v>62.354093900000002</v>
      </c>
      <c r="K812">
        <v>62.729881399999996</v>
      </c>
      <c r="L812">
        <v>29.035560100000001</v>
      </c>
      <c r="M812">
        <v>36.464601700000003</v>
      </c>
      <c r="N812">
        <v>35.673292799999999</v>
      </c>
      <c r="O812">
        <v>0</v>
      </c>
      <c r="P812">
        <v>15.936999999999999</v>
      </c>
      <c r="Q812">
        <v>4.0199999999999996</v>
      </c>
      <c r="R812">
        <v>0</v>
      </c>
      <c r="S812">
        <v>0</v>
      </c>
      <c r="T812">
        <v>0</v>
      </c>
      <c r="U812">
        <v>0</v>
      </c>
      <c r="V812" t="s">
        <v>1030</v>
      </c>
      <c r="W812">
        <v>3096122</v>
      </c>
    </row>
    <row r="813" spans="1:23" x14ac:dyDescent="0.25">
      <c r="A813" t="s">
        <v>282</v>
      </c>
      <c r="B813" t="s">
        <v>1036</v>
      </c>
      <c r="C813" t="s">
        <v>1031</v>
      </c>
      <c r="D813">
        <v>1</v>
      </c>
      <c r="E813">
        <v>3216950</v>
      </c>
      <c r="F813">
        <v>1085152</v>
      </c>
      <c r="G813">
        <v>85888</v>
      </c>
      <c r="H813">
        <v>998512</v>
      </c>
      <c r="I813">
        <v>0</v>
      </c>
      <c r="J813">
        <v>69.284953000000002</v>
      </c>
      <c r="K813">
        <v>70.312575499999994</v>
      </c>
      <c r="L813">
        <v>32.626904199999998</v>
      </c>
      <c r="M813">
        <v>39.970262900000002</v>
      </c>
      <c r="N813">
        <v>39.478062000000001</v>
      </c>
      <c r="O813">
        <v>0</v>
      </c>
      <c r="P813">
        <v>14.429</v>
      </c>
      <c r="Q813">
        <v>4.0419999999999998</v>
      </c>
      <c r="R813">
        <v>0</v>
      </c>
      <c r="S813">
        <v>0</v>
      </c>
      <c r="T813">
        <v>0</v>
      </c>
      <c r="U813">
        <v>0</v>
      </c>
      <c r="V813" t="s">
        <v>1030</v>
      </c>
      <c r="W813">
        <v>3096122</v>
      </c>
    </row>
    <row r="814" spans="1:23" x14ac:dyDescent="0.25">
      <c r="A814" t="s">
        <v>282</v>
      </c>
      <c r="B814" t="s">
        <v>1036</v>
      </c>
      <c r="C814" t="s">
        <v>1031</v>
      </c>
      <c r="D814">
        <v>2</v>
      </c>
      <c r="E814">
        <v>3263082</v>
      </c>
      <c r="F814">
        <v>2429448</v>
      </c>
      <c r="G814">
        <v>276912</v>
      </c>
      <c r="H814">
        <v>2151784</v>
      </c>
      <c r="I814">
        <v>0</v>
      </c>
      <c r="J814">
        <v>73.061216599999995</v>
      </c>
      <c r="K814">
        <v>75.318983599999996</v>
      </c>
      <c r="L814">
        <v>35.6834609</v>
      </c>
      <c r="M814">
        <v>42.777434</v>
      </c>
      <c r="N814">
        <v>42.2776639</v>
      </c>
      <c r="O814">
        <v>0</v>
      </c>
      <c r="P814">
        <v>15.228</v>
      </c>
      <c r="Q814">
        <v>5.0590000000000002</v>
      </c>
      <c r="R814">
        <v>0</v>
      </c>
      <c r="S814">
        <v>0</v>
      </c>
      <c r="T814">
        <v>0</v>
      </c>
      <c r="U814">
        <v>0</v>
      </c>
      <c r="V814" t="s">
        <v>1030</v>
      </c>
      <c r="W814">
        <v>3096122</v>
      </c>
    </row>
    <row r="815" spans="1:23" x14ac:dyDescent="0.25">
      <c r="A815" t="s">
        <v>282</v>
      </c>
      <c r="B815" t="s">
        <v>1036</v>
      </c>
      <c r="C815" t="s">
        <v>1031</v>
      </c>
      <c r="D815">
        <v>3</v>
      </c>
      <c r="E815">
        <v>3402266</v>
      </c>
      <c r="F815">
        <v>5159824</v>
      </c>
      <c r="G815">
        <v>835584</v>
      </c>
      <c r="H815">
        <v>4323488</v>
      </c>
      <c r="I815">
        <v>0</v>
      </c>
      <c r="J815">
        <v>73.929904899999997</v>
      </c>
      <c r="K815">
        <v>76.708850200000001</v>
      </c>
      <c r="L815">
        <v>37.517703900000001</v>
      </c>
      <c r="M815">
        <v>45.151617700000003</v>
      </c>
      <c r="N815">
        <v>44.481180799999997</v>
      </c>
      <c r="O815">
        <v>0</v>
      </c>
      <c r="P815">
        <v>18.811</v>
      </c>
      <c r="Q815">
        <v>7.9820000000000002</v>
      </c>
      <c r="R815">
        <v>0</v>
      </c>
      <c r="S815">
        <v>0</v>
      </c>
      <c r="T815">
        <v>0</v>
      </c>
      <c r="U815">
        <v>0</v>
      </c>
      <c r="V815" t="s">
        <v>1030</v>
      </c>
      <c r="W815">
        <v>3096122</v>
      </c>
    </row>
    <row r="816" spans="1:23" x14ac:dyDescent="0.25">
      <c r="A816" t="s">
        <v>1032</v>
      </c>
    </row>
    <row r="817" spans="1:23" x14ac:dyDescent="0.25">
      <c r="A817" t="s">
        <v>282</v>
      </c>
      <c r="B817" t="s">
        <v>1036</v>
      </c>
      <c r="C817" t="s">
        <v>1031</v>
      </c>
      <c r="D817">
        <v>5</v>
      </c>
      <c r="E817">
        <v>0</v>
      </c>
      <c r="F817" t="s">
        <v>1034</v>
      </c>
      <c r="G817" t="s">
        <v>1034</v>
      </c>
      <c r="H817" t="s">
        <v>1034</v>
      </c>
      <c r="I817" t="s">
        <v>1034</v>
      </c>
      <c r="J817" t="s">
        <v>1034</v>
      </c>
      <c r="K817" t="s">
        <v>1034</v>
      </c>
      <c r="L817" t="s">
        <v>1034</v>
      </c>
      <c r="M817" t="s">
        <v>1034</v>
      </c>
      <c r="N817" t="s">
        <v>1034</v>
      </c>
      <c r="O817" t="s">
        <v>1034</v>
      </c>
      <c r="P817" t="s">
        <v>1034</v>
      </c>
      <c r="Q817" t="s">
        <v>1034</v>
      </c>
      <c r="R817" t="s">
        <v>1034</v>
      </c>
      <c r="S817" t="s">
        <v>1034</v>
      </c>
      <c r="T817" t="s">
        <v>1034</v>
      </c>
      <c r="U817" t="s">
        <v>1034</v>
      </c>
      <c r="V817" t="s">
        <v>1034</v>
      </c>
      <c r="W817" t="s">
        <v>1035</v>
      </c>
    </row>
    <row r="818" spans="1:23" x14ac:dyDescent="0.25">
      <c r="A818" t="s">
        <v>285</v>
      </c>
      <c r="B818" t="s">
        <v>1036</v>
      </c>
      <c r="C818" t="s">
        <v>1031</v>
      </c>
      <c r="D818">
        <v>0</v>
      </c>
      <c r="E818">
        <v>3230237</v>
      </c>
      <c r="F818">
        <v>105800</v>
      </c>
      <c r="G818">
        <v>25104</v>
      </c>
      <c r="H818">
        <v>79944</v>
      </c>
      <c r="I818">
        <v>0</v>
      </c>
      <c r="J818">
        <v>63.958267300000003</v>
      </c>
      <c r="K818">
        <v>64.382754599999998</v>
      </c>
      <c r="L818">
        <v>34.754673799999999</v>
      </c>
      <c r="M818">
        <v>48.246020999999999</v>
      </c>
      <c r="N818">
        <v>48.1120977</v>
      </c>
      <c r="O818">
        <v>0</v>
      </c>
      <c r="P818">
        <v>15.747</v>
      </c>
      <c r="Q818">
        <v>3.851</v>
      </c>
      <c r="R818">
        <v>0</v>
      </c>
      <c r="S818">
        <v>0</v>
      </c>
      <c r="T818">
        <v>0</v>
      </c>
      <c r="U818">
        <v>0</v>
      </c>
      <c r="V818" t="s">
        <v>1030</v>
      </c>
      <c r="W818">
        <v>3017285</v>
      </c>
    </row>
    <row r="819" spans="1:23" x14ac:dyDescent="0.25">
      <c r="A819" t="s">
        <v>285</v>
      </c>
      <c r="B819" t="s">
        <v>1036</v>
      </c>
      <c r="C819" t="s">
        <v>1031</v>
      </c>
      <c r="D819">
        <v>1</v>
      </c>
      <c r="E819">
        <v>3029910</v>
      </c>
      <c r="F819">
        <v>260840</v>
      </c>
      <c r="G819">
        <v>76136</v>
      </c>
      <c r="H819">
        <v>183952</v>
      </c>
      <c r="I819">
        <v>0</v>
      </c>
      <c r="J819">
        <v>69.984952300000003</v>
      </c>
      <c r="K819">
        <v>71.128644199999997</v>
      </c>
      <c r="L819">
        <v>38.215899</v>
      </c>
      <c r="M819">
        <v>50.038007899999997</v>
      </c>
      <c r="N819">
        <v>50.321711299999997</v>
      </c>
      <c r="O819">
        <v>0</v>
      </c>
      <c r="P819">
        <v>14.6</v>
      </c>
      <c r="Q819">
        <v>3.9790000000000001</v>
      </c>
      <c r="R819">
        <v>0</v>
      </c>
      <c r="S819">
        <v>0</v>
      </c>
      <c r="T819">
        <v>0</v>
      </c>
      <c r="U819">
        <v>0</v>
      </c>
      <c r="V819" t="s">
        <v>1030</v>
      </c>
      <c r="W819">
        <v>3017285</v>
      </c>
    </row>
    <row r="820" spans="1:23" x14ac:dyDescent="0.25">
      <c r="A820" t="s">
        <v>285</v>
      </c>
      <c r="B820" t="s">
        <v>1036</v>
      </c>
      <c r="C820" t="s">
        <v>1031</v>
      </c>
      <c r="D820">
        <v>2</v>
      </c>
      <c r="E820">
        <v>3110158</v>
      </c>
      <c r="F820">
        <v>654120</v>
      </c>
      <c r="G820">
        <v>249664</v>
      </c>
      <c r="H820">
        <v>403704</v>
      </c>
      <c r="I820">
        <v>0</v>
      </c>
      <c r="J820">
        <v>73.094911499999995</v>
      </c>
      <c r="K820">
        <v>75.320075599999996</v>
      </c>
      <c r="L820">
        <v>41.424526</v>
      </c>
      <c r="M820">
        <v>51.688238400000003</v>
      </c>
      <c r="N820">
        <v>51.967080699999997</v>
      </c>
      <c r="O820">
        <v>0</v>
      </c>
      <c r="P820">
        <v>15.566000000000001</v>
      </c>
      <c r="Q820">
        <v>4.9859999999999998</v>
      </c>
      <c r="R820">
        <v>0</v>
      </c>
      <c r="S820">
        <v>0</v>
      </c>
      <c r="T820">
        <v>0</v>
      </c>
      <c r="U820">
        <v>0</v>
      </c>
      <c r="V820" t="s">
        <v>1030</v>
      </c>
      <c r="W820">
        <v>3017285</v>
      </c>
    </row>
    <row r="821" spans="1:23" x14ac:dyDescent="0.25">
      <c r="A821" t="s">
        <v>285</v>
      </c>
      <c r="B821" t="s">
        <v>1036</v>
      </c>
      <c r="C821" t="s">
        <v>1031</v>
      </c>
      <c r="D821">
        <v>3</v>
      </c>
      <c r="E821">
        <v>3241473</v>
      </c>
      <c r="F821">
        <v>1571104</v>
      </c>
      <c r="G821">
        <v>756984</v>
      </c>
      <c r="H821">
        <v>813368</v>
      </c>
      <c r="I821">
        <v>0</v>
      </c>
      <c r="J821">
        <v>73.989809399999999</v>
      </c>
      <c r="K821">
        <v>76.767349100000004</v>
      </c>
      <c r="L821">
        <v>44.093914900000001</v>
      </c>
      <c r="M821">
        <v>53.067833899999997</v>
      </c>
      <c r="N821">
        <v>53.395792800000002</v>
      </c>
      <c r="O821">
        <v>0</v>
      </c>
      <c r="P821">
        <v>17.948</v>
      </c>
      <c r="Q821">
        <v>7.3319999999999999</v>
      </c>
      <c r="R821">
        <v>0</v>
      </c>
      <c r="S821">
        <v>0</v>
      </c>
      <c r="T821">
        <v>0</v>
      </c>
      <c r="U821">
        <v>0</v>
      </c>
      <c r="V821" t="s">
        <v>1030</v>
      </c>
      <c r="W821">
        <v>3017285</v>
      </c>
    </row>
    <row r="822" spans="1:23" x14ac:dyDescent="0.25">
      <c r="A822" t="s">
        <v>1032</v>
      </c>
    </row>
    <row r="823" spans="1:23" x14ac:dyDescent="0.25">
      <c r="A823" t="s">
        <v>285</v>
      </c>
      <c r="B823" t="s">
        <v>1036</v>
      </c>
      <c r="C823" t="s">
        <v>1031</v>
      </c>
      <c r="D823">
        <v>5</v>
      </c>
      <c r="E823">
        <v>0</v>
      </c>
      <c r="F823" t="s">
        <v>1034</v>
      </c>
      <c r="G823" t="s">
        <v>1034</v>
      </c>
      <c r="H823" t="s">
        <v>1034</v>
      </c>
      <c r="I823" t="s">
        <v>1034</v>
      </c>
      <c r="J823" t="s">
        <v>1034</v>
      </c>
      <c r="K823" t="s">
        <v>1034</v>
      </c>
      <c r="L823" t="s">
        <v>1034</v>
      </c>
      <c r="M823" t="s">
        <v>1034</v>
      </c>
      <c r="N823" t="s">
        <v>1034</v>
      </c>
      <c r="O823" t="s">
        <v>1034</v>
      </c>
      <c r="P823" t="s">
        <v>1034</v>
      </c>
      <c r="Q823" t="s">
        <v>1034</v>
      </c>
      <c r="R823" t="s">
        <v>1034</v>
      </c>
      <c r="S823" t="s">
        <v>1034</v>
      </c>
      <c r="T823" t="s">
        <v>1034</v>
      </c>
      <c r="U823" t="s">
        <v>1034</v>
      </c>
      <c r="V823" t="s">
        <v>1034</v>
      </c>
      <c r="W823" t="s">
        <v>1035</v>
      </c>
    </row>
    <row r="824" spans="1:23" x14ac:dyDescent="0.25">
      <c r="A824" t="s">
        <v>288</v>
      </c>
      <c r="B824" t="s">
        <v>1036</v>
      </c>
      <c r="C824" t="s">
        <v>1031</v>
      </c>
      <c r="D824">
        <v>0</v>
      </c>
      <c r="E824">
        <v>3108442</v>
      </c>
      <c r="F824">
        <v>221248</v>
      </c>
      <c r="G824">
        <v>26112</v>
      </c>
      <c r="H824">
        <v>194384</v>
      </c>
      <c r="I824">
        <v>0</v>
      </c>
      <c r="J824">
        <v>62.393483000000003</v>
      </c>
      <c r="K824">
        <v>63.111673000000003</v>
      </c>
      <c r="L824">
        <v>33.985761699999998</v>
      </c>
      <c r="M824">
        <v>41.6087925</v>
      </c>
      <c r="N824">
        <v>35.945455000000003</v>
      </c>
      <c r="O824">
        <v>0</v>
      </c>
      <c r="P824">
        <v>14.734</v>
      </c>
      <c r="Q824">
        <v>4.3259999999999996</v>
      </c>
      <c r="R824">
        <v>0</v>
      </c>
      <c r="S824">
        <v>0</v>
      </c>
      <c r="T824">
        <v>0</v>
      </c>
      <c r="U824">
        <v>0</v>
      </c>
      <c r="V824" t="s">
        <v>1030</v>
      </c>
      <c r="W824">
        <v>2770567</v>
      </c>
    </row>
    <row r="825" spans="1:23" x14ac:dyDescent="0.25">
      <c r="A825" t="s">
        <v>288</v>
      </c>
      <c r="B825" t="s">
        <v>1036</v>
      </c>
      <c r="C825" t="s">
        <v>1031</v>
      </c>
      <c r="D825">
        <v>1</v>
      </c>
      <c r="E825">
        <v>2940848</v>
      </c>
      <c r="F825">
        <v>494024</v>
      </c>
      <c r="G825">
        <v>81424</v>
      </c>
      <c r="H825">
        <v>411848</v>
      </c>
      <c r="I825">
        <v>0</v>
      </c>
      <c r="J825">
        <v>69.201573699999997</v>
      </c>
      <c r="K825">
        <v>70.270598699999994</v>
      </c>
      <c r="L825">
        <v>37.114567999999998</v>
      </c>
      <c r="M825">
        <v>43.384136400000003</v>
      </c>
      <c r="N825">
        <v>39.896834300000002</v>
      </c>
      <c r="O825">
        <v>0</v>
      </c>
      <c r="P825">
        <v>13.384</v>
      </c>
      <c r="Q825">
        <v>3.7120000000000002</v>
      </c>
      <c r="R825">
        <v>0</v>
      </c>
      <c r="S825">
        <v>0</v>
      </c>
      <c r="T825">
        <v>0</v>
      </c>
      <c r="U825">
        <v>0</v>
      </c>
      <c r="V825" t="s">
        <v>1030</v>
      </c>
      <c r="W825">
        <v>2770567</v>
      </c>
    </row>
    <row r="826" spans="1:23" x14ac:dyDescent="0.25">
      <c r="A826" t="s">
        <v>288</v>
      </c>
      <c r="B826" t="s">
        <v>1036</v>
      </c>
      <c r="C826" t="s">
        <v>1031</v>
      </c>
      <c r="D826">
        <v>2</v>
      </c>
      <c r="E826">
        <v>2458016</v>
      </c>
      <c r="F826">
        <v>1107256</v>
      </c>
      <c r="G826">
        <v>270800</v>
      </c>
      <c r="H826">
        <v>835704</v>
      </c>
      <c r="I826">
        <v>0</v>
      </c>
      <c r="J826">
        <v>72.643912</v>
      </c>
      <c r="K826">
        <v>75.093141900000006</v>
      </c>
      <c r="L826">
        <v>39.378431599999999</v>
      </c>
      <c r="M826">
        <v>44.969736500000003</v>
      </c>
      <c r="N826">
        <v>42.327535699999999</v>
      </c>
      <c r="O826">
        <v>0</v>
      </c>
      <c r="P826">
        <v>12.726000000000001</v>
      </c>
      <c r="Q826">
        <v>3.8719999999999999</v>
      </c>
      <c r="R826">
        <v>0</v>
      </c>
      <c r="S826">
        <v>0</v>
      </c>
      <c r="T826">
        <v>0</v>
      </c>
      <c r="U826">
        <v>0</v>
      </c>
      <c r="V826" t="s">
        <v>1030</v>
      </c>
      <c r="W826">
        <v>2770567</v>
      </c>
    </row>
    <row r="827" spans="1:23" x14ac:dyDescent="0.25">
      <c r="A827" t="s">
        <v>288</v>
      </c>
      <c r="B827" t="s">
        <v>1036</v>
      </c>
      <c r="C827" t="s">
        <v>1031</v>
      </c>
      <c r="D827">
        <v>3</v>
      </c>
      <c r="E827">
        <v>3134386</v>
      </c>
      <c r="F827">
        <v>2801704</v>
      </c>
      <c r="G827">
        <v>833480</v>
      </c>
      <c r="H827">
        <v>1967392</v>
      </c>
      <c r="I827">
        <v>0</v>
      </c>
      <c r="J827">
        <v>73.771609699999999</v>
      </c>
      <c r="K827">
        <v>76.562188500000005</v>
      </c>
      <c r="L827">
        <v>42.077401199999997</v>
      </c>
      <c r="M827">
        <v>47.365673200000003</v>
      </c>
      <c r="N827">
        <v>44.8761546</v>
      </c>
      <c r="O827">
        <v>0</v>
      </c>
      <c r="P827">
        <v>18.317</v>
      </c>
      <c r="Q827">
        <v>7.73</v>
      </c>
      <c r="R827">
        <v>0</v>
      </c>
      <c r="S827">
        <v>0</v>
      </c>
      <c r="T827">
        <v>0</v>
      </c>
      <c r="U827">
        <v>0</v>
      </c>
      <c r="V827" t="s">
        <v>1030</v>
      </c>
      <c r="W827">
        <v>2770567</v>
      </c>
    </row>
    <row r="828" spans="1:23" x14ac:dyDescent="0.25">
      <c r="A828" t="s">
        <v>1032</v>
      </c>
    </row>
    <row r="829" spans="1:23" x14ac:dyDescent="0.25">
      <c r="A829" t="s">
        <v>288</v>
      </c>
      <c r="B829" t="s">
        <v>1036</v>
      </c>
      <c r="C829" t="s">
        <v>1031</v>
      </c>
      <c r="D829">
        <v>5</v>
      </c>
      <c r="E829">
        <v>0</v>
      </c>
      <c r="F829" t="s">
        <v>1034</v>
      </c>
      <c r="G829" t="s">
        <v>1034</v>
      </c>
      <c r="H829" t="s">
        <v>1034</v>
      </c>
      <c r="I829" t="s">
        <v>1034</v>
      </c>
      <c r="J829" t="s">
        <v>1034</v>
      </c>
      <c r="K829" t="s">
        <v>1034</v>
      </c>
      <c r="L829" t="s">
        <v>1034</v>
      </c>
      <c r="M829" t="s">
        <v>1034</v>
      </c>
      <c r="N829" t="s">
        <v>1034</v>
      </c>
      <c r="O829" t="s">
        <v>1034</v>
      </c>
      <c r="P829" t="s">
        <v>1034</v>
      </c>
      <c r="Q829" t="s">
        <v>1034</v>
      </c>
      <c r="R829" t="s">
        <v>1034</v>
      </c>
      <c r="S829" t="s">
        <v>1034</v>
      </c>
      <c r="T829" t="s">
        <v>1034</v>
      </c>
      <c r="U829" t="s">
        <v>1034</v>
      </c>
      <c r="V829" t="s">
        <v>1034</v>
      </c>
      <c r="W829" t="s">
        <v>1035</v>
      </c>
    </row>
    <row r="830" spans="1:23" x14ac:dyDescent="0.25">
      <c r="A830" t="s">
        <v>291</v>
      </c>
      <c r="B830" t="s">
        <v>1036</v>
      </c>
      <c r="C830" t="s">
        <v>1031</v>
      </c>
      <c r="D830">
        <v>0</v>
      </c>
      <c r="E830">
        <v>4505447</v>
      </c>
      <c r="F830">
        <v>245384</v>
      </c>
      <c r="G830">
        <v>37432</v>
      </c>
      <c r="H830">
        <v>207040</v>
      </c>
      <c r="I830">
        <v>0</v>
      </c>
      <c r="J830">
        <v>62.900395500000002</v>
      </c>
      <c r="K830">
        <v>63.260548999999997</v>
      </c>
      <c r="L830">
        <v>31.719136800000001</v>
      </c>
      <c r="M830">
        <v>46.480631099999997</v>
      </c>
      <c r="N830">
        <v>47.274007599999997</v>
      </c>
      <c r="O830">
        <v>0</v>
      </c>
      <c r="P830">
        <v>22.285</v>
      </c>
      <c r="Q830">
        <v>5.4470000000000001</v>
      </c>
      <c r="R830">
        <v>0</v>
      </c>
      <c r="S830">
        <v>0</v>
      </c>
      <c r="T830">
        <v>0</v>
      </c>
      <c r="U830">
        <v>0</v>
      </c>
      <c r="V830" t="s">
        <v>1030</v>
      </c>
      <c r="W830">
        <v>4001754</v>
      </c>
    </row>
    <row r="831" spans="1:23" x14ac:dyDescent="0.25">
      <c r="A831" t="s">
        <v>291</v>
      </c>
      <c r="B831" t="s">
        <v>1036</v>
      </c>
      <c r="C831" t="s">
        <v>1031</v>
      </c>
      <c r="D831">
        <v>1</v>
      </c>
      <c r="E831">
        <v>4192863</v>
      </c>
      <c r="F831">
        <v>574320</v>
      </c>
      <c r="G831">
        <v>115104</v>
      </c>
      <c r="H831">
        <v>458304</v>
      </c>
      <c r="I831">
        <v>0</v>
      </c>
      <c r="J831">
        <v>69.779321400000001</v>
      </c>
      <c r="K831">
        <v>70.862057800000002</v>
      </c>
      <c r="L831">
        <v>35.466060800000001</v>
      </c>
      <c r="M831">
        <v>48.101938199999999</v>
      </c>
      <c r="N831">
        <v>48.969806800000001</v>
      </c>
      <c r="O831">
        <v>0</v>
      </c>
      <c r="P831">
        <v>19.695</v>
      </c>
      <c r="Q831">
        <v>6.2460000000000004</v>
      </c>
      <c r="R831">
        <v>0</v>
      </c>
      <c r="S831">
        <v>0</v>
      </c>
      <c r="T831">
        <v>0</v>
      </c>
      <c r="U831">
        <v>0</v>
      </c>
      <c r="V831" t="s">
        <v>1030</v>
      </c>
      <c r="W831">
        <v>4001754</v>
      </c>
    </row>
    <row r="832" spans="1:23" x14ac:dyDescent="0.25">
      <c r="A832" t="s">
        <v>291</v>
      </c>
      <c r="B832" t="s">
        <v>1036</v>
      </c>
      <c r="C832" t="s">
        <v>1031</v>
      </c>
      <c r="D832">
        <v>2</v>
      </c>
      <c r="E832">
        <v>4234414</v>
      </c>
      <c r="F832">
        <v>1375768</v>
      </c>
      <c r="G832">
        <v>369640</v>
      </c>
      <c r="H832">
        <v>1005216</v>
      </c>
      <c r="I832">
        <v>0</v>
      </c>
      <c r="J832">
        <v>73.170900000000003</v>
      </c>
      <c r="K832">
        <v>75.436350500000003</v>
      </c>
      <c r="L832">
        <v>38.651902399999997</v>
      </c>
      <c r="M832">
        <v>49.786003800000003</v>
      </c>
      <c r="N832">
        <v>50.648782199999999</v>
      </c>
      <c r="O832">
        <v>0</v>
      </c>
      <c r="P832">
        <v>21.57</v>
      </c>
      <c r="Q832">
        <v>7.8680000000000003</v>
      </c>
      <c r="R832">
        <v>0</v>
      </c>
      <c r="S832">
        <v>0</v>
      </c>
      <c r="T832">
        <v>0</v>
      </c>
      <c r="U832">
        <v>0</v>
      </c>
      <c r="V832" t="s">
        <v>1030</v>
      </c>
      <c r="W832">
        <v>4001754</v>
      </c>
    </row>
    <row r="833" spans="1:23" x14ac:dyDescent="0.25">
      <c r="A833" t="s">
        <v>291</v>
      </c>
      <c r="B833" t="s">
        <v>1036</v>
      </c>
      <c r="C833" t="s">
        <v>1031</v>
      </c>
      <c r="D833">
        <v>3</v>
      </c>
      <c r="E833">
        <v>4426422</v>
      </c>
      <c r="F833">
        <v>3150736</v>
      </c>
      <c r="G833">
        <v>1090968</v>
      </c>
      <c r="H833">
        <v>2058856</v>
      </c>
      <c r="I833">
        <v>0</v>
      </c>
      <c r="J833">
        <v>73.986686300000002</v>
      </c>
      <c r="K833">
        <v>76.7677829</v>
      </c>
      <c r="L833">
        <v>41.111941600000002</v>
      </c>
      <c r="M833">
        <v>51.452626700000003</v>
      </c>
      <c r="N833">
        <v>52.290506200000003</v>
      </c>
      <c r="O833">
        <v>0</v>
      </c>
      <c r="P833">
        <v>26.629000000000001</v>
      </c>
      <c r="Q833">
        <v>12.066000000000001</v>
      </c>
      <c r="R833">
        <v>0</v>
      </c>
      <c r="S833">
        <v>0</v>
      </c>
      <c r="T833">
        <v>0</v>
      </c>
      <c r="U833">
        <v>0</v>
      </c>
      <c r="V833" t="s">
        <v>1030</v>
      </c>
      <c r="W833">
        <v>4001754</v>
      </c>
    </row>
    <row r="834" spans="1:23" x14ac:dyDescent="0.25">
      <c r="A834" t="s">
        <v>1032</v>
      </c>
    </row>
    <row r="835" spans="1:23" x14ac:dyDescent="0.25">
      <c r="A835" t="s">
        <v>291</v>
      </c>
      <c r="B835" t="s">
        <v>1036</v>
      </c>
      <c r="C835" t="s">
        <v>1031</v>
      </c>
      <c r="D835">
        <v>5</v>
      </c>
      <c r="E835">
        <v>0</v>
      </c>
      <c r="F835" t="s">
        <v>1034</v>
      </c>
      <c r="G835" t="s">
        <v>1034</v>
      </c>
      <c r="H835" t="s">
        <v>1034</v>
      </c>
      <c r="I835" t="s">
        <v>1034</v>
      </c>
      <c r="J835" t="s">
        <v>1034</v>
      </c>
      <c r="K835" t="s">
        <v>1034</v>
      </c>
      <c r="L835" t="s">
        <v>1034</v>
      </c>
      <c r="M835" t="s">
        <v>1034</v>
      </c>
      <c r="N835" t="s">
        <v>1034</v>
      </c>
      <c r="O835" t="s">
        <v>1034</v>
      </c>
      <c r="P835" t="s">
        <v>1034</v>
      </c>
      <c r="Q835" t="s">
        <v>1034</v>
      </c>
      <c r="R835" t="s">
        <v>1034</v>
      </c>
      <c r="S835" t="s">
        <v>1034</v>
      </c>
      <c r="T835" t="s">
        <v>1034</v>
      </c>
      <c r="U835" t="s">
        <v>1034</v>
      </c>
      <c r="V835" t="s">
        <v>1034</v>
      </c>
      <c r="W835" t="s">
        <v>1035</v>
      </c>
    </row>
    <row r="836" spans="1:23" x14ac:dyDescent="0.25">
      <c r="A836" t="s">
        <v>294</v>
      </c>
      <c r="B836" t="s">
        <v>1036</v>
      </c>
      <c r="C836" t="s">
        <v>1031</v>
      </c>
      <c r="D836">
        <v>0</v>
      </c>
      <c r="E836">
        <v>502000</v>
      </c>
      <c r="F836">
        <v>138688</v>
      </c>
      <c r="G836">
        <v>5248</v>
      </c>
      <c r="H836">
        <v>132968</v>
      </c>
      <c r="I836">
        <v>0</v>
      </c>
      <c r="J836">
        <v>46.070187799999999</v>
      </c>
      <c r="K836">
        <v>52.713215599999998</v>
      </c>
      <c r="L836">
        <v>18.648454999999998</v>
      </c>
      <c r="M836">
        <v>35.904927000000001</v>
      </c>
      <c r="N836">
        <v>35.701447799999997</v>
      </c>
      <c r="O836">
        <v>0</v>
      </c>
      <c r="P836">
        <v>5.2729999999999997</v>
      </c>
      <c r="Q836">
        <v>0.69599999999999995</v>
      </c>
      <c r="R836">
        <v>0</v>
      </c>
      <c r="S836">
        <v>0</v>
      </c>
      <c r="T836">
        <v>0</v>
      </c>
      <c r="U836">
        <v>0</v>
      </c>
      <c r="V836" t="s">
        <v>1030</v>
      </c>
      <c r="W836">
        <v>1481746</v>
      </c>
    </row>
    <row r="837" spans="1:23" x14ac:dyDescent="0.25">
      <c r="A837" t="s">
        <v>294</v>
      </c>
      <c r="B837" t="s">
        <v>1036</v>
      </c>
      <c r="C837" t="s">
        <v>1031</v>
      </c>
      <c r="D837">
        <v>1</v>
      </c>
      <c r="E837">
        <v>533014</v>
      </c>
      <c r="F837">
        <v>465464</v>
      </c>
      <c r="G837">
        <v>20600</v>
      </c>
      <c r="H837">
        <v>444392</v>
      </c>
      <c r="I837">
        <v>0</v>
      </c>
      <c r="J837">
        <v>51.536327300000004</v>
      </c>
      <c r="K837">
        <v>58.353511500000003</v>
      </c>
      <c r="L837">
        <v>19.773526400000002</v>
      </c>
      <c r="M837">
        <v>36.769221799999997</v>
      </c>
      <c r="N837">
        <v>36.428832399999997</v>
      </c>
      <c r="O837">
        <v>0</v>
      </c>
      <c r="P837">
        <v>5.59</v>
      </c>
      <c r="Q837">
        <v>0.83099999999999996</v>
      </c>
      <c r="R837">
        <v>0</v>
      </c>
      <c r="S837">
        <v>0</v>
      </c>
      <c r="T837">
        <v>0</v>
      </c>
      <c r="U837">
        <v>0</v>
      </c>
      <c r="V837" t="s">
        <v>1030</v>
      </c>
      <c r="W837">
        <v>1481746</v>
      </c>
    </row>
    <row r="838" spans="1:23" x14ac:dyDescent="0.25">
      <c r="A838" t="s">
        <v>294</v>
      </c>
      <c r="B838" t="s">
        <v>1036</v>
      </c>
      <c r="C838" t="s">
        <v>1031</v>
      </c>
      <c r="D838">
        <v>2</v>
      </c>
      <c r="E838">
        <v>748282</v>
      </c>
      <c r="F838">
        <v>1540464</v>
      </c>
      <c r="G838">
        <v>99512</v>
      </c>
      <c r="H838">
        <v>1440480</v>
      </c>
      <c r="I838">
        <v>0</v>
      </c>
      <c r="J838">
        <v>58.046260500000002</v>
      </c>
      <c r="K838">
        <v>61.9190179</v>
      </c>
      <c r="L838">
        <v>20.825073700000001</v>
      </c>
      <c r="M838">
        <v>37.472096899999997</v>
      </c>
      <c r="N838">
        <v>37.221384499999999</v>
      </c>
      <c r="O838">
        <v>0</v>
      </c>
      <c r="P838">
        <v>6.5270000000000001</v>
      </c>
      <c r="Q838">
        <v>1.4059999999999999</v>
      </c>
      <c r="R838">
        <v>0</v>
      </c>
      <c r="S838">
        <v>0</v>
      </c>
      <c r="T838">
        <v>0</v>
      </c>
      <c r="U838">
        <v>0</v>
      </c>
      <c r="V838" t="s">
        <v>1030</v>
      </c>
      <c r="W838">
        <v>1481746</v>
      </c>
    </row>
    <row r="839" spans="1:23" x14ac:dyDescent="0.25">
      <c r="A839" t="s">
        <v>294</v>
      </c>
      <c r="B839" t="s">
        <v>1036</v>
      </c>
      <c r="C839" t="s">
        <v>1031</v>
      </c>
      <c r="D839">
        <v>3</v>
      </c>
      <c r="E839">
        <v>989795</v>
      </c>
      <c r="F839">
        <v>3805288</v>
      </c>
      <c r="G839">
        <v>434432</v>
      </c>
      <c r="H839">
        <v>3370384</v>
      </c>
      <c r="I839">
        <v>0</v>
      </c>
      <c r="J839">
        <v>59.622194100000002</v>
      </c>
      <c r="K839">
        <v>63.776591400000001</v>
      </c>
      <c r="L839">
        <v>21.5585576</v>
      </c>
      <c r="M839">
        <v>38.426479700000002</v>
      </c>
      <c r="N839">
        <v>38.193480700000002</v>
      </c>
      <c r="O839">
        <v>0</v>
      </c>
      <c r="P839">
        <v>8.0510000000000002</v>
      </c>
      <c r="Q839">
        <v>2.4329999999999998</v>
      </c>
      <c r="R839">
        <v>0</v>
      </c>
      <c r="S839">
        <v>0</v>
      </c>
      <c r="T839">
        <v>0</v>
      </c>
      <c r="U839">
        <v>0</v>
      </c>
      <c r="V839" t="s">
        <v>1030</v>
      </c>
      <c r="W839">
        <v>1481746</v>
      </c>
    </row>
    <row r="840" spans="1:23" x14ac:dyDescent="0.25">
      <c r="A840" t="s">
        <v>1032</v>
      </c>
    </row>
    <row r="841" spans="1:23" x14ac:dyDescent="0.25">
      <c r="A841" t="s">
        <v>294</v>
      </c>
      <c r="B841" t="s">
        <v>1036</v>
      </c>
      <c r="C841" t="s">
        <v>1031</v>
      </c>
      <c r="D841">
        <v>5</v>
      </c>
      <c r="E841">
        <v>0</v>
      </c>
      <c r="F841" t="s">
        <v>1034</v>
      </c>
      <c r="G841" t="s">
        <v>1034</v>
      </c>
      <c r="H841" t="s">
        <v>1034</v>
      </c>
      <c r="I841" t="s">
        <v>1034</v>
      </c>
      <c r="J841" t="s">
        <v>1034</v>
      </c>
      <c r="K841" t="s">
        <v>1034</v>
      </c>
      <c r="L841" t="s">
        <v>1034</v>
      </c>
      <c r="M841" t="s">
        <v>1034</v>
      </c>
      <c r="N841" t="s">
        <v>1034</v>
      </c>
      <c r="O841" t="s">
        <v>1034</v>
      </c>
      <c r="P841" t="s">
        <v>1034</v>
      </c>
      <c r="Q841" t="s">
        <v>1034</v>
      </c>
      <c r="R841" t="s">
        <v>1034</v>
      </c>
      <c r="S841" t="s">
        <v>1034</v>
      </c>
      <c r="T841" t="s">
        <v>1034</v>
      </c>
      <c r="U841" t="s">
        <v>1034</v>
      </c>
      <c r="V841" t="s">
        <v>1034</v>
      </c>
      <c r="W841" t="s">
        <v>1035</v>
      </c>
    </row>
    <row r="842" spans="1:23" x14ac:dyDescent="0.25">
      <c r="A842" t="s">
        <v>298</v>
      </c>
      <c r="B842" t="s">
        <v>1036</v>
      </c>
      <c r="C842" t="s">
        <v>1031</v>
      </c>
      <c r="D842">
        <v>0</v>
      </c>
      <c r="E842">
        <v>586518</v>
      </c>
      <c r="F842">
        <v>29168</v>
      </c>
      <c r="G842">
        <v>4664</v>
      </c>
      <c r="H842">
        <v>24032</v>
      </c>
      <c r="I842">
        <v>0</v>
      </c>
      <c r="J842">
        <v>51.549403699999999</v>
      </c>
      <c r="K842">
        <v>53.887101800000003</v>
      </c>
      <c r="L842">
        <v>28.249869700000001</v>
      </c>
      <c r="M842">
        <v>40.476439200000002</v>
      </c>
      <c r="N842">
        <v>41.5913714</v>
      </c>
      <c r="O842">
        <v>0</v>
      </c>
      <c r="P842">
        <v>2.4049999999999998</v>
      </c>
      <c r="Q842">
        <v>0.73499999999999999</v>
      </c>
      <c r="R842">
        <v>0</v>
      </c>
      <c r="S842">
        <v>0</v>
      </c>
      <c r="T842">
        <v>0</v>
      </c>
      <c r="U842">
        <v>0</v>
      </c>
      <c r="V842" t="s">
        <v>1030</v>
      </c>
      <c r="W842">
        <v>272684</v>
      </c>
    </row>
    <row r="843" spans="1:23" x14ac:dyDescent="0.25">
      <c r="A843" t="s">
        <v>298</v>
      </c>
      <c r="B843" t="s">
        <v>1036</v>
      </c>
      <c r="C843" t="s">
        <v>1031</v>
      </c>
      <c r="D843">
        <v>1</v>
      </c>
      <c r="E843">
        <v>577779</v>
      </c>
      <c r="F843">
        <v>81944</v>
      </c>
      <c r="G843">
        <v>15408</v>
      </c>
      <c r="H843">
        <v>66064</v>
      </c>
      <c r="I843">
        <v>0</v>
      </c>
      <c r="J843">
        <v>56.8496819</v>
      </c>
      <c r="K843">
        <v>59.1435344</v>
      </c>
      <c r="L843">
        <v>30.974156900000001</v>
      </c>
      <c r="M843">
        <v>41.977618399999997</v>
      </c>
      <c r="N843">
        <v>42.8982928</v>
      </c>
      <c r="O843">
        <v>0</v>
      </c>
      <c r="P843">
        <v>2.367</v>
      </c>
      <c r="Q843">
        <v>0.79</v>
      </c>
      <c r="R843">
        <v>0</v>
      </c>
      <c r="S843">
        <v>0</v>
      </c>
      <c r="T843">
        <v>0</v>
      </c>
      <c r="U843">
        <v>0</v>
      </c>
      <c r="V843" t="s">
        <v>1030</v>
      </c>
      <c r="W843">
        <v>272684</v>
      </c>
    </row>
    <row r="844" spans="1:23" x14ac:dyDescent="0.25">
      <c r="A844" t="s">
        <v>298</v>
      </c>
      <c r="B844" t="s">
        <v>1036</v>
      </c>
      <c r="C844" t="s">
        <v>1031</v>
      </c>
      <c r="D844">
        <v>2</v>
      </c>
      <c r="E844">
        <v>701141</v>
      </c>
      <c r="F844">
        <v>261136</v>
      </c>
      <c r="G844">
        <v>66216</v>
      </c>
      <c r="H844">
        <v>194448</v>
      </c>
      <c r="I844">
        <v>0</v>
      </c>
      <c r="J844">
        <v>58.268028899999997</v>
      </c>
      <c r="K844">
        <v>61.254691600000001</v>
      </c>
      <c r="L844">
        <v>32.914193099999999</v>
      </c>
      <c r="M844">
        <v>44.310955900000003</v>
      </c>
      <c r="N844">
        <v>44.8891274</v>
      </c>
      <c r="O844">
        <v>0</v>
      </c>
      <c r="P844">
        <v>2.9089999999999998</v>
      </c>
      <c r="Q844">
        <v>1.1279999999999999</v>
      </c>
      <c r="R844">
        <v>0</v>
      </c>
      <c r="S844">
        <v>0</v>
      </c>
      <c r="T844">
        <v>0</v>
      </c>
      <c r="U844">
        <v>0</v>
      </c>
      <c r="V844" t="s">
        <v>1030</v>
      </c>
      <c r="W844">
        <v>272684</v>
      </c>
    </row>
    <row r="845" spans="1:23" x14ac:dyDescent="0.25">
      <c r="A845" t="s">
        <v>298</v>
      </c>
      <c r="B845" t="s">
        <v>1036</v>
      </c>
      <c r="C845" t="s">
        <v>1031</v>
      </c>
      <c r="D845">
        <v>3</v>
      </c>
      <c r="E845">
        <v>906656</v>
      </c>
      <c r="F845">
        <v>784752</v>
      </c>
      <c r="G845">
        <v>284792</v>
      </c>
      <c r="H845">
        <v>499488</v>
      </c>
      <c r="I845">
        <v>0</v>
      </c>
      <c r="J845">
        <v>58.5266935</v>
      </c>
      <c r="K845">
        <v>61.444343799999999</v>
      </c>
      <c r="L845">
        <v>33.8947377</v>
      </c>
      <c r="M845">
        <v>45.681979699999999</v>
      </c>
      <c r="N845">
        <v>46.460459700000001</v>
      </c>
      <c r="O845">
        <v>0</v>
      </c>
      <c r="P845">
        <v>4.2990000000000004</v>
      </c>
      <c r="Q845">
        <v>2.2109999999999999</v>
      </c>
      <c r="R845">
        <v>0</v>
      </c>
      <c r="S845">
        <v>0</v>
      </c>
      <c r="T845">
        <v>0</v>
      </c>
      <c r="U845">
        <v>0</v>
      </c>
      <c r="V845" t="s">
        <v>1030</v>
      </c>
      <c r="W845">
        <v>272684</v>
      </c>
    </row>
    <row r="846" spans="1:23" x14ac:dyDescent="0.25">
      <c r="A846" t="s">
        <v>1032</v>
      </c>
    </row>
    <row r="847" spans="1:23" x14ac:dyDescent="0.25">
      <c r="A847" t="s">
        <v>298</v>
      </c>
      <c r="B847" t="s">
        <v>1036</v>
      </c>
      <c r="C847" t="s">
        <v>1031</v>
      </c>
      <c r="D847">
        <v>5</v>
      </c>
      <c r="E847">
        <v>0</v>
      </c>
      <c r="F847" t="s">
        <v>1034</v>
      </c>
      <c r="G847" t="s">
        <v>1034</v>
      </c>
      <c r="H847" t="s">
        <v>1034</v>
      </c>
      <c r="I847" t="s">
        <v>1034</v>
      </c>
      <c r="J847" t="s">
        <v>1034</v>
      </c>
      <c r="K847" t="s">
        <v>1034</v>
      </c>
      <c r="L847" t="s">
        <v>1034</v>
      </c>
      <c r="M847" t="s">
        <v>1034</v>
      </c>
      <c r="N847" t="s">
        <v>1034</v>
      </c>
      <c r="O847" t="s">
        <v>1034</v>
      </c>
      <c r="P847" t="s">
        <v>1034</v>
      </c>
      <c r="Q847" t="s">
        <v>1034</v>
      </c>
      <c r="R847" t="s">
        <v>1034</v>
      </c>
      <c r="S847" t="s">
        <v>1034</v>
      </c>
      <c r="T847" t="s">
        <v>1034</v>
      </c>
      <c r="U847" t="s">
        <v>1034</v>
      </c>
      <c r="V847" t="s">
        <v>1034</v>
      </c>
      <c r="W847" t="s">
        <v>1035</v>
      </c>
    </row>
    <row r="848" spans="1:23" x14ac:dyDescent="0.25">
      <c r="A848" t="s">
        <v>301</v>
      </c>
      <c r="B848" t="s">
        <v>1036</v>
      </c>
      <c r="C848" t="s">
        <v>1031</v>
      </c>
      <c r="D848">
        <v>0</v>
      </c>
      <c r="E848">
        <v>409710</v>
      </c>
      <c r="F848">
        <v>216096</v>
      </c>
      <c r="G848">
        <v>2880</v>
      </c>
      <c r="H848">
        <v>212736</v>
      </c>
      <c r="I848">
        <v>0</v>
      </c>
      <c r="J848">
        <v>50.357263199999998</v>
      </c>
      <c r="K848">
        <v>55.418456599999999</v>
      </c>
      <c r="L848">
        <v>15.7254646</v>
      </c>
      <c r="M848">
        <v>35.249150200000003</v>
      </c>
      <c r="N848">
        <v>32.358565800000001</v>
      </c>
      <c r="O848">
        <v>0</v>
      </c>
      <c r="P848">
        <v>7.79</v>
      </c>
      <c r="Q848">
        <v>0.435</v>
      </c>
      <c r="R848">
        <v>0</v>
      </c>
      <c r="S848">
        <v>0</v>
      </c>
      <c r="T848">
        <v>0</v>
      </c>
      <c r="U848">
        <v>0</v>
      </c>
      <c r="V848" t="s">
        <v>1030</v>
      </c>
      <c r="W848">
        <v>4187594</v>
      </c>
    </row>
    <row r="849" spans="1:23" x14ac:dyDescent="0.25">
      <c r="A849" t="s">
        <v>301</v>
      </c>
      <c r="B849" t="s">
        <v>1036</v>
      </c>
      <c r="C849" t="s">
        <v>1031</v>
      </c>
      <c r="D849">
        <v>1</v>
      </c>
      <c r="E849">
        <v>497511</v>
      </c>
      <c r="F849">
        <v>760480</v>
      </c>
      <c r="G849">
        <v>13480</v>
      </c>
      <c r="H849">
        <v>746520</v>
      </c>
      <c r="I849">
        <v>0</v>
      </c>
      <c r="J849">
        <v>55.099773399999997</v>
      </c>
      <c r="K849">
        <v>59.153181400000001</v>
      </c>
      <c r="L849">
        <v>16.3924825</v>
      </c>
      <c r="M849">
        <v>35.851512900000003</v>
      </c>
      <c r="N849">
        <v>33.126812999999999</v>
      </c>
      <c r="O849">
        <v>0</v>
      </c>
      <c r="P849">
        <v>8.7089999999999996</v>
      </c>
      <c r="Q849">
        <v>0.73</v>
      </c>
      <c r="R849">
        <v>0</v>
      </c>
      <c r="S849">
        <v>0</v>
      </c>
      <c r="T849">
        <v>0</v>
      </c>
      <c r="U849">
        <v>0</v>
      </c>
      <c r="V849" t="s">
        <v>1030</v>
      </c>
      <c r="W849">
        <v>4187594</v>
      </c>
    </row>
    <row r="850" spans="1:23" x14ac:dyDescent="0.25">
      <c r="A850" t="s">
        <v>301</v>
      </c>
      <c r="B850" t="s">
        <v>1036</v>
      </c>
      <c r="C850" t="s">
        <v>1031</v>
      </c>
      <c r="D850">
        <v>2</v>
      </c>
      <c r="E850">
        <v>693194</v>
      </c>
      <c r="F850">
        <v>2090416</v>
      </c>
      <c r="G850">
        <v>71240</v>
      </c>
      <c r="H850">
        <v>2018696</v>
      </c>
      <c r="I850">
        <v>0</v>
      </c>
      <c r="J850">
        <v>58.075682999999998</v>
      </c>
      <c r="K850">
        <v>61.283220399999998</v>
      </c>
      <c r="L850">
        <v>16.908732700000002</v>
      </c>
      <c r="M850">
        <v>36.6647307</v>
      </c>
      <c r="N850">
        <v>34.079582199999997</v>
      </c>
      <c r="O850">
        <v>0</v>
      </c>
      <c r="P850">
        <v>8.5890000000000004</v>
      </c>
      <c r="Q850">
        <v>1.0669999999999999</v>
      </c>
      <c r="R850">
        <v>0</v>
      </c>
      <c r="S850">
        <v>0</v>
      </c>
      <c r="T850">
        <v>0</v>
      </c>
      <c r="U850">
        <v>0</v>
      </c>
      <c r="V850" t="s">
        <v>1030</v>
      </c>
      <c r="W850">
        <v>4187594</v>
      </c>
    </row>
    <row r="851" spans="1:23" x14ac:dyDescent="0.25">
      <c r="A851" t="s">
        <v>301</v>
      </c>
      <c r="B851" t="s">
        <v>1036</v>
      </c>
      <c r="C851" t="s">
        <v>1031</v>
      </c>
      <c r="D851">
        <v>3</v>
      </c>
      <c r="E851">
        <v>895483</v>
      </c>
      <c r="F851">
        <v>4594880</v>
      </c>
      <c r="G851">
        <v>320152</v>
      </c>
      <c r="H851">
        <v>4274248</v>
      </c>
      <c r="I851">
        <v>0</v>
      </c>
      <c r="J851">
        <v>60.4682295</v>
      </c>
      <c r="K851">
        <v>64.084518900000006</v>
      </c>
      <c r="L851">
        <v>17.607965499999999</v>
      </c>
      <c r="M851">
        <v>37.8853352</v>
      </c>
      <c r="N851">
        <v>35.365803</v>
      </c>
      <c r="O851">
        <v>0</v>
      </c>
      <c r="P851">
        <v>10.029</v>
      </c>
      <c r="Q851">
        <v>2.0129999999999999</v>
      </c>
      <c r="R851">
        <v>0</v>
      </c>
      <c r="S851">
        <v>0</v>
      </c>
      <c r="T851">
        <v>0</v>
      </c>
      <c r="U851">
        <v>0</v>
      </c>
      <c r="V851" t="s">
        <v>1030</v>
      </c>
      <c r="W851">
        <v>4187594</v>
      </c>
    </row>
    <row r="852" spans="1:23" x14ac:dyDescent="0.25">
      <c r="A852" t="s">
        <v>1032</v>
      </c>
    </row>
    <row r="853" spans="1:23" x14ac:dyDescent="0.25">
      <c r="A853" t="s">
        <v>301</v>
      </c>
      <c r="B853" t="s">
        <v>1036</v>
      </c>
      <c r="C853" t="s">
        <v>1031</v>
      </c>
      <c r="D853">
        <v>5</v>
      </c>
      <c r="E853">
        <v>0</v>
      </c>
      <c r="F853" t="s">
        <v>1034</v>
      </c>
      <c r="G853" t="s">
        <v>1034</v>
      </c>
      <c r="H853" t="s">
        <v>1034</v>
      </c>
      <c r="I853" t="s">
        <v>1034</v>
      </c>
      <c r="J853" t="s">
        <v>1034</v>
      </c>
      <c r="K853" t="s">
        <v>1034</v>
      </c>
      <c r="L853" t="s">
        <v>1034</v>
      </c>
      <c r="M853" t="s">
        <v>1034</v>
      </c>
      <c r="N853" t="s">
        <v>1034</v>
      </c>
      <c r="O853" t="s">
        <v>1034</v>
      </c>
      <c r="P853" t="s">
        <v>1034</v>
      </c>
      <c r="Q853" t="s">
        <v>1034</v>
      </c>
      <c r="R853" t="s">
        <v>1034</v>
      </c>
      <c r="S853" t="s">
        <v>1034</v>
      </c>
      <c r="T853" t="s">
        <v>1034</v>
      </c>
      <c r="U853" t="s">
        <v>1034</v>
      </c>
      <c r="V853" t="s">
        <v>1034</v>
      </c>
      <c r="W853" t="s">
        <v>1035</v>
      </c>
    </row>
    <row r="854" spans="1:23" x14ac:dyDescent="0.25">
      <c r="A854" t="s">
        <v>304</v>
      </c>
      <c r="B854" t="s">
        <v>1036</v>
      </c>
      <c r="C854" t="s">
        <v>1031</v>
      </c>
      <c r="D854">
        <v>0</v>
      </c>
      <c r="E854">
        <v>345051</v>
      </c>
      <c r="F854">
        <v>95224</v>
      </c>
      <c r="G854">
        <v>3088</v>
      </c>
      <c r="H854">
        <v>91584</v>
      </c>
      <c r="I854">
        <v>0</v>
      </c>
      <c r="J854">
        <v>41.675676500000002</v>
      </c>
      <c r="K854">
        <v>46.334807499999997</v>
      </c>
      <c r="L854">
        <v>17.003480199999998</v>
      </c>
      <c r="M854">
        <v>29.1911205</v>
      </c>
      <c r="N854">
        <v>31.8535568</v>
      </c>
      <c r="O854">
        <v>0</v>
      </c>
      <c r="P854">
        <v>3.74</v>
      </c>
      <c r="Q854">
        <v>0.40899999999999997</v>
      </c>
      <c r="R854">
        <v>0</v>
      </c>
      <c r="S854">
        <v>0</v>
      </c>
      <c r="T854">
        <v>0</v>
      </c>
      <c r="U854">
        <v>0</v>
      </c>
      <c r="V854" t="s">
        <v>1030</v>
      </c>
      <c r="W854">
        <v>1009132</v>
      </c>
    </row>
    <row r="855" spans="1:23" x14ac:dyDescent="0.25">
      <c r="A855" t="s">
        <v>304</v>
      </c>
      <c r="B855" t="s">
        <v>1036</v>
      </c>
      <c r="C855" t="s">
        <v>1031</v>
      </c>
      <c r="D855">
        <v>1</v>
      </c>
      <c r="E855">
        <v>1195139</v>
      </c>
      <c r="F855">
        <v>803224</v>
      </c>
      <c r="G855">
        <v>10744</v>
      </c>
      <c r="H855">
        <v>791928</v>
      </c>
      <c r="I855">
        <v>0</v>
      </c>
      <c r="J855">
        <v>52.081678599999996</v>
      </c>
      <c r="K855">
        <v>56.607746300000002</v>
      </c>
      <c r="L855">
        <v>20.835680799999999</v>
      </c>
      <c r="M855">
        <v>33.017079799999998</v>
      </c>
      <c r="N855">
        <v>34.9493741</v>
      </c>
      <c r="O855">
        <v>0</v>
      </c>
      <c r="P855">
        <v>6.5739999999999998</v>
      </c>
      <c r="Q855">
        <v>1.5229999999999999</v>
      </c>
      <c r="R855">
        <v>0</v>
      </c>
      <c r="S855">
        <v>0</v>
      </c>
      <c r="T855">
        <v>0</v>
      </c>
      <c r="U855">
        <v>0</v>
      </c>
      <c r="V855" t="s">
        <v>1030</v>
      </c>
      <c r="W855">
        <v>1009132</v>
      </c>
    </row>
    <row r="856" spans="1:23" x14ac:dyDescent="0.25">
      <c r="A856" t="s">
        <v>304</v>
      </c>
      <c r="B856" t="s">
        <v>1036</v>
      </c>
      <c r="C856" t="s">
        <v>1031</v>
      </c>
      <c r="D856">
        <v>2</v>
      </c>
      <c r="E856">
        <v>1391139</v>
      </c>
      <c r="F856">
        <v>2229448</v>
      </c>
      <c r="G856">
        <v>41864</v>
      </c>
      <c r="H856">
        <v>2187032</v>
      </c>
      <c r="I856">
        <v>0</v>
      </c>
      <c r="J856">
        <v>58.9832173</v>
      </c>
      <c r="K856">
        <v>61.661114499999996</v>
      </c>
      <c r="L856">
        <v>23.2592274</v>
      </c>
      <c r="M856">
        <v>35.803140999999997</v>
      </c>
      <c r="N856">
        <v>37.209230300000002</v>
      </c>
      <c r="O856">
        <v>0</v>
      </c>
      <c r="P856">
        <v>6.9710000000000001</v>
      </c>
      <c r="Q856">
        <v>1.911</v>
      </c>
      <c r="R856">
        <v>0</v>
      </c>
      <c r="S856">
        <v>0</v>
      </c>
      <c r="T856">
        <v>0</v>
      </c>
      <c r="U856">
        <v>0</v>
      </c>
      <c r="V856" t="s">
        <v>1030</v>
      </c>
      <c r="W856">
        <v>1009132</v>
      </c>
    </row>
    <row r="857" spans="1:23" x14ac:dyDescent="0.25">
      <c r="A857" t="s">
        <v>304</v>
      </c>
      <c r="B857" t="s">
        <v>1036</v>
      </c>
      <c r="C857" t="s">
        <v>1031</v>
      </c>
      <c r="D857">
        <v>3</v>
      </c>
      <c r="E857">
        <v>1631627</v>
      </c>
      <c r="F857">
        <v>4810520</v>
      </c>
      <c r="G857">
        <v>162648</v>
      </c>
      <c r="H857">
        <v>4647320</v>
      </c>
      <c r="I857">
        <v>0</v>
      </c>
      <c r="J857">
        <v>63.162532800000001</v>
      </c>
      <c r="K857">
        <v>66.103521400000005</v>
      </c>
      <c r="L857">
        <v>25.1129894</v>
      </c>
      <c r="M857">
        <v>38.130240399999998</v>
      </c>
      <c r="N857">
        <v>39.537908100000003</v>
      </c>
      <c r="O857">
        <v>0</v>
      </c>
      <c r="P857">
        <v>7.9729999999999999</v>
      </c>
      <c r="Q857">
        <v>2.6160000000000001</v>
      </c>
      <c r="R857">
        <v>0</v>
      </c>
      <c r="S857">
        <v>0</v>
      </c>
      <c r="T857">
        <v>0</v>
      </c>
      <c r="U857">
        <v>0</v>
      </c>
      <c r="V857" t="s">
        <v>1030</v>
      </c>
      <c r="W857">
        <v>1009132</v>
      </c>
    </row>
    <row r="858" spans="1:23" x14ac:dyDescent="0.25">
      <c r="A858" t="s">
        <v>1032</v>
      </c>
    </row>
    <row r="859" spans="1:23" x14ac:dyDescent="0.25">
      <c r="A859" t="s">
        <v>304</v>
      </c>
      <c r="B859" t="s">
        <v>1036</v>
      </c>
      <c r="C859" t="s">
        <v>1031</v>
      </c>
      <c r="D859">
        <v>5</v>
      </c>
      <c r="E859">
        <v>0</v>
      </c>
      <c r="F859" t="s">
        <v>1034</v>
      </c>
      <c r="G859" t="s">
        <v>1034</v>
      </c>
      <c r="H859" t="s">
        <v>1034</v>
      </c>
      <c r="I859" t="s">
        <v>1034</v>
      </c>
      <c r="J859" t="s">
        <v>1034</v>
      </c>
      <c r="K859" t="s">
        <v>1034</v>
      </c>
      <c r="L859" t="s">
        <v>1034</v>
      </c>
      <c r="M859" t="s">
        <v>1034</v>
      </c>
      <c r="N859" t="s">
        <v>1034</v>
      </c>
      <c r="O859" t="s">
        <v>1034</v>
      </c>
      <c r="P859" t="s">
        <v>1034</v>
      </c>
      <c r="Q859" t="s">
        <v>1034</v>
      </c>
      <c r="R859" t="s">
        <v>1034</v>
      </c>
      <c r="S859" t="s">
        <v>1034</v>
      </c>
      <c r="T859" t="s">
        <v>1034</v>
      </c>
      <c r="U859" t="s">
        <v>1034</v>
      </c>
      <c r="V859" t="s">
        <v>1034</v>
      </c>
      <c r="W859" t="s">
        <v>1035</v>
      </c>
    </row>
    <row r="860" spans="1:23" x14ac:dyDescent="0.25">
      <c r="A860" t="s">
        <v>307</v>
      </c>
      <c r="B860" t="s">
        <v>1036</v>
      </c>
      <c r="C860" t="s">
        <v>1031</v>
      </c>
      <c r="D860">
        <v>0</v>
      </c>
      <c r="E860">
        <v>22571413</v>
      </c>
      <c r="F860">
        <v>4396824</v>
      </c>
      <c r="G860">
        <v>163608</v>
      </c>
      <c r="H860">
        <v>4230176</v>
      </c>
      <c r="I860">
        <v>0</v>
      </c>
      <c r="J860">
        <v>64.9611673</v>
      </c>
      <c r="K860">
        <v>67.066179500000004</v>
      </c>
      <c r="L860">
        <v>22.1008824</v>
      </c>
      <c r="M860">
        <v>35.874953300000001</v>
      </c>
      <c r="N860">
        <v>38.864947200000003</v>
      </c>
      <c r="O860">
        <v>0</v>
      </c>
      <c r="P860">
        <v>153.36099999999999</v>
      </c>
      <c r="Q860">
        <v>27.544</v>
      </c>
      <c r="R860">
        <v>0</v>
      </c>
      <c r="S860">
        <v>0</v>
      </c>
      <c r="T860">
        <v>0</v>
      </c>
      <c r="U860">
        <v>0</v>
      </c>
      <c r="V860" t="s">
        <v>1030</v>
      </c>
      <c r="W860">
        <v>47062002</v>
      </c>
    </row>
    <row r="861" spans="1:23" x14ac:dyDescent="0.25">
      <c r="A861" t="s">
        <v>307</v>
      </c>
      <c r="B861" t="s">
        <v>1036</v>
      </c>
      <c r="C861" t="s">
        <v>1031</v>
      </c>
      <c r="D861">
        <v>1</v>
      </c>
      <c r="E861">
        <v>23467281</v>
      </c>
      <c r="F861">
        <v>11169272</v>
      </c>
      <c r="G861">
        <v>521040</v>
      </c>
      <c r="H861">
        <v>10644952</v>
      </c>
      <c r="I861">
        <v>0</v>
      </c>
      <c r="J861">
        <v>71.458594399999996</v>
      </c>
      <c r="K861">
        <v>73.940550500000001</v>
      </c>
      <c r="L861">
        <v>25.0297035</v>
      </c>
      <c r="M861">
        <v>38.459733300000003</v>
      </c>
      <c r="N861">
        <v>41.171851500000002</v>
      </c>
      <c r="O861">
        <v>0</v>
      </c>
      <c r="P861">
        <v>149.346</v>
      </c>
      <c r="Q861">
        <v>30.792999999999999</v>
      </c>
      <c r="R861">
        <v>0</v>
      </c>
      <c r="S861">
        <v>0</v>
      </c>
      <c r="T861">
        <v>0</v>
      </c>
      <c r="U861">
        <v>0</v>
      </c>
      <c r="V861" t="s">
        <v>1030</v>
      </c>
      <c r="W861">
        <v>47062002</v>
      </c>
    </row>
    <row r="862" spans="1:23" x14ac:dyDescent="0.25">
      <c r="A862" t="s">
        <v>307</v>
      </c>
      <c r="B862" t="s">
        <v>1036</v>
      </c>
      <c r="C862" t="s">
        <v>1031</v>
      </c>
      <c r="D862">
        <v>2</v>
      </c>
      <c r="E862">
        <v>23854604</v>
      </c>
      <c r="F862">
        <v>24885176</v>
      </c>
      <c r="G862">
        <v>1711576</v>
      </c>
      <c r="H862">
        <v>23170400</v>
      </c>
      <c r="I862">
        <v>0</v>
      </c>
      <c r="J862">
        <v>78.1355133</v>
      </c>
      <c r="K862">
        <v>79.2440316</v>
      </c>
      <c r="L862">
        <v>27.828978299999999</v>
      </c>
      <c r="M862">
        <v>41.395846499999998</v>
      </c>
      <c r="N862">
        <v>43.693831400000001</v>
      </c>
      <c r="O862">
        <v>0</v>
      </c>
      <c r="P862">
        <v>146.47</v>
      </c>
      <c r="Q862">
        <v>34.536000000000001</v>
      </c>
      <c r="R862">
        <v>0</v>
      </c>
      <c r="S862">
        <v>0</v>
      </c>
      <c r="T862">
        <v>0</v>
      </c>
      <c r="U862">
        <v>0</v>
      </c>
      <c r="V862" t="s">
        <v>1030</v>
      </c>
      <c r="W862">
        <v>47062002</v>
      </c>
    </row>
    <row r="863" spans="1:23" x14ac:dyDescent="0.25">
      <c r="A863" t="s">
        <v>307</v>
      </c>
      <c r="B863" t="s">
        <v>1036</v>
      </c>
      <c r="C863" t="s">
        <v>1031</v>
      </c>
      <c r="D863">
        <v>3</v>
      </c>
      <c r="E863">
        <v>22980023</v>
      </c>
      <c r="F863">
        <v>45339928</v>
      </c>
      <c r="G863">
        <v>5005264</v>
      </c>
      <c r="H863">
        <v>40331464</v>
      </c>
      <c r="I863">
        <v>0</v>
      </c>
      <c r="J863">
        <v>81.786106099999998</v>
      </c>
      <c r="K863">
        <v>84.453123700000006</v>
      </c>
      <c r="L863">
        <v>29.396022299999998</v>
      </c>
      <c r="M863">
        <v>43.598332499999998</v>
      </c>
      <c r="N863">
        <v>45.5317656</v>
      </c>
      <c r="O863">
        <v>0</v>
      </c>
      <c r="P863">
        <v>168.607</v>
      </c>
      <c r="Q863">
        <v>50.893000000000001</v>
      </c>
      <c r="R863">
        <v>0</v>
      </c>
      <c r="S863">
        <v>0</v>
      </c>
      <c r="T863">
        <v>0</v>
      </c>
      <c r="U863">
        <v>0</v>
      </c>
      <c r="V863" t="s">
        <v>1030</v>
      </c>
      <c r="W863">
        <v>47062002</v>
      </c>
    </row>
    <row r="864" spans="1:23" x14ac:dyDescent="0.25">
      <c r="A864" t="s">
        <v>1032</v>
      </c>
    </row>
    <row r="865" spans="1:23" x14ac:dyDescent="0.25">
      <c r="A865" t="s">
        <v>307</v>
      </c>
      <c r="B865" t="s">
        <v>1036</v>
      </c>
      <c r="C865" t="s">
        <v>1031</v>
      </c>
      <c r="D865">
        <v>5</v>
      </c>
      <c r="E865">
        <v>0</v>
      </c>
      <c r="F865" t="s">
        <v>1034</v>
      </c>
      <c r="G865" t="s">
        <v>1034</v>
      </c>
      <c r="H865" t="s">
        <v>1034</v>
      </c>
      <c r="I865" t="s">
        <v>1034</v>
      </c>
      <c r="J865" t="s">
        <v>1034</v>
      </c>
      <c r="K865" t="s">
        <v>1034</v>
      </c>
      <c r="L865" t="s">
        <v>1034</v>
      </c>
      <c r="M865" t="s">
        <v>1034</v>
      </c>
      <c r="N865" t="s">
        <v>1034</v>
      </c>
      <c r="O865" t="s">
        <v>1034</v>
      </c>
      <c r="P865" t="s">
        <v>1034</v>
      </c>
      <c r="Q865" t="s">
        <v>1034</v>
      </c>
      <c r="R865" t="s">
        <v>1034</v>
      </c>
      <c r="S865" t="s">
        <v>1034</v>
      </c>
      <c r="T865" t="s">
        <v>1034</v>
      </c>
      <c r="U865" t="s">
        <v>1034</v>
      </c>
      <c r="V865" t="s">
        <v>1034</v>
      </c>
      <c r="W865" t="s">
        <v>1035</v>
      </c>
    </row>
    <row r="866" spans="1:23" x14ac:dyDescent="0.25">
      <c r="A866" t="s">
        <v>310</v>
      </c>
      <c r="B866" t="s">
        <v>1036</v>
      </c>
      <c r="C866" t="s">
        <v>1031</v>
      </c>
      <c r="D866">
        <v>0</v>
      </c>
      <c r="E866">
        <v>27596787</v>
      </c>
      <c r="F866">
        <v>5277088</v>
      </c>
      <c r="G866">
        <v>224336</v>
      </c>
      <c r="H866">
        <v>5049392</v>
      </c>
      <c r="I866">
        <v>0</v>
      </c>
      <c r="J866">
        <v>65.326841299999998</v>
      </c>
      <c r="K866">
        <v>67.323438499999995</v>
      </c>
      <c r="L866">
        <v>22.570817999999999</v>
      </c>
      <c r="M866">
        <v>35.409225399999997</v>
      </c>
      <c r="N866">
        <v>36.878027099999997</v>
      </c>
      <c r="O866">
        <v>0</v>
      </c>
      <c r="P866">
        <v>176.56100000000001</v>
      </c>
      <c r="Q866">
        <v>30.055</v>
      </c>
      <c r="R866">
        <v>0</v>
      </c>
      <c r="S866">
        <v>0</v>
      </c>
      <c r="T866">
        <v>0</v>
      </c>
      <c r="U866">
        <v>0</v>
      </c>
      <c r="V866" t="s">
        <v>1030</v>
      </c>
      <c r="W866">
        <v>43399204</v>
      </c>
    </row>
    <row r="867" spans="1:23" x14ac:dyDescent="0.25">
      <c r="A867" t="s">
        <v>310</v>
      </c>
      <c r="B867" t="s">
        <v>1036</v>
      </c>
      <c r="C867" t="s">
        <v>1031</v>
      </c>
      <c r="D867">
        <v>1</v>
      </c>
      <c r="E867">
        <v>24266917</v>
      </c>
      <c r="F867">
        <v>12006536</v>
      </c>
      <c r="G867">
        <v>651768</v>
      </c>
      <c r="H867">
        <v>11351488</v>
      </c>
      <c r="I867">
        <v>0</v>
      </c>
      <c r="J867">
        <v>71.591594099999995</v>
      </c>
      <c r="K867">
        <v>74.276004</v>
      </c>
      <c r="L867">
        <v>25.0562817</v>
      </c>
      <c r="M867">
        <v>37.937561299999999</v>
      </c>
      <c r="N867">
        <v>39.377364800000002</v>
      </c>
      <c r="O867">
        <v>0</v>
      </c>
      <c r="P867">
        <v>156.578</v>
      </c>
      <c r="Q867">
        <v>26.785</v>
      </c>
      <c r="R867">
        <v>0</v>
      </c>
      <c r="S867">
        <v>0</v>
      </c>
      <c r="T867">
        <v>0</v>
      </c>
      <c r="U867">
        <v>0</v>
      </c>
      <c r="V867" t="s">
        <v>1030</v>
      </c>
      <c r="W867">
        <v>43399204</v>
      </c>
    </row>
    <row r="868" spans="1:23" x14ac:dyDescent="0.25">
      <c r="A868" t="s">
        <v>310</v>
      </c>
      <c r="B868" t="s">
        <v>1036</v>
      </c>
      <c r="C868" t="s">
        <v>1031</v>
      </c>
      <c r="D868">
        <v>2</v>
      </c>
      <c r="E868">
        <v>23652076</v>
      </c>
      <c r="F868">
        <v>25726176</v>
      </c>
      <c r="G868">
        <v>2249224</v>
      </c>
      <c r="H868">
        <v>23473672</v>
      </c>
      <c r="I868">
        <v>0</v>
      </c>
      <c r="J868">
        <v>77.076353600000004</v>
      </c>
      <c r="K868">
        <v>79.355503200000001</v>
      </c>
      <c r="L868">
        <v>27.397638799999999</v>
      </c>
      <c r="M868">
        <v>40.537110300000002</v>
      </c>
      <c r="N868">
        <v>41.908985199999996</v>
      </c>
      <c r="O868">
        <v>0</v>
      </c>
      <c r="P868">
        <v>157.232</v>
      </c>
      <c r="Q868">
        <v>35.658999999999999</v>
      </c>
      <c r="R868">
        <v>0</v>
      </c>
      <c r="S868">
        <v>0</v>
      </c>
      <c r="T868">
        <v>0</v>
      </c>
      <c r="U868">
        <v>0</v>
      </c>
      <c r="V868" t="s">
        <v>1030</v>
      </c>
      <c r="W868">
        <v>43399204</v>
      </c>
    </row>
    <row r="869" spans="1:23" x14ac:dyDescent="0.25">
      <c r="A869" t="s">
        <v>310</v>
      </c>
      <c r="B869" t="s">
        <v>1036</v>
      </c>
      <c r="C869" t="s">
        <v>1031</v>
      </c>
      <c r="D869">
        <v>3</v>
      </c>
      <c r="E869">
        <v>28351639</v>
      </c>
      <c r="F869">
        <v>56204088</v>
      </c>
      <c r="G869">
        <v>6970656</v>
      </c>
      <c r="H869">
        <v>49230232</v>
      </c>
      <c r="I869">
        <v>0</v>
      </c>
      <c r="J869">
        <v>80.904048299999999</v>
      </c>
      <c r="K869">
        <v>84.685882599999999</v>
      </c>
      <c r="L869">
        <v>29.223653500000001</v>
      </c>
      <c r="M869">
        <v>42.9829711</v>
      </c>
      <c r="N869">
        <v>44.233789700000003</v>
      </c>
      <c r="O869">
        <v>0</v>
      </c>
      <c r="P869">
        <v>200.386</v>
      </c>
      <c r="Q869">
        <v>62.265000000000001</v>
      </c>
      <c r="R869">
        <v>0</v>
      </c>
      <c r="S869">
        <v>0</v>
      </c>
      <c r="T869">
        <v>0</v>
      </c>
      <c r="U869">
        <v>0</v>
      </c>
      <c r="V869" t="s">
        <v>1030</v>
      </c>
      <c r="W869">
        <v>43399204</v>
      </c>
    </row>
    <row r="870" spans="1:23" x14ac:dyDescent="0.25">
      <c r="A870" t="s">
        <v>1032</v>
      </c>
    </row>
    <row r="871" spans="1:23" x14ac:dyDescent="0.25">
      <c r="A871" t="s">
        <v>310</v>
      </c>
      <c r="B871" t="s">
        <v>1036</v>
      </c>
      <c r="C871" t="s">
        <v>1031</v>
      </c>
      <c r="D871">
        <v>5</v>
      </c>
      <c r="E871">
        <v>0</v>
      </c>
      <c r="F871" t="s">
        <v>1034</v>
      </c>
      <c r="G871" t="s">
        <v>1034</v>
      </c>
      <c r="H871" t="s">
        <v>1034</v>
      </c>
      <c r="I871" t="s">
        <v>1034</v>
      </c>
      <c r="J871" t="s">
        <v>1034</v>
      </c>
      <c r="K871" t="s">
        <v>1034</v>
      </c>
      <c r="L871" t="s">
        <v>1034</v>
      </c>
      <c r="M871" t="s">
        <v>1034</v>
      </c>
      <c r="N871" t="s">
        <v>1034</v>
      </c>
      <c r="O871" t="s">
        <v>1034</v>
      </c>
      <c r="P871" t="s">
        <v>1034</v>
      </c>
      <c r="Q871" t="s">
        <v>1034</v>
      </c>
      <c r="R871" t="s">
        <v>1034</v>
      </c>
      <c r="S871" t="s">
        <v>1034</v>
      </c>
      <c r="T871" t="s">
        <v>1034</v>
      </c>
      <c r="U871" t="s">
        <v>1034</v>
      </c>
      <c r="V871" t="s">
        <v>1034</v>
      </c>
      <c r="W871" t="s">
        <v>1035</v>
      </c>
    </row>
    <row r="872" spans="1:23" x14ac:dyDescent="0.25">
      <c r="A872" t="s">
        <v>313</v>
      </c>
      <c r="B872" t="s">
        <v>1036</v>
      </c>
      <c r="C872" t="s">
        <v>1031</v>
      </c>
      <c r="D872">
        <v>0</v>
      </c>
      <c r="E872">
        <v>180864</v>
      </c>
      <c r="F872">
        <v>54936</v>
      </c>
      <c r="G872">
        <v>1600</v>
      </c>
      <c r="H872">
        <v>52864</v>
      </c>
      <c r="I872">
        <v>0</v>
      </c>
      <c r="J872">
        <v>46.9690777</v>
      </c>
      <c r="K872">
        <v>50.206985899999999</v>
      </c>
      <c r="L872">
        <v>20.688886700000001</v>
      </c>
      <c r="M872">
        <v>29.968215900000001</v>
      </c>
      <c r="N872">
        <v>32.444459299999998</v>
      </c>
      <c r="O872">
        <v>0</v>
      </c>
      <c r="P872">
        <v>1.5009999999999999</v>
      </c>
      <c r="Q872">
        <v>0.216</v>
      </c>
      <c r="R872">
        <v>0</v>
      </c>
      <c r="S872">
        <v>0</v>
      </c>
      <c r="T872">
        <v>0</v>
      </c>
      <c r="U872">
        <v>0</v>
      </c>
      <c r="V872" t="s">
        <v>1030</v>
      </c>
      <c r="W872">
        <v>499660</v>
      </c>
    </row>
    <row r="873" spans="1:23" x14ac:dyDescent="0.25">
      <c r="A873" t="s">
        <v>313</v>
      </c>
      <c r="B873" t="s">
        <v>1036</v>
      </c>
      <c r="C873" t="s">
        <v>1031</v>
      </c>
      <c r="D873">
        <v>1</v>
      </c>
      <c r="E873">
        <v>188056</v>
      </c>
      <c r="F873">
        <v>165360</v>
      </c>
      <c r="G873">
        <v>5792</v>
      </c>
      <c r="H873">
        <v>159096</v>
      </c>
      <c r="I873">
        <v>0</v>
      </c>
      <c r="J873">
        <v>55.3890916</v>
      </c>
      <c r="K873">
        <v>57.808177800000003</v>
      </c>
      <c r="L873">
        <v>23.557178100000002</v>
      </c>
      <c r="M873">
        <v>33.068265400000001</v>
      </c>
      <c r="N873">
        <v>34.811134699999997</v>
      </c>
      <c r="O873">
        <v>0</v>
      </c>
      <c r="P873">
        <v>1.37</v>
      </c>
      <c r="Q873">
        <v>0.25600000000000001</v>
      </c>
      <c r="R873">
        <v>0</v>
      </c>
      <c r="S873">
        <v>0</v>
      </c>
      <c r="T873">
        <v>0</v>
      </c>
      <c r="U873">
        <v>0</v>
      </c>
      <c r="V873" t="s">
        <v>1030</v>
      </c>
      <c r="W873">
        <v>499660</v>
      </c>
    </row>
    <row r="874" spans="1:23" x14ac:dyDescent="0.25">
      <c r="A874" t="s">
        <v>313</v>
      </c>
      <c r="B874" t="s">
        <v>1036</v>
      </c>
      <c r="C874" t="s">
        <v>1031</v>
      </c>
      <c r="D874">
        <v>2</v>
      </c>
      <c r="E874">
        <v>221582</v>
      </c>
      <c r="F874">
        <v>452320</v>
      </c>
      <c r="G874">
        <v>24064</v>
      </c>
      <c r="H874">
        <v>427784</v>
      </c>
      <c r="I874">
        <v>0</v>
      </c>
      <c r="J874">
        <v>60.194902200000001</v>
      </c>
      <c r="K874">
        <v>62.6789445</v>
      </c>
      <c r="L874">
        <v>25.717613400000001</v>
      </c>
      <c r="M874">
        <v>35.570179000000003</v>
      </c>
      <c r="N874">
        <v>37.009129700000003</v>
      </c>
      <c r="O874">
        <v>0</v>
      </c>
      <c r="P874">
        <v>1.5029999999999999</v>
      </c>
      <c r="Q874">
        <v>0.36399999999999999</v>
      </c>
      <c r="R874">
        <v>0</v>
      </c>
      <c r="S874">
        <v>0</v>
      </c>
      <c r="T874">
        <v>0</v>
      </c>
      <c r="U874">
        <v>0</v>
      </c>
      <c r="V874" t="s">
        <v>1030</v>
      </c>
      <c r="W874">
        <v>499660</v>
      </c>
    </row>
    <row r="875" spans="1:23" x14ac:dyDescent="0.25">
      <c r="A875" t="s">
        <v>313</v>
      </c>
      <c r="B875" t="s">
        <v>1036</v>
      </c>
      <c r="C875" t="s">
        <v>1031</v>
      </c>
      <c r="D875">
        <v>3</v>
      </c>
      <c r="E875">
        <v>279290</v>
      </c>
      <c r="F875">
        <v>1086880</v>
      </c>
      <c r="G875">
        <v>99848</v>
      </c>
      <c r="H875">
        <v>986560</v>
      </c>
      <c r="I875">
        <v>0</v>
      </c>
      <c r="J875">
        <v>61.732668099999998</v>
      </c>
      <c r="K875">
        <v>64.405444000000003</v>
      </c>
      <c r="L875">
        <v>27.224632700000001</v>
      </c>
      <c r="M875">
        <v>37.555721599999998</v>
      </c>
      <c r="N875">
        <v>39.095377499999998</v>
      </c>
      <c r="O875">
        <v>0</v>
      </c>
      <c r="P875">
        <v>1.9610000000000001</v>
      </c>
      <c r="Q875">
        <v>0.65500000000000003</v>
      </c>
      <c r="R875">
        <v>0</v>
      </c>
      <c r="S875">
        <v>0</v>
      </c>
      <c r="T875">
        <v>0</v>
      </c>
      <c r="U875">
        <v>0</v>
      </c>
      <c r="V875" t="s">
        <v>1030</v>
      </c>
      <c r="W875">
        <v>499660</v>
      </c>
    </row>
    <row r="876" spans="1:23" x14ac:dyDescent="0.25">
      <c r="A876" t="s">
        <v>1032</v>
      </c>
    </row>
    <row r="877" spans="1:23" x14ac:dyDescent="0.25">
      <c r="A877" t="s">
        <v>313</v>
      </c>
      <c r="B877" t="s">
        <v>1036</v>
      </c>
      <c r="C877" t="s">
        <v>1031</v>
      </c>
      <c r="D877">
        <v>5</v>
      </c>
      <c r="E877">
        <v>0</v>
      </c>
      <c r="F877" t="s">
        <v>1034</v>
      </c>
      <c r="G877" t="s">
        <v>1034</v>
      </c>
      <c r="H877" t="s">
        <v>1034</v>
      </c>
      <c r="I877" t="s">
        <v>1034</v>
      </c>
      <c r="J877" t="s">
        <v>1034</v>
      </c>
      <c r="K877" t="s">
        <v>1034</v>
      </c>
      <c r="L877" t="s">
        <v>1034</v>
      </c>
      <c r="M877" t="s">
        <v>1034</v>
      </c>
      <c r="N877" t="s">
        <v>1034</v>
      </c>
      <c r="O877" t="s">
        <v>1034</v>
      </c>
      <c r="P877" t="s">
        <v>1034</v>
      </c>
      <c r="Q877" t="s">
        <v>1034</v>
      </c>
      <c r="R877" t="s">
        <v>1034</v>
      </c>
      <c r="S877" t="s">
        <v>1034</v>
      </c>
      <c r="T877" t="s">
        <v>1034</v>
      </c>
      <c r="U877" t="s">
        <v>1034</v>
      </c>
      <c r="V877" t="s">
        <v>1034</v>
      </c>
      <c r="W877" t="s">
        <v>1035</v>
      </c>
    </row>
    <row r="878" spans="1:23" x14ac:dyDescent="0.25">
      <c r="A878" t="s">
        <v>316</v>
      </c>
      <c r="B878" t="s">
        <v>1036</v>
      </c>
      <c r="C878" t="s">
        <v>1031</v>
      </c>
      <c r="D878">
        <v>0</v>
      </c>
      <c r="E878">
        <v>24483318</v>
      </c>
      <c r="F878">
        <v>2459000</v>
      </c>
      <c r="G878">
        <v>265272</v>
      </c>
      <c r="H878">
        <v>2190776</v>
      </c>
      <c r="I878">
        <v>0</v>
      </c>
      <c r="J878">
        <v>67.275510199999999</v>
      </c>
      <c r="K878">
        <v>70.862850699999996</v>
      </c>
      <c r="L878">
        <v>27.4662221</v>
      </c>
      <c r="M878">
        <v>40.075922300000002</v>
      </c>
      <c r="N878">
        <v>38.385284800000001</v>
      </c>
      <c r="O878">
        <v>0</v>
      </c>
      <c r="P878">
        <v>180.08699999999999</v>
      </c>
      <c r="Q878">
        <v>31.507000000000001</v>
      </c>
      <c r="R878">
        <v>0</v>
      </c>
      <c r="S878">
        <v>0</v>
      </c>
      <c r="T878">
        <v>0</v>
      </c>
      <c r="U878">
        <v>0</v>
      </c>
      <c r="V878" t="s">
        <v>1030</v>
      </c>
      <c r="W878">
        <v>63787119</v>
      </c>
    </row>
    <row r="879" spans="1:23" x14ac:dyDescent="0.25">
      <c r="A879" t="s">
        <v>316</v>
      </c>
      <c r="B879" t="s">
        <v>1036</v>
      </c>
      <c r="C879" t="s">
        <v>1031</v>
      </c>
      <c r="D879">
        <v>1</v>
      </c>
      <c r="E879">
        <v>25272797</v>
      </c>
      <c r="F879">
        <v>6026904</v>
      </c>
      <c r="G879">
        <v>763904</v>
      </c>
      <c r="H879">
        <v>5260128</v>
      </c>
      <c r="I879">
        <v>0</v>
      </c>
      <c r="J879">
        <v>72.542174000000003</v>
      </c>
      <c r="K879">
        <v>76.754673699999998</v>
      </c>
      <c r="L879">
        <v>30.568652799999999</v>
      </c>
      <c r="M879">
        <v>43.363876699999999</v>
      </c>
      <c r="N879">
        <v>41.609129699999997</v>
      </c>
      <c r="O879">
        <v>0</v>
      </c>
      <c r="P879">
        <v>172.749</v>
      </c>
      <c r="Q879">
        <v>29.71</v>
      </c>
      <c r="R879">
        <v>0</v>
      </c>
      <c r="S879">
        <v>0</v>
      </c>
      <c r="T879">
        <v>0</v>
      </c>
      <c r="U879">
        <v>0</v>
      </c>
      <c r="V879" t="s">
        <v>1030</v>
      </c>
      <c r="W879">
        <v>63787119</v>
      </c>
    </row>
    <row r="880" spans="1:23" x14ac:dyDescent="0.25">
      <c r="A880" t="s">
        <v>316</v>
      </c>
      <c r="B880" t="s">
        <v>1036</v>
      </c>
      <c r="C880" t="s">
        <v>1031</v>
      </c>
      <c r="D880">
        <v>2</v>
      </c>
      <c r="E880">
        <v>25701878</v>
      </c>
      <c r="F880">
        <v>15348768</v>
      </c>
      <c r="G880">
        <v>3040352</v>
      </c>
      <c r="H880">
        <v>12305464</v>
      </c>
      <c r="I880">
        <v>0</v>
      </c>
      <c r="J880">
        <v>77.384885699999998</v>
      </c>
      <c r="K880">
        <v>80.935910199999995</v>
      </c>
      <c r="L880">
        <v>33.212288600000001</v>
      </c>
      <c r="M880">
        <v>46.049863100000003</v>
      </c>
      <c r="N880">
        <v>44.458010199999997</v>
      </c>
      <c r="O880">
        <v>0</v>
      </c>
      <c r="P880">
        <v>173.21</v>
      </c>
      <c r="Q880">
        <v>41.915999999999997</v>
      </c>
      <c r="R880">
        <v>0</v>
      </c>
      <c r="S880">
        <v>0</v>
      </c>
      <c r="T880">
        <v>0</v>
      </c>
      <c r="U880">
        <v>0</v>
      </c>
      <c r="V880" t="s">
        <v>1030</v>
      </c>
      <c r="W880">
        <v>63787119</v>
      </c>
    </row>
    <row r="881" spans="1:23" x14ac:dyDescent="0.25">
      <c r="A881" t="s">
        <v>316</v>
      </c>
      <c r="B881" t="s">
        <v>1036</v>
      </c>
      <c r="C881" t="s">
        <v>1031</v>
      </c>
      <c r="D881">
        <v>3</v>
      </c>
      <c r="E881">
        <v>28169695</v>
      </c>
      <c r="F881">
        <v>36818488</v>
      </c>
      <c r="G881">
        <v>10429768</v>
      </c>
      <c r="H881">
        <v>26385848</v>
      </c>
      <c r="I881">
        <v>0</v>
      </c>
      <c r="J881">
        <v>80.510354399999997</v>
      </c>
      <c r="K881">
        <v>84.038455299999995</v>
      </c>
      <c r="L881">
        <v>35.319184100000001</v>
      </c>
      <c r="M881">
        <v>48.306746699999998</v>
      </c>
      <c r="N881">
        <v>46.9433188</v>
      </c>
      <c r="O881">
        <v>0</v>
      </c>
      <c r="P881">
        <v>207.67500000000001</v>
      </c>
      <c r="Q881">
        <v>68.700999999999993</v>
      </c>
      <c r="R881">
        <v>0</v>
      </c>
      <c r="S881">
        <v>0</v>
      </c>
      <c r="T881">
        <v>0</v>
      </c>
      <c r="U881">
        <v>0</v>
      </c>
      <c r="V881" t="s">
        <v>1030</v>
      </c>
      <c r="W881">
        <v>63787119</v>
      </c>
    </row>
    <row r="882" spans="1:23" x14ac:dyDescent="0.25">
      <c r="A882" t="s">
        <v>1032</v>
      </c>
    </row>
    <row r="883" spans="1:23" x14ac:dyDescent="0.25">
      <c r="A883" t="s">
        <v>316</v>
      </c>
      <c r="B883" t="s">
        <v>1036</v>
      </c>
      <c r="C883" t="s">
        <v>1031</v>
      </c>
      <c r="D883">
        <v>5</v>
      </c>
      <c r="E883">
        <v>0</v>
      </c>
      <c r="F883" t="s">
        <v>1034</v>
      </c>
      <c r="G883" t="s">
        <v>1034</v>
      </c>
      <c r="H883" t="s">
        <v>1034</v>
      </c>
      <c r="I883" t="s">
        <v>1034</v>
      </c>
      <c r="J883" t="s">
        <v>1034</v>
      </c>
      <c r="K883" t="s">
        <v>1034</v>
      </c>
      <c r="L883" t="s">
        <v>1034</v>
      </c>
      <c r="M883" t="s">
        <v>1034</v>
      </c>
      <c r="N883" t="s">
        <v>1034</v>
      </c>
      <c r="O883" t="s">
        <v>1034</v>
      </c>
      <c r="P883" t="s">
        <v>1034</v>
      </c>
      <c r="Q883" t="s">
        <v>1034</v>
      </c>
      <c r="R883" t="s">
        <v>1034</v>
      </c>
      <c r="S883" t="s">
        <v>1034</v>
      </c>
      <c r="T883" t="s">
        <v>1034</v>
      </c>
      <c r="U883" t="s">
        <v>1034</v>
      </c>
      <c r="V883" t="s">
        <v>1034</v>
      </c>
      <c r="W883" t="s">
        <v>1035</v>
      </c>
    </row>
    <row r="884" spans="1:23" x14ac:dyDescent="0.25">
      <c r="A884" t="s">
        <v>319</v>
      </c>
      <c r="B884" t="s">
        <v>1036</v>
      </c>
      <c r="C884" t="s">
        <v>1031</v>
      </c>
      <c r="D884">
        <v>0</v>
      </c>
      <c r="E884">
        <v>953417</v>
      </c>
      <c r="F884">
        <v>187184</v>
      </c>
      <c r="G884">
        <v>6280</v>
      </c>
      <c r="H884">
        <v>180272</v>
      </c>
      <c r="I884">
        <v>0</v>
      </c>
      <c r="J884">
        <v>39.726738400000002</v>
      </c>
      <c r="K884">
        <v>44.547941100000003</v>
      </c>
      <c r="L884">
        <v>17.214817499999999</v>
      </c>
      <c r="M884">
        <v>29.758672499999999</v>
      </c>
      <c r="N884">
        <v>28.623838899999999</v>
      </c>
      <c r="O884">
        <v>0</v>
      </c>
      <c r="P884">
        <v>7.8630000000000004</v>
      </c>
      <c r="Q884">
        <v>1.1299999999999999</v>
      </c>
      <c r="R884">
        <v>0</v>
      </c>
      <c r="S884">
        <v>0</v>
      </c>
      <c r="T884">
        <v>0</v>
      </c>
      <c r="U884">
        <v>0</v>
      </c>
      <c r="V884" t="s">
        <v>1030</v>
      </c>
      <c r="W884">
        <v>1995189</v>
      </c>
    </row>
    <row r="885" spans="1:23" x14ac:dyDescent="0.25">
      <c r="A885" t="s">
        <v>319</v>
      </c>
      <c r="B885" t="s">
        <v>1036</v>
      </c>
      <c r="C885" t="s">
        <v>1031</v>
      </c>
      <c r="D885">
        <v>1</v>
      </c>
      <c r="E885">
        <v>1779698</v>
      </c>
      <c r="F885">
        <v>908160</v>
      </c>
      <c r="G885">
        <v>21480</v>
      </c>
      <c r="H885">
        <v>886048</v>
      </c>
      <c r="I885">
        <v>0</v>
      </c>
      <c r="J885">
        <v>48.455887099999998</v>
      </c>
      <c r="K885">
        <v>49.678536200000003</v>
      </c>
      <c r="L885">
        <v>22.645814000000001</v>
      </c>
      <c r="M885">
        <v>35.118223499999999</v>
      </c>
      <c r="N885">
        <v>33.776225699999998</v>
      </c>
      <c r="O885">
        <v>0</v>
      </c>
      <c r="P885">
        <v>11.989000000000001</v>
      </c>
      <c r="Q885">
        <v>2.2490000000000001</v>
      </c>
      <c r="R885">
        <v>0</v>
      </c>
      <c r="S885">
        <v>0</v>
      </c>
      <c r="T885">
        <v>0</v>
      </c>
      <c r="U885">
        <v>0</v>
      </c>
      <c r="V885" t="s">
        <v>1030</v>
      </c>
      <c r="W885">
        <v>1995189</v>
      </c>
    </row>
    <row r="886" spans="1:23" x14ac:dyDescent="0.25">
      <c r="A886" t="s">
        <v>319</v>
      </c>
      <c r="B886" t="s">
        <v>1036</v>
      </c>
      <c r="C886" t="s">
        <v>1031</v>
      </c>
      <c r="D886">
        <v>2</v>
      </c>
      <c r="E886">
        <v>2500166</v>
      </c>
      <c r="F886">
        <v>2707448</v>
      </c>
      <c r="G886">
        <v>76936</v>
      </c>
      <c r="H886">
        <v>2629880</v>
      </c>
      <c r="I886">
        <v>0</v>
      </c>
      <c r="J886">
        <v>60.2514927</v>
      </c>
      <c r="K886">
        <v>61.146888799999999</v>
      </c>
      <c r="L886">
        <v>27.756602900000001</v>
      </c>
      <c r="M886">
        <v>41.074112200000002</v>
      </c>
      <c r="N886">
        <v>39.895759099999999</v>
      </c>
      <c r="O886">
        <v>0</v>
      </c>
      <c r="P886">
        <v>18.373999999999999</v>
      </c>
      <c r="Q886">
        <v>3.2949999999999999</v>
      </c>
      <c r="R886">
        <v>0</v>
      </c>
      <c r="S886">
        <v>0</v>
      </c>
      <c r="T886">
        <v>0</v>
      </c>
      <c r="U886">
        <v>0</v>
      </c>
      <c r="V886" t="s">
        <v>1030</v>
      </c>
      <c r="W886">
        <v>1995189</v>
      </c>
    </row>
    <row r="887" spans="1:23" x14ac:dyDescent="0.25">
      <c r="A887" t="s">
        <v>319</v>
      </c>
      <c r="B887" t="s">
        <v>1036</v>
      </c>
      <c r="C887" t="s">
        <v>1031</v>
      </c>
      <c r="D887">
        <v>3</v>
      </c>
      <c r="E887">
        <v>2750728</v>
      </c>
      <c r="F887">
        <v>4544408</v>
      </c>
      <c r="G887">
        <v>257352</v>
      </c>
      <c r="H887">
        <v>4286344</v>
      </c>
      <c r="I887">
        <v>0</v>
      </c>
      <c r="J887">
        <v>64.702781700000003</v>
      </c>
      <c r="K887">
        <v>67.478378399999997</v>
      </c>
      <c r="L887">
        <v>28.9913791</v>
      </c>
      <c r="M887">
        <v>42.909469100000003</v>
      </c>
      <c r="N887">
        <v>41.865646499999997</v>
      </c>
      <c r="O887">
        <v>0</v>
      </c>
      <c r="P887">
        <v>20.696999999999999</v>
      </c>
      <c r="Q887">
        <v>4.1289999999999996</v>
      </c>
      <c r="R887">
        <v>0</v>
      </c>
      <c r="S887">
        <v>0</v>
      </c>
      <c r="T887">
        <v>0</v>
      </c>
      <c r="U887">
        <v>0</v>
      </c>
      <c r="V887" t="s">
        <v>1030</v>
      </c>
      <c r="W887">
        <v>1995189</v>
      </c>
    </row>
    <row r="888" spans="1:23" x14ac:dyDescent="0.25">
      <c r="A888" t="s">
        <v>1032</v>
      </c>
    </row>
    <row r="889" spans="1:23" x14ac:dyDescent="0.25">
      <c r="A889" t="s">
        <v>319</v>
      </c>
      <c r="B889" t="s">
        <v>1036</v>
      </c>
      <c r="C889" t="s">
        <v>1031</v>
      </c>
      <c r="D889">
        <v>5</v>
      </c>
      <c r="E889">
        <v>0</v>
      </c>
      <c r="F889" t="s">
        <v>1034</v>
      </c>
      <c r="G889" t="s">
        <v>1034</v>
      </c>
      <c r="H889" t="s">
        <v>1034</v>
      </c>
      <c r="I889" t="s">
        <v>1034</v>
      </c>
      <c r="J889" t="s">
        <v>1034</v>
      </c>
      <c r="K889" t="s">
        <v>1034</v>
      </c>
      <c r="L889" t="s">
        <v>1034</v>
      </c>
      <c r="M889" t="s">
        <v>1034</v>
      </c>
      <c r="N889" t="s">
        <v>1034</v>
      </c>
      <c r="O889" t="s">
        <v>1034</v>
      </c>
      <c r="P889" t="s">
        <v>1034</v>
      </c>
      <c r="Q889" t="s">
        <v>1034</v>
      </c>
      <c r="R889" t="s">
        <v>1034</v>
      </c>
      <c r="S889" t="s">
        <v>1034</v>
      </c>
      <c r="T889" t="s">
        <v>1034</v>
      </c>
      <c r="U889" t="s">
        <v>1034</v>
      </c>
      <c r="V889" t="s">
        <v>1034</v>
      </c>
      <c r="W889" t="s">
        <v>1035</v>
      </c>
    </row>
    <row r="890" spans="1:23" x14ac:dyDescent="0.25">
      <c r="A890" t="s">
        <v>322</v>
      </c>
      <c r="B890" t="s">
        <v>1036</v>
      </c>
      <c r="C890" t="s">
        <v>1031</v>
      </c>
      <c r="D890">
        <v>0</v>
      </c>
      <c r="E890">
        <v>502997</v>
      </c>
      <c r="F890">
        <v>139288</v>
      </c>
      <c r="G890">
        <v>5288</v>
      </c>
      <c r="H890">
        <v>133512</v>
      </c>
      <c r="I890">
        <v>0</v>
      </c>
      <c r="J890">
        <v>46.175350600000002</v>
      </c>
      <c r="K890">
        <v>52.802708899999999</v>
      </c>
      <c r="L890">
        <v>18.635821700000001</v>
      </c>
      <c r="M890">
        <v>35.912267800000002</v>
      </c>
      <c r="N890">
        <v>35.609902499999997</v>
      </c>
      <c r="O890">
        <v>0</v>
      </c>
      <c r="P890">
        <v>5.0720000000000001</v>
      </c>
      <c r="Q890">
        <v>0.61799999999999999</v>
      </c>
      <c r="R890">
        <v>0</v>
      </c>
      <c r="S890">
        <v>0</v>
      </c>
      <c r="T890">
        <v>0</v>
      </c>
      <c r="U890">
        <v>0</v>
      </c>
      <c r="V890" t="s">
        <v>1030</v>
      </c>
      <c r="W890">
        <v>1530552</v>
      </c>
    </row>
    <row r="891" spans="1:23" x14ac:dyDescent="0.25">
      <c r="A891" t="s">
        <v>322</v>
      </c>
      <c r="B891" t="s">
        <v>1036</v>
      </c>
      <c r="C891" t="s">
        <v>1031</v>
      </c>
      <c r="D891">
        <v>1</v>
      </c>
      <c r="E891">
        <v>533224</v>
      </c>
      <c r="F891">
        <v>466648</v>
      </c>
      <c r="G891">
        <v>20640</v>
      </c>
      <c r="H891">
        <v>445520</v>
      </c>
      <c r="I891">
        <v>0</v>
      </c>
      <c r="J891">
        <v>51.5707801</v>
      </c>
      <c r="K891">
        <v>58.4443713</v>
      </c>
      <c r="L891">
        <v>19.7963612</v>
      </c>
      <c r="M891">
        <v>36.7656724</v>
      </c>
      <c r="N891">
        <v>36.418388</v>
      </c>
      <c r="O891">
        <v>0</v>
      </c>
      <c r="P891">
        <v>4.9420000000000002</v>
      </c>
      <c r="Q891">
        <v>0.73699999999999999</v>
      </c>
      <c r="R891">
        <v>0</v>
      </c>
      <c r="S891">
        <v>0</v>
      </c>
      <c r="T891">
        <v>0</v>
      </c>
      <c r="U891">
        <v>0</v>
      </c>
      <c r="V891" t="s">
        <v>1030</v>
      </c>
      <c r="W891">
        <v>1530552</v>
      </c>
    </row>
    <row r="892" spans="1:23" x14ac:dyDescent="0.25">
      <c r="A892" t="s">
        <v>322</v>
      </c>
      <c r="B892" t="s">
        <v>1036</v>
      </c>
      <c r="C892" t="s">
        <v>1031</v>
      </c>
      <c r="D892">
        <v>2</v>
      </c>
      <c r="E892">
        <v>748886</v>
      </c>
      <c r="F892">
        <v>1546272</v>
      </c>
      <c r="G892">
        <v>99600</v>
      </c>
      <c r="H892">
        <v>1446184</v>
      </c>
      <c r="I892">
        <v>0</v>
      </c>
      <c r="J892">
        <v>58.057163199999998</v>
      </c>
      <c r="K892">
        <v>61.929736900000002</v>
      </c>
      <c r="L892">
        <v>20.7803532</v>
      </c>
      <c r="M892">
        <v>37.432873800000003</v>
      </c>
      <c r="N892">
        <v>37.190035899999998</v>
      </c>
      <c r="O892">
        <v>0</v>
      </c>
      <c r="P892">
        <v>6.1970000000000001</v>
      </c>
      <c r="Q892">
        <v>1.3240000000000001</v>
      </c>
      <c r="R892">
        <v>0</v>
      </c>
      <c r="S892">
        <v>0</v>
      </c>
      <c r="T892">
        <v>0</v>
      </c>
      <c r="U892">
        <v>0</v>
      </c>
      <c r="V892" t="s">
        <v>1030</v>
      </c>
      <c r="W892">
        <v>1530552</v>
      </c>
    </row>
    <row r="893" spans="1:23" x14ac:dyDescent="0.25">
      <c r="A893" t="s">
        <v>322</v>
      </c>
      <c r="B893" t="s">
        <v>1036</v>
      </c>
      <c r="C893" t="s">
        <v>1031</v>
      </c>
      <c r="D893">
        <v>3</v>
      </c>
      <c r="E893">
        <v>990179</v>
      </c>
      <c r="F893">
        <v>3822072</v>
      </c>
      <c r="G893">
        <v>434432</v>
      </c>
      <c r="H893">
        <v>3387152</v>
      </c>
      <c r="I893">
        <v>0</v>
      </c>
      <c r="J893">
        <v>59.6374797</v>
      </c>
      <c r="K893">
        <v>63.799921300000001</v>
      </c>
      <c r="L893">
        <v>21.521408999999998</v>
      </c>
      <c r="M893">
        <v>38.381872799999996</v>
      </c>
      <c r="N893">
        <v>38.137464899999998</v>
      </c>
      <c r="O893">
        <v>0</v>
      </c>
      <c r="P893">
        <v>7.8360000000000003</v>
      </c>
      <c r="Q893">
        <v>2.4020000000000001</v>
      </c>
      <c r="R893">
        <v>0</v>
      </c>
      <c r="S893">
        <v>0</v>
      </c>
      <c r="T893">
        <v>0</v>
      </c>
      <c r="U893">
        <v>0</v>
      </c>
      <c r="V893" t="s">
        <v>1030</v>
      </c>
      <c r="W893">
        <v>1530552</v>
      </c>
    </row>
    <row r="894" spans="1:23" x14ac:dyDescent="0.25">
      <c r="A894" t="s">
        <v>1032</v>
      </c>
    </row>
    <row r="895" spans="1:23" x14ac:dyDescent="0.25">
      <c r="A895" t="s">
        <v>322</v>
      </c>
      <c r="B895" t="s">
        <v>1036</v>
      </c>
      <c r="C895" t="s">
        <v>1031</v>
      </c>
      <c r="D895">
        <v>5</v>
      </c>
      <c r="E895">
        <v>0</v>
      </c>
      <c r="F895" t="s">
        <v>1034</v>
      </c>
      <c r="G895" t="s">
        <v>1034</v>
      </c>
      <c r="H895" t="s">
        <v>1034</v>
      </c>
      <c r="I895" t="s">
        <v>1034</v>
      </c>
      <c r="J895" t="s">
        <v>1034</v>
      </c>
      <c r="K895" t="s">
        <v>1034</v>
      </c>
      <c r="L895" t="s">
        <v>1034</v>
      </c>
      <c r="M895" t="s">
        <v>1034</v>
      </c>
      <c r="N895" t="s">
        <v>1034</v>
      </c>
      <c r="O895" t="s">
        <v>1034</v>
      </c>
      <c r="P895" t="s">
        <v>1034</v>
      </c>
      <c r="Q895" t="s">
        <v>1034</v>
      </c>
      <c r="R895" t="s">
        <v>1034</v>
      </c>
      <c r="S895" t="s">
        <v>1034</v>
      </c>
      <c r="T895" t="s">
        <v>1034</v>
      </c>
      <c r="U895" t="s">
        <v>1034</v>
      </c>
      <c r="V895" t="s">
        <v>1034</v>
      </c>
      <c r="W895" t="s">
        <v>1035</v>
      </c>
    </row>
    <row r="896" spans="1:23" x14ac:dyDescent="0.25">
      <c r="A896" t="s">
        <v>326</v>
      </c>
      <c r="B896" t="s">
        <v>1036</v>
      </c>
      <c r="C896" t="s">
        <v>1031</v>
      </c>
      <c r="D896">
        <v>0</v>
      </c>
      <c r="E896">
        <v>587614</v>
      </c>
      <c r="F896">
        <v>29216</v>
      </c>
      <c r="G896">
        <v>4664</v>
      </c>
      <c r="H896">
        <v>24064</v>
      </c>
      <c r="I896">
        <v>0</v>
      </c>
      <c r="J896">
        <v>51.5627925</v>
      </c>
      <c r="K896">
        <v>53.869493400000003</v>
      </c>
      <c r="L896">
        <v>28.302418100000001</v>
      </c>
      <c r="M896">
        <v>40.494515499999999</v>
      </c>
      <c r="N896">
        <v>41.560790099999998</v>
      </c>
      <c r="O896">
        <v>0</v>
      </c>
      <c r="P896">
        <v>2.4540000000000002</v>
      </c>
      <c r="Q896">
        <v>0.73299999999999998</v>
      </c>
      <c r="R896">
        <v>0</v>
      </c>
      <c r="S896">
        <v>0</v>
      </c>
      <c r="T896">
        <v>0</v>
      </c>
      <c r="U896">
        <v>0</v>
      </c>
      <c r="V896" t="s">
        <v>1030</v>
      </c>
      <c r="W896">
        <v>272689</v>
      </c>
    </row>
    <row r="897" spans="1:23" x14ac:dyDescent="0.25">
      <c r="A897" t="s">
        <v>326</v>
      </c>
      <c r="B897" t="s">
        <v>1036</v>
      </c>
      <c r="C897" t="s">
        <v>1031</v>
      </c>
      <c r="D897">
        <v>1</v>
      </c>
      <c r="E897">
        <v>579136</v>
      </c>
      <c r="F897">
        <v>82416</v>
      </c>
      <c r="G897">
        <v>15416</v>
      </c>
      <c r="H897">
        <v>66512</v>
      </c>
      <c r="I897">
        <v>0</v>
      </c>
      <c r="J897">
        <v>56.907617199999997</v>
      </c>
      <c r="K897">
        <v>59.135485199999998</v>
      </c>
      <c r="L897">
        <v>31.045447899999999</v>
      </c>
      <c r="M897">
        <v>41.970649999999999</v>
      </c>
      <c r="N897">
        <v>42.868326699999997</v>
      </c>
      <c r="O897">
        <v>0</v>
      </c>
      <c r="P897">
        <v>2.4630000000000001</v>
      </c>
      <c r="Q897">
        <v>0.82</v>
      </c>
      <c r="R897">
        <v>0</v>
      </c>
      <c r="S897">
        <v>0</v>
      </c>
      <c r="T897">
        <v>0</v>
      </c>
      <c r="U897">
        <v>0</v>
      </c>
      <c r="V897" t="s">
        <v>1030</v>
      </c>
      <c r="W897">
        <v>272689</v>
      </c>
    </row>
    <row r="898" spans="1:23" x14ac:dyDescent="0.25">
      <c r="A898" t="s">
        <v>326</v>
      </c>
      <c r="B898" t="s">
        <v>1036</v>
      </c>
      <c r="C898" t="s">
        <v>1031</v>
      </c>
      <c r="D898">
        <v>2</v>
      </c>
      <c r="E898">
        <v>701677</v>
      </c>
      <c r="F898">
        <v>262120</v>
      </c>
      <c r="G898">
        <v>66280</v>
      </c>
      <c r="H898">
        <v>195352</v>
      </c>
      <c r="I898">
        <v>0</v>
      </c>
      <c r="J898">
        <v>58.2802948</v>
      </c>
      <c r="K898">
        <v>61.263579999999997</v>
      </c>
      <c r="L898">
        <v>32.914219000000003</v>
      </c>
      <c r="M898">
        <v>44.305363</v>
      </c>
      <c r="N898">
        <v>44.867106300000003</v>
      </c>
      <c r="O898">
        <v>0</v>
      </c>
      <c r="P898">
        <v>3.0619999999999998</v>
      </c>
      <c r="Q898">
        <v>1.1399999999999999</v>
      </c>
      <c r="R898">
        <v>0</v>
      </c>
      <c r="S898">
        <v>0</v>
      </c>
      <c r="T898">
        <v>0</v>
      </c>
      <c r="U898">
        <v>0</v>
      </c>
      <c r="V898" t="s">
        <v>1030</v>
      </c>
      <c r="W898">
        <v>272689</v>
      </c>
    </row>
    <row r="899" spans="1:23" x14ac:dyDescent="0.25">
      <c r="A899" t="s">
        <v>326</v>
      </c>
      <c r="B899" t="s">
        <v>1036</v>
      </c>
      <c r="C899" t="s">
        <v>1031</v>
      </c>
      <c r="D899">
        <v>3</v>
      </c>
      <c r="E899">
        <v>907514</v>
      </c>
      <c r="F899">
        <v>787960</v>
      </c>
      <c r="G899">
        <v>285336</v>
      </c>
      <c r="H899">
        <v>502136</v>
      </c>
      <c r="I899">
        <v>0</v>
      </c>
      <c r="J899">
        <v>58.552081200000003</v>
      </c>
      <c r="K899">
        <v>61.470979100000001</v>
      </c>
      <c r="L899">
        <v>33.9164192</v>
      </c>
      <c r="M899">
        <v>45.686600300000002</v>
      </c>
      <c r="N899">
        <v>46.4487211</v>
      </c>
      <c r="O899">
        <v>0</v>
      </c>
      <c r="P899">
        <v>4.4169999999999998</v>
      </c>
      <c r="Q899">
        <v>2.0630000000000002</v>
      </c>
      <c r="R899">
        <v>0</v>
      </c>
      <c r="S899">
        <v>0</v>
      </c>
      <c r="T899">
        <v>0</v>
      </c>
      <c r="U899">
        <v>0</v>
      </c>
      <c r="V899" t="s">
        <v>1030</v>
      </c>
      <c r="W899">
        <v>272689</v>
      </c>
    </row>
    <row r="900" spans="1:23" x14ac:dyDescent="0.25">
      <c r="A900" t="s">
        <v>1032</v>
      </c>
    </row>
    <row r="901" spans="1:23" x14ac:dyDescent="0.25">
      <c r="A901" t="s">
        <v>326</v>
      </c>
      <c r="B901" t="s">
        <v>1036</v>
      </c>
      <c r="C901" t="s">
        <v>1031</v>
      </c>
      <c r="D901">
        <v>5</v>
      </c>
      <c r="E901">
        <v>0</v>
      </c>
      <c r="F901" t="s">
        <v>1034</v>
      </c>
      <c r="G901" t="s">
        <v>1034</v>
      </c>
      <c r="H901" t="s">
        <v>1034</v>
      </c>
      <c r="I901" t="s">
        <v>1034</v>
      </c>
      <c r="J901" t="s">
        <v>1034</v>
      </c>
      <c r="K901" t="s">
        <v>1034</v>
      </c>
      <c r="L901" t="s">
        <v>1034</v>
      </c>
      <c r="M901" t="s">
        <v>1034</v>
      </c>
      <c r="N901" t="s">
        <v>1034</v>
      </c>
      <c r="O901" t="s">
        <v>1034</v>
      </c>
      <c r="P901" t="s">
        <v>1034</v>
      </c>
      <c r="Q901" t="s">
        <v>1034</v>
      </c>
      <c r="R901" t="s">
        <v>1034</v>
      </c>
      <c r="S901" t="s">
        <v>1034</v>
      </c>
      <c r="T901" t="s">
        <v>1034</v>
      </c>
      <c r="U901" t="s">
        <v>1034</v>
      </c>
      <c r="V901" t="s">
        <v>1034</v>
      </c>
      <c r="W901" t="s">
        <v>1035</v>
      </c>
    </row>
    <row r="902" spans="1:23" x14ac:dyDescent="0.25">
      <c r="A902" t="s">
        <v>329</v>
      </c>
      <c r="B902" t="s">
        <v>1036</v>
      </c>
      <c r="C902" t="s">
        <v>1031</v>
      </c>
      <c r="D902">
        <v>0</v>
      </c>
      <c r="E902">
        <v>1472886</v>
      </c>
      <c r="F902">
        <v>279136</v>
      </c>
      <c r="G902">
        <v>8848</v>
      </c>
      <c r="H902">
        <v>269640</v>
      </c>
      <c r="I902">
        <v>0</v>
      </c>
      <c r="J902">
        <v>49.829944099999999</v>
      </c>
      <c r="K902">
        <v>51.444852400000002</v>
      </c>
      <c r="L902">
        <v>19.313449599999998</v>
      </c>
      <c r="M902">
        <v>37.273462799999997</v>
      </c>
      <c r="N902">
        <v>36.447182900000001</v>
      </c>
      <c r="O902">
        <v>0</v>
      </c>
      <c r="P902">
        <v>9.6630000000000003</v>
      </c>
      <c r="Q902">
        <v>1.7090000000000001</v>
      </c>
      <c r="R902">
        <v>0</v>
      </c>
      <c r="S902">
        <v>0</v>
      </c>
      <c r="T902">
        <v>0</v>
      </c>
      <c r="U902">
        <v>0</v>
      </c>
      <c r="V902" t="s">
        <v>1030</v>
      </c>
      <c r="W902">
        <v>1602990</v>
      </c>
    </row>
    <row r="903" spans="1:23" x14ac:dyDescent="0.25">
      <c r="A903" t="s">
        <v>329</v>
      </c>
      <c r="B903" t="s">
        <v>1036</v>
      </c>
      <c r="C903" t="s">
        <v>1031</v>
      </c>
      <c r="D903">
        <v>1</v>
      </c>
      <c r="E903">
        <v>1634383</v>
      </c>
      <c r="F903">
        <v>914664</v>
      </c>
      <c r="G903">
        <v>33312</v>
      </c>
      <c r="H903">
        <v>880704</v>
      </c>
      <c r="I903">
        <v>0</v>
      </c>
      <c r="J903">
        <v>58.6125902</v>
      </c>
      <c r="K903">
        <v>61.657561899999997</v>
      </c>
      <c r="L903">
        <v>25.174356599999999</v>
      </c>
      <c r="M903">
        <v>40.172727600000002</v>
      </c>
      <c r="N903">
        <v>38.783631300000003</v>
      </c>
      <c r="O903">
        <v>0</v>
      </c>
      <c r="P903">
        <v>10.621</v>
      </c>
      <c r="Q903">
        <v>2.157</v>
      </c>
      <c r="R903">
        <v>0</v>
      </c>
      <c r="S903">
        <v>0</v>
      </c>
      <c r="T903">
        <v>0</v>
      </c>
      <c r="U903">
        <v>0</v>
      </c>
      <c r="V903" t="s">
        <v>1030</v>
      </c>
      <c r="W903">
        <v>1602990</v>
      </c>
    </row>
    <row r="904" spans="1:23" x14ac:dyDescent="0.25">
      <c r="A904" t="s">
        <v>329</v>
      </c>
      <c r="B904" t="s">
        <v>1036</v>
      </c>
      <c r="C904" t="s">
        <v>1031</v>
      </c>
      <c r="D904">
        <v>2</v>
      </c>
      <c r="E904">
        <v>1692286</v>
      </c>
      <c r="F904">
        <v>2037424</v>
      </c>
      <c r="G904">
        <v>129760</v>
      </c>
      <c r="H904">
        <v>1907016</v>
      </c>
      <c r="I904">
        <v>0</v>
      </c>
      <c r="J904">
        <v>64.325395599999993</v>
      </c>
      <c r="K904">
        <v>67.850334900000007</v>
      </c>
      <c r="L904">
        <v>28.2900162</v>
      </c>
      <c r="M904">
        <v>42.5829424</v>
      </c>
      <c r="N904">
        <v>40.692032300000001</v>
      </c>
      <c r="O904">
        <v>0</v>
      </c>
      <c r="P904">
        <v>10.923999999999999</v>
      </c>
      <c r="Q904">
        <v>2.512</v>
      </c>
      <c r="R904">
        <v>0</v>
      </c>
      <c r="S904">
        <v>0</v>
      </c>
      <c r="T904">
        <v>0</v>
      </c>
      <c r="U904">
        <v>0</v>
      </c>
      <c r="V904" t="s">
        <v>1030</v>
      </c>
      <c r="W904">
        <v>1602990</v>
      </c>
    </row>
    <row r="905" spans="1:23" x14ac:dyDescent="0.25">
      <c r="A905" t="s">
        <v>329</v>
      </c>
      <c r="B905" t="s">
        <v>1036</v>
      </c>
      <c r="C905" t="s">
        <v>1031</v>
      </c>
      <c r="D905">
        <v>3</v>
      </c>
      <c r="E905">
        <v>2179565</v>
      </c>
      <c r="F905">
        <v>4649488</v>
      </c>
      <c r="G905">
        <v>468488</v>
      </c>
      <c r="H905">
        <v>4180352</v>
      </c>
      <c r="I905">
        <v>0</v>
      </c>
      <c r="J905">
        <v>68.743561400000004</v>
      </c>
      <c r="K905">
        <v>71.651416900000001</v>
      </c>
      <c r="L905">
        <v>30.196945500000002</v>
      </c>
      <c r="M905">
        <v>45.3007688</v>
      </c>
      <c r="N905">
        <v>43.0648196</v>
      </c>
      <c r="O905">
        <v>0</v>
      </c>
      <c r="P905">
        <v>14.013999999999999</v>
      </c>
      <c r="Q905">
        <v>3.8969999999999998</v>
      </c>
      <c r="R905">
        <v>0</v>
      </c>
      <c r="S905">
        <v>0</v>
      </c>
      <c r="T905">
        <v>0</v>
      </c>
      <c r="U905">
        <v>0</v>
      </c>
      <c r="V905" t="s">
        <v>1030</v>
      </c>
      <c r="W905">
        <v>1602990</v>
      </c>
    </row>
    <row r="906" spans="1:23" x14ac:dyDescent="0.25">
      <c r="A906" t="s">
        <v>1032</v>
      </c>
    </row>
    <row r="907" spans="1:23" x14ac:dyDescent="0.25">
      <c r="A907" t="s">
        <v>329</v>
      </c>
      <c r="B907" t="s">
        <v>1036</v>
      </c>
      <c r="C907" t="s">
        <v>1031</v>
      </c>
      <c r="D907">
        <v>5</v>
      </c>
      <c r="E907">
        <v>0</v>
      </c>
      <c r="F907" t="s">
        <v>1034</v>
      </c>
      <c r="G907" t="s">
        <v>1034</v>
      </c>
      <c r="H907" t="s">
        <v>1034</v>
      </c>
      <c r="I907" t="s">
        <v>1034</v>
      </c>
      <c r="J907" t="s">
        <v>1034</v>
      </c>
      <c r="K907" t="s">
        <v>1034</v>
      </c>
      <c r="L907" t="s">
        <v>1034</v>
      </c>
      <c r="M907" t="s">
        <v>1034</v>
      </c>
      <c r="N907" t="s">
        <v>1034</v>
      </c>
      <c r="O907" t="s">
        <v>1034</v>
      </c>
      <c r="P907" t="s">
        <v>1034</v>
      </c>
      <c r="Q907" t="s">
        <v>1034</v>
      </c>
      <c r="R907" t="s">
        <v>1034</v>
      </c>
      <c r="S907" t="s">
        <v>1034</v>
      </c>
      <c r="T907" t="s">
        <v>1034</v>
      </c>
      <c r="U907" t="s">
        <v>1034</v>
      </c>
      <c r="V907" t="s">
        <v>1034</v>
      </c>
      <c r="W907" t="s">
        <v>1035</v>
      </c>
    </row>
    <row r="908" spans="1:23" x14ac:dyDescent="0.25">
      <c r="A908" t="s">
        <v>332</v>
      </c>
      <c r="B908" t="s">
        <v>1036</v>
      </c>
      <c r="C908" t="s">
        <v>1031</v>
      </c>
      <c r="D908">
        <v>0</v>
      </c>
      <c r="E908">
        <v>8331563</v>
      </c>
      <c r="F908">
        <v>907832</v>
      </c>
      <c r="G908">
        <v>80032</v>
      </c>
      <c r="H908">
        <v>826592</v>
      </c>
      <c r="I908">
        <v>0</v>
      </c>
      <c r="J908">
        <v>64.054314500000004</v>
      </c>
      <c r="K908">
        <v>70.582370100000006</v>
      </c>
      <c r="L908">
        <v>23.899775999999999</v>
      </c>
      <c r="M908">
        <v>39.538483100000001</v>
      </c>
      <c r="N908">
        <v>40.854298300000004</v>
      </c>
      <c r="O908">
        <v>0</v>
      </c>
      <c r="P908">
        <v>48.19</v>
      </c>
      <c r="Q908">
        <v>10.028</v>
      </c>
      <c r="R908">
        <v>0</v>
      </c>
      <c r="S908">
        <v>0</v>
      </c>
      <c r="T908">
        <v>0</v>
      </c>
      <c r="U908">
        <v>0</v>
      </c>
      <c r="V908" t="s">
        <v>1030</v>
      </c>
      <c r="W908">
        <v>8929532</v>
      </c>
    </row>
    <row r="909" spans="1:23" x14ac:dyDescent="0.25">
      <c r="A909" t="s">
        <v>332</v>
      </c>
      <c r="B909" t="s">
        <v>1036</v>
      </c>
      <c r="C909" t="s">
        <v>1031</v>
      </c>
      <c r="D909">
        <v>1</v>
      </c>
      <c r="E909">
        <v>8368266</v>
      </c>
      <c r="F909">
        <v>2853792</v>
      </c>
      <c r="G909">
        <v>290048</v>
      </c>
      <c r="H909">
        <v>2562536</v>
      </c>
      <c r="I909">
        <v>0</v>
      </c>
      <c r="J909">
        <v>69.430590100000003</v>
      </c>
      <c r="K909">
        <v>75.726335800000001</v>
      </c>
      <c r="L909">
        <v>26.340359500000002</v>
      </c>
      <c r="M909">
        <v>41.194896100000001</v>
      </c>
      <c r="N909">
        <v>42.284161900000001</v>
      </c>
      <c r="O909">
        <v>0</v>
      </c>
      <c r="P909">
        <v>46.84</v>
      </c>
      <c r="Q909">
        <v>11.076000000000001</v>
      </c>
      <c r="R909">
        <v>0</v>
      </c>
      <c r="S909">
        <v>0</v>
      </c>
      <c r="T909">
        <v>0</v>
      </c>
      <c r="U909">
        <v>0</v>
      </c>
      <c r="V909" t="s">
        <v>1030</v>
      </c>
      <c r="W909">
        <v>8929532</v>
      </c>
    </row>
    <row r="910" spans="1:23" x14ac:dyDescent="0.25">
      <c r="A910" t="s">
        <v>332</v>
      </c>
      <c r="B910" t="s">
        <v>1036</v>
      </c>
      <c r="C910" t="s">
        <v>1031</v>
      </c>
      <c r="D910">
        <v>2</v>
      </c>
      <c r="E910">
        <v>8142243</v>
      </c>
      <c r="F910">
        <v>8203592</v>
      </c>
      <c r="G910">
        <v>1312192</v>
      </c>
      <c r="H910">
        <v>6890192</v>
      </c>
      <c r="I910">
        <v>0</v>
      </c>
      <c r="J910">
        <v>75.702578599999995</v>
      </c>
      <c r="K910">
        <v>79.140433000000002</v>
      </c>
      <c r="L910">
        <v>28.921973699999999</v>
      </c>
      <c r="M910">
        <v>42.903979300000003</v>
      </c>
      <c r="N910">
        <v>43.766064999999998</v>
      </c>
      <c r="O910">
        <v>0</v>
      </c>
      <c r="P910">
        <v>49.256</v>
      </c>
      <c r="Q910">
        <v>12.944000000000001</v>
      </c>
      <c r="R910">
        <v>0</v>
      </c>
      <c r="S910">
        <v>0</v>
      </c>
      <c r="T910">
        <v>0</v>
      </c>
      <c r="U910">
        <v>0</v>
      </c>
      <c r="V910" t="s">
        <v>1030</v>
      </c>
      <c r="W910">
        <v>8929532</v>
      </c>
    </row>
    <row r="911" spans="1:23" x14ac:dyDescent="0.25">
      <c r="A911" t="s">
        <v>332</v>
      </c>
      <c r="B911" t="s">
        <v>1036</v>
      </c>
      <c r="C911" t="s">
        <v>1031</v>
      </c>
      <c r="D911">
        <v>3</v>
      </c>
      <c r="E911">
        <v>8687510</v>
      </c>
      <c r="F911">
        <v>20802712</v>
      </c>
      <c r="G911">
        <v>5435592</v>
      </c>
      <c r="H911">
        <v>15365912</v>
      </c>
      <c r="I911">
        <v>0</v>
      </c>
      <c r="J911">
        <v>77.357249400000001</v>
      </c>
      <c r="K911">
        <v>80.610934400000005</v>
      </c>
      <c r="L911">
        <v>30.1094075</v>
      </c>
      <c r="M911">
        <v>44.270799799999999</v>
      </c>
      <c r="N911">
        <v>45.119959000000001</v>
      </c>
      <c r="O911">
        <v>0</v>
      </c>
      <c r="P911">
        <v>71.44</v>
      </c>
      <c r="Q911">
        <v>20.939</v>
      </c>
      <c r="R911">
        <v>0</v>
      </c>
      <c r="S911">
        <v>0</v>
      </c>
      <c r="T911">
        <v>0</v>
      </c>
      <c r="U911">
        <v>0</v>
      </c>
      <c r="V911" t="s">
        <v>1030</v>
      </c>
      <c r="W911">
        <v>8929532</v>
      </c>
    </row>
    <row r="912" spans="1:23" x14ac:dyDescent="0.25">
      <c r="A912" t="s">
        <v>1032</v>
      </c>
    </row>
    <row r="913" spans="1:23" x14ac:dyDescent="0.25">
      <c r="A913" t="s">
        <v>332</v>
      </c>
      <c r="B913" t="s">
        <v>1036</v>
      </c>
      <c r="C913" t="s">
        <v>1031</v>
      </c>
      <c r="D913">
        <v>5</v>
      </c>
      <c r="E913">
        <v>0</v>
      </c>
      <c r="F913" t="s">
        <v>1034</v>
      </c>
      <c r="G913" t="s">
        <v>1034</v>
      </c>
      <c r="H913" t="s">
        <v>1034</v>
      </c>
      <c r="I913" t="s">
        <v>1034</v>
      </c>
      <c r="J913" t="s">
        <v>1034</v>
      </c>
      <c r="K913" t="s">
        <v>1034</v>
      </c>
      <c r="L913" t="s">
        <v>1034</v>
      </c>
      <c r="M913" t="s">
        <v>1034</v>
      </c>
      <c r="N913" t="s">
        <v>1034</v>
      </c>
      <c r="O913" t="s">
        <v>1034</v>
      </c>
      <c r="P913" t="s">
        <v>1034</v>
      </c>
      <c r="Q913" t="s">
        <v>1034</v>
      </c>
      <c r="R913" t="s">
        <v>1034</v>
      </c>
      <c r="S913" t="s">
        <v>1034</v>
      </c>
      <c r="T913" t="s">
        <v>1034</v>
      </c>
      <c r="U913" t="s">
        <v>1034</v>
      </c>
      <c r="V913" t="s">
        <v>1034</v>
      </c>
      <c r="W913" t="s">
        <v>1035</v>
      </c>
    </row>
    <row r="914" spans="1:23" x14ac:dyDescent="0.25">
      <c r="A914" t="s">
        <v>335</v>
      </c>
      <c r="B914" t="s">
        <v>1036</v>
      </c>
      <c r="C914" t="s">
        <v>1031</v>
      </c>
      <c r="D914">
        <v>0</v>
      </c>
      <c r="E914">
        <v>14060180</v>
      </c>
      <c r="F914">
        <v>563576</v>
      </c>
      <c r="G914">
        <v>98176</v>
      </c>
      <c r="H914">
        <v>463472</v>
      </c>
      <c r="I914">
        <v>0</v>
      </c>
      <c r="J914">
        <v>68.124311899999995</v>
      </c>
      <c r="K914">
        <v>70.939592700000006</v>
      </c>
      <c r="L914">
        <v>29.238155899999999</v>
      </c>
      <c r="M914">
        <v>42.956527299999998</v>
      </c>
      <c r="N914">
        <v>44.853298600000002</v>
      </c>
      <c r="O914">
        <v>0</v>
      </c>
      <c r="P914">
        <v>79.644000000000005</v>
      </c>
      <c r="Q914">
        <v>17.113</v>
      </c>
      <c r="R914">
        <v>0</v>
      </c>
      <c r="S914">
        <v>0</v>
      </c>
      <c r="T914">
        <v>0</v>
      </c>
      <c r="U914">
        <v>0</v>
      </c>
      <c r="V914" t="s">
        <v>1030</v>
      </c>
      <c r="W914">
        <v>19714629</v>
      </c>
    </row>
    <row r="915" spans="1:23" x14ac:dyDescent="0.25">
      <c r="A915" t="s">
        <v>335</v>
      </c>
      <c r="B915" t="s">
        <v>1036</v>
      </c>
      <c r="C915" t="s">
        <v>1031</v>
      </c>
      <c r="D915">
        <v>1</v>
      </c>
      <c r="E915">
        <v>13818992</v>
      </c>
      <c r="F915">
        <v>1927000</v>
      </c>
      <c r="G915">
        <v>336080</v>
      </c>
      <c r="H915">
        <v>1588992</v>
      </c>
      <c r="I915">
        <v>0</v>
      </c>
      <c r="J915">
        <v>74.471132999999995</v>
      </c>
      <c r="K915">
        <v>76.897411000000005</v>
      </c>
      <c r="L915">
        <v>31.080524400000002</v>
      </c>
      <c r="M915">
        <v>43.952646199999997</v>
      </c>
      <c r="N915">
        <v>45.802743499999998</v>
      </c>
      <c r="O915">
        <v>0</v>
      </c>
      <c r="P915">
        <v>77.207999999999998</v>
      </c>
      <c r="Q915">
        <v>16.419</v>
      </c>
      <c r="R915">
        <v>0</v>
      </c>
      <c r="S915">
        <v>0</v>
      </c>
      <c r="T915">
        <v>0</v>
      </c>
      <c r="U915">
        <v>0</v>
      </c>
      <c r="V915" t="s">
        <v>1030</v>
      </c>
      <c r="W915">
        <v>19714629</v>
      </c>
    </row>
    <row r="916" spans="1:23" x14ac:dyDescent="0.25">
      <c r="A916" t="s">
        <v>335</v>
      </c>
      <c r="B916" t="s">
        <v>1036</v>
      </c>
      <c r="C916" t="s">
        <v>1031</v>
      </c>
      <c r="D916">
        <v>2</v>
      </c>
      <c r="E916">
        <v>14653942</v>
      </c>
      <c r="F916">
        <v>6999136</v>
      </c>
      <c r="G916">
        <v>1314640</v>
      </c>
      <c r="H916">
        <v>5682568</v>
      </c>
      <c r="I916">
        <v>0</v>
      </c>
      <c r="J916">
        <v>79.275107500000004</v>
      </c>
      <c r="K916">
        <v>81.044130600000003</v>
      </c>
      <c r="L916">
        <v>33.3936493</v>
      </c>
      <c r="M916">
        <v>45.0815877</v>
      </c>
      <c r="N916">
        <v>46.775804299999997</v>
      </c>
      <c r="O916">
        <v>0</v>
      </c>
      <c r="P916">
        <v>82.91</v>
      </c>
      <c r="Q916">
        <v>21.815000000000001</v>
      </c>
      <c r="R916">
        <v>0</v>
      </c>
      <c r="S916">
        <v>0</v>
      </c>
      <c r="T916">
        <v>0</v>
      </c>
      <c r="U916">
        <v>0</v>
      </c>
      <c r="V916" t="s">
        <v>1030</v>
      </c>
      <c r="W916">
        <v>19714629</v>
      </c>
    </row>
    <row r="917" spans="1:23" x14ac:dyDescent="0.25">
      <c r="A917" t="s">
        <v>335</v>
      </c>
      <c r="B917" t="s">
        <v>1036</v>
      </c>
      <c r="C917" t="s">
        <v>1031</v>
      </c>
      <c r="D917">
        <v>3</v>
      </c>
      <c r="E917">
        <v>15310570</v>
      </c>
      <c r="F917">
        <v>20593928</v>
      </c>
      <c r="G917">
        <v>4740656</v>
      </c>
      <c r="H917">
        <v>15851264</v>
      </c>
      <c r="I917">
        <v>0</v>
      </c>
      <c r="J917">
        <v>80.747432799999999</v>
      </c>
      <c r="K917">
        <v>83.198644099999996</v>
      </c>
      <c r="L917">
        <v>35.681815</v>
      </c>
      <c r="M917">
        <v>46.384214299999996</v>
      </c>
      <c r="N917">
        <v>47.8341499</v>
      </c>
      <c r="O917">
        <v>0</v>
      </c>
      <c r="P917">
        <v>99.052999999999997</v>
      </c>
      <c r="Q917">
        <v>34.930999999999997</v>
      </c>
      <c r="R917">
        <v>0</v>
      </c>
      <c r="S917">
        <v>0</v>
      </c>
      <c r="T917">
        <v>0</v>
      </c>
      <c r="U917">
        <v>0</v>
      </c>
      <c r="V917" t="s">
        <v>1030</v>
      </c>
      <c r="W917">
        <v>19714629</v>
      </c>
    </row>
    <row r="918" spans="1:23" x14ac:dyDescent="0.25">
      <c r="A918" t="s">
        <v>1032</v>
      </c>
    </row>
    <row r="919" spans="1:23" x14ac:dyDescent="0.25">
      <c r="A919" t="s">
        <v>335</v>
      </c>
      <c r="B919" t="s">
        <v>1036</v>
      </c>
      <c r="C919" t="s">
        <v>1031</v>
      </c>
      <c r="D919">
        <v>5</v>
      </c>
      <c r="E919">
        <v>0</v>
      </c>
      <c r="F919" t="s">
        <v>1034</v>
      </c>
      <c r="G919" t="s">
        <v>1034</v>
      </c>
      <c r="H919" t="s">
        <v>1034</v>
      </c>
      <c r="I919" t="s">
        <v>1034</v>
      </c>
      <c r="J919" t="s">
        <v>1034</v>
      </c>
      <c r="K919" t="s">
        <v>1034</v>
      </c>
      <c r="L919" t="s">
        <v>1034</v>
      </c>
      <c r="M919" t="s">
        <v>1034</v>
      </c>
      <c r="N919" t="s">
        <v>1034</v>
      </c>
      <c r="O919" t="s">
        <v>1034</v>
      </c>
      <c r="P919" t="s">
        <v>1034</v>
      </c>
      <c r="Q919" t="s">
        <v>1034</v>
      </c>
      <c r="R919" t="s">
        <v>1034</v>
      </c>
      <c r="S919" t="s">
        <v>1034</v>
      </c>
      <c r="T919" t="s">
        <v>1034</v>
      </c>
      <c r="U919" t="s">
        <v>1034</v>
      </c>
      <c r="V919" t="s">
        <v>1034</v>
      </c>
      <c r="W919" t="s">
        <v>1035</v>
      </c>
    </row>
    <row r="920" spans="1:23" x14ac:dyDescent="0.25">
      <c r="A920" t="s">
        <v>338</v>
      </c>
      <c r="B920" t="s">
        <v>1036</v>
      </c>
      <c r="C920" t="s">
        <v>1031</v>
      </c>
      <c r="D920">
        <v>0</v>
      </c>
      <c r="E920">
        <v>2227791</v>
      </c>
      <c r="F920">
        <v>127288</v>
      </c>
      <c r="G920">
        <v>17288</v>
      </c>
      <c r="H920">
        <v>109112</v>
      </c>
      <c r="I920">
        <v>0</v>
      </c>
      <c r="J920">
        <v>48.708791499999997</v>
      </c>
      <c r="K920">
        <v>49.516698499999997</v>
      </c>
      <c r="L920">
        <v>25.415937799999998</v>
      </c>
      <c r="M920">
        <v>42.465883499999997</v>
      </c>
      <c r="N920">
        <v>46.212762599999998</v>
      </c>
      <c r="O920">
        <v>0</v>
      </c>
      <c r="P920">
        <v>19.274000000000001</v>
      </c>
      <c r="Q920">
        <v>3.028</v>
      </c>
      <c r="R920">
        <v>0</v>
      </c>
      <c r="S920">
        <v>0</v>
      </c>
      <c r="T920">
        <v>0</v>
      </c>
      <c r="U920">
        <v>0</v>
      </c>
      <c r="V920" t="s">
        <v>1030</v>
      </c>
      <c r="W920">
        <v>3630907</v>
      </c>
    </row>
    <row r="921" spans="1:23" x14ac:dyDescent="0.25">
      <c r="A921" t="s">
        <v>338</v>
      </c>
      <c r="B921" t="s">
        <v>1036</v>
      </c>
      <c r="C921" t="s">
        <v>1031</v>
      </c>
      <c r="D921">
        <v>1</v>
      </c>
      <c r="E921">
        <v>3098314</v>
      </c>
      <c r="F921">
        <v>440768</v>
      </c>
      <c r="G921">
        <v>54512</v>
      </c>
      <c r="H921">
        <v>385368</v>
      </c>
      <c r="I921">
        <v>0</v>
      </c>
      <c r="J921">
        <v>60.263868700000003</v>
      </c>
      <c r="K921">
        <v>64.144637700000004</v>
      </c>
      <c r="L921">
        <v>29.308612</v>
      </c>
      <c r="M921">
        <v>44.433652299999999</v>
      </c>
      <c r="N921">
        <v>47.363955400000002</v>
      </c>
      <c r="O921">
        <v>0</v>
      </c>
      <c r="P921">
        <v>20.244</v>
      </c>
      <c r="Q921">
        <v>4.07</v>
      </c>
      <c r="R921">
        <v>0</v>
      </c>
      <c r="S921">
        <v>0</v>
      </c>
      <c r="T921">
        <v>0</v>
      </c>
      <c r="U921">
        <v>0</v>
      </c>
      <c r="V921" t="s">
        <v>1030</v>
      </c>
      <c r="W921">
        <v>3630907</v>
      </c>
    </row>
    <row r="922" spans="1:23" x14ac:dyDescent="0.25">
      <c r="A922" t="s">
        <v>338</v>
      </c>
      <c r="B922" t="s">
        <v>1036</v>
      </c>
      <c r="C922" t="s">
        <v>1031</v>
      </c>
      <c r="D922">
        <v>2</v>
      </c>
      <c r="E922">
        <v>3112862</v>
      </c>
      <c r="F922">
        <v>1339744</v>
      </c>
      <c r="G922">
        <v>176000</v>
      </c>
      <c r="H922">
        <v>1162936</v>
      </c>
      <c r="I922">
        <v>0</v>
      </c>
      <c r="J922">
        <v>66.016551899999996</v>
      </c>
      <c r="K922">
        <v>70.581139300000004</v>
      </c>
      <c r="L922">
        <v>31.5912565</v>
      </c>
      <c r="M922">
        <v>45.556744999999999</v>
      </c>
      <c r="N922">
        <v>48.133508999999997</v>
      </c>
      <c r="O922">
        <v>0</v>
      </c>
      <c r="P922">
        <v>20.388000000000002</v>
      </c>
      <c r="Q922">
        <v>4.5910000000000002</v>
      </c>
      <c r="R922">
        <v>0</v>
      </c>
      <c r="S922">
        <v>0</v>
      </c>
      <c r="T922">
        <v>0</v>
      </c>
      <c r="U922">
        <v>0</v>
      </c>
      <c r="V922" t="s">
        <v>1030</v>
      </c>
      <c r="W922">
        <v>3630907</v>
      </c>
    </row>
    <row r="923" spans="1:23" x14ac:dyDescent="0.25">
      <c r="A923" t="s">
        <v>338</v>
      </c>
      <c r="B923" t="s">
        <v>1036</v>
      </c>
      <c r="C923" t="s">
        <v>1031</v>
      </c>
      <c r="D923">
        <v>3</v>
      </c>
      <c r="E923">
        <v>4177308</v>
      </c>
      <c r="F923">
        <v>4060608</v>
      </c>
      <c r="G923">
        <v>615872</v>
      </c>
      <c r="H923">
        <v>3443928</v>
      </c>
      <c r="I923">
        <v>0</v>
      </c>
      <c r="J923">
        <v>69.978666500000003</v>
      </c>
      <c r="K923">
        <v>72.765655300000006</v>
      </c>
      <c r="L923">
        <v>33.777803300000002</v>
      </c>
      <c r="M923">
        <v>46.830190399999999</v>
      </c>
      <c r="N923">
        <v>48.884165799999998</v>
      </c>
      <c r="O923">
        <v>0</v>
      </c>
      <c r="P923">
        <v>27.03</v>
      </c>
      <c r="Q923">
        <v>7.35</v>
      </c>
      <c r="R923">
        <v>0</v>
      </c>
      <c r="S923">
        <v>0</v>
      </c>
      <c r="T923">
        <v>0</v>
      </c>
      <c r="U923">
        <v>0</v>
      </c>
      <c r="V923" t="s">
        <v>1030</v>
      </c>
      <c r="W923">
        <v>3630907</v>
      </c>
    </row>
    <row r="924" spans="1:23" x14ac:dyDescent="0.25">
      <c r="A924" t="s">
        <v>1032</v>
      </c>
    </row>
    <row r="925" spans="1:23" x14ac:dyDescent="0.25">
      <c r="A925" t="s">
        <v>338</v>
      </c>
      <c r="B925" t="s">
        <v>1036</v>
      </c>
      <c r="C925" t="s">
        <v>1031</v>
      </c>
      <c r="D925">
        <v>5</v>
      </c>
      <c r="E925">
        <v>0</v>
      </c>
      <c r="F925" t="s">
        <v>1034</v>
      </c>
      <c r="G925" t="s">
        <v>1034</v>
      </c>
      <c r="H925" t="s">
        <v>1034</v>
      </c>
      <c r="I925" t="s">
        <v>1034</v>
      </c>
      <c r="J925" t="s">
        <v>1034</v>
      </c>
      <c r="K925" t="s">
        <v>1034</v>
      </c>
      <c r="L925" t="s">
        <v>1034</v>
      </c>
      <c r="M925" t="s">
        <v>1034</v>
      </c>
      <c r="N925" t="s">
        <v>1034</v>
      </c>
      <c r="O925" t="s">
        <v>1034</v>
      </c>
      <c r="P925" t="s">
        <v>1034</v>
      </c>
      <c r="Q925" t="s">
        <v>1034</v>
      </c>
      <c r="R925" t="s">
        <v>1034</v>
      </c>
      <c r="S925" t="s">
        <v>1034</v>
      </c>
      <c r="T925" t="s">
        <v>1034</v>
      </c>
      <c r="U925" t="s">
        <v>1034</v>
      </c>
      <c r="V925" t="s">
        <v>1034</v>
      </c>
      <c r="W925" t="s">
        <v>1035</v>
      </c>
    </row>
    <row r="926" spans="1:23" x14ac:dyDescent="0.25">
      <c r="A926" t="s">
        <v>341</v>
      </c>
      <c r="B926" t="s">
        <v>1036</v>
      </c>
      <c r="C926" t="s">
        <v>1031</v>
      </c>
      <c r="D926">
        <v>0</v>
      </c>
      <c r="E926">
        <v>16792984</v>
      </c>
      <c r="F926">
        <v>1190800</v>
      </c>
      <c r="G926">
        <v>124992</v>
      </c>
      <c r="H926">
        <v>1063720</v>
      </c>
      <c r="I926">
        <v>0</v>
      </c>
      <c r="J926">
        <v>55.100464299999999</v>
      </c>
      <c r="K926">
        <v>55.723297299999999</v>
      </c>
      <c r="L926">
        <v>24.287641799999999</v>
      </c>
      <c r="M926">
        <v>39.0096001</v>
      </c>
      <c r="N926">
        <v>43.6623807</v>
      </c>
      <c r="O926">
        <v>0</v>
      </c>
      <c r="P926">
        <v>103.521</v>
      </c>
      <c r="Q926">
        <v>18.823</v>
      </c>
      <c r="R926">
        <v>0</v>
      </c>
      <c r="S926">
        <v>0</v>
      </c>
      <c r="T926">
        <v>0</v>
      </c>
      <c r="U926">
        <v>0</v>
      </c>
      <c r="V926" t="s">
        <v>1030</v>
      </c>
      <c r="W926">
        <v>14025709</v>
      </c>
    </row>
    <row r="927" spans="1:23" x14ac:dyDescent="0.25">
      <c r="A927" t="s">
        <v>341</v>
      </c>
      <c r="B927" t="s">
        <v>1036</v>
      </c>
      <c r="C927" t="s">
        <v>1031</v>
      </c>
      <c r="D927">
        <v>1</v>
      </c>
      <c r="E927">
        <v>16324229</v>
      </c>
      <c r="F927">
        <v>4026008</v>
      </c>
      <c r="G927">
        <v>381272</v>
      </c>
      <c r="H927">
        <v>3642808</v>
      </c>
      <c r="I927">
        <v>0</v>
      </c>
      <c r="J927">
        <v>67.698861600000001</v>
      </c>
      <c r="K927">
        <v>70.981409299999996</v>
      </c>
      <c r="L927">
        <v>27.997034299999999</v>
      </c>
      <c r="M927">
        <v>41.818504699999998</v>
      </c>
      <c r="N927">
        <v>46.069165699999999</v>
      </c>
      <c r="O927">
        <v>0</v>
      </c>
      <c r="P927">
        <v>105.223</v>
      </c>
      <c r="Q927">
        <v>21.78</v>
      </c>
      <c r="R927">
        <v>0</v>
      </c>
      <c r="S927">
        <v>0</v>
      </c>
      <c r="T927">
        <v>0</v>
      </c>
      <c r="U927">
        <v>0</v>
      </c>
      <c r="V927" t="s">
        <v>1030</v>
      </c>
      <c r="W927">
        <v>14025709</v>
      </c>
    </row>
    <row r="928" spans="1:23" x14ac:dyDescent="0.25">
      <c r="A928" t="s">
        <v>341</v>
      </c>
      <c r="B928" t="s">
        <v>1036</v>
      </c>
      <c r="C928" t="s">
        <v>1031</v>
      </c>
      <c r="D928">
        <v>2</v>
      </c>
      <c r="E928">
        <v>13962560</v>
      </c>
      <c r="F928">
        <v>10931672</v>
      </c>
      <c r="G928">
        <v>1323880</v>
      </c>
      <c r="H928">
        <v>9605944</v>
      </c>
      <c r="I928">
        <v>0</v>
      </c>
      <c r="J928">
        <v>71.664823699999999</v>
      </c>
      <c r="K928">
        <v>75.593614599999995</v>
      </c>
      <c r="L928">
        <v>30.1435569</v>
      </c>
      <c r="M928">
        <v>43.5298376</v>
      </c>
      <c r="N928">
        <v>47.355477999999998</v>
      </c>
      <c r="O928">
        <v>0</v>
      </c>
      <c r="P928">
        <v>105.13</v>
      </c>
      <c r="Q928">
        <v>22.969000000000001</v>
      </c>
      <c r="R928">
        <v>0</v>
      </c>
      <c r="S928">
        <v>0</v>
      </c>
      <c r="T928">
        <v>0</v>
      </c>
      <c r="U928">
        <v>0</v>
      </c>
      <c r="V928" t="s">
        <v>1030</v>
      </c>
      <c r="W928">
        <v>14025709</v>
      </c>
    </row>
    <row r="929" spans="1:23" x14ac:dyDescent="0.25">
      <c r="A929" t="s">
        <v>341</v>
      </c>
      <c r="B929" t="s">
        <v>1036</v>
      </c>
      <c r="C929" t="s">
        <v>1031</v>
      </c>
      <c r="D929">
        <v>3</v>
      </c>
      <c r="E929">
        <v>15510026</v>
      </c>
      <c r="F929">
        <v>26960872</v>
      </c>
      <c r="G929">
        <v>4828080</v>
      </c>
      <c r="H929">
        <v>22130944</v>
      </c>
      <c r="I929">
        <v>0</v>
      </c>
      <c r="J929">
        <v>73.465101099999998</v>
      </c>
      <c r="K929">
        <v>77.965103299999996</v>
      </c>
      <c r="L929">
        <v>31.083461100000001</v>
      </c>
      <c r="M929">
        <v>45.351179199999997</v>
      </c>
      <c r="N929">
        <v>48.7706351</v>
      </c>
      <c r="O929">
        <v>0</v>
      </c>
      <c r="P929">
        <v>145.51499999999999</v>
      </c>
      <c r="Q929">
        <v>34.347000000000001</v>
      </c>
      <c r="R929">
        <v>0</v>
      </c>
      <c r="S929">
        <v>0</v>
      </c>
      <c r="T929">
        <v>0</v>
      </c>
      <c r="U929">
        <v>0</v>
      </c>
      <c r="V929" t="s">
        <v>1030</v>
      </c>
      <c r="W929">
        <v>14025709</v>
      </c>
    </row>
    <row r="930" spans="1:23" x14ac:dyDescent="0.25">
      <c r="A930" t="s">
        <v>1032</v>
      </c>
    </row>
    <row r="931" spans="1:23" x14ac:dyDescent="0.25">
      <c r="A931" t="s">
        <v>341</v>
      </c>
      <c r="B931" t="s">
        <v>1036</v>
      </c>
      <c r="C931" t="s">
        <v>1031</v>
      </c>
      <c r="D931">
        <v>5</v>
      </c>
      <c r="E931">
        <v>0</v>
      </c>
      <c r="F931" t="s">
        <v>1034</v>
      </c>
      <c r="G931" t="s">
        <v>1034</v>
      </c>
      <c r="H931" t="s">
        <v>1034</v>
      </c>
      <c r="I931" t="s">
        <v>1034</v>
      </c>
      <c r="J931" t="s">
        <v>1034</v>
      </c>
      <c r="K931" t="s">
        <v>1034</v>
      </c>
      <c r="L931" t="s">
        <v>1034</v>
      </c>
      <c r="M931" t="s">
        <v>1034</v>
      </c>
      <c r="N931" t="s">
        <v>1034</v>
      </c>
      <c r="O931" t="s">
        <v>1034</v>
      </c>
      <c r="P931" t="s">
        <v>1034</v>
      </c>
      <c r="Q931" t="s">
        <v>1034</v>
      </c>
      <c r="R931" t="s">
        <v>1034</v>
      </c>
      <c r="S931" t="s">
        <v>1034</v>
      </c>
      <c r="T931" t="s">
        <v>1034</v>
      </c>
      <c r="U931" t="s">
        <v>1034</v>
      </c>
      <c r="V931" t="s">
        <v>1034</v>
      </c>
      <c r="W931" t="s">
        <v>1035</v>
      </c>
    </row>
    <row r="932" spans="1:23" x14ac:dyDescent="0.25">
      <c r="A932" t="s">
        <v>344</v>
      </c>
      <c r="B932" t="s">
        <v>1036</v>
      </c>
      <c r="C932" t="s">
        <v>1031</v>
      </c>
      <c r="D932">
        <v>0</v>
      </c>
      <c r="E932">
        <v>2151927</v>
      </c>
      <c r="F932">
        <v>175456</v>
      </c>
      <c r="G932">
        <v>16520</v>
      </c>
      <c r="H932">
        <v>157968</v>
      </c>
      <c r="I932">
        <v>0</v>
      </c>
      <c r="J932">
        <v>50.993274300000003</v>
      </c>
      <c r="K932">
        <v>54.065404399999998</v>
      </c>
      <c r="L932">
        <v>23.6020176</v>
      </c>
      <c r="M932">
        <v>38.163907100000003</v>
      </c>
      <c r="N932">
        <v>40.7153536</v>
      </c>
      <c r="O932">
        <v>0</v>
      </c>
      <c r="P932">
        <v>17.802</v>
      </c>
      <c r="Q932">
        <v>2.2160000000000002</v>
      </c>
      <c r="R932">
        <v>0</v>
      </c>
      <c r="S932">
        <v>0</v>
      </c>
      <c r="T932">
        <v>0</v>
      </c>
      <c r="U932">
        <v>0</v>
      </c>
      <c r="V932" t="s">
        <v>1030</v>
      </c>
      <c r="W932">
        <v>5001077</v>
      </c>
    </row>
    <row r="933" spans="1:23" x14ac:dyDescent="0.25">
      <c r="A933" t="s">
        <v>344</v>
      </c>
      <c r="B933" t="s">
        <v>1036</v>
      </c>
      <c r="C933" t="s">
        <v>1031</v>
      </c>
      <c r="D933">
        <v>1</v>
      </c>
      <c r="E933">
        <v>3700372</v>
      </c>
      <c r="F933">
        <v>776872</v>
      </c>
      <c r="G933">
        <v>47664</v>
      </c>
      <c r="H933">
        <v>728320</v>
      </c>
      <c r="I933">
        <v>0</v>
      </c>
      <c r="J933">
        <v>62.011363799999998</v>
      </c>
      <c r="K933">
        <v>65.223749100000006</v>
      </c>
      <c r="L933">
        <v>27.2418683</v>
      </c>
      <c r="M933">
        <v>40.2862954</v>
      </c>
      <c r="N933">
        <v>41.987166899999998</v>
      </c>
      <c r="O933">
        <v>0</v>
      </c>
      <c r="P933">
        <v>22.834</v>
      </c>
      <c r="Q933">
        <v>4.3460000000000001</v>
      </c>
      <c r="R933">
        <v>0</v>
      </c>
      <c r="S933">
        <v>0</v>
      </c>
      <c r="T933">
        <v>0</v>
      </c>
      <c r="U933">
        <v>0</v>
      </c>
      <c r="V933" t="s">
        <v>1030</v>
      </c>
      <c r="W933">
        <v>5001077</v>
      </c>
    </row>
    <row r="934" spans="1:23" x14ac:dyDescent="0.25">
      <c r="A934" t="s">
        <v>344</v>
      </c>
      <c r="B934" t="s">
        <v>1036</v>
      </c>
      <c r="C934" t="s">
        <v>1031</v>
      </c>
      <c r="D934">
        <v>2</v>
      </c>
      <c r="E934">
        <v>3316233</v>
      </c>
      <c r="F934">
        <v>2156176</v>
      </c>
      <c r="G934">
        <v>167912</v>
      </c>
      <c r="H934">
        <v>1987376</v>
      </c>
      <c r="I934">
        <v>0</v>
      </c>
      <c r="J934">
        <v>66.871473800000004</v>
      </c>
      <c r="K934">
        <v>69.862087000000002</v>
      </c>
      <c r="L934">
        <v>29.230798799999999</v>
      </c>
      <c r="M934">
        <v>41.789427600000003</v>
      </c>
      <c r="N934">
        <v>42.986027300000003</v>
      </c>
      <c r="O934">
        <v>0</v>
      </c>
      <c r="P934">
        <v>22.611999999999998</v>
      </c>
      <c r="Q934">
        <v>4.5730000000000004</v>
      </c>
      <c r="R934">
        <v>0</v>
      </c>
      <c r="S934">
        <v>0</v>
      </c>
      <c r="T934">
        <v>0</v>
      </c>
      <c r="U934">
        <v>0</v>
      </c>
      <c r="V934" t="s">
        <v>1030</v>
      </c>
      <c r="W934">
        <v>5001077</v>
      </c>
    </row>
    <row r="935" spans="1:23" x14ac:dyDescent="0.25">
      <c r="A935" t="s">
        <v>344</v>
      </c>
      <c r="B935" t="s">
        <v>1036</v>
      </c>
      <c r="C935" t="s">
        <v>1031</v>
      </c>
      <c r="D935">
        <v>3</v>
      </c>
      <c r="E935">
        <v>4378688</v>
      </c>
      <c r="F935">
        <v>5963160</v>
      </c>
      <c r="G935">
        <v>646552</v>
      </c>
      <c r="H935">
        <v>5315720</v>
      </c>
      <c r="I935">
        <v>0</v>
      </c>
      <c r="J935">
        <v>69.495015199999997</v>
      </c>
      <c r="K935">
        <v>72.316153200000002</v>
      </c>
      <c r="L935">
        <v>30.4413464</v>
      </c>
      <c r="M935">
        <v>42.9893845</v>
      </c>
      <c r="N935">
        <v>44.158881899999997</v>
      </c>
      <c r="O935">
        <v>0</v>
      </c>
      <c r="P935">
        <v>29.471</v>
      </c>
      <c r="Q935">
        <v>7.3369999999999997</v>
      </c>
      <c r="R935">
        <v>0</v>
      </c>
      <c r="S935">
        <v>0</v>
      </c>
      <c r="T935">
        <v>0</v>
      </c>
      <c r="U935">
        <v>0</v>
      </c>
      <c r="V935" t="s">
        <v>1030</v>
      </c>
      <c r="W935">
        <v>5001077</v>
      </c>
    </row>
    <row r="936" spans="1:23" x14ac:dyDescent="0.25">
      <c r="A936" t="s">
        <v>1032</v>
      </c>
    </row>
    <row r="937" spans="1:23" x14ac:dyDescent="0.25">
      <c r="A937" t="s">
        <v>344</v>
      </c>
      <c r="B937" t="s">
        <v>1036</v>
      </c>
      <c r="C937" t="s">
        <v>1031</v>
      </c>
      <c r="D937">
        <v>5</v>
      </c>
      <c r="E937">
        <v>0</v>
      </c>
      <c r="F937" t="s">
        <v>1034</v>
      </c>
      <c r="G937" t="s">
        <v>1034</v>
      </c>
      <c r="H937" t="s">
        <v>1034</v>
      </c>
      <c r="I937" t="s">
        <v>1034</v>
      </c>
      <c r="J937" t="s">
        <v>1034</v>
      </c>
      <c r="K937" t="s">
        <v>1034</v>
      </c>
      <c r="L937" t="s">
        <v>1034</v>
      </c>
      <c r="M937" t="s">
        <v>1034</v>
      </c>
      <c r="N937" t="s">
        <v>1034</v>
      </c>
      <c r="O937" t="s">
        <v>1034</v>
      </c>
      <c r="P937" t="s">
        <v>1034</v>
      </c>
      <c r="Q937" t="s">
        <v>1034</v>
      </c>
      <c r="R937" t="s">
        <v>1034</v>
      </c>
      <c r="S937" t="s">
        <v>1034</v>
      </c>
      <c r="T937" t="s">
        <v>1034</v>
      </c>
      <c r="U937" t="s">
        <v>1034</v>
      </c>
      <c r="V937" t="s">
        <v>1034</v>
      </c>
      <c r="W937" t="s">
        <v>1035</v>
      </c>
    </row>
    <row r="938" spans="1:23" x14ac:dyDescent="0.25">
      <c r="A938" t="s">
        <v>347</v>
      </c>
      <c r="B938" t="s">
        <v>1036</v>
      </c>
      <c r="C938" t="s">
        <v>1031</v>
      </c>
      <c r="D938">
        <v>0</v>
      </c>
      <c r="E938">
        <v>12558049</v>
      </c>
      <c r="F938">
        <v>1586848</v>
      </c>
      <c r="G938">
        <v>75736</v>
      </c>
      <c r="H938">
        <v>1508784</v>
      </c>
      <c r="I938">
        <v>0</v>
      </c>
      <c r="J938">
        <v>67.502890399999998</v>
      </c>
      <c r="K938">
        <v>72.881238999999994</v>
      </c>
      <c r="L938">
        <v>23.4373851</v>
      </c>
      <c r="M938">
        <v>37.594313800000002</v>
      </c>
      <c r="N938">
        <v>38.750594200000002</v>
      </c>
      <c r="O938">
        <v>0</v>
      </c>
      <c r="P938">
        <v>141.58000000000001</v>
      </c>
      <c r="Q938">
        <v>13.521000000000001</v>
      </c>
      <c r="R938">
        <v>0</v>
      </c>
      <c r="S938">
        <v>0</v>
      </c>
      <c r="T938">
        <v>0</v>
      </c>
      <c r="U938">
        <v>0</v>
      </c>
      <c r="V938" t="s">
        <v>1030</v>
      </c>
      <c r="W938">
        <v>72145549</v>
      </c>
    </row>
    <row r="939" spans="1:23" x14ac:dyDescent="0.25">
      <c r="A939" t="s">
        <v>347</v>
      </c>
      <c r="B939" t="s">
        <v>1036</v>
      </c>
      <c r="C939" t="s">
        <v>1031</v>
      </c>
      <c r="D939">
        <v>1</v>
      </c>
      <c r="E939">
        <v>12814639</v>
      </c>
      <c r="F939">
        <v>5650872</v>
      </c>
      <c r="G939">
        <v>245800</v>
      </c>
      <c r="H939">
        <v>5402744</v>
      </c>
      <c r="I939">
        <v>0</v>
      </c>
      <c r="J939">
        <v>72.972889300000006</v>
      </c>
      <c r="K939">
        <v>77.572054100000003</v>
      </c>
      <c r="L939">
        <v>25.017360799999999</v>
      </c>
      <c r="M939">
        <v>38.859935499999999</v>
      </c>
      <c r="N939">
        <v>40.263553100000003</v>
      </c>
      <c r="O939">
        <v>0</v>
      </c>
      <c r="P939">
        <v>139.60300000000001</v>
      </c>
      <c r="Q939">
        <v>15.342000000000001</v>
      </c>
      <c r="R939">
        <v>0</v>
      </c>
      <c r="S939">
        <v>0</v>
      </c>
      <c r="T939">
        <v>0</v>
      </c>
      <c r="U939">
        <v>0</v>
      </c>
      <c r="V939" t="s">
        <v>1030</v>
      </c>
      <c r="W939">
        <v>72145549</v>
      </c>
    </row>
    <row r="940" spans="1:23" x14ac:dyDescent="0.25">
      <c r="A940" t="s">
        <v>347</v>
      </c>
      <c r="B940" t="s">
        <v>1036</v>
      </c>
      <c r="C940" t="s">
        <v>1031</v>
      </c>
      <c r="D940">
        <v>2</v>
      </c>
      <c r="E940">
        <v>14349024</v>
      </c>
      <c r="F940">
        <v>17690768</v>
      </c>
      <c r="G940">
        <v>1092760</v>
      </c>
      <c r="H940">
        <v>16595680</v>
      </c>
      <c r="I940">
        <v>0</v>
      </c>
      <c r="J940">
        <v>78.737445300000005</v>
      </c>
      <c r="K940">
        <v>80.626881499999996</v>
      </c>
      <c r="L940">
        <v>26.4001591</v>
      </c>
      <c r="M940">
        <v>40.338402700000003</v>
      </c>
      <c r="N940">
        <v>41.871586399999998</v>
      </c>
      <c r="O940">
        <v>0</v>
      </c>
      <c r="P940">
        <v>131.941</v>
      </c>
      <c r="Q940">
        <v>20.526</v>
      </c>
      <c r="R940">
        <v>0</v>
      </c>
      <c r="S940">
        <v>0</v>
      </c>
      <c r="T940">
        <v>0</v>
      </c>
      <c r="U940">
        <v>0</v>
      </c>
      <c r="V940" t="s">
        <v>1030</v>
      </c>
      <c r="W940">
        <v>72145549</v>
      </c>
    </row>
    <row r="941" spans="1:23" x14ac:dyDescent="0.25">
      <c r="A941" t="s">
        <v>347</v>
      </c>
      <c r="B941" t="s">
        <v>1036</v>
      </c>
      <c r="C941" t="s">
        <v>1031</v>
      </c>
      <c r="D941">
        <v>3</v>
      </c>
      <c r="E941">
        <v>15198639</v>
      </c>
      <c r="F941">
        <v>41137840</v>
      </c>
      <c r="G941">
        <v>4344256</v>
      </c>
      <c r="H941">
        <v>36791256</v>
      </c>
      <c r="I941">
        <v>0</v>
      </c>
      <c r="J941">
        <v>81.322397499999994</v>
      </c>
      <c r="K941">
        <v>82.667531299999993</v>
      </c>
      <c r="L941">
        <v>27.359774099999999</v>
      </c>
      <c r="M941">
        <v>41.850278299999999</v>
      </c>
      <c r="N941">
        <v>43.498810499999998</v>
      </c>
      <c r="O941">
        <v>0</v>
      </c>
      <c r="P941">
        <v>153.48500000000001</v>
      </c>
      <c r="Q941">
        <v>33.499000000000002</v>
      </c>
      <c r="R941">
        <v>0</v>
      </c>
      <c r="S941">
        <v>0</v>
      </c>
      <c r="T941">
        <v>0</v>
      </c>
      <c r="U941">
        <v>0</v>
      </c>
      <c r="V941" t="s">
        <v>1030</v>
      </c>
      <c r="W941">
        <v>72145549</v>
      </c>
    </row>
    <row r="942" spans="1:23" x14ac:dyDescent="0.25">
      <c r="A942" t="s">
        <v>1032</v>
      </c>
    </row>
    <row r="943" spans="1:23" x14ac:dyDescent="0.25">
      <c r="A943" t="s">
        <v>347</v>
      </c>
      <c r="B943" t="s">
        <v>1036</v>
      </c>
      <c r="C943" t="s">
        <v>1031</v>
      </c>
      <c r="D943">
        <v>5</v>
      </c>
      <c r="E943">
        <v>0</v>
      </c>
      <c r="F943" t="s">
        <v>1034</v>
      </c>
      <c r="G943" t="s">
        <v>1034</v>
      </c>
      <c r="H943" t="s">
        <v>1034</v>
      </c>
      <c r="I943" t="s">
        <v>1034</v>
      </c>
      <c r="J943" t="s">
        <v>1034</v>
      </c>
      <c r="K943" t="s">
        <v>1034</v>
      </c>
      <c r="L943" t="s">
        <v>1034</v>
      </c>
      <c r="M943" t="s">
        <v>1034</v>
      </c>
      <c r="N943" t="s">
        <v>1034</v>
      </c>
      <c r="O943" t="s">
        <v>1034</v>
      </c>
      <c r="P943" t="s">
        <v>1034</v>
      </c>
      <c r="Q943" t="s">
        <v>1034</v>
      </c>
      <c r="R943" t="s">
        <v>1034</v>
      </c>
      <c r="S943" t="s">
        <v>1034</v>
      </c>
      <c r="T943" t="s">
        <v>1034</v>
      </c>
      <c r="U943" t="s">
        <v>1034</v>
      </c>
      <c r="V943" t="s">
        <v>1034</v>
      </c>
      <c r="W943" t="s">
        <v>1035</v>
      </c>
    </row>
    <row r="944" spans="1:23" x14ac:dyDescent="0.25">
      <c r="A944" t="s">
        <v>350</v>
      </c>
      <c r="B944" t="s">
        <v>1036</v>
      </c>
      <c r="C944" t="s">
        <v>1031</v>
      </c>
      <c r="D944">
        <v>0</v>
      </c>
      <c r="E944">
        <v>409775</v>
      </c>
      <c r="F944">
        <v>216800</v>
      </c>
      <c r="G944">
        <v>2880</v>
      </c>
      <c r="H944">
        <v>213432</v>
      </c>
      <c r="I944">
        <v>0</v>
      </c>
      <c r="J944">
        <v>50.359326299999999</v>
      </c>
      <c r="K944">
        <v>55.305697000000002</v>
      </c>
      <c r="L944">
        <v>15.7291364</v>
      </c>
      <c r="M944">
        <v>35.240576500000003</v>
      </c>
      <c r="N944">
        <v>32.358316799999997</v>
      </c>
      <c r="O944">
        <v>0</v>
      </c>
      <c r="P944">
        <v>8.2569999999999997</v>
      </c>
      <c r="Q944">
        <v>0.47099999999999997</v>
      </c>
      <c r="R944">
        <v>0</v>
      </c>
      <c r="S944">
        <v>0</v>
      </c>
      <c r="T944">
        <v>0</v>
      </c>
      <c r="U944">
        <v>0</v>
      </c>
      <c r="V944" t="s">
        <v>1030</v>
      </c>
      <c r="W944">
        <v>4203962</v>
      </c>
    </row>
    <row r="945" spans="1:23" x14ac:dyDescent="0.25">
      <c r="A945" t="s">
        <v>350</v>
      </c>
      <c r="B945" t="s">
        <v>1036</v>
      </c>
      <c r="C945" t="s">
        <v>1031</v>
      </c>
      <c r="D945">
        <v>1</v>
      </c>
      <c r="E945">
        <v>497978</v>
      </c>
      <c r="F945">
        <v>762112</v>
      </c>
      <c r="G945">
        <v>13480</v>
      </c>
      <c r="H945">
        <v>748144</v>
      </c>
      <c r="I945">
        <v>0</v>
      </c>
      <c r="J945">
        <v>55.109979299999999</v>
      </c>
      <c r="K945">
        <v>59.144158500000003</v>
      </c>
      <c r="L945">
        <v>16.3941537</v>
      </c>
      <c r="M945">
        <v>35.848297100000003</v>
      </c>
      <c r="N945">
        <v>33.1035647</v>
      </c>
      <c r="O945">
        <v>0</v>
      </c>
      <c r="P945">
        <v>8.1460000000000008</v>
      </c>
      <c r="Q945">
        <v>0.65100000000000002</v>
      </c>
      <c r="R945">
        <v>0</v>
      </c>
      <c r="S945">
        <v>0</v>
      </c>
      <c r="T945">
        <v>0</v>
      </c>
      <c r="U945">
        <v>0</v>
      </c>
      <c r="V945" t="s">
        <v>1030</v>
      </c>
      <c r="W945">
        <v>4203962</v>
      </c>
    </row>
    <row r="946" spans="1:23" x14ac:dyDescent="0.25">
      <c r="A946" t="s">
        <v>350</v>
      </c>
      <c r="B946" t="s">
        <v>1036</v>
      </c>
      <c r="C946" t="s">
        <v>1031</v>
      </c>
      <c r="D946">
        <v>2</v>
      </c>
      <c r="E946">
        <v>693760</v>
      </c>
      <c r="F946">
        <v>2091824</v>
      </c>
      <c r="G946">
        <v>71312</v>
      </c>
      <c r="H946">
        <v>2020024</v>
      </c>
      <c r="I946">
        <v>0</v>
      </c>
      <c r="J946">
        <v>58.080408599999998</v>
      </c>
      <c r="K946">
        <v>61.284813399999997</v>
      </c>
      <c r="L946">
        <v>16.903110300000002</v>
      </c>
      <c r="M946">
        <v>36.6696466</v>
      </c>
      <c r="N946">
        <v>34.0744963</v>
      </c>
      <c r="O946">
        <v>0</v>
      </c>
      <c r="P946">
        <v>8.9580000000000002</v>
      </c>
      <c r="Q946">
        <v>1.0980000000000001</v>
      </c>
      <c r="R946">
        <v>0</v>
      </c>
      <c r="S946">
        <v>0</v>
      </c>
      <c r="T946">
        <v>0</v>
      </c>
      <c r="U946">
        <v>0</v>
      </c>
      <c r="V946" t="s">
        <v>1030</v>
      </c>
      <c r="W946">
        <v>4203962</v>
      </c>
    </row>
    <row r="947" spans="1:23" x14ac:dyDescent="0.25">
      <c r="A947" t="s">
        <v>350</v>
      </c>
      <c r="B947" t="s">
        <v>1036</v>
      </c>
      <c r="C947" t="s">
        <v>1031</v>
      </c>
      <c r="D947">
        <v>3</v>
      </c>
      <c r="E947">
        <v>895917</v>
      </c>
      <c r="F947">
        <v>4598832</v>
      </c>
      <c r="G947">
        <v>320128</v>
      </c>
      <c r="H947">
        <v>4278216</v>
      </c>
      <c r="I947">
        <v>0</v>
      </c>
      <c r="J947">
        <v>60.472808800000003</v>
      </c>
      <c r="K947">
        <v>64.090337700000006</v>
      </c>
      <c r="L947">
        <v>17.621627799999999</v>
      </c>
      <c r="M947">
        <v>37.885835700000001</v>
      </c>
      <c r="N947">
        <v>35.355330799999997</v>
      </c>
      <c r="O947">
        <v>0</v>
      </c>
      <c r="P947">
        <v>10.55</v>
      </c>
      <c r="Q947">
        <v>2.0670000000000002</v>
      </c>
      <c r="R947">
        <v>0</v>
      </c>
      <c r="S947">
        <v>0</v>
      </c>
      <c r="T947">
        <v>0</v>
      </c>
      <c r="U947">
        <v>0</v>
      </c>
      <c r="V947" t="s">
        <v>1030</v>
      </c>
      <c r="W947">
        <v>4203962</v>
      </c>
    </row>
    <row r="948" spans="1:23" x14ac:dyDescent="0.25">
      <c r="A948" t="s">
        <v>1032</v>
      </c>
    </row>
    <row r="949" spans="1:23" x14ac:dyDescent="0.25">
      <c r="A949" t="s">
        <v>350</v>
      </c>
      <c r="B949" t="s">
        <v>1036</v>
      </c>
      <c r="C949" t="s">
        <v>1031</v>
      </c>
      <c r="D949">
        <v>5</v>
      </c>
      <c r="E949">
        <v>0</v>
      </c>
      <c r="F949" t="s">
        <v>1034</v>
      </c>
      <c r="G949" t="s">
        <v>1034</v>
      </c>
      <c r="H949" t="s">
        <v>1034</v>
      </c>
      <c r="I949" t="s">
        <v>1034</v>
      </c>
      <c r="J949" t="s">
        <v>1034</v>
      </c>
      <c r="K949" t="s">
        <v>1034</v>
      </c>
      <c r="L949" t="s">
        <v>1034</v>
      </c>
      <c r="M949" t="s">
        <v>1034</v>
      </c>
      <c r="N949" t="s">
        <v>1034</v>
      </c>
      <c r="O949" t="s">
        <v>1034</v>
      </c>
      <c r="P949" t="s">
        <v>1034</v>
      </c>
      <c r="Q949" t="s">
        <v>1034</v>
      </c>
      <c r="R949" t="s">
        <v>1034</v>
      </c>
      <c r="S949" t="s">
        <v>1034</v>
      </c>
      <c r="T949" t="s">
        <v>1034</v>
      </c>
      <c r="U949" t="s">
        <v>1034</v>
      </c>
      <c r="V949" t="s">
        <v>1034</v>
      </c>
      <c r="W949" t="s">
        <v>1035</v>
      </c>
    </row>
    <row r="950" spans="1:23" x14ac:dyDescent="0.25">
      <c r="A950" t="s">
        <v>353</v>
      </c>
      <c r="B950" t="s">
        <v>1036</v>
      </c>
      <c r="C950" t="s">
        <v>1031</v>
      </c>
      <c r="D950">
        <v>0</v>
      </c>
      <c r="E950">
        <v>349357</v>
      </c>
      <c r="F950">
        <v>95320</v>
      </c>
      <c r="G950">
        <v>3104</v>
      </c>
      <c r="H950">
        <v>91648</v>
      </c>
      <c r="I950">
        <v>0</v>
      </c>
      <c r="J950">
        <v>41.808844499999999</v>
      </c>
      <c r="K950">
        <v>46.382413900000003</v>
      </c>
      <c r="L950">
        <v>17.012571399999999</v>
      </c>
      <c r="M950">
        <v>29.275283000000002</v>
      </c>
      <c r="N950">
        <v>31.8753052</v>
      </c>
      <c r="O950">
        <v>0</v>
      </c>
      <c r="P950">
        <v>3.6880000000000002</v>
      </c>
      <c r="Q950">
        <v>0.39500000000000002</v>
      </c>
      <c r="R950">
        <v>0</v>
      </c>
      <c r="S950">
        <v>0</v>
      </c>
      <c r="T950">
        <v>0</v>
      </c>
      <c r="U950">
        <v>0</v>
      </c>
      <c r="V950" t="s">
        <v>1030</v>
      </c>
      <c r="W950">
        <v>1010591</v>
      </c>
    </row>
    <row r="951" spans="1:23" x14ac:dyDescent="0.25">
      <c r="A951" t="s">
        <v>353</v>
      </c>
      <c r="B951" t="s">
        <v>1036</v>
      </c>
      <c r="C951" t="s">
        <v>1031</v>
      </c>
      <c r="D951">
        <v>1</v>
      </c>
      <c r="E951">
        <v>1191121</v>
      </c>
      <c r="F951">
        <v>804208</v>
      </c>
      <c r="G951">
        <v>10728</v>
      </c>
      <c r="H951">
        <v>792912</v>
      </c>
      <c r="I951">
        <v>0</v>
      </c>
      <c r="J951">
        <v>52.133903099999998</v>
      </c>
      <c r="K951">
        <v>56.576918399999997</v>
      </c>
      <c r="L951">
        <v>20.874922999999999</v>
      </c>
      <c r="M951">
        <v>33.000126899999998</v>
      </c>
      <c r="N951">
        <v>34.939303199999998</v>
      </c>
      <c r="O951">
        <v>0</v>
      </c>
      <c r="P951">
        <v>6.3390000000000004</v>
      </c>
      <c r="Q951">
        <v>1.41</v>
      </c>
      <c r="R951">
        <v>0</v>
      </c>
      <c r="S951">
        <v>0</v>
      </c>
      <c r="T951">
        <v>0</v>
      </c>
      <c r="U951">
        <v>0</v>
      </c>
      <c r="V951" t="s">
        <v>1030</v>
      </c>
      <c r="W951">
        <v>1010591</v>
      </c>
    </row>
    <row r="952" spans="1:23" x14ac:dyDescent="0.25">
      <c r="A952" t="s">
        <v>353</v>
      </c>
      <c r="B952" t="s">
        <v>1036</v>
      </c>
      <c r="C952" t="s">
        <v>1031</v>
      </c>
      <c r="D952">
        <v>2</v>
      </c>
      <c r="E952">
        <v>1390973</v>
      </c>
      <c r="F952">
        <v>2244920</v>
      </c>
      <c r="G952">
        <v>41792</v>
      </c>
      <c r="H952">
        <v>2202560</v>
      </c>
      <c r="I952">
        <v>0</v>
      </c>
      <c r="J952">
        <v>59.060043200000003</v>
      </c>
      <c r="K952">
        <v>61.682374799999998</v>
      </c>
      <c r="L952">
        <v>23.509692999999999</v>
      </c>
      <c r="M952">
        <v>35.794995</v>
      </c>
      <c r="N952">
        <v>37.187317200000003</v>
      </c>
      <c r="O952">
        <v>0</v>
      </c>
      <c r="P952">
        <v>7.1040000000000001</v>
      </c>
      <c r="Q952">
        <v>1.911</v>
      </c>
      <c r="R952">
        <v>0</v>
      </c>
      <c r="S952">
        <v>0</v>
      </c>
      <c r="T952">
        <v>0</v>
      </c>
      <c r="U952">
        <v>0</v>
      </c>
      <c r="V952" t="s">
        <v>1030</v>
      </c>
      <c r="W952">
        <v>1010591</v>
      </c>
    </row>
    <row r="953" spans="1:23" x14ac:dyDescent="0.25">
      <c r="A953" t="s">
        <v>353</v>
      </c>
      <c r="B953" t="s">
        <v>1036</v>
      </c>
      <c r="C953" t="s">
        <v>1031</v>
      </c>
      <c r="D953">
        <v>3</v>
      </c>
      <c r="E953">
        <v>1631629</v>
      </c>
      <c r="F953">
        <v>4848016</v>
      </c>
      <c r="G953">
        <v>162264</v>
      </c>
      <c r="H953">
        <v>4685184</v>
      </c>
      <c r="I953">
        <v>0</v>
      </c>
      <c r="J953">
        <v>63.198995099999998</v>
      </c>
      <c r="K953">
        <v>66.131390600000003</v>
      </c>
      <c r="L953">
        <v>25.1235681</v>
      </c>
      <c r="M953">
        <v>38.280033799999998</v>
      </c>
      <c r="N953">
        <v>39.6320239</v>
      </c>
      <c r="O953">
        <v>0</v>
      </c>
      <c r="P953">
        <v>8.2159999999999993</v>
      </c>
      <c r="Q953">
        <v>2.74</v>
      </c>
      <c r="R953">
        <v>0</v>
      </c>
      <c r="S953">
        <v>0</v>
      </c>
      <c r="T953">
        <v>0</v>
      </c>
      <c r="U953">
        <v>0</v>
      </c>
      <c r="V953" t="s">
        <v>1030</v>
      </c>
      <c r="W953">
        <v>1010591</v>
      </c>
    </row>
    <row r="954" spans="1:23" x14ac:dyDescent="0.25">
      <c r="A954" t="s">
        <v>1032</v>
      </c>
    </row>
    <row r="955" spans="1:23" x14ac:dyDescent="0.25">
      <c r="A955" t="s">
        <v>353</v>
      </c>
      <c r="B955" t="s">
        <v>1036</v>
      </c>
      <c r="C955" t="s">
        <v>1031</v>
      </c>
      <c r="D955">
        <v>5</v>
      </c>
      <c r="E955">
        <v>0</v>
      </c>
      <c r="F955" t="s">
        <v>1034</v>
      </c>
      <c r="G955" t="s">
        <v>1034</v>
      </c>
      <c r="H955" t="s">
        <v>1034</v>
      </c>
      <c r="I955" t="s">
        <v>1034</v>
      </c>
      <c r="J955" t="s">
        <v>1034</v>
      </c>
      <c r="K955" t="s">
        <v>1034</v>
      </c>
      <c r="L955" t="s">
        <v>1034</v>
      </c>
      <c r="M955" t="s">
        <v>1034</v>
      </c>
      <c r="N955" t="s">
        <v>1034</v>
      </c>
      <c r="O955" t="s">
        <v>1034</v>
      </c>
      <c r="P955" t="s">
        <v>1034</v>
      </c>
      <c r="Q955" t="s">
        <v>1034</v>
      </c>
      <c r="R955" t="s">
        <v>1034</v>
      </c>
      <c r="S955" t="s">
        <v>1034</v>
      </c>
      <c r="T955" t="s">
        <v>1034</v>
      </c>
      <c r="U955" t="s">
        <v>1034</v>
      </c>
      <c r="V955" t="s">
        <v>1034</v>
      </c>
      <c r="W955" t="s">
        <v>1035</v>
      </c>
    </row>
    <row r="956" spans="1:23" x14ac:dyDescent="0.25">
      <c r="A956" t="s">
        <v>356</v>
      </c>
      <c r="B956" t="s">
        <v>1036</v>
      </c>
      <c r="C956" t="s">
        <v>1031</v>
      </c>
      <c r="D956">
        <v>0</v>
      </c>
      <c r="E956">
        <v>22580640</v>
      </c>
      <c r="F956">
        <v>4397000</v>
      </c>
      <c r="G956">
        <v>163736</v>
      </c>
      <c r="H956">
        <v>4230216</v>
      </c>
      <c r="I956">
        <v>0</v>
      </c>
      <c r="J956">
        <v>64.958584900000005</v>
      </c>
      <c r="K956">
        <v>67.074013600000001</v>
      </c>
      <c r="L956">
        <v>22.087859000000002</v>
      </c>
      <c r="M956">
        <v>35.868641400000001</v>
      </c>
      <c r="N956">
        <v>38.834044800000001</v>
      </c>
      <c r="O956">
        <v>0</v>
      </c>
      <c r="P956">
        <v>159.321</v>
      </c>
      <c r="Q956">
        <v>24.297000000000001</v>
      </c>
      <c r="R956">
        <v>0</v>
      </c>
      <c r="S956">
        <v>0</v>
      </c>
      <c r="T956">
        <v>0</v>
      </c>
      <c r="U956">
        <v>0</v>
      </c>
      <c r="V956" t="s">
        <v>1030</v>
      </c>
      <c r="W956">
        <v>47062018</v>
      </c>
    </row>
    <row r="957" spans="1:23" x14ac:dyDescent="0.25">
      <c r="A957" t="s">
        <v>356</v>
      </c>
      <c r="B957" t="s">
        <v>1036</v>
      </c>
      <c r="C957" t="s">
        <v>1031</v>
      </c>
      <c r="D957">
        <v>1</v>
      </c>
      <c r="E957">
        <v>23469349</v>
      </c>
      <c r="F957">
        <v>11179536</v>
      </c>
      <c r="G957">
        <v>521040</v>
      </c>
      <c r="H957">
        <v>10655208</v>
      </c>
      <c r="I957">
        <v>0</v>
      </c>
      <c r="J957">
        <v>71.475352599999994</v>
      </c>
      <c r="K957">
        <v>73.951538999999997</v>
      </c>
      <c r="L957">
        <v>25.0234752</v>
      </c>
      <c r="M957">
        <v>38.440362800000003</v>
      </c>
      <c r="N957">
        <v>41.156103700000003</v>
      </c>
      <c r="O957">
        <v>0</v>
      </c>
      <c r="P957">
        <v>148.036</v>
      </c>
      <c r="Q957">
        <v>30.149000000000001</v>
      </c>
      <c r="R957">
        <v>0</v>
      </c>
      <c r="S957">
        <v>0</v>
      </c>
      <c r="T957">
        <v>0</v>
      </c>
      <c r="U957">
        <v>0</v>
      </c>
      <c r="V957" t="s">
        <v>1030</v>
      </c>
      <c r="W957">
        <v>47062018</v>
      </c>
    </row>
    <row r="958" spans="1:23" x14ac:dyDescent="0.25">
      <c r="A958" t="s">
        <v>356</v>
      </c>
      <c r="B958" t="s">
        <v>1036</v>
      </c>
      <c r="C958" t="s">
        <v>1031</v>
      </c>
      <c r="D958">
        <v>2</v>
      </c>
      <c r="E958">
        <v>23859585</v>
      </c>
      <c r="F958">
        <v>24901392</v>
      </c>
      <c r="G958">
        <v>1711304</v>
      </c>
      <c r="H958">
        <v>23186880</v>
      </c>
      <c r="I958">
        <v>0</v>
      </c>
      <c r="J958">
        <v>78.212803399999999</v>
      </c>
      <c r="K958">
        <v>79.321104700000006</v>
      </c>
      <c r="L958">
        <v>27.839852100000002</v>
      </c>
      <c r="M958">
        <v>41.371207900000002</v>
      </c>
      <c r="N958">
        <v>43.673862900000003</v>
      </c>
      <c r="O958">
        <v>0</v>
      </c>
      <c r="P958">
        <v>144.56399999999999</v>
      </c>
      <c r="Q958">
        <v>33.585999999999999</v>
      </c>
      <c r="R958">
        <v>0</v>
      </c>
      <c r="S958">
        <v>0</v>
      </c>
      <c r="T958">
        <v>0</v>
      </c>
      <c r="U958">
        <v>0</v>
      </c>
      <c r="V958" t="s">
        <v>1030</v>
      </c>
      <c r="W958">
        <v>47062018</v>
      </c>
    </row>
    <row r="959" spans="1:23" x14ac:dyDescent="0.25">
      <c r="A959" t="s">
        <v>356</v>
      </c>
      <c r="B959" t="s">
        <v>1036</v>
      </c>
      <c r="C959" t="s">
        <v>1031</v>
      </c>
      <c r="D959">
        <v>3</v>
      </c>
      <c r="E959">
        <v>22981365</v>
      </c>
      <c r="F959">
        <v>45369616</v>
      </c>
      <c r="G959">
        <v>5000712</v>
      </c>
      <c r="H959">
        <v>40365696</v>
      </c>
      <c r="I959">
        <v>0</v>
      </c>
      <c r="J959">
        <v>81.803137899999996</v>
      </c>
      <c r="K959">
        <v>84.474502900000005</v>
      </c>
      <c r="L959">
        <v>29.416998899999999</v>
      </c>
      <c r="M959">
        <v>43.576483699999997</v>
      </c>
      <c r="N959">
        <v>45.529495599999997</v>
      </c>
      <c r="O959">
        <v>0</v>
      </c>
      <c r="P959">
        <v>160.75899999999999</v>
      </c>
      <c r="Q959">
        <v>48.853999999999999</v>
      </c>
      <c r="R959">
        <v>0</v>
      </c>
      <c r="S959">
        <v>0</v>
      </c>
      <c r="T959">
        <v>0</v>
      </c>
      <c r="U959">
        <v>0</v>
      </c>
      <c r="V959" t="s">
        <v>1030</v>
      </c>
      <c r="W959">
        <v>47062018</v>
      </c>
    </row>
    <row r="960" spans="1:23" x14ac:dyDescent="0.25">
      <c r="A960" t="s">
        <v>1032</v>
      </c>
    </row>
    <row r="961" spans="1:23" x14ac:dyDescent="0.25">
      <c r="A961" t="s">
        <v>356</v>
      </c>
      <c r="B961" t="s">
        <v>1036</v>
      </c>
      <c r="C961" t="s">
        <v>1031</v>
      </c>
      <c r="D961">
        <v>5</v>
      </c>
      <c r="E961">
        <v>0</v>
      </c>
      <c r="F961" t="s">
        <v>1034</v>
      </c>
      <c r="G961" t="s">
        <v>1034</v>
      </c>
      <c r="H961" t="s">
        <v>1034</v>
      </c>
      <c r="I961" t="s">
        <v>1034</v>
      </c>
      <c r="J961" t="s">
        <v>1034</v>
      </c>
      <c r="K961" t="s">
        <v>1034</v>
      </c>
      <c r="L961" t="s">
        <v>1034</v>
      </c>
      <c r="M961" t="s">
        <v>1034</v>
      </c>
      <c r="N961" t="s">
        <v>1034</v>
      </c>
      <c r="O961" t="s">
        <v>1034</v>
      </c>
      <c r="P961" t="s">
        <v>1034</v>
      </c>
      <c r="Q961" t="s">
        <v>1034</v>
      </c>
      <c r="R961" t="s">
        <v>1034</v>
      </c>
      <c r="S961" t="s">
        <v>1034</v>
      </c>
      <c r="T961" t="s">
        <v>1034</v>
      </c>
      <c r="U961" t="s">
        <v>1034</v>
      </c>
      <c r="V961" t="s">
        <v>1034</v>
      </c>
      <c r="W961" t="s">
        <v>1035</v>
      </c>
    </row>
    <row r="962" spans="1:23" x14ac:dyDescent="0.25">
      <c r="A962" t="s">
        <v>359</v>
      </c>
      <c r="B962" t="s">
        <v>1036</v>
      </c>
      <c r="C962" t="s">
        <v>1031</v>
      </c>
      <c r="D962">
        <v>0</v>
      </c>
      <c r="E962">
        <v>26908355</v>
      </c>
      <c r="F962">
        <v>5197584</v>
      </c>
      <c r="G962">
        <v>224448</v>
      </c>
      <c r="H962">
        <v>4969768</v>
      </c>
      <c r="I962">
        <v>0</v>
      </c>
      <c r="J962">
        <v>65.367402600000005</v>
      </c>
      <c r="K962">
        <v>67.325220700000003</v>
      </c>
      <c r="L962">
        <v>22.558113899999999</v>
      </c>
      <c r="M962">
        <v>35.3800867</v>
      </c>
      <c r="N962">
        <v>36.8450451</v>
      </c>
      <c r="O962">
        <v>0</v>
      </c>
      <c r="P962">
        <v>178.50399999999999</v>
      </c>
      <c r="Q962">
        <v>29.088999999999999</v>
      </c>
      <c r="R962">
        <v>0</v>
      </c>
      <c r="S962">
        <v>0</v>
      </c>
      <c r="T962">
        <v>0</v>
      </c>
      <c r="U962">
        <v>0</v>
      </c>
      <c r="V962" t="s">
        <v>1030</v>
      </c>
      <c r="W962">
        <v>43399207</v>
      </c>
    </row>
    <row r="963" spans="1:23" x14ac:dyDescent="0.25">
      <c r="A963" t="s">
        <v>359</v>
      </c>
      <c r="B963" t="s">
        <v>1036</v>
      </c>
      <c r="C963" t="s">
        <v>1031</v>
      </c>
      <c r="D963">
        <v>1</v>
      </c>
      <c r="E963">
        <v>24267649</v>
      </c>
      <c r="F963">
        <v>12007736</v>
      </c>
      <c r="G963">
        <v>651016</v>
      </c>
      <c r="H963">
        <v>11353432</v>
      </c>
      <c r="I963">
        <v>0</v>
      </c>
      <c r="J963">
        <v>71.591053400000007</v>
      </c>
      <c r="K963">
        <v>74.278454699999998</v>
      </c>
      <c r="L963">
        <v>25.056281599999998</v>
      </c>
      <c r="M963">
        <v>37.923985100000003</v>
      </c>
      <c r="N963">
        <v>39.362361399999998</v>
      </c>
      <c r="O963">
        <v>0</v>
      </c>
      <c r="P963">
        <v>159.505</v>
      </c>
      <c r="Q963">
        <v>27.004999999999999</v>
      </c>
      <c r="R963">
        <v>0</v>
      </c>
      <c r="S963">
        <v>0</v>
      </c>
      <c r="T963">
        <v>0</v>
      </c>
      <c r="U963">
        <v>0</v>
      </c>
      <c r="V963" t="s">
        <v>1030</v>
      </c>
      <c r="W963">
        <v>43399207</v>
      </c>
    </row>
    <row r="964" spans="1:23" x14ac:dyDescent="0.25">
      <c r="A964" t="s">
        <v>359</v>
      </c>
      <c r="B964" t="s">
        <v>1036</v>
      </c>
      <c r="C964" t="s">
        <v>1031</v>
      </c>
      <c r="D964">
        <v>2</v>
      </c>
      <c r="E964">
        <v>23648999</v>
      </c>
      <c r="F964">
        <v>25740336</v>
      </c>
      <c r="G964">
        <v>2247488</v>
      </c>
      <c r="H964">
        <v>23489560</v>
      </c>
      <c r="I964">
        <v>0</v>
      </c>
      <c r="J964">
        <v>77.148806199999996</v>
      </c>
      <c r="K964">
        <v>79.457846900000007</v>
      </c>
      <c r="L964">
        <v>27.422548800000001</v>
      </c>
      <c r="M964">
        <v>40.518775099999999</v>
      </c>
      <c r="N964">
        <v>41.889015200000003</v>
      </c>
      <c r="O964">
        <v>0</v>
      </c>
      <c r="P964">
        <v>164.517</v>
      </c>
      <c r="Q964">
        <v>31.867999999999999</v>
      </c>
      <c r="R964">
        <v>0</v>
      </c>
      <c r="S964">
        <v>0</v>
      </c>
      <c r="T964">
        <v>0</v>
      </c>
      <c r="U964">
        <v>0</v>
      </c>
      <c r="V964" t="s">
        <v>1030</v>
      </c>
      <c r="W964">
        <v>43399207</v>
      </c>
    </row>
    <row r="965" spans="1:23" x14ac:dyDescent="0.25">
      <c r="A965" t="s">
        <v>359</v>
      </c>
      <c r="B965" t="s">
        <v>1036</v>
      </c>
      <c r="C965" t="s">
        <v>1031</v>
      </c>
      <c r="D965">
        <v>3</v>
      </c>
      <c r="E965">
        <v>28367281</v>
      </c>
      <c r="F965">
        <v>56288536</v>
      </c>
      <c r="G965">
        <v>6978664</v>
      </c>
      <c r="H965">
        <v>49306664</v>
      </c>
      <c r="I965">
        <v>0</v>
      </c>
      <c r="J965">
        <v>80.913527400000007</v>
      </c>
      <c r="K965">
        <v>84.701199000000003</v>
      </c>
      <c r="L965">
        <v>29.213125300000002</v>
      </c>
      <c r="M965">
        <v>42.979822900000002</v>
      </c>
      <c r="N965">
        <v>44.228492000000003</v>
      </c>
      <c r="O965">
        <v>0</v>
      </c>
      <c r="P965">
        <v>207.47800000000001</v>
      </c>
      <c r="Q965">
        <v>55.49</v>
      </c>
      <c r="R965">
        <v>0</v>
      </c>
      <c r="S965">
        <v>0</v>
      </c>
      <c r="T965">
        <v>0</v>
      </c>
      <c r="U965">
        <v>0</v>
      </c>
      <c r="V965" t="s">
        <v>1030</v>
      </c>
      <c r="W965">
        <v>43399207</v>
      </c>
    </row>
    <row r="966" spans="1:23" x14ac:dyDescent="0.25">
      <c r="A966" t="s">
        <v>1032</v>
      </c>
    </row>
    <row r="967" spans="1:23" x14ac:dyDescent="0.25">
      <c r="A967" t="s">
        <v>359</v>
      </c>
      <c r="B967" t="s">
        <v>1036</v>
      </c>
      <c r="C967" t="s">
        <v>1031</v>
      </c>
      <c r="D967">
        <v>5</v>
      </c>
      <c r="E967">
        <v>0</v>
      </c>
      <c r="F967" t="s">
        <v>1034</v>
      </c>
      <c r="G967" t="s">
        <v>1034</v>
      </c>
      <c r="H967" t="s">
        <v>1034</v>
      </c>
      <c r="I967" t="s">
        <v>1034</v>
      </c>
      <c r="J967" t="s">
        <v>1034</v>
      </c>
      <c r="K967" t="s">
        <v>1034</v>
      </c>
      <c r="L967" t="s">
        <v>1034</v>
      </c>
      <c r="M967" t="s">
        <v>1034</v>
      </c>
      <c r="N967" t="s">
        <v>1034</v>
      </c>
      <c r="O967" t="s">
        <v>1034</v>
      </c>
      <c r="P967" t="s">
        <v>1034</v>
      </c>
      <c r="Q967" t="s">
        <v>1034</v>
      </c>
      <c r="R967" t="s">
        <v>1034</v>
      </c>
      <c r="S967" t="s">
        <v>1034</v>
      </c>
      <c r="T967" t="s">
        <v>1034</v>
      </c>
      <c r="U967" t="s">
        <v>1034</v>
      </c>
      <c r="V967" t="s">
        <v>1034</v>
      </c>
      <c r="W967" t="s">
        <v>1035</v>
      </c>
    </row>
    <row r="968" spans="1:23" x14ac:dyDescent="0.25">
      <c r="A968" t="s">
        <v>362</v>
      </c>
      <c r="B968" t="s">
        <v>1036</v>
      </c>
      <c r="C968" t="s">
        <v>1031</v>
      </c>
      <c r="D968">
        <v>0</v>
      </c>
      <c r="E968">
        <v>179513</v>
      </c>
      <c r="F968">
        <v>54248</v>
      </c>
      <c r="G968">
        <v>1600</v>
      </c>
      <c r="H968">
        <v>52160</v>
      </c>
      <c r="I968">
        <v>0</v>
      </c>
      <c r="J968">
        <v>46.915517000000001</v>
      </c>
      <c r="K968">
        <v>50.308353500000003</v>
      </c>
      <c r="L968">
        <v>20.632051199999999</v>
      </c>
      <c r="M968">
        <v>29.913316300000002</v>
      </c>
      <c r="N968">
        <v>32.4125108</v>
      </c>
      <c r="O968">
        <v>0</v>
      </c>
      <c r="P968">
        <v>1.4510000000000001</v>
      </c>
      <c r="Q968">
        <v>0.22</v>
      </c>
      <c r="R968">
        <v>0</v>
      </c>
      <c r="S968">
        <v>0</v>
      </c>
      <c r="T968">
        <v>0</v>
      </c>
      <c r="U968">
        <v>0</v>
      </c>
      <c r="V968" t="s">
        <v>1030</v>
      </c>
      <c r="W968">
        <v>499886</v>
      </c>
    </row>
    <row r="969" spans="1:23" x14ac:dyDescent="0.25">
      <c r="A969" t="s">
        <v>362</v>
      </c>
      <c r="B969" t="s">
        <v>1036</v>
      </c>
      <c r="C969" t="s">
        <v>1031</v>
      </c>
      <c r="D969">
        <v>1</v>
      </c>
      <c r="E969">
        <v>189070</v>
      </c>
      <c r="F969">
        <v>165680</v>
      </c>
      <c r="G969">
        <v>5768</v>
      </c>
      <c r="H969">
        <v>159424</v>
      </c>
      <c r="I969">
        <v>0</v>
      </c>
      <c r="J969">
        <v>55.431299000000003</v>
      </c>
      <c r="K969">
        <v>57.8334051</v>
      </c>
      <c r="L969">
        <v>23.463502399999999</v>
      </c>
      <c r="M969">
        <v>33.023845199999997</v>
      </c>
      <c r="N969">
        <v>34.739035999999999</v>
      </c>
      <c r="O969">
        <v>0</v>
      </c>
      <c r="P969">
        <v>1.3839999999999999</v>
      </c>
      <c r="Q969">
        <v>0.24299999999999999</v>
      </c>
      <c r="R969">
        <v>0</v>
      </c>
      <c r="S969">
        <v>0</v>
      </c>
      <c r="T969">
        <v>0</v>
      </c>
      <c r="U969">
        <v>0</v>
      </c>
      <c r="V969" t="s">
        <v>1030</v>
      </c>
      <c r="W969">
        <v>499886</v>
      </c>
    </row>
    <row r="970" spans="1:23" x14ac:dyDescent="0.25">
      <c r="A970" t="s">
        <v>362</v>
      </c>
      <c r="B970" t="s">
        <v>1036</v>
      </c>
      <c r="C970" t="s">
        <v>1031</v>
      </c>
      <c r="D970">
        <v>2</v>
      </c>
      <c r="E970">
        <v>221353</v>
      </c>
      <c r="F970">
        <v>452784</v>
      </c>
      <c r="G970">
        <v>24160</v>
      </c>
      <c r="H970">
        <v>428136</v>
      </c>
      <c r="I970">
        <v>0</v>
      </c>
      <c r="J970">
        <v>60.2046098</v>
      </c>
      <c r="K970">
        <v>62.684133799999998</v>
      </c>
      <c r="L970">
        <v>25.6493109</v>
      </c>
      <c r="M970">
        <v>35.437514200000003</v>
      </c>
      <c r="N970">
        <v>36.930877000000002</v>
      </c>
      <c r="O970">
        <v>0</v>
      </c>
      <c r="P970">
        <v>1.5529999999999999</v>
      </c>
      <c r="Q970">
        <v>0.35699999999999998</v>
      </c>
      <c r="R970">
        <v>0</v>
      </c>
      <c r="S970">
        <v>0</v>
      </c>
      <c r="T970">
        <v>0</v>
      </c>
      <c r="U970">
        <v>0</v>
      </c>
      <c r="V970" t="s">
        <v>1030</v>
      </c>
      <c r="W970">
        <v>499886</v>
      </c>
    </row>
    <row r="971" spans="1:23" x14ac:dyDescent="0.25">
      <c r="A971" t="s">
        <v>362</v>
      </c>
      <c r="B971" t="s">
        <v>1036</v>
      </c>
      <c r="C971" t="s">
        <v>1031</v>
      </c>
      <c r="D971">
        <v>3</v>
      </c>
      <c r="E971">
        <v>278948</v>
      </c>
      <c r="F971">
        <v>1087656</v>
      </c>
      <c r="G971">
        <v>100112</v>
      </c>
      <c r="H971">
        <v>987056</v>
      </c>
      <c r="I971">
        <v>0</v>
      </c>
      <c r="J971">
        <v>61.758085800000003</v>
      </c>
      <c r="K971">
        <v>64.425036000000006</v>
      </c>
      <c r="L971">
        <v>27.223880399999999</v>
      </c>
      <c r="M971">
        <v>37.5421999</v>
      </c>
      <c r="N971">
        <v>39.043572400000002</v>
      </c>
      <c r="O971">
        <v>0</v>
      </c>
      <c r="P971">
        <v>1.9810000000000001</v>
      </c>
      <c r="Q971">
        <v>0.65800000000000003</v>
      </c>
      <c r="R971">
        <v>0</v>
      </c>
      <c r="S971">
        <v>0</v>
      </c>
      <c r="T971">
        <v>0</v>
      </c>
      <c r="U971">
        <v>0</v>
      </c>
      <c r="V971" t="s">
        <v>1030</v>
      </c>
      <c r="W971">
        <v>499886</v>
      </c>
    </row>
    <row r="972" spans="1:23" x14ac:dyDescent="0.25">
      <c r="A972" t="s">
        <v>1032</v>
      </c>
    </row>
    <row r="973" spans="1:23" x14ac:dyDescent="0.25">
      <c r="A973" t="s">
        <v>362</v>
      </c>
      <c r="B973" t="s">
        <v>1036</v>
      </c>
      <c r="C973" t="s">
        <v>1031</v>
      </c>
      <c r="D973">
        <v>5</v>
      </c>
      <c r="E973">
        <v>0</v>
      </c>
      <c r="F973" t="s">
        <v>1034</v>
      </c>
      <c r="G973" t="s">
        <v>1034</v>
      </c>
      <c r="H973" t="s">
        <v>1034</v>
      </c>
      <c r="I973" t="s">
        <v>1034</v>
      </c>
      <c r="J973" t="s">
        <v>1034</v>
      </c>
      <c r="K973" t="s">
        <v>1034</v>
      </c>
      <c r="L973" t="s">
        <v>1034</v>
      </c>
      <c r="M973" t="s">
        <v>1034</v>
      </c>
      <c r="N973" t="s">
        <v>1034</v>
      </c>
      <c r="O973" t="s">
        <v>1034</v>
      </c>
      <c r="P973" t="s">
        <v>1034</v>
      </c>
      <c r="Q973" t="s">
        <v>1034</v>
      </c>
      <c r="R973" t="s">
        <v>1034</v>
      </c>
      <c r="S973" t="s">
        <v>1034</v>
      </c>
      <c r="T973" t="s">
        <v>1034</v>
      </c>
      <c r="U973" t="s">
        <v>1034</v>
      </c>
      <c r="V973" t="s">
        <v>1034</v>
      </c>
      <c r="W973" t="s">
        <v>1035</v>
      </c>
    </row>
    <row r="974" spans="1:23" x14ac:dyDescent="0.25">
      <c r="A974" t="s">
        <v>365</v>
      </c>
      <c r="B974" t="s">
        <v>1036</v>
      </c>
      <c r="C974" t="s">
        <v>1031</v>
      </c>
      <c r="D974">
        <v>0</v>
      </c>
      <c r="E974">
        <v>24482260</v>
      </c>
      <c r="F974">
        <v>2461016</v>
      </c>
      <c r="G974">
        <v>264768</v>
      </c>
      <c r="H974">
        <v>2193280</v>
      </c>
      <c r="I974">
        <v>0</v>
      </c>
      <c r="J974">
        <v>67.293165599999995</v>
      </c>
      <c r="K974">
        <v>70.843313300000005</v>
      </c>
      <c r="L974">
        <v>27.4263181</v>
      </c>
      <c r="M974">
        <v>40.059353700000003</v>
      </c>
      <c r="N974">
        <v>38.367318500000003</v>
      </c>
      <c r="O974">
        <v>0</v>
      </c>
      <c r="P974">
        <v>177.58600000000001</v>
      </c>
      <c r="Q974">
        <v>27.228000000000002</v>
      </c>
      <c r="R974">
        <v>0</v>
      </c>
      <c r="S974">
        <v>0</v>
      </c>
      <c r="T974">
        <v>0</v>
      </c>
      <c r="U974">
        <v>0</v>
      </c>
      <c r="V974" t="s">
        <v>1030</v>
      </c>
      <c r="W974">
        <v>63864641</v>
      </c>
    </row>
    <row r="975" spans="1:23" x14ac:dyDescent="0.25">
      <c r="A975" t="s">
        <v>365</v>
      </c>
      <c r="B975" t="s">
        <v>1036</v>
      </c>
      <c r="C975" t="s">
        <v>1031</v>
      </c>
      <c r="D975">
        <v>1</v>
      </c>
      <c r="E975">
        <v>25275331</v>
      </c>
      <c r="F975">
        <v>6036880</v>
      </c>
      <c r="G975">
        <v>763576</v>
      </c>
      <c r="H975">
        <v>5270416</v>
      </c>
      <c r="I975">
        <v>0</v>
      </c>
      <c r="J975">
        <v>72.549793800000003</v>
      </c>
      <c r="K975">
        <v>76.760713699999997</v>
      </c>
      <c r="L975">
        <v>30.460299599999999</v>
      </c>
      <c r="M975">
        <v>43.305258700000003</v>
      </c>
      <c r="N975">
        <v>41.529769000000002</v>
      </c>
      <c r="O975">
        <v>0</v>
      </c>
      <c r="P975">
        <v>168.261</v>
      </c>
      <c r="Q975">
        <v>30.004000000000001</v>
      </c>
      <c r="R975">
        <v>0</v>
      </c>
      <c r="S975">
        <v>0</v>
      </c>
      <c r="T975">
        <v>0</v>
      </c>
      <c r="U975">
        <v>0</v>
      </c>
      <c r="V975" t="s">
        <v>1030</v>
      </c>
      <c r="W975">
        <v>63864641</v>
      </c>
    </row>
    <row r="976" spans="1:23" x14ac:dyDescent="0.25">
      <c r="A976" t="s">
        <v>365</v>
      </c>
      <c r="B976" t="s">
        <v>1036</v>
      </c>
      <c r="C976" t="s">
        <v>1031</v>
      </c>
      <c r="D976">
        <v>2</v>
      </c>
      <c r="E976">
        <v>25719563</v>
      </c>
      <c r="F976">
        <v>15384376</v>
      </c>
      <c r="G976">
        <v>3041408</v>
      </c>
      <c r="H976">
        <v>12340000</v>
      </c>
      <c r="I976">
        <v>0</v>
      </c>
      <c r="J976">
        <v>77.440397200000007</v>
      </c>
      <c r="K976">
        <v>80.989064600000006</v>
      </c>
      <c r="L976">
        <v>33.015403800000001</v>
      </c>
      <c r="M976">
        <v>46.050308999999999</v>
      </c>
      <c r="N976">
        <v>44.332681200000003</v>
      </c>
      <c r="O976">
        <v>0</v>
      </c>
      <c r="P976">
        <v>180.06100000000001</v>
      </c>
      <c r="Q976">
        <v>39.155000000000001</v>
      </c>
      <c r="R976">
        <v>0</v>
      </c>
      <c r="S976">
        <v>0</v>
      </c>
      <c r="T976">
        <v>0</v>
      </c>
      <c r="U976">
        <v>0</v>
      </c>
      <c r="V976" t="s">
        <v>1030</v>
      </c>
      <c r="W976">
        <v>63864641</v>
      </c>
    </row>
    <row r="977" spans="1:23" x14ac:dyDescent="0.25">
      <c r="A977" t="s">
        <v>365</v>
      </c>
      <c r="B977" t="s">
        <v>1036</v>
      </c>
      <c r="C977" t="s">
        <v>1031</v>
      </c>
      <c r="D977">
        <v>3</v>
      </c>
      <c r="E977">
        <v>28581019</v>
      </c>
      <c r="F977">
        <v>37087120</v>
      </c>
      <c r="G977">
        <v>10428032</v>
      </c>
      <c r="H977">
        <v>26656200</v>
      </c>
      <c r="I977">
        <v>0</v>
      </c>
      <c r="J977">
        <v>80.639510900000005</v>
      </c>
      <c r="K977">
        <v>84.087719800000002</v>
      </c>
      <c r="L977">
        <v>35.080041299999998</v>
      </c>
      <c r="M977">
        <v>48.326264600000002</v>
      </c>
      <c r="N977">
        <v>46.741924099999999</v>
      </c>
      <c r="O977">
        <v>0</v>
      </c>
      <c r="P977">
        <v>217.09</v>
      </c>
      <c r="Q977">
        <v>66.653000000000006</v>
      </c>
      <c r="R977">
        <v>0</v>
      </c>
      <c r="S977">
        <v>0</v>
      </c>
      <c r="T977">
        <v>0</v>
      </c>
      <c r="U977">
        <v>0</v>
      </c>
      <c r="V977" t="s">
        <v>1030</v>
      </c>
      <c r="W977">
        <v>63864641</v>
      </c>
    </row>
    <row r="978" spans="1:23" x14ac:dyDescent="0.25">
      <c r="A978" t="s">
        <v>1032</v>
      </c>
    </row>
    <row r="979" spans="1:23" x14ac:dyDescent="0.25">
      <c r="A979" t="s">
        <v>365</v>
      </c>
      <c r="B979" t="s">
        <v>1036</v>
      </c>
      <c r="C979" t="s">
        <v>1031</v>
      </c>
      <c r="D979">
        <v>5</v>
      </c>
      <c r="E979">
        <v>0</v>
      </c>
      <c r="F979" t="s">
        <v>1034</v>
      </c>
      <c r="G979" t="s">
        <v>1034</v>
      </c>
      <c r="H979" t="s">
        <v>1034</v>
      </c>
      <c r="I979" t="s">
        <v>1034</v>
      </c>
      <c r="J979" t="s">
        <v>1034</v>
      </c>
      <c r="K979" t="s">
        <v>1034</v>
      </c>
      <c r="L979" t="s">
        <v>1034</v>
      </c>
      <c r="M979" t="s">
        <v>1034</v>
      </c>
      <c r="N979" t="s">
        <v>1034</v>
      </c>
      <c r="O979" t="s">
        <v>1034</v>
      </c>
      <c r="P979" t="s">
        <v>1034</v>
      </c>
      <c r="Q979" t="s">
        <v>1034</v>
      </c>
      <c r="R979" t="s">
        <v>1034</v>
      </c>
      <c r="S979" t="s">
        <v>1034</v>
      </c>
      <c r="T979" t="s">
        <v>1034</v>
      </c>
      <c r="U979" t="s">
        <v>1034</v>
      </c>
      <c r="V979" t="s">
        <v>1034</v>
      </c>
      <c r="W979" t="s">
        <v>1035</v>
      </c>
    </row>
    <row r="980" spans="1:23" x14ac:dyDescent="0.25">
      <c r="A980" t="s">
        <v>368</v>
      </c>
      <c r="B980" t="s">
        <v>1036</v>
      </c>
      <c r="C980" t="s">
        <v>1031</v>
      </c>
      <c r="D980">
        <v>0</v>
      </c>
      <c r="E980">
        <v>955200</v>
      </c>
      <c r="F980">
        <v>190808</v>
      </c>
      <c r="G980">
        <v>6288</v>
      </c>
      <c r="H980">
        <v>183872</v>
      </c>
      <c r="I980">
        <v>0</v>
      </c>
      <c r="J980">
        <v>39.720366400000003</v>
      </c>
      <c r="K980">
        <v>44.512676200000001</v>
      </c>
      <c r="L980">
        <v>17.181286</v>
      </c>
      <c r="M980">
        <v>29.814761900000001</v>
      </c>
      <c r="N980">
        <v>28.675297400000002</v>
      </c>
      <c r="O980">
        <v>0</v>
      </c>
      <c r="P980">
        <v>8.048</v>
      </c>
      <c r="Q980">
        <v>1.179</v>
      </c>
      <c r="R980">
        <v>0</v>
      </c>
      <c r="S980">
        <v>0</v>
      </c>
      <c r="T980">
        <v>0</v>
      </c>
      <c r="U980">
        <v>0</v>
      </c>
      <c r="V980" t="s">
        <v>1030</v>
      </c>
      <c r="W980">
        <v>2000297</v>
      </c>
    </row>
    <row r="981" spans="1:23" x14ac:dyDescent="0.25">
      <c r="A981" t="s">
        <v>368</v>
      </c>
      <c r="B981" t="s">
        <v>1036</v>
      </c>
      <c r="C981" t="s">
        <v>1031</v>
      </c>
      <c r="D981">
        <v>1</v>
      </c>
      <c r="E981">
        <v>1774449</v>
      </c>
      <c r="F981">
        <v>907016</v>
      </c>
      <c r="G981">
        <v>21488</v>
      </c>
      <c r="H981">
        <v>884880</v>
      </c>
      <c r="I981">
        <v>0</v>
      </c>
      <c r="J981">
        <v>48.424760300000003</v>
      </c>
      <c r="K981">
        <v>49.708514200000003</v>
      </c>
      <c r="L981">
        <v>22.635419599999999</v>
      </c>
      <c r="M981">
        <v>35.112561900000003</v>
      </c>
      <c r="N981">
        <v>33.764039400000001</v>
      </c>
      <c r="O981">
        <v>0</v>
      </c>
      <c r="P981">
        <v>12.044</v>
      </c>
      <c r="Q981">
        <v>2.258</v>
      </c>
      <c r="R981">
        <v>0</v>
      </c>
      <c r="S981">
        <v>0</v>
      </c>
      <c r="T981">
        <v>0</v>
      </c>
      <c r="U981">
        <v>0</v>
      </c>
      <c r="V981" t="s">
        <v>1030</v>
      </c>
      <c r="W981">
        <v>2000297</v>
      </c>
    </row>
    <row r="982" spans="1:23" x14ac:dyDescent="0.25">
      <c r="A982" t="s">
        <v>368</v>
      </c>
      <c r="B982" t="s">
        <v>1036</v>
      </c>
      <c r="C982" t="s">
        <v>1031</v>
      </c>
      <c r="D982">
        <v>2</v>
      </c>
      <c r="E982">
        <v>2499328</v>
      </c>
      <c r="F982">
        <v>2711728</v>
      </c>
      <c r="G982">
        <v>76872</v>
      </c>
      <c r="H982">
        <v>2634208</v>
      </c>
      <c r="I982">
        <v>0</v>
      </c>
      <c r="J982">
        <v>60.237495699999997</v>
      </c>
      <c r="K982">
        <v>61.118178499999999</v>
      </c>
      <c r="L982">
        <v>27.766053299999999</v>
      </c>
      <c r="M982">
        <v>41.042280599999998</v>
      </c>
      <c r="N982">
        <v>39.891506100000001</v>
      </c>
      <c r="O982">
        <v>0</v>
      </c>
      <c r="P982">
        <v>18.428000000000001</v>
      </c>
      <c r="Q982">
        <v>3.2959999999999998</v>
      </c>
      <c r="R982">
        <v>0</v>
      </c>
      <c r="S982">
        <v>0</v>
      </c>
      <c r="T982">
        <v>0</v>
      </c>
      <c r="U982">
        <v>0</v>
      </c>
      <c r="V982" t="s">
        <v>1030</v>
      </c>
      <c r="W982">
        <v>2000297</v>
      </c>
    </row>
    <row r="983" spans="1:23" x14ac:dyDescent="0.25">
      <c r="A983" t="s">
        <v>368</v>
      </c>
      <c r="B983" t="s">
        <v>1036</v>
      </c>
      <c r="C983" t="s">
        <v>1031</v>
      </c>
      <c r="D983">
        <v>3</v>
      </c>
      <c r="E983">
        <v>2751317</v>
      </c>
      <c r="F983">
        <v>4559336</v>
      </c>
      <c r="G983">
        <v>257848</v>
      </c>
      <c r="H983">
        <v>4300760</v>
      </c>
      <c r="I983">
        <v>0</v>
      </c>
      <c r="J983">
        <v>64.718006000000003</v>
      </c>
      <c r="K983">
        <v>67.493249599999999</v>
      </c>
      <c r="L983">
        <v>29.011489999999998</v>
      </c>
      <c r="M983">
        <v>42.925303</v>
      </c>
      <c r="N983">
        <v>41.8690523</v>
      </c>
      <c r="O983">
        <v>0</v>
      </c>
      <c r="P983">
        <v>20.56</v>
      </c>
      <c r="Q983">
        <v>4.1180000000000003</v>
      </c>
      <c r="R983">
        <v>0</v>
      </c>
      <c r="S983">
        <v>0</v>
      </c>
      <c r="T983">
        <v>0</v>
      </c>
      <c r="U983">
        <v>0</v>
      </c>
      <c r="V983" t="s">
        <v>1030</v>
      </c>
      <c r="W983">
        <v>2000297</v>
      </c>
    </row>
    <row r="984" spans="1:23" x14ac:dyDescent="0.25">
      <c r="A984" t="s">
        <v>1032</v>
      </c>
    </row>
    <row r="985" spans="1:23" x14ac:dyDescent="0.25">
      <c r="A985" t="s">
        <v>368</v>
      </c>
      <c r="B985" t="s">
        <v>1036</v>
      </c>
      <c r="C985" t="s">
        <v>1031</v>
      </c>
      <c r="D985">
        <v>5</v>
      </c>
      <c r="E985">
        <v>0</v>
      </c>
      <c r="F985" t="s">
        <v>1034</v>
      </c>
      <c r="G985" t="s">
        <v>1034</v>
      </c>
      <c r="H985" t="s">
        <v>1034</v>
      </c>
      <c r="I985" t="s">
        <v>1034</v>
      </c>
      <c r="J985" t="s">
        <v>1034</v>
      </c>
      <c r="K985" t="s">
        <v>1034</v>
      </c>
      <c r="L985" t="s">
        <v>1034</v>
      </c>
      <c r="M985" t="s">
        <v>1034</v>
      </c>
      <c r="N985" t="s">
        <v>1034</v>
      </c>
      <c r="O985" t="s">
        <v>1034</v>
      </c>
      <c r="P985" t="s">
        <v>1034</v>
      </c>
      <c r="Q985" t="s">
        <v>1034</v>
      </c>
      <c r="R985" t="s">
        <v>1034</v>
      </c>
      <c r="S985" t="s">
        <v>1034</v>
      </c>
      <c r="T985" t="s">
        <v>1034</v>
      </c>
      <c r="U985" t="s">
        <v>1034</v>
      </c>
      <c r="V985" t="s">
        <v>1034</v>
      </c>
      <c r="W985" t="s">
        <v>1035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/>
  <cp:lastModifiedBy>kai yao</cp:lastModifiedBy>
  <dcterms:created xsi:type="dcterms:W3CDTF">2020-10-16T02:04:07Z</dcterms:created>
  <dcterms:modified xsi:type="dcterms:W3CDTF">2023-03-30T04:08:09Z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