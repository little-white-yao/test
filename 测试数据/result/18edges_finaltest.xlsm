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测试数据\result\"/>
    </mc:Choice>
  </mc:AlternateContent>
  <xr:revisionPtr revIDLastSave="0" documentId="13_ncr:1_{28291B1E-7F12-4C23-8DEA-3B3D99D9CD0B}" xr6:coauthVersionLast="47" xr6:coauthVersionMax="47" xr10:uidLastSave="{00000000-0000-0000-0000-000000000000}"/>
  <bookViews>
    <workbookView xWindow="-120" yWindow="-120" windowWidth="38640" windowHeight="21120" tabRatio="742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" l="1"/>
  <c r="AZ65" i="5"/>
  <c r="AZ107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/>
  <c r="AX329" i="5" a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AX131" i="5" a="1"/>
  <c r="AX131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AX59" i="5" a="1"/>
  <c r="AX59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AX5" i="5" a="1"/>
  <c r="AX5" i="5" s="1"/>
  <c r="AW5" i="5"/>
  <c r="AH5" i="5"/>
  <c r="AF5" i="5"/>
  <c r="AE5" i="5"/>
  <c r="AD5" i="5"/>
  <c r="AC5" i="5"/>
  <c r="N5" i="5"/>
  <c r="L5" i="5"/>
  <c r="K5" i="5"/>
  <c r="J5" i="5"/>
  <c r="I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BI71" i="5"/>
  <c r="AZ179" i="5"/>
  <c r="BA29" i="5"/>
  <c r="BG113" i="5"/>
  <c r="BJ119" i="5"/>
  <c r="AZ215" i="5"/>
  <c r="BI83" i="5"/>
  <c r="BA215" i="5"/>
  <c r="AZ203" i="5"/>
  <c r="BK11" i="5"/>
  <c r="BA155" i="5"/>
  <c r="BG95" i="5"/>
  <c r="BA257" i="5"/>
  <c r="BJ269" i="5"/>
  <c r="BH185" i="5"/>
  <c r="BH221" i="5"/>
  <c r="BK155" i="5"/>
  <c r="BA245" i="5"/>
  <c r="BB5" i="5"/>
  <c r="BG239" i="5"/>
  <c r="BJ125" i="5"/>
  <c r="BJ95" i="5"/>
  <c r="BI119" i="5"/>
  <c r="BK29" i="5"/>
  <c r="AZ17" i="5"/>
  <c r="BC83" i="5"/>
  <c r="BH191" i="5"/>
  <c r="BG101" i="5"/>
  <c r="AZ233" i="5"/>
  <c r="BI77" i="5"/>
  <c r="BI131" i="5"/>
  <c r="BC119" i="5"/>
  <c r="BA167" i="5"/>
  <c r="BC203" i="5"/>
  <c r="AZ161" i="5"/>
  <c r="BJ29" i="5"/>
  <c r="BK53" i="5"/>
  <c r="BC221" i="5"/>
  <c r="BB29" i="5"/>
  <c r="BJ149" i="5"/>
  <c r="BA149" i="5"/>
  <c r="BD17" i="5"/>
  <c r="AZ191" i="5"/>
  <c r="BH119" i="5"/>
  <c r="BJ257" i="5"/>
  <c r="BG23" i="5"/>
  <c r="BG221" i="5"/>
  <c r="BJ11" i="5"/>
  <c r="BB95" i="5"/>
  <c r="AZ95" i="5"/>
  <c r="BG203" i="5"/>
  <c r="BB203" i="5"/>
  <c r="BB113" i="5"/>
  <c r="BC101" i="5"/>
  <c r="BD11" i="5"/>
  <c r="BC233" i="5"/>
  <c r="BK65" i="5"/>
  <c r="AZ257" i="5"/>
  <c r="BI215" i="5"/>
  <c r="BJ191" i="5"/>
  <c r="BI41" i="5"/>
  <c r="BG197" i="5"/>
  <c r="BH227" i="5"/>
  <c r="BJ251" i="5"/>
  <c r="BB35" i="5"/>
  <c r="BD191" i="5"/>
  <c r="AZ11" i="5"/>
  <c r="BB239" i="5"/>
  <c r="AZ71" i="5"/>
  <c r="BA191" i="5"/>
  <c r="BJ233" i="5"/>
  <c r="BH53" i="5"/>
  <c r="BH41" i="5"/>
  <c r="BH23" i="5"/>
  <c r="BH131" i="5"/>
  <c r="BK89" i="5"/>
  <c r="BC59" i="5"/>
  <c r="BD161" i="5"/>
  <c r="BC149" i="5"/>
  <c r="BD269" i="5"/>
  <c r="BG59" i="5"/>
  <c r="BB143" i="5"/>
  <c r="AZ245" i="5"/>
  <c r="BC143" i="5"/>
  <c r="AZ59" i="5"/>
  <c r="BK71" i="5"/>
  <c r="BD23" i="5"/>
  <c r="BB137" i="5"/>
  <c r="BA221" i="5"/>
  <c r="BC173" i="5"/>
  <c r="AZ263" i="5"/>
  <c r="BD275" i="5"/>
  <c r="BI275" i="5"/>
  <c r="BK143" i="5"/>
  <c r="BC137" i="5"/>
  <c r="AZ35" i="5"/>
  <c r="BD53" i="5"/>
  <c r="BD155" i="5"/>
  <c r="BI197" i="5"/>
  <c r="BC245" i="5"/>
  <c r="AZ143" i="5"/>
  <c r="BC125" i="5"/>
  <c r="BD209" i="5"/>
  <c r="BG209" i="5"/>
  <c r="BB155" i="5"/>
  <c r="BK125" i="5"/>
  <c r="BI101" i="5"/>
  <c r="BK209" i="5"/>
  <c r="BJ83" i="5"/>
  <c r="BJ77" i="5"/>
  <c r="BA47" i="5"/>
  <c r="BB245" i="5"/>
  <c r="BI125" i="5"/>
  <c r="BD29" i="5"/>
  <c r="AZ131" i="5"/>
  <c r="BD233" i="5"/>
  <c r="BG155" i="5"/>
  <c r="BG227" i="5"/>
  <c r="BH233" i="5"/>
  <c r="BC155" i="5"/>
  <c r="BJ23" i="5"/>
  <c r="BG161" i="5"/>
  <c r="BD5" i="5"/>
  <c r="BK101" i="5"/>
  <c r="BJ203" i="5"/>
  <c r="BD257" i="5"/>
  <c r="BB107" i="5"/>
  <c r="BD203" i="5"/>
  <c r="AZ137" i="5"/>
  <c r="BD83" i="5"/>
  <c r="BC239" i="5"/>
  <c r="BJ101" i="5"/>
  <c r="BK245" i="5"/>
  <c r="BH95" i="5"/>
  <c r="AZ269" i="5"/>
  <c r="BA107" i="5"/>
  <c r="AZ275" i="5"/>
  <c r="AZ185" i="5"/>
  <c r="BI227" i="5"/>
  <c r="BH107" i="5"/>
  <c r="BK17" i="5"/>
  <c r="BH239" i="5"/>
  <c r="BH83" i="5"/>
  <c r="BC65" i="5"/>
  <c r="BD47" i="5"/>
  <c r="BD107" i="5"/>
  <c r="BC89" i="5"/>
  <c r="BG131" i="5"/>
  <c r="BK137" i="5"/>
  <c r="BA113" i="5"/>
  <c r="BH47" i="5"/>
  <c r="BA53" i="5"/>
  <c r="BI59" i="5"/>
  <c r="AZ221" i="5"/>
  <c r="BB275" i="5"/>
  <c r="BA95" i="5"/>
  <c r="BG47" i="5"/>
  <c r="BA89" i="5"/>
  <c r="BG77" i="5"/>
  <c r="BC35" i="5"/>
  <c r="BK5" i="5"/>
  <c r="BB233" i="5"/>
  <c r="BG83" i="5"/>
  <c r="BG11" i="5"/>
  <c r="BH89" i="5"/>
  <c r="BG65" i="5"/>
  <c r="AZ155" i="5"/>
  <c r="BJ41" i="5"/>
  <c r="AZ119" i="5"/>
  <c r="BA59" i="5"/>
  <c r="BB89" i="5"/>
  <c r="BH245" i="5"/>
  <c r="BJ65" i="5"/>
  <c r="BA275" i="5"/>
  <c r="BK197" i="5"/>
  <c r="BI29" i="5"/>
  <c r="BD41" i="5"/>
  <c r="BB47" i="5"/>
  <c r="BI35" i="5"/>
  <c r="BK239" i="5"/>
  <c r="BB185" i="5"/>
  <c r="AZ173" i="5"/>
  <c r="BH101" i="5"/>
  <c r="BA41" i="5"/>
  <c r="BG269" i="5"/>
  <c r="AZ41" i="5"/>
  <c r="BI47" i="5"/>
  <c r="BD89" i="5"/>
  <c r="BJ47" i="5"/>
  <c r="BG191" i="5"/>
  <c r="BJ17" i="5"/>
  <c r="BH149" i="5"/>
  <c r="BD149" i="5"/>
  <c r="BA83" i="5"/>
  <c r="BH161" i="5"/>
  <c r="BA23" i="5"/>
  <c r="BK131" i="5"/>
  <c r="BD59" i="5"/>
  <c r="BA17" i="5"/>
  <c r="BB23" i="5"/>
  <c r="BK179" i="5"/>
  <c r="BA239" i="5"/>
  <c r="BB119" i="5"/>
  <c r="BD239" i="5"/>
  <c r="BB125" i="5"/>
  <c r="BA179" i="5"/>
  <c r="BJ59" i="5"/>
  <c r="AZ113" i="5"/>
  <c r="BI11" i="5"/>
  <c r="BJ71" i="5"/>
  <c r="BC269" i="5"/>
  <c r="BD221" i="5"/>
  <c r="BI95" i="5"/>
  <c r="BG173" i="5"/>
  <c r="BJ263" i="5"/>
  <c r="BK191" i="5"/>
  <c r="BH197" i="5"/>
  <c r="BC71" i="5"/>
  <c r="BA65" i="5"/>
  <c r="BH143" i="5"/>
  <c r="BI257" i="5"/>
  <c r="BH77" i="5"/>
  <c r="BG71" i="5"/>
  <c r="BK173" i="5"/>
  <c r="BB257" i="5"/>
  <c r="BI173" i="5"/>
  <c r="BH17" i="5"/>
  <c r="BB83" i="5"/>
  <c r="BC167" i="5"/>
  <c r="BB41" i="5"/>
  <c r="BC179" i="5"/>
  <c r="AZ47" i="5"/>
  <c r="BD77" i="5"/>
  <c r="BH59" i="5"/>
  <c r="BI203" i="5"/>
  <c r="BA263" i="5"/>
  <c r="BI251" i="5"/>
  <c r="BB161" i="5"/>
  <c r="BD251" i="5"/>
  <c r="BI5" i="5"/>
  <c r="BI167" i="5"/>
  <c r="BD137" i="5"/>
  <c r="BG275" i="5"/>
  <c r="BA125" i="5"/>
  <c r="BH65" i="5"/>
  <c r="BI245" i="5"/>
  <c r="AZ197" i="5"/>
  <c r="BG245" i="5"/>
  <c r="AZ89" i="5"/>
  <c r="BG185" i="5"/>
  <c r="BI233" i="5"/>
  <c r="BA173" i="5"/>
  <c r="BK227" i="5"/>
  <c r="BH257" i="5"/>
  <c r="BG125" i="5"/>
  <c r="AZ125" i="5"/>
  <c r="BA119" i="5"/>
  <c r="BA185" i="5"/>
  <c r="AZ53" i="5"/>
  <c r="BI221" i="5"/>
  <c r="BJ245" i="5"/>
  <c r="BD179" i="5"/>
  <c r="BJ161" i="5"/>
  <c r="BB191" i="5"/>
  <c r="BG17" i="5"/>
  <c r="BC5" i="5"/>
  <c r="BB209" i="5"/>
  <c r="BG215" i="5"/>
  <c r="BH11" i="5"/>
  <c r="BB77" i="5"/>
  <c r="BG257" i="5"/>
  <c r="BK263" i="5"/>
  <c r="BK275" i="5"/>
  <c r="BD113" i="5"/>
  <c r="AZ239" i="5"/>
  <c r="BK83" i="5"/>
  <c r="BK215" i="5"/>
  <c r="BB71" i="5"/>
  <c r="BG251" i="5"/>
  <c r="BD95" i="5"/>
  <c r="BK77" i="5"/>
  <c r="BH209" i="5"/>
  <c r="BA5" i="5"/>
  <c r="BC29" i="5"/>
  <c r="BC47" i="5"/>
  <c r="BA131" i="5"/>
  <c r="BG107" i="5"/>
  <c r="BK167" i="5"/>
  <c r="BJ35" i="5"/>
  <c r="BH155" i="5"/>
  <c r="BJ197" i="5"/>
  <c r="AZ251" i="5"/>
  <c r="BI137" i="5"/>
  <c r="AZ77" i="5"/>
  <c r="BK221" i="5"/>
  <c r="BB221" i="5"/>
  <c r="AZ149" i="5"/>
  <c r="BC251" i="5"/>
  <c r="BH269" i="5"/>
  <c r="BC95" i="5"/>
  <c r="BA251" i="5"/>
  <c r="BI17" i="5"/>
  <c r="BI179" i="5"/>
  <c r="BJ179" i="5"/>
  <c r="BA77" i="5"/>
  <c r="BK95" i="5"/>
  <c r="BH167" i="5"/>
  <c r="BD167" i="5"/>
  <c r="BB251" i="5"/>
  <c r="BB59" i="5"/>
  <c r="BD101" i="5"/>
  <c r="BC191" i="5"/>
  <c r="BG137" i="5"/>
  <c r="BJ227" i="5"/>
  <c r="BG89" i="5"/>
  <c r="BK257" i="5"/>
  <c r="AZ209" i="5"/>
  <c r="BI161" i="5"/>
  <c r="BB215" i="5"/>
  <c r="BK119" i="5"/>
  <c r="BD119" i="5"/>
  <c r="BA71" i="5"/>
  <c r="BA11" i="5"/>
  <c r="BJ209" i="5"/>
  <c r="BG41" i="5"/>
  <c r="BC11" i="5"/>
  <c r="BG29" i="5"/>
  <c r="BG149" i="5"/>
  <c r="BC197" i="5"/>
  <c r="BK233" i="5"/>
  <c r="BC131" i="5"/>
  <c r="AZ29" i="5"/>
  <c r="BA137" i="5"/>
  <c r="BK107" i="5"/>
  <c r="BC209" i="5"/>
  <c r="BD125" i="5"/>
  <c r="BJ185" i="5"/>
  <c r="BK161" i="5"/>
  <c r="BA197" i="5"/>
  <c r="BG119" i="5"/>
  <c r="BB167" i="5"/>
  <c r="BG167" i="5"/>
  <c r="BH203" i="5"/>
  <c r="BJ221" i="5"/>
  <c r="BD173" i="5"/>
  <c r="AZ5" i="5"/>
  <c r="BI89" i="5"/>
  <c r="BD245" i="5"/>
  <c r="BI269" i="5"/>
  <c r="BH35" i="5"/>
  <c r="BI113" i="5"/>
  <c r="BK185" i="5"/>
  <c r="BJ143" i="5"/>
  <c r="BB173" i="5"/>
  <c r="BC41" i="5"/>
  <c r="BC17" i="5"/>
  <c r="BD65" i="5"/>
  <c r="BJ107" i="5"/>
  <c r="BB101" i="5"/>
  <c r="BA161" i="5"/>
  <c r="BD35" i="5"/>
  <c r="BC263" i="5"/>
  <c r="BC257" i="5"/>
  <c r="BC215" i="5"/>
  <c r="BJ89" i="5"/>
  <c r="BB263" i="5"/>
  <c r="BJ5" i="5"/>
  <c r="BI149" i="5"/>
  <c r="BB65" i="5"/>
  <c r="BB17" i="5"/>
  <c r="BJ173" i="5"/>
  <c r="BG53" i="5"/>
  <c r="BD263" i="5"/>
  <c r="BD71" i="5"/>
  <c r="BK35" i="5"/>
  <c r="BB179" i="5"/>
  <c r="BH137" i="5"/>
  <c r="BD131" i="5"/>
  <c r="BJ137" i="5"/>
  <c r="BK251" i="5"/>
  <c r="BK59" i="5"/>
  <c r="BJ167" i="5"/>
  <c r="BA269" i="5"/>
  <c r="AZ227" i="5"/>
  <c r="BC227" i="5"/>
  <c r="BG179" i="5"/>
  <c r="BJ113" i="5"/>
  <c r="BB11" i="5"/>
  <c r="BG143" i="5"/>
  <c r="BH251" i="5"/>
  <c r="BJ155" i="5"/>
  <c r="BA35" i="5"/>
  <c r="BK149" i="5"/>
  <c r="BK47" i="5"/>
  <c r="BH173" i="5"/>
  <c r="BH275" i="5"/>
  <c r="BG233" i="5"/>
  <c r="BG5" i="5"/>
  <c r="BC107" i="5"/>
  <c r="AZ101" i="5"/>
  <c r="BC275" i="5"/>
  <c r="AZ167" i="5"/>
  <c r="BI23" i="5"/>
  <c r="BB149" i="5"/>
  <c r="BI155" i="5"/>
  <c r="BK41" i="5"/>
  <c r="BC161" i="5"/>
  <c r="BH5" i="5"/>
  <c r="BK113" i="5"/>
  <c r="BJ53" i="5"/>
  <c r="BI143" i="5"/>
  <c r="BI191" i="5"/>
  <c r="BH113" i="5"/>
  <c r="BI53" i="5"/>
  <c r="BC77" i="5"/>
  <c r="BG263" i="5"/>
  <c r="BB269" i="5"/>
  <c r="BA227" i="5"/>
  <c r="BA101" i="5"/>
  <c r="BB197" i="5"/>
  <c r="BJ275" i="5"/>
  <c r="BK23" i="5"/>
  <c r="BK269" i="5"/>
  <c r="BD227" i="5"/>
  <c r="BB227" i="5"/>
  <c r="BC185" i="5"/>
  <c r="BJ131" i="5"/>
  <c r="BH71" i="5"/>
  <c r="BC53" i="5"/>
  <c r="BK203" i="5"/>
  <c r="BB53" i="5"/>
  <c r="BA143" i="5"/>
  <c r="BI185" i="5"/>
  <c r="BA203" i="5"/>
  <c r="AZ83" i="5"/>
  <c r="BC113" i="5"/>
  <c r="AZ23" i="5"/>
  <c r="BB131" i="5"/>
  <c r="BH215" i="5"/>
  <c r="BD143" i="5"/>
  <c r="BJ239" i="5"/>
  <c r="BI263" i="5"/>
  <c r="BD215" i="5"/>
  <c r="BD197" i="5"/>
  <c r="BA233" i="5"/>
  <c r="BG35" i="5"/>
  <c r="BC23" i="5"/>
  <c r="BH125" i="5"/>
  <c r="BI239" i="5"/>
  <c r="BI107" i="5"/>
  <c r="BI209" i="5"/>
  <c r="BJ215" i="5"/>
  <c r="BD185" i="5"/>
  <c r="BA209" i="5"/>
  <c r="BI65" i="5"/>
  <c r="BH179" i="5"/>
  <c r="BH29" i="5"/>
  <c r="BH263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23" i="1" l="1"/>
  <c r="F26" i="1"/>
  <c r="F24" i="1"/>
  <c r="F25" i="1"/>
  <c r="F44" i="1"/>
  <c r="E44" i="1"/>
  <c r="C44" i="1"/>
</calcChain>
</file>

<file path=xl/sharedStrings.xml><?xml version="1.0" encoding="utf-8"?>
<sst xmlns="http://schemas.openxmlformats.org/spreadsheetml/2006/main" count="7103" uniqueCount="1048">
  <si>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</si>
  <si>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</si>
  <si>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</si>
  <si>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</si>
  <si>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</si>
  <si>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</si>
  <si>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</si>
  <si>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</si>
  <si>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</si>
  <si>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</si>
  <si>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</si>
  <si>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</si>
  <si>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</si>
  <si>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</si>
  <si>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</si>
  <si>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</si>
  <si>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</si>
  <si>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</si>
  <si>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</si>
  <si>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</si>
  <si>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</si>
  <si>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</si>
  <si>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</si>
  <si>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</si>
  <si>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</si>
  <si>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</si>
  <si>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</si>
  <si>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</si>
  <si>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</si>
  <si>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</si>
  <si>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</si>
  <si>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</si>
  <si>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</si>
  <si>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</si>
  <si>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</si>
  <si>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</si>
  <si>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</si>
  <si>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</si>
  <si>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</si>
  <si>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</si>
  <si>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</si>
  <si>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</si>
  <si>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</si>
  <si>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</si>
  <si>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</si>
  <si>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</si>
  <si>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</si>
  <si>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</si>
  <si>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</si>
  <si>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</si>
  <si>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</si>
  <si>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</si>
  <si>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</si>
  <si>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</si>
  <si>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</si>
  <si>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</si>
  <si>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</si>
  <si>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</si>
  <si>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</si>
  <si>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</si>
  <si>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</si>
  <si>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</si>
  <si>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</si>
  <si>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</si>
  <si>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</si>
  <si>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</si>
  <si>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</si>
  <si>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</si>
  <si>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</si>
  <si>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</si>
  <si>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</si>
  <si>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</si>
  <si>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</si>
  <si>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</si>
  <si>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</si>
  <si>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</si>
  <si>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</si>
  <si>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</si>
  <si>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</si>
  <si>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</si>
  <si>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</si>
  <si>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</si>
  <si>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</si>
  <si>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</si>
  <si>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</si>
  <si>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</si>
  <si>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</si>
  <si>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</si>
  <si>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</si>
  <si>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</si>
  <si>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</si>
  <si>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</si>
  <si>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</si>
  <si>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</si>
  <si>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</si>
  <si>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</si>
  <si>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</si>
  <si>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</si>
  <si>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</si>
  <si>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</si>
  <si>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</si>
  <si>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</si>
  <si>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</si>
  <si>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</si>
  <si>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</si>
  <si>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</si>
  <si>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</si>
  <si>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</si>
  <si>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</si>
  <si>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</si>
  <si>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</si>
  <si>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</si>
  <si>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</si>
  <si>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</si>
  <si>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</si>
  <si>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</si>
  <si>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</si>
  <si>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</si>
  <si>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</si>
  <si>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</si>
  <si>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</si>
  <si>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</si>
  <si>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</si>
  <si>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</si>
  <si>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</si>
  <si>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</si>
  <si>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</si>
  <si>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</si>
  <si>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</si>
  <si>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</si>
  <si>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</si>
  <si>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</si>
  <si>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</si>
  <si>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</si>
  <si>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</si>
  <si>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</si>
  <si>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</si>
  <si>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</si>
  <si>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</si>
  <si>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</si>
  <si>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</si>
  <si>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</si>
  <si>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</si>
  <si>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</si>
  <si>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</si>
  <si>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</si>
  <si>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</si>
  <si>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</si>
  <si>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</si>
  <si>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</si>
  <si>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</si>
  <si>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</si>
  <si>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</si>
  <si>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</si>
  <si>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</si>
  <si>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</si>
  <si>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</si>
  <si>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</si>
  <si>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</si>
  <si>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</si>
  <si>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</si>
  <si>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</si>
  <si>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</si>
  <si>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</si>
  <si>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</si>
  <si>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</si>
  <si>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</si>
  <si>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</si>
  <si>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</si>
  <si>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</si>
  <si>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</si>
  <si>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</si>
  <si>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</si>
  <si>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</si>
  <si>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</si>
  <si>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</si>
  <si>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</si>
  <si>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</si>
  <si>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</si>
  <si>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</si>
  <si>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</si>
  <si>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</si>
  <si>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</si>
  <si>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</si>
  <si>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</si>
  <si>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</si>
  <si>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</si>
  <si>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</si>
  <si>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</si>
  <si>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</si>
  <si>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</si>
  <si>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</si>
  <si>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</si>
  <si>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</si>
  <si>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</si>
  <si>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</si>
  <si>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</si>
  <si>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</si>
  <si>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</si>
  <si>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</si>
  <si>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</si>
  <si>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</si>
  <si>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</si>
  <si>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</si>
  <si>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</si>
  <si>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</si>
  <si>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</si>
  <si>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</si>
  <si>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</si>
  <si>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</si>
  <si>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</si>
  <si>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</si>
  <si>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</si>
  <si>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</si>
  <si>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</si>
  <si>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</si>
  <si>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</si>
  <si>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</si>
  <si>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</si>
  <si>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</si>
  <si>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</si>
  <si>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</si>
  <si>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</si>
  <si>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</si>
  <si>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</si>
  <si>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</si>
  <si>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</si>
  <si>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</si>
  <si>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</si>
  <si>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</si>
  <si>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</si>
  <si>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</si>
  <si>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</si>
  <si>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</si>
  <si>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</si>
  <si>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</si>
  <si>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</si>
  <si>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</si>
  <si>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</si>
  <si>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</si>
  <si>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</si>
  <si>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</si>
  <si>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</si>
  <si>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</si>
  <si>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</si>
  <si>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</si>
  <si>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</si>
  <si>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</si>
  <si>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</si>
  <si>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</si>
  <si>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</si>
  <si>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</si>
  <si>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</si>
  <si>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</si>
  <si>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</si>
  <si>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</si>
  <si>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</si>
  <si>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</si>
  <si>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</si>
  <si>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</si>
  <si>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</si>
  <si>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</si>
  <si>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</si>
  <si>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</si>
  <si>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</si>
  <si>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</si>
  <si>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</si>
  <si>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</si>
  <si>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</si>
  <si>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</si>
  <si>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</si>
  <si>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</si>
  <si>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</si>
  <si>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</si>
  <si>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</si>
  <si>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</si>
  <si>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</si>
  <si>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</si>
  <si>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</si>
  <si>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</si>
  <si>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</si>
  <si>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</si>
  <si>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</si>
  <si>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</si>
  <si>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</si>
  <si>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</si>
  <si>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</si>
  <si>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</si>
  <si>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</si>
  <si>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</si>
  <si>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</si>
  <si>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</si>
  <si>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</si>
  <si>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</si>
  <si>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</si>
  <si>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</si>
  <si>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</si>
  <si>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</si>
  <si>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</si>
  <si>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</si>
  <si>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</si>
  <si>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</si>
  <si>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</si>
  <si>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</si>
  <si>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</si>
  <si>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</si>
  <si>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</si>
  <si>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</si>
  <si>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</si>
  <si>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</si>
  <si>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</si>
  <si>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</si>
  <si>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</si>
  <si>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</si>
  <si>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</si>
  <si>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</si>
  <si>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</si>
  <si>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</si>
  <si>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</si>
  <si>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</si>
  <si>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</si>
  <si>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</si>
  <si>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</si>
  <si>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</si>
  <si>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</si>
  <si>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</si>
  <si>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</si>
  <si>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</si>
  <si>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</si>
  <si>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</si>
  <si>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</si>
  <si>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</si>
  <si>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</si>
  <si>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</si>
  <si>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</si>
  <si>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</si>
  <si>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</si>
  <si>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</si>
  <si>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</si>
  <si>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</si>
  <si>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</si>
  <si>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</si>
  <si>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</si>
  <si>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</si>
  <si>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</si>
  <si>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</si>
  <si>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</si>
  <si>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</si>
  <si>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</si>
  <si>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</si>
  <si>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</si>
  <si>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</si>
  <si>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</si>
  <si>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</si>
  <si>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</si>
  <si>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</si>
  <si>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</si>
  <si>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</si>
  <si>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</si>
  <si>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</si>
  <si>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</si>
  <si>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</si>
  <si>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</si>
  <si>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</si>
  <si>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</si>
  <si>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</si>
  <si>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</si>
  <si>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</si>
  <si>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</si>
  <si>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</si>
  <si>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</si>
  <si>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</si>
  <si>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</si>
  <si>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</si>
  <si>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</si>
  <si>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</si>
  <si>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</si>
  <si>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</si>
  <si>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</si>
  <si>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</si>
  <si>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</si>
  <si>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</si>
  <si>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</si>
  <si>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</si>
  <si>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</si>
  <si>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</si>
  <si>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</si>
  <si>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</si>
  <si>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</si>
  <si>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</si>
  <si>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</si>
  <si>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</si>
  <si>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</si>
  <si>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</si>
  <si>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</si>
  <si>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</si>
  <si>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</si>
  <si>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</si>
  <si>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</si>
  <si>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</si>
  <si>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</si>
  <si>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</si>
  <si>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</si>
  <si>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</si>
  <si>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</si>
  <si>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</si>
  <si>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</si>
  <si>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</si>
  <si>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</si>
  <si>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</si>
  <si>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</si>
  <si>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</si>
  <si>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</si>
  <si>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</si>
  <si>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</si>
  <si>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</si>
  <si>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</si>
  <si>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</si>
  <si>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</si>
  <si>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</si>
  <si>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</si>
  <si>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</si>
  <si>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</si>
  <si>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</si>
  <si>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</si>
  <si>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</si>
  <si>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</si>
  <si>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</si>
  <si>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</si>
  <si>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</si>
  <si>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</si>
  <si>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</si>
  <si>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</si>
  <si>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</si>
  <si>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</si>
  <si>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</si>
  <si>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</si>
  <si>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</si>
  <si>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</si>
  <si>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</si>
  <si>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</si>
  <si>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</si>
  <si>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</si>
  <si>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</si>
  <si>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</si>
  <si>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</si>
  <si>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</si>
  <si>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</si>
  <si>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</si>
  <si>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</si>
  <si>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</si>
  <si>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</si>
  <si>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</si>
  <si>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</si>
  <si>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</si>
  <si>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</si>
  <si>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</si>
  <si>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</si>
  <si>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</si>
  <si>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</si>
  <si>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</si>
  <si>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</si>
  <si>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</si>
  <si>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</si>
  <si>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</si>
  <si>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</si>
  <si>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</si>
  <si>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</si>
  <si>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</si>
  <si>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</si>
  <si>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</si>
  <si>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</si>
  <si>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</si>
  <si>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</si>
  <si>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</si>
  <si>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</si>
  <si>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</si>
  <si>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</si>
  <si>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</si>
  <si>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</si>
  <si>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</si>
  <si>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</si>
  <si>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</si>
  <si>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</si>
  <si>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</si>
  <si>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</si>
  <si>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</si>
  <si>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</si>
  <si>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</si>
  <si>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</si>
  <si>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</si>
  <si>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</si>
  <si>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</si>
  <si>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</si>
  <si>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</si>
  <si>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</si>
  <si>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</si>
  <si>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</si>
  <si>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</si>
  <si>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</si>
  <si>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</si>
  <si>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</si>
  <si>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</si>
  <si>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</si>
  <si>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</si>
  <si>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</si>
  <si>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</si>
  <si>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</si>
  <si>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</si>
  <si>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</si>
  <si>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</si>
  <si>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</si>
  <si>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</si>
  <si>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</si>
  <si>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</si>
  <si>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</si>
  <si>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</si>
  <si>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</si>
  <si>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</si>
  <si>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</si>
  <si>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</si>
  <si>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</si>
  <si>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</si>
  <si>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</si>
  <si>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</si>
  <si>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</si>
  <si>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</si>
  <si>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</si>
  <si>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</si>
  <si>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</si>
  <si>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</si>
  <si>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</si>
  <si>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</si>
  <si>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</si>
  <si>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</si>
  <si>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</si>
  <si>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</si>
  <si>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</si>
  <si>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</si>
  <si>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</si>
  <si>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</si>
  <si>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</si>
  <si>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</si>
  <si>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</si>
  <si>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</si>
  <si>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</si>
  <si>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</si>
  <si>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</si>
  <si>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</si>
  <si>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</si>
  <si>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</si>
  <si>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</si>
  <si>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</si>
  <si>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</si>
  <si>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</si>
  <si>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</si>
  <si>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</si>
  <si>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</si>
  <si>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</si>
  <si>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</si>
  <si>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</si>
  <si>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</si>
  <si>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</si>
  <si>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</si>
  <si>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</si>
  <si>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</si>
  <si>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</si>
  <si>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</si>
  <si>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</si>
  <si>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</si>
  <si>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</si>
  <si>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</si>
  <si>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</si>
  <si>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</si>
  <si>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</si>
  <si>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</si>
  <si>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</si>
  <si>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</si>
  <si>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</si>
  <si>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</si>
  <si>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</si>
  <si>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</si>
  <si>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</si>
  <si>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</si>
  <si>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</si>
  <si>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</si>
  <si>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</si>
  <si>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</si>
  <si>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</si>
  <si>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</si>
  <si>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</si>
  <si>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</si>
  <si>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</si>
  <si>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</si>
  <si>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</si>
  <si>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</si>
  <si>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</si>
  <si>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</si>
  <si>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</si>
  <si>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</si>
  <si>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</si>
  <si>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</si>
  <si>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</si>
  <si>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</si>
  <si>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</si>
  <si>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</si>
  <si>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</si>
  <si>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</si>
  <si>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</si>
  <si>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</si>
  <si>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</si>
  <si>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</si>
  <si>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</si>
  <si>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</si>
  <si>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</si>
  <si>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</si>
  <si>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</si>
  <si>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</si>
  <si>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</si>
  <si>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</si>
  <si>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</si>
  <si>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</si>
  <si>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</si>
  <si>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</si>
  <si>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</si>
  <si>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</si>
  <si>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</si>
  <si>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</si>
  <si>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</si>
  <si>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</si>
  <si>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</si>
  <si>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</si>
  <si>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</si>
  <si>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</si>
  <si>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</si>
  <si>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</si>
  <si>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</si>
  <si>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</si>
  <si>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</si>
  <si>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</si>
  <si>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</si>
  <si>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</si>
  <si>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</si>
  <si>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</si>
  <si>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</si>
  <si>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</si>
  <si>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</si>
  <si>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</si>
  <si>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</si>
  <si>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</si>
  <si>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</si>
  <si>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</si>
  <si>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</si>
  <si>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</si>
  <si>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</si>
  <si>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</si>
  <si>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</si>
  <si>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</si>
  <si>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</si>
  <si>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</si>
  <si>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</si>
  <si>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</si>
  <si>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</si>
  <si>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</si>
  <si>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</si>
  <si>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</si>
  <si>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</si>
  <si>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</si>
  <si>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</si>
  <si>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</si>
  <si>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</si>
  <si>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</si>
  <si>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</si>
  <si>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</si>
  <si>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</si>
  <si>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</si>
  <si>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</si>
  <si>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</si>
  <si>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</si>
  <si>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</si>
  <si>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</si>
  <si>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</si>
  <si>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</si>
  <si>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</si>
  <si>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</si>
  <si>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</si>
  <si>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</si>
  <si>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</si>
  <si>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</si>
  <si>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</si>
  <si>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</si>
  <si>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</si>
  <si>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</si>
  <si>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</si>
  <si>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</si>
  <si>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</si>
  <si>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</si>
  <si>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</si>
  <si>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</si>
  <si>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</si>
  <si>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</si>
  <si>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</si>
  <si>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</si>
  <si>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</si>
  <si>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</si>
  <si>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</si>
  <si>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</si>
  <si>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</si>
  <si>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</si>
  <si>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</si>
  <si>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</si>
  <si>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</si>
  <si>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</si>
  <si>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</si>
  <si>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</si>
  <si>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</si>
  <si>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</si>
  <si>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</si>
  <si>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</si>
  <si>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</si>
  <si>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</si>
  <si>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</si>
  <si>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</si>
  <si>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</si>
  <si>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</si>
  <si>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</si>
  <si>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</si>
  <si>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</si>
  <si>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</si>
  <si>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</si>
  <si>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</si>
  <si>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</si>
  <si>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</si>
  <si>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</si>
  <si>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</si>
  <si>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</si>
  <si>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</si>
  <si>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</si>
  <si>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</si>
  <si>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</si>
  <si>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</si>
  <si>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</si>
  <si>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</si>
  <si>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</si>
  <si>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</si>
  <si>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</si>
  <si>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</si>
  <si>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</si>
  <si>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</si>
  <si>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</si>
  <si>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</si>
  <si>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</si>
  <si>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</si>
  <si>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</si>
  <si>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</si>
  <si>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</si>
  <si>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</si>
  <si>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</si>
  <si>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</si>
  <si>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</si>
  <si>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</si>
  <si>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</si>
  <si>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</si>
  <si>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</si>
  <si>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</si>
  <si>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</si>
  <si>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</si>
  <si>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</si>
  <si>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</si>
  <si>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</si>
  <si>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</si>
  <si>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</si>
  <si>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</si>
  <si>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</si>
  <si>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</si>
  <si>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</si>
  <si>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</si>
  <si>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</si>
  <si>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</si>
  <si>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</si>
  <si>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</si>
  <si>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</si>
  <si>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</si>
  <si>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</si>
  <si>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</si>
  <si>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</si>
  <si>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</si>
  <si>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</si>
  <si>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</si>
  <si>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</si>
  <si>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</si>
  <si>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</si>
  <si>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</si>
  <si>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</si>
  <si>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</si>
  <si>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</si>
  <si>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</si>
  <si>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</si>
  <si>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</si>
  <si>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</si>
  <si>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</si>
  <si>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</si>
  <si>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</si>
  <si>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</si>
  <si>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</si>
  <si>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</si>
  <si>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</si>
  <si>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</si>
  <si>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</si>
  <si>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</si>
  <si>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</si>
  <si>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</si>
  <si>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</si>
  <si>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</si>
  <si>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</si>
  <si>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</si>
  <si>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</si>
  <si>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</si>
  <si>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</si>
  <si>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</si>
  <si>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</si>
  <si>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</si>
  <si>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</si>
  <si>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</si>
  <si>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</si>
  <si>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</si>
  <si>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</si>
  <si>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</si>
  <si>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</si>
  <si>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</si>
  <si>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</si>
  <si>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</si>
  <si>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</si>
  <si>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</si>
  <si>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</si>
  <si>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</si>
  <si>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</si>
  <si>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</si>
  <si>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</si>
  <si>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</si>
  <si>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</si>
  <si>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</si>
  <si>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</si>
  <si>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</si>
  <si>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</si>
  <si>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</si>
  <si>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</si>
  <si>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</si>
  <si>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</si>
  <si>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</si>
  <si>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</si>
  <si>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</si>
  <si>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</si>
  <si>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</si>
  <si>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</si>
  <si>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</si>
  <si>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</si>
  <si>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</si>
  <si>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</si>
  <si>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</si>
  <si>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</si>
  <si>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</si>
  <si>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</si>
  <si>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</si>
  <si>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</si>
  <si>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</si>
  <si>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</si>
  <si>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</si>
  <si>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</si>
  <si>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</si>
  <si>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</si>
  <si>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</si>
  <si>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</si>
  <si>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</si>
  <si>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</si>
  <si>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</si>
  <si>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</si>
  <si>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</si>
  <si>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</si>
  <si>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</si>
  <si>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</si>
  <si>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</si>
  <si>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</si>
  <si>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</si>
  <si>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</si>
  <si>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</si>
  <si>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</si>
  <si>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</si>
  <si>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</si>
  <si>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</si>
  <si>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</si>
  <si>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</si>
  <si>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</si>
  <si>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</si>
  <si>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</si>
  <si>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</si>
  <si>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</si>
  <si>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</si>
  <si>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</si>
  <si>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</si>
  <si>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</si>
  <si>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</si>
  <si>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</si>
  <si>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</si>
  <si>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</si>
  <si>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</si>
  <si>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</si>
  <si>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</si>
  <si>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</si>
  <si>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</si>
  <si>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</si>
  <si>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</si>
  <si>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</si>
  <si>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</si>
  <si>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</si>
  <si>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</si>
  <si>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</si>
  <si>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</si>
  <si>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</si>
  <si>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</si>
  <si>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</si>
  <si>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</si>
  <si>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</si>
  <si>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</si>
  <si>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</si>
  <si>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</si>
  <si>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</si>
  <si>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</si>
  <si>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</si>
  <si>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</si>
  <si>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</si>
  <si>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</si>
  <si>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</si>
  <si>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</si>
  <si>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</si>
  <si>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</si>
  <si>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</si>
  <si>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</si>
  <si>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</si>
  <si>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</si>
  <si>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</si>
  <si>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</si>
  <si>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</si>
  <si>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</si>
  <si>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</si>
  <si>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</si>
  <si>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</si>
  <si>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</si>
  <si>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</si>
  <si>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</si>
  <si>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</si>
  <si>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</si>
  <si>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</si>
  <si>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</si>
  <si>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</si>
  <si>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</si>
  <si>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</si>
  <si>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</si>
  <si>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</si>
  <si>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</si>
  <si>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</si>
  <si>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</si>
  <si>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</si>
  <si>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</si>
  <si>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</si>
  <si>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</si>
  <si>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</si>
  <si>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</si>
  <si>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</si>
  <si>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</si>
  <si>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</si>
  <si>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</si>
  <si>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</si>
  <si>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</si>
  <si>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</si>
  <si>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</si>
  <si>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</si>
  <si>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</si>
  <si>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</si>
  <si>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</si>
  <si>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</si>
  <si>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</si>
  <si>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</si>
  <si>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</si>
  <si>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</si>
  <si>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</si>
  <si>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</si>
  <si>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</si>
  <si>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</si>
  <si>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innoviz-qc1</t>
  </si>
  <si>
    <t>innoviz-qc2</t>
  </si>
  <si>
    <t>innoviz-qc3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</si>
  <si>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</si>
  <si>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</si>
  <si>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</si>
  <si>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</si>
  <si>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</si>
  <si>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</si>
  <si>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</si>
  <si>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</si>
  <si>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</si>
  <si>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</si>
  <si>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</si>
  <si>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</si>
  <si>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</si>
  <si>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</si>
  <si>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</si>
  <si>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</si>
  <si>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</si>
  <si>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</si>
  <si>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</si>
  <si>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</si>
  <si>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</si>
  <si>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</si>
  <si>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</si>
  <si>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</si>
  <si>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</si>
  <si>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</si>
  <si>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</si>
  <si>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</si>
  <si>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</si>
  <si>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</si>
  <si>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</si>
  <si>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</si>
  <si>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</si>
  <si>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</si>
  <si>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</si>
  <si>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</si>
  <si>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</si>
  <si>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</si>
  <si>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</si>
  <si>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</si>
  <si>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</si>
  <si>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</si>
  <si>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</si>
  <si>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</si>
  <si>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</si>
  <si>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</si>
  <si>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</si>
  <si>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</si>
  <si>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boxer_viewdep_vox12</t>
    <phoneticPr fontId="2" type="noConversion"/>
  </si>
  <si>
    <t>v20.0-rc1-trisoup-raht+18edges</t>
    <phoneticPr fontId="2" type="noConversion"/>
  </si>
  <si>
    <t>v20.0-rc1-trisoup-raht+18edges+flagCtx_test</t>
    <phoneticPr fontId="2" type="noConversion"/>
  </si>
  <si>
    <t>frog_00067_vox12</t>
    <phoneticPr fontId="2" type="noConversion"/>
  </si>
  <si>
    <t>shiva_00035_vox12</t>
    <phoneticPr fontId="2" type="noConversion"/>
  </si>
  <si>
    <t>frog_00067_vox20</t>
    <phoneticPr fontId="2" type="noConversion"/>
  </si>
  <si>
    <t>shiva_00035_vox20</t>
    <phoneticPr fontId="2" type="noConversion"/>
  </si>
  <si>
    <t>ulb_unicorn_vox20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</si>
</sst>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"/>
    <numFmt numFmtId="178" formatCode="[&gt;1000]0;[&gt;100]0.0;0.00"/>
    <numFmt numFmtId="179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17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abSelected="1" topLeftCell="B7" workbookViewId="0">
      <selection activeCell="C31" sqref="C31:H31"/>
    </sheetView>
  </sheetViews>
  <sheetFormatPr defaultRowHeight="13.5" x14ac:dyDescent="0.15"/>
  <cols>
    <col min="1" max="1" width="0" hidden="1" customWidth="1"/>
    <col min="2" max="2" width="28" bestFit="1" customWidth="1"/>
    <col min="3" max="8" width="24.625" customWidth="1"/>
  </cols>
  <sheetData>
    <row r="1" spans="2:6" x14ac:dyDescent="0.15">
      <c r="B1" t="s">
        <v>0</v>
      </c>
      <c r="C1" s="101" t="s">
        <v>1041</v>
      </c>
      <c r="D1" s="101"/>
      <c r="E1" s="101"/>
    </row>
    <row r="2" spans="2:6" x14ac:dyDescent="0.15">
      <c r="B2" t="s">
        <v>1</v>
      </c>
      <c r="C2" s="102" t="s">
        <v>1042</v>
      </c>
      <c r="D2" s="102"/>
      <c r="E2" s="102"/>
    </row>
    <row r="4" spans="2:6" s="1" customFormat="1" x14ac:dyDescent="0.15">
      <c r="B4" s="1" t="s">
        <v>413</v>
      </c>
    </row>
    <row r="6" spans="2:6" x14ac:dyDescent="0.15">
      <c r="B6" s="97" t="s">
        <v>414</v>
      </c>
      <c r="C6" s="98" t="s">
        <v>415</v>
      </c>
      <c r="D6" s="98"/>
      <c r="E6" s="98"/>
      <c r="F6" s="98"/>
    </row>
    <row r="7" spans="2:6" x14ac:dyDescent="0.15">
      <c r="B7" s="97"/>
      <c r="C7" s="99" t="s">
        <v>200</v>
      </c>
      <c r="D7" s="99"/>
      <c r="E7" s="99"/>
      <c r="F7" s="99"/>
    </row>
    <row r="8" spans="2:6" x14ac:dyDescent="0.15">
      <c r="B8" s="97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1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1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1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1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1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15">
      <c r="B14" t="s">
        <v>1022</v>
      </c>
      <c r="C14" s="4"/>
      <c r="D14" s="4"/>
      <c r="E14" s="4"/>
      <c r="F14" s="3" t="e">
        <f>'C1 losslG,lossyA,intra'!$AY$364:$AY$364</f>
        <v>#DIV/0!</v>
      </c>
    </row>
    <row r="15" spans="2:6" x14ac:dyDescent="0.15">
      <c r="B15" t="s">
        <v>1023</v>
      </c>
      <c r="C15" s="4"/>
      <c r="D15" s="4"/>
      <c r="E15" s="4"/>
      <c r="F15" s="3" t="e">
        <f>'C1 losslG,lossyA,intra'!$AY$365:$AY$365</f>
        <v>#DIV/0!</v>
      </c>
    </row>
    <row r="16" spans="2:6" x14ac:dyDescent="0.1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15">
      <c r="B17" t="s">
        <v>416</v>
      </c>
      <c r="C17" s="95" t="e">
        <f>'C1 losslG,lossyA,intra'!AP370</f>
        <v>#NUM!</v>
      </c>
      <c r="D17" s="95"/>
      <c r="E17" s="95"/>
      <c r="F17" s="95"/>
    </row>
    <row r="18" spans="2:8" x14ac:dyDescent="0.15">
      <c r="B18" s="8" t="s">
        <v>417</v>
      </c>
      <c r="C18" s="96" t="e">
        <f>'C1 losslG,lossyA,intra'!AQ370</f>
        <v>#NUM!</v>
      </c>
      <c r="D18" s="96"/>
      <c r="E18" s="96"/>
      <c r="F18" s="96"/>
    </row>
    <row r="20" spans="2:8" x14ac:dyDescent="0.15">
      <c r="B20" s="97" t="s">
        <v>609</v>
      </c>
      <c r="C20" s="98" t="s">
        <v>610</v>
      </c>
      <c r="D20" s="98"/>
      <c r="E20" s="98"/>
      <c r="F20" s="98"/>
      <c r="G20" s="98"/>
      <c r="H20" s="98"/>
    </row>
    <row r="21" spans="2:8" x14ac:dyDescent="0.15">
      <c r="B21" s="97"/>
      <c r="C21" s="99" t="s">
        <v>200</v>
      </c>
      <c r="D21" s="99"/>
      <c r="E21" s="99"/>
      <c r="F21" s="99"/>
      <c r="G21" s="100" t="s">
        <v>474</v>
      </c>
      <c r="H21" s="100"/>
    </row>
    <row r="22" spans="2:8" x14ac:dyDescent="0.15">
      <c r="B22" s="97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15">
      <c r="B23" t="s">
        <v>402</v>
      </c>
      <c r="C23" s="3">
        <f>'C2 lossyG,lossyA,intra'!$BB$359:$BB$359</f>
        <v>0</v>
      </c>
      <c r="D23" s="3">
        <f>'C2 lossyG,lossyA,intra'!$BC$359:$BC$359</f>
        <v>0</v>
      </c>
      <c r="E23" s="3">
        <f>'C2 lossyG,lossyA,intra'!$BD$359:$BD$359</f>
        <v>0</v>
      </c>
      <c r="F23" s="4">
        <f>(D23+E23)/2</f>
        <v>0</v>
      </c>
      <c r="G23" s="3">
        <f>'C2 lossyG,lossyA,intra'!$AZ$359:$AZ$359</f>
        <v>9.9789958104939593E-3</v>
      </c>
      <c r="H23" s="3">
        <f>'C2 lossyG,lossyA,intra'!$BA$359:$BA$359</f>
        <v>1.0269886922238724E-2</v>
      </c>
    </row>
    <row r="24" spans="2:8" x14ac:dyDescent="0.15">
      <c r="B24" t="s">
        <v>403</v>
      </c>
      <c r="C24" s="3">
        <f>'C2 lossyG,lossyA,intra'!$BB$360:$BB$360</f>
        <v>0</v>
      </c>
      <c r="D24" s="3">
        <f>'C2 lossyG,lossyA,intra'!$BC$360:$BC$360</f>
        <v>0</v>
      </c>
      <c r="E24" s="3">
        <f>'C2 lossyG,lossyA,intra'!$BD$360:$BD$360</f>
        <v>0</v>
      </c>
      <c r="F24" s="4">
        <f t="shared" ref="F24:F26" si="0">(D24+E24)/2</f>
        <v>0</v>
      </c>
      <c r="G24" s="3">
        <f>'C2 lossyG,lossyA,intra'!$AZ$360:$AZ$360</f>
        <v>5.9038854316437834E-3</v>
      </c>
      <c r="H24" s="3">
        <f>'C2 lossyG,lossyA,intra'!$BA$360:$BA$360</f>
        <v>6.3633758812940977E-3</v>
      </c>
    </row>
    <row r="25" spans="2:8" x14ac:dyDescent="0.15">
      <c r="B25" t="s">
        <v>404</v>
      </c>
      <c r="C25" s="3">
        <f>'C2 lossyG,lossyA,intra'!$BB$361:$BB$361</f>
        <v>0</v>
      </c>
      <c r="D25" s="3">
        <f>'C2 lossyG,lossyA,intra'!$BC$361:$BC$361</f>
        <v>0</v>
      </c>
      <c r="E25" s="3">
        <f>'C2 lossyG,lossyA,intra'!$BD$361:$BD$361</f>
        <v>0</v>
      </c>
      <c r="F25" s="4">
        <f t="shared" si="0"/>
        <v>0</v>
      </c>
      <c r="G25" s="3">
        <f>'C2 lossyG,lossyA,intra'!$AZ$361:$AZ$361</f>
        <v>5.5283260373263491E-4</v>
      </c>
      <c r="H25" s="3">
        <f>'C2 lossyG,lossyA,intra'!$BA$361:$BA$361</f>
        <v>9.5210667196637337E-4</v>
      </c>
    </row>
    <row r="26" spans="2:8" x14ac:dyDescent="0.15">
      <c r="B26" t="s">
        <v>405</v>
      </c>
      <c r="C26" s="3">
        <f>'C2 lossyG,lossyA,intra'!$BB$362:$BB$362</f>
        <v>0</v>
      </c>
      <c r="D26" s="3">
        <f>'C2 lossyG,lossyA,intra'!$BC$362:$BC$362</f>
        <v>0</v>
      </c>
      <c r="E26" s="3">
        <f>'C2 lossyG,lossyA,intra'!$BD$362:$BD$362</f>
        <v>0</v>
      </c>
      <c r="F26" s="4">
        <f t="shared" si="0"/>
        <v>0</v>
      </c>
      <c r="G26" s="3">
        <f>'C2 lossyG,lossyA,intra'!$AZ$362:$AZ$362</f>
        <v>2.2882788341874877E-3</v>
      </c>
      <c r="H26" s="3">
        <f>'C2 lossyG,lossyA,intra'!$BA$362:$BA$362</f>
        <v>2.4926968856588683E-3</v>
      </c>
    </row>
    <row r="27" spans="2:8" x14ac:dyDescent="0.1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15">
      <c r="B28" t="s">
        <v>1022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15">
      <c r="B29" t="s">
        <v>1023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15">
      <c r="B30" s="5" t="s">
        <v>407</v>
      </c>
      <c r="C30" s="6">
        <f>'C2 lossyG,lossyA,intra'!$BB$366:$BB$366</f>
        <v>0</v>
      </c>
      <c r="D30" s="6">
        <f>'C2 lossyG,lossyA,intra'!$BC$366:$BC$366</f>
        <v>0</v>
      </c>
      <c r="E30" s="6">
        <f>'C2 lossyG,lossyA,intra'!$BD$366:$BD$366</f>
        <v>0</v>
      </c>
      <c r="F30" s="6" t="e">
        <f>'C2 lossyG,lossyA,intra'!$BE$366:$BE$366</f>
        <v>#DIV/0!</v>
      </c>
      <c r="G30" s="6">
        <f>'C2 lossyG,lossyA,intra'!$AZ$366:$AZ$366</f>
        <v>4.3966422229296644E-3</v>
      </c>
      <c r="H30" s="6">
        <f>'C2 lossyG,lossyA,intra'!$BA$366:$BA$366</f>
        <v>4.7226435455199334E-3</v>
      </c>
    </row>
    <row r="31" spans="2:8" x14ac:dyDescent="0.15">
      <c r="B31" t="s">
        <v>416</v>
      </c>
      <c r="C31" s="95">
        <f>'C2 lossyG,lossyA,intra'!AT370</f>
        <v>0.97485240233957859</v>
      </c>
      <c r="D31" s="95"/>
      <c r="E31" s="95"/>
      <c r="F31" s="95"/>
      <c r="G31" s="95"/>
      <c r="H31" s="95"/>
    </row>
    <row r="32" spans="2:8" x14ac:dyDescent="0.15">
      <c r="B32" s="8" t="s">
        <v>417</v>
      </c>
      <c r="C32" s="96">
        <f>'C2 lossyG,lossyA,intra'!AU370</f>
        <v>0.97982435178136751</v>
      </c>
      <c r="D32" s="96"/>
      <c r="E32" s="96"/>
      <c r="F32" s="96"/>
      <c r="G32" s="96"/>
      <c r="H32" s="96"/>
    </row>
    <row r="34" spans="2:6" x14ac:dyDescent="0.15">
      <c r="B34" s="97" t="s">
        <v>778</v>
      </c>
      <c r="C34" s="98" t="s">
        <v>779</v>
      </c>
      <c r="D34" s="98"/>
      <c r="E34" s="98"/>
      <c r="F34" s="98"/>
    </row>
    <row r="35" spans="2:6" x14ac:dyDescent="0.15">
      <c r="B35" s="97"/>
      <c r="C35" s="99" t="s">
        <v>650</v>
      </c>
      <c r="D35" s="99"/>
      <c r="E35" s="99"/>
      <c r="F35" s="99"/>
    </row>
    <row r="36" spans="2:6" x14ac:dyDescent="0.15">
      <c r="B36" s="97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1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1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1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1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1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15">
      <c r="B42" t="s">
        <v>1022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15">
      <c r="B43" t="s">
        <v>1023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1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15">
      <c r="B45" t="s">
        <v>416</v>
      </c>
      <c r="C45" s="95" t="e">
        <f>'CW losslG,losslA,intra'!AI75</f>
        <v>#NUM!</v>
      </c>
      <c r="D45" s="95"/>
      <c r="E45" s="95"/>
      <c r="F45" s="95"/>
    </row>
    <row r="46" spans="2:6" x14ac:dyDescent="0.15">
      <c r="B46" s="8" t="s">
        <v>417</v>
      </c>
      <c r="C46" s="96" t="e">
        <f>'CW losslG,losslA,intra'!AJ75</f>
        <v>#NUM!</v>
      </c>
      <c r="D46" s="96"/>
      <c r="E46" s="96"/>
      <c r="F46" s="96"/>
    </row>
    <row r="48" spans="2:6" x14ac:dyDescent="0.15">
      <c r="B48" s="97" t="s">
        <v>985</v>
      </c>
      <c r="C48" s="98" t="s">
        <v>986</v>
      </c>
      <c r="D48" s="98"/>
      <c r="E48" s="98"/>
      <c r="F48" s="98"/>
    </row>
    <row r="49" spans="2:6" x14ac:dyDescent="0.15">
      <c r="B49" s="97"/>
      <c r="C49" s="99" t="s">
        <v>846</v>
      </c>
      <c r="D49" s="99"/>
      <c r="E49" s="99"/>
      <c r="F49" s="99"/>
    </row>
    <row r="50" spans="2:6" x14ac:dyDescent="0.15">
      <c r="B50" s="97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1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1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1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1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1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15">
      <c r="B56" t="s">
        <v>1022</v>
      </c>
      <c r="C56" s="4"/>
      <c r="D56" s="4"/>
      <c r="E56" s="4"/>
      <c r="F56" s="3" t="e">
        <f>'CY losslG,nearllA,intra'!$BL$305:$BL$305</f>
        <v>#DIV/0!</v>
      </c>
    </row>
    <row r="57" spans="2:6" x14ac:dyDescent="0.15">
      <c r="B57" t="s">
        <v>1023</v>
      </c>
      <c r="C57" s="4"/>
      <c r="D57" s="4"/>
      <c r="E57" s="4"/>
      <c r="F57" s="3" t="e">
        <f>'CY losslG,nearllA,intra'!$BL$306:$BL$306</f>
        <v>#DIV/0!</v>
      </c>
    </row>
    <row r="58" spans="2:6" x14ac:dyDescent="0.1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15">
      <c r="B59" t="s">
        <v>416</v>
      </c>
      <c r="C59" s="95" t="e">
        <f>'CY losslG,nearllA,intra'!AX311</f>
        <v>#NUM!</v>
      </c>
      <c r="D59" s="95"/>
      <c r="E59" s="95"/>
      <c r="F59" s="95"/>
    </row>
    <row r="60" spans="2:6" x14ac:dyDescent="0.15">
      <c r="B60" s="8" t="s">
        <v>417</v>
      </c>
      <c r="C60" s="96" t="e">
        <f>'CY losslG,nearllA,intra'!AY311</f>
        <v>#NUM!</v>
      </c>
      <c r="D60" s="96"/>
      <c r="E60" s="96"/>
      <c r="F60" s="96"/>
    </row>
  </sheetData>
  <mergeCells count="23">
    <mergeCell ref="C1:E1"/>
    <mergeCell ref="C2:E2"/>
    <mergeCell ref="B6:B8"/>
    <mergeCell ref="C6:F6"/>
    <mergeCell ref="C7:F7"/>
    <mergeCell ref="C17:F17"/>
    <mergeCell ref="C18:F18"/>
    <mergeCell ref="B20:B22"/>
    <mergeCell ref="C20:H20"/>
    <mergeCell ref="C21:F21"/>
    <mergeCell ref="G21:H21"/>
    <mergeCell ref="C31:H31"/>
    <mergeCell ref="C32:H32"/>
    <mergeCell ref="B34:B36"/>
    <mergeCell ref="C34:F34"/>
    <mergeCell ref="C35:F35"/>
    <mergeCell ref="C59:F59"/>
    <mergeCell ref="C60:F60"/>
    <mergeCell ref="C45:F45"/>
    <mergeCell ref="C46:F46"/>
    <mergeCell ref="B48:B50"/>
    <mergeCell ref="C48:F48"/>
    <mergeCell ref="C49:F49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6" x14ac:dyDescent="0.1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1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1016</v>
      </c>
      <c r="N2" t="s">
        <v>1017</v>
      </c>
      <c r="O2" t="s">
        <v>1018</v>
      </c>
      <c r="P2" t="s">
        <v>1019</v>
      </c>
    </row>
    <row r="3" spans="1:16" x14ac:dyDescent="0.1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1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1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1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1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1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1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1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1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1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1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1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1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1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1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1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1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1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1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1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1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1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1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1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1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1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1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1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1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1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1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1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1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1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1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1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1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15">
      <c r="M40" t="s">
        <v>344</v>
      </c>
      <c r="N40" t="s">
        <v>344</v>
      </c>
      <c r="O40" t="s">
        <v>344</v>
      </c>
      <c r="P40" t="s">
        <v>344</v>
      </c>
    </row>
    <row r="41" spans="9:16" x14ac:dyDescent="0.15">
      <c r="M41" t="s">
        <v>347</v>
      </c>
      <c r="N41" t="s">
        <v>347</v>
      </c>
      <c r="O41" t="s">
        <v>347</v>
      </c>
      <c r="P41" t="s">
        <v>347</v>
      </c>
    </row>
    <row r="42" spans="9:16" x14ac:dyDescent="0.15">
      <c r="M42" t="s">
        <v>350</v>
      </c>
      <c r="N42" t="s">
        <v>350</v>
      </c>
      <c r="O42" t="s">
        <v>350</v>
      </c>
      <c r="P42" t="s">
        <v>350</v>
      </c>
    </row>
    <row r="43" spans="9:16" x14ac:dyDescent="0.15">
      <c r="M43" t="s">
        <v>353</v>
      </c>
      <c r="N43" t="s">
        <v>353</v>
      </c>
      <c r="O43" t="s">
        <v>353</v>
      </c>
      <c r="P43" t="s">
        <v>353</v>
      </c>
    </row>
    <row r="44" spans="9:16" x14ac:dyDescent="0.15">
      <c r="M44" t="s">
        <v>356</v>
      </c>
      <c r="N44" t="s">
        <v>356</v>
      </c>
      <c r="O44" t="s">
        <v>356</v>
      </c>
      <c r="P44" t="s">
        <v>356</v>
      </c>
    </row>
    <row r="45" spans="9:16" x14ac:dyDescent="0.15">
      <c r="M45" t="s">
        <v>359</v>
      </c>
      <c r="N45" t="s">
        <v>359</v>
      </c>
      <c r="O45" t="s">
        <v>359</v>
      </c>
      <c r="P45" t="s">
        <v>359</v>
      </c>
    </row>
    <row r="46" spans="9:16" x14ac:dyDescent="0.15">
      <c r="M46" t="s">
        <v>362</v>
      </c>
      <c r="N46" t="s">
        <v>362</v>
      </c>
      <c r="O46" t="s">
        <v>362</v>
      </c>
      <c r="P46" t="s">
        <v>362</v>
      </c>
    </row>
    <row r="47" spans="9:16" x14ac:dyDescent="0.15">
      <c r="M47" t="s">
        <v>365</v>
      </c>
      <c r="N47" t="s">
        <v>365</v>
      </c>
      <c r="O47" t="s">
        <v>365</v>
      </c>
      <c r="P47" t="s">
        <v>365</v>
      </c>
    </row>
    <row r="48" spans="9:16" x14ac:dyDescent="0.1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1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1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1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1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1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1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1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1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1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1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15">
      <c r="M59" t="s">
        <v>989</v>
      </c>
      <c r="N59" t="s">
        <v>989</v>
      </c>
      <c r="O59" t="s">
        <v>989</v>
      </c>
      <c r="P59" t="s">
        <v>989</v>
      </c>
    </row>
    <row r="60" spans="13:16" x14ac:dyDescent="0.15">
      <c r="M60" t="s">
        <v>990</v>
      </c>
      <c r="N60" t="s">
        <v>990</v>
      </c>
      <c r="O60" t="s">
        <v>990</v>
      </c>
      <c r="P60" t="s">
        <v>990</v>
      </c>
    </row>
    <row r="61" spans="13:16" x14ac:dyDescent="0.15">
      <c r="M61" t="s">
        <v>991</v>
      </c>
      <c r="N61" t="s">
        <v>991</v>
      </c>
      <c r="O61" t="s">
        <v>991</v>
      </c>
      <c r="P61" t="s">
        <v>991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3" width="11.625" customWidth="1"/>
    <col min="26" max="26" width="1.625" customWidth="1"/>
    <col min="28" max="30" width="10.625" customWidth="1"/>
    <col min="31" max="31" width="11.625" customWidth="1"/>
    <col min="32" max="32" width="12.625" customWidth="1"/>
    <col min="33" max="33" width="10.625" customWidth="1"/>
    <col min="34" max="37" width="12.625" customWidth="1"/>
    <col min="38" max="41" width="11.625" customWidth="1"/>
    <col min="44" max="44" width="1.625" customWidth="1"/>
    <col min="47" max="47" width="1.625" customWidth="1"/>
    <col min="48" max="51" width="11.625" customWidth="1"/>
    <col min="52" max="52" width="1.625" customWidth="1"/>
    <col min="53" max="56" width="11.625" customWidth="1"/>
    <col min="57" max="57" width="1.625" customWidth="1"/>
  </cols>
  <sheetData>
    <row r="1" spans="1:56" x14ac:dyDescent="0.15">
      <c r="A1" s="105" t="s">
        <v>218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AA1" s="102" t="str">
        <f>Summary!C2</f>
        <v>v20.0-rc1-trisoup-raht+18edges+flagCtx_test</v>
      </c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</row>
    <row r="2" spans="1:56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6" t="s">
        <v>155</v>
      </c>
      <c r="Y2" s="107" t="s">
        <v>158</v>
      </c>
      <c r="AA2" s="106" t="s">
        <v>112</v>
      </c>
      <c r="AB2" s="104" t="s">
        <v>115</v>
      </c>
      <c r="AC2" s="104"/>
      <c r="AD2" s="104"/>
      <c r="AE2" s="104"/>
      <c r="AF2" s="106" t="s">
        <v>128</v>
      </c>
      <c r="AG2" s="107" t="s">
        <v>22</v>
      </c>
      <c r="AH2" s="103" t="s">
        <v>133</v>
      </c>
      <c r="AI2" s="103"/>
      <c r="AJ2" s="103"/>
      <c r="AK2" s="103"/>
      <c r="AL2" s="104" t="s">
        <v>143</v>
      </c>
      <c r="AM2" s="104"/>
      <c r="AN2" s="104"/>
      <c r="AO2" s="104"/>
      <c r="AP2" s="106" t="s">
        <v>155</v>
      </c>
      <c r="AQ2" s="107" t="s">
        <v>158</v>
      </c>
      <c r="AS2" s="106" t="s">
        <v>195</v>
      </c>
      <c r="AT2" s="107" t="s">
        <v>195</v>
      </c>
      <c r="AV2" s="103" t="s">
        <v>200</v>
      </c>
      <c r="AW2" s="103"/>
      <c r="AX2" s="103"/>
      <c r="AY2" s="103"/>
      <c r="BA2" s="104" t="s">
        <v>209</v>
      </c>
      <c r="BB2" s="104"/>
      <c r="BC2" s="104"/>
      <c r="BD2" s="104"/>
    </row>
    <row r="3" spans="1:56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6"/>
      <c r="Y3" s="107"/>
      <c r="AA3" s="106"/>
      <c r="AB3" s="11" t="s">
        <v>116</v>
      </c>
      <c r="AC3" s="11" t="s">
        <v>119</v>
      </c>
      <c r="AD3" s="11" t="s">
        <v>122</v>
      </c>
      <c r="AE3" s="11" t="s">
        <v>125</v>
      </c>
      <c r="AF3" s="106"/>
      <c r="AG3" s="107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6"/>
      <c r="AQ3" s="107"/>
      <c r="AS3" s="106"/>
      <c r="AT3" s="107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1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1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1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1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1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1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1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1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1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1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1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1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1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1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1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2:A3"/>
    <mergeCell ref="B2:B3"/>
    <mergeCell ref="C2:C3"/>
    <mergeCell ref="D2:D3"/>
    <mergeCell ref="E2:E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3.5" x14ac:dyDescent="0.15"/>
  <cols>
    <col min="1" max="1" width="8.625" customWidth="1"/>
  </cols>
  <sheetData>
    <row r="1" spans="1:2" x14ac:dyDescent="0.15">
      <c r="A1" t="s">
        <v>93</v>
      </c>
      <c r="B1">
        <v>1</v>
      </c>
    </row>
    <row r="2" spans="1:2" x14ac:dyDescent="0.15">
      <c r="A2" t="s">
        <v>96</v>
      </c>
      <c r="B2">
        <v>2</v>
      </c>
    </row>
    <row r="3" spans="1:2" x14ac:dyDescent="0.15">
      <c r="A3" t="s">
        <v>99</v>
      </c>
      <c r="B3">
        <v>3</v>
      </c>
    </row>
    <row r="4" spans="1:2" x14ac:dyDescent="0.15">
      <c r="A4" t="s">
        <v>102</v>
      </c>
      <c r="B4">
        <v>4</v>
      </c>
    </row>
    <row r="5" spans="1:2" x14ac:dyDescent="0.15">
      <c r="A5" t="s">
        <v>105</v>
      </c>
      <c r="B5">
        <v>5</v>
      </c>
    </row>
    <row r="6" spans="1:2" x14ac:dyDescent="0.15">
      <c r="A6" t="s">
        <v>108</v>
      </c>
      <c r="B6">
        <v>6</v>
      </c>
    </row>
    <row r="7" spans="1:2" x14ac:dyDescent="0.15">
      <c r="A7" t="s">
        <v>111</v>
      </c>
      <c r="B7">
        <v>7</v>
      </c>
    </row>
    <row r="8" spans="1:2" x14ac:dyDescent="0.15">
      <c r="A8" t="s">
        <v>114</v>
      </c>
      <c r="B8">
        <v>9</v>
      </c>
    </row>
    <row r="9" spans="1:2" x14ac:dyDescent="0.15">
      <c r="A9" t="s">
        <v>118</v>
      </c>
      <c r="B9">
        <v>10</v>
      </c>
    </row>
    <row r="10" spans="1:2" x14ac:dyDescent="0.15">
      <c r="A10" t="s">
        <v>121</v>
      </c>
      <c r="B10">
        <v>11</v>
      </c>
    </row>
    <row r="11" spans="1:2" x14ac:dyDescent="0.15">
      <c r="A11" t="s">
        <v>124</v>
      </c>
      <c r="B11">
        <v>12</v>
      </c>
    </row>
    <row r="12" spans="1:2" x14ac:dyDescent="0.15">
      <c r="A12" t="s">
        <v>127</v>
      </c>
      <c r="B12">
        <v>13</v>
      </c>
    </row>
    <row r="13" spans="1:2" x14ac:dyDescent="0.15">
      <c r="A13" t="s">
        <v>130</v>
      </c>
      <c r="B13">
        <v>14</v>
      </c>
    </row>
    <row r="14" spans="1:2" x14ac:dyDescent="0.15">
      <c r="A14" t="s">
        <v>132</v>
      </c>
      <c r="B14">
        <v>15</v>
      </c>
    </row>
    <row r="15" spans="1:2" x14ac:dyDescent="0.15">
      <c r="A15" t="s">
        <v>135</v>
      </c>
      <c r="B15">
        <v>16</v>
      </c>
    </row>
    <row r="16" spans="1:2" x14ac:dyDescent="0.15">
      <c r="A16" t="s">
        <v>137</v>
      </c>
      <c r="B16">
        <v>17</v>
      </c>
    </row>
    <row r="17" spans="1:2" x14ac:dyDescent="0.15">
      <c r="A17" t="s">
        <v>140</v>
      </c>
      <c r="B17">
        <v>18</v>
      </c>
    </row>
    <row r="18" spans="1:2" x14ac:dyDescent="0.15">
      <c r="A18" t="s">
        <v>142</v>
      </c>
      <c r="B18">
        <v>19</v>
      </c>
    </row>
    <row r="19" spans="1:2" x14ac:dyDescent="0.15">
      <c r="A19" t="s">
        <v>146</v>
      </c>
      <c r="B19">
        <v>20</v>
      </c>
    </row>
    <row r="20" spans="1:2" x14ac:dyDescent="0.15">
      <c r="A20" t="s">
        <v>149</v>
      </c>
      <c r="B20">
        <v>21</v>
      </c>
    </row>
    <row r="21" spans="1:2" x14ac:dyDescent="0.15">
      <c r="A21" t="s">
        <v>152</v>
      </c>
      <c r="B21">
        <v>22</v>
      </c>
    </row>
    <row r="22" spans="1:2" x14ac:dyDescent="0.15">
      <c r="A22" t="s">
        <v>154</v>
      </c>
      <c r="B22">
        <v>23</v>
      </c>
    </row>
    <row r="23" spans="1:2" x14ac:dyDescent="0.15">
      <c r="A23" t="s">
        <v>157</v>
      </c>
      <c r="B23">
        <v>24</v>
      </c>
    </row>
    <row r="24" spans="1:2" x14ac:dyDescent="0.15">
      <c r="A24" t="s">
        <v>160</v>
      </c>
      <c r="B24">
        <v>25</v>
      </c>
    </row>
    <row r="25" spans="1:2" x14ac:dyDescent="0.15">
      <c r="A25" t="s">
        <v>162</v>
      </c>
      <c r="B25">
        <v>27</v>
      </c>
    </row>
    <row r="26" spans="1:2" x14ac:dyDescent="0.15">
      <c r="A26" t="s">
        <v>164</v>
      </c>
      <c r="B26">
        <v>28</v>
      </c>
    </row>
    <row r="27" spans="1:2" x14ac:dyDescent="0.15">
      <c r="A27" t="s">
        <v>166</v>
      </c>
      <c r="B27">
        <v>29</v>
      </c>
    </row>
    <row r="28" spans="1:2" x14ac:dyDescent="0.15">
      <c r="A28" t="s">
        <v>168</v>
      </c>
      <c r="B28">
        <v>30</v>
      </c>
    </row>
    <row r="29" spans="1:2" x14ac:dyDescent="0.15">
      <c r="A29" t="s">
        <v>170</v>
      </c>
      <c r="B29">
        <v>31</v>
      </c>
    </row>
    <row r="30" spans="1:2" x14ac:dyDescent="0.15">
      <c r="A30" t="s">
        <v>172</v>
      </c>
      <c r="B30">
        <v>32</v>
      </c>
    </row>
    <row r="31" spans="1:2" x14ac:dyDescent="0.15">
      <c r="A31" t="s">
        <v>174</v>
      </c>
      <c r="B31">
        <v>33</v>
      </c>
    </row>
    <row r="32" spans="1:2" x14ac:dyDescent="0.15">
      <c r="A32" t="s">
        <v>176</v>
      </c>
      <c r="B32">
        <v>34</v>
      </c>
    </row>
    <row r="33" spans="1:2" x14ac:dyDescent="0.15">
      <c r="A33" t="s">
        <v>178</v>
      </c>
      <c r="B33">
        <v>35</v>
      </c>
    </row>
    <row r="34" spans="1:2" x14ac:dyDescent="0.15">
      <c r="A34" t="s">
        <v>180</v>
      </c>
      <c r="B34">
        <v>36</v>
      </c>
    </row>
    <row r="35" spans="1:2" x14ac:dyDescent="0.15">
      <c r="A35" t="s">
        <v>182</v>
      </c>
      <c r="B35">
        <v>37</v>
      </c>
    </row>
    <row r="36" spans="1:2" x14ac:dyDescent="0.15">
      <c r="A36" t="s">
        <v>184</v>
      </c>
      <c r="B36">
        <v>38</v>
      </c>
    </row>
    <row r="37" spans="1:2" x14ac:dyDescent="0.15">
      <c r="A37" t="s">
        <v>186</v>
      </c>
      <c r="B37">
        <v>39</v>
      </c>
    </row>
    <row r="38" spans="1:2" x14ac:dyDescent="0.15">
      <c r="A38" t="s">
        <v>188</v>
      </c>
      <c r="B38">
        <v>40</v>
      </c>
    </row>
    <row r="39" spans="1:2" x14ac:dyDescent="0.15">
      <c r="A39" t="s">
        <v>190</v>
      </c>
      <c r="B39">
        <v>41</v>
      </c>
    </row>
    <row r="40" spans="1:2" x14ac:dyDescent="0.15">
      <c r="A40" t="s">
        <v>192</v>
      </c>
      <c r="B40">
        <v>42</v>
      </c>
    </row>
    <row r="41" spans="1:2" x14ac:dyDescent="0.15">
      <c r="A41" t="s">
        <v>194</v>
      </c>
      <c r="B41">
        <v>43</v>
      </c>
    </row>
    <row r="42" spans="1:2" x14ac:dyDescent="0.15">
      <c r="A42" t="s">
        <v>197</v>
      </c>
      <c r="B42">
        <v>45</v>
      </c>
    </row>
    <row r="43" spans="1:2" x14ac:dyDescent="0.15">
      <c r="A43" t="s">
        <v>199</v>
      </c>
      <c r="B43">
        <v>46</v>
      </c>
    </row>
    <row r="44" spans="1:2" x14ac:dyDescent="0.15">
      <c r="A44" t="s">
        <v>202</v>
      </c>
      <c r="B44">
        <v>48</v>
      </c>
    </row>
    <row r="45" spans="1:2" x14ac:dyDescent="0.15">
      <c r="A45" t="s">
        <v>204</v>
      </c>
      <c r="B45">
        <v>49</v>
      </c>
    </row>
    <row r="46" spans="1:2" x14ac:dyDescent="0.15">
      <c r="A46" t="s">
        <v>206</v>
      </c>
      <c r="B46">
        <v>50</v>
      </c>
    </row>
    <row r="47" spans="1:2" x14ac:dyDescent="0.15">
      <c r="A47" t="s">
        <v>208</v>
      </c>
      <c r="B47">
        <v>51</v>
      </c>
    </row>
    <row r="48" spans="1:2" x14ac:dyDescent="0.15">
      <c r="A48" t="s">
        <v>211</v>
      </c>
      <c r="B48">
        <v>53</v>
      </c>
    </row>
    <row r="49" spans="1:2" x14ac:dyDescent="0.15">
      <c r="A49" t="s">
        <v>213</v>
      </c>
      <c r="B49">
        <v>54</v>
      </c>
    </row>
    <row r="50" spans="1:2" x14ac:dyDescent="0.15">
      <c r="A50" t="s">
        <v>215</v>
      </c>
      <c r="B50">
        <v>55</v>
      </c>
    </row>
    <row r="51" spans="1:2" x14ac:dyDescent="0.15">
      <c r="A51" t="s">
        <v>217</v>
      </c>
      <c r="B51">
        <v>56</v>
      </c>
    </row>
    <row r="52" spans="1:2" x14ac:dyDescent="0.15">
      <c r="A52" t="s">
        <v>219</v>
      </c>
      <c r="B52" t="s">
        <v>220</v>
      </c>
    </row>
    <row r="53" spans="1:2" x14ac:dyDescent="0.15">
      <c r="A53" t="s">
        <v>221</v>
      </c>
      <c r="B53" t="s">
        <v>222</v>
      </c>
    </row>
    <row r="54" spans="1:2" x14ac:dyDescent="0.15">
      <c r="A54" t="s">
        <v>231</v>
      </c>
      <c r="B54" t="s">
        <v>232</v>
      </c>
    </row>
    <row r="55" spans="1:2" x14ac:dyDescent="0.15">
      <c r="A55" t="s">
        <v>234</v>
      </c>
      <c r="B55" t="s">
        <v>235</v>
      </c>
    </row>
    <row r="56" spans="1:2" x14ac:dyDescent="0.15">
      <c r="A56" t="s">
        <v>237</v>
      </c>
      <c r="B56" t="s">
        <v>238</v>
      </c>
    </row>
    <row r="57" spans="1:2" x14ac:dyDescent="0.15">
      <c r="A57" t="s">
        <v>240</v>
      </c>
      <c r="B57" t="s">
        <v>241</v>
      </c>
    </row>
    <row r="58" spans="1:2" x14ac:dyDescent="0.15">
      <c r="A58" t="s">
        <v>243</v>
      </c>
      <c r="B58" t="s">
        <v>244</v>
      </c>
    </row>
    <row r="59" spans="1:2" x14ac:dyDescent="0.15">
      <c r="A59" t="s">
        <v>246</v>
      </c>
      <c r="B59" t="s">
        <v>247</v>
      </c>
    </row>
    <row r="60" spans="1:2" x14ac:dyDescent="0.15">
      <c r="A60" t="s">
        <v>249</v>
      </c>
      <c r="B60" t="s">
        <v>250</v>
      </c>
    </row>
    <row r="61" spans="1:2" x14ac:dyDescent="0.15">
      <c r="A61" t="s">
        <v>252</v>
      </c>
      <c r="B61" t="s">
        <v>253</v>
      </c>
    </row>
    <row r="62" spans="1:2" x14ac:dyDescent="0.15">
      <c r="A62" t="s">
        <v>255</v>
      </c>
      <c r="B62" t="s">
        <v>256</v>
      </c>
    </row>
    <row r="63" spans="1:2" x14ac:dyDescent="0.15">
      <c r="A63" t="s">
        <v>259</v>
      </c>
      <c r="B63" t="s">
        <v>260</v>
      </c>
    </row>
    <row r="64" spans="1:2" x14ac:dyDescent="0.15">
      <c r="A64" t="s">
        <v>262</v>
      </c>
      <c r="B64" t="s">
        <v>263</v>
      </c>
    </row>
    <row r="65" spans="1:2" x14ac:dyDescent="0.15">
      <c r="A65" t="s">
        <v>265</v>
      </c>
      <c r="B65" t="s">
        <v>266</v>
      </c>
    </row>
    <row r="66" spans="1:2" x14ac:dyDescent="0.15">
      <c r="A66" t="s">
        <v>268</v>
      </c>
      <c r="B66" t="s">
        <v>269</v>
      </c>
    </row>
    <row r="67" spans="1:2" x14ac:dyDescent="0.15">
      <c r="A67" t="s">
        <v>271</v>
      </c>
      <c r="B67" t="s">
        <v>272</v>
      </c>
    </row>
    <row r="68" spans="1:2" x14ac:dyDescent="0.15">
      <c r="A68" t="s">
        <v>274</v>
      </c>
      <c r="B68" t="s">
        <v>275</v>
      </c>
    </row>
    <row r="69" spans="1:2" x14ac:dyDescent="0.15">
      <c r="A69" t="s">
        <v>277</v>
      </c>
      <c r="B69" t="s">
        <v>278</v>
      </c>
    </row>
    <row r="70" spans="1:2" x14ac:dyDescent="0.15">
      <c r="A70" t="s">
        <v>280</v>
      </c>
      <c r="B70" t="s">
        <v>281</v>
      </c>
    </row>
    <row r="71" spans="1:2" x14ac:dyDescent="0.15">
      <c r="A71" t="s">
        <v>283</v>
      </c>
      <c r="B71" t="s">
        <v>284</v>
      </c>
    </row>
    <row r="72" spans="1:2" x14ac:dyDescent="0.15">
      <c r="A72" t="s">
        <v>286</v>
      </c>
      <c r="B72" t="s">
        <v>287</v>
      </c>
    </row>
    <row r="73" spans="1:2" x14ac:dyDescent="0.15">
      <c r="A73" t="s">
        <v>289</v>
      </c>
      <c r="B73" t="s">
        <v>290</v>
      </c>
    </row>
    <row r="74" spans="1:2" x14ac:dyDescent="0.15">
      <c r="A74" t="s">
        <v>292</v>
      </c>
      <c r="B74" t="s">
        <v>293</v>
      </c>
    </row>
    <row r="75" spans="1:2" x14ac:dyDescent="0.15">
      <c r="A75" t="s">
        <v>296</v>
      </c>
      <c r="B75" t="s">
        <v>297</v>
      </c>
    </row>
    <row r="76" spans="1:2" x14ac:dyDescent="0.15">
      <c r="A76" t="s">
        <v>299</v>
      </c>
      <c r="B76" t="s">
        <v>300</v>
      </c>
    </row>
    <row r="77" spans="1:2" x14ac:dyDescent="0.15">
      <c r="A77" t="s">
        <v>302</v>
      </c>
      <c r="B77" t="s">
        <v>303</v>
      </c>
    </row>
    <row r="78" spans="1:2" x14ac:dyDescent="0.15">
      <c r="A78" t="s">
        <v>305</v>
      </c>
      <c r="B78" t="s">
        <v>306</v>
      </c>
    </row>
    <row r="79" spans="1:2" x14ac:dyDescent="0.15">
      <c r="A79" t="s">
        <v>308</v>
      </c>
      <c r="B79" t="s">
        <v>309</v>
      </c>
    </row>
    <row r="80" spans="1:2" x14ac:dyDescent="0.15">
      <c r="A80" t="s">
        <v>311</v>
      </c>
      <c r="B80" t="s">
        <v>312</v>
      </c>
    </row>
    <row r="81" spans="1:2" x14ac:dyDescent="0.15">
      <c r="A81" t="s">
        <v>314</v>
      </c>
      <c r="B81" t="s">
        <v>315</v>
      </c>
    </row>
    <row r="82" spans="1:2" x14ac:dyDescent="0.15">
      <c r="A82" t="s">
        <v>317</v>
      </c>
      <c r="B82" t="s">
        <v>318</v>
      </c>
    </row>
    <row r="83" spans="1:2" x14ac:dyDescent="0.15">
      <c r="A83" t="s">
        <v>320</v>
      </c>
      <c r="B83" t="s">
        <v>321</v>
      </c>
    </row>
    <row r="84" spans="1:2" x14ac:dyDescent="0.15">
      <c r="A84" t="s">
        <v>324</v>
      </c>
      <c r="B84" t="s">
        <v>325</v>
      </c>
    </row>
    <row r="85" spans="1:2" x14ac:dyDescent="0.15">
      <c r="A85" t="s">
        <v>327</v>
      </c>
      <c r="B85" t="s">
        <v>328</v>
      </c>
    </row>
    <row r="86" spans="1:2" x14ac:dyDescent="0.15">
      <c r="A86" t="s">
        <v>330</v>
      </c>
      <c r="B86" t="s">
        <v>331</v>
      </c>
    </row>
    <row r="87" spans="1:2" x14ac:dyDescent="0.15">
      <c r="A87" t="s">
        <v>333</v>
      </c>
      <c r="B87" t="s">
        <v>334</v>
      </c>
    </row>
    <row r="88" spans="1:2" x14ac:dyDescent="0.15">
      <c r="A88" t="s">
        <v>336</v>
      </c>
      <c r="B88" t="s">
        <v>337</v>
      </c>
    </row>
    <row r="89" spans="1:2" x14ac:dyDescent="0.15">
      <c r="A89" t="s">
        <v>339</v>
      </c>
      <c r="B89" t="s">
        <v>340</v>
      </c>
    </row>
    <row r="90" spans="1:2" x14ac:dyDescent="0.15">
      <c r="A90" t="s">
        <v>342</v>
      </c>
      <c r="B90" t="s">
        <v>343</v>
      </c>
    </row>
    <row r="91" spans="1:2" x14ac:dyDescent="0.15">
      <c r="A91" t="s">
        <v>345</v>
      </c>
      <c r="B91" t="s">
        <v>346</v>
      </c>
    </row>
    <row r="92" spans="1:2" x14ac:dyDescent="0.15">
      <c r="A92" t="s">
        <v>348</v>
      </c>
      <c r="B92" t="s">
        <v>349</v>
      </c>
    </row>
    <row r="93" spans="1:2" x14ac:dyDescent="0.15">
      <c r="A93" t="s">
        <v>351</v>
      </c>
      <c r="B93" t="s">
        <v>352</v>
      </c>
    </row>
    <row r="94" spans="1:2" x14ac:dyDescent="0.15">
      <c r="A94" t="s">
        <v>354</v>
      </c>
      <c r="B94" t="s">
        <v>355</v>
      </c>
    </row>
    <row r="95" spans="1:2" x14ac:dyDescent="0.15">
      <c r="A95" t="s">
        <v>357</v>
      </c>
      <c r="B95" t="s">
        <v>358</v>
      </c>
    </row>
    <row r="96" spans="1:2" x14ac:dyDescent="0.15">
      <c r="A96" t="s">
        <v>360</v>
      </c>
      <c r="B96" t="s">
        <v>361</v>
      </c>
    </row>
    <row r="97" spans="1:2" x14ac:dyDescent="0.15">
      <c r="A97" t="s">
        <v>363</v>
      </c>
      <c r="B97" t="s">
        <v>364</v>
      </c>
    </row>
    <row r="98" spans="1:2" x14ac:dyDescent="0.15">
      <c r="A98" t="s">
        <v>366</v>
      </c>
      <c r="B98" t="s">
        <v>367</v>
      </c>
    </row>
    <row r="99" spans="1:2" x14ac:dyDescent="0.15">
      <c r="A99" t="s">
        <v>369</v>
      </c>
      <c r="B99" t="s">
        <v>370</v>
      </c>
    </row>
    <row r="100" spans="1:2" x14ac:dyDescent="0.15">
      <c r="A100" t="s">
        <v>373</v>
      </c>
      <c r="B100" t="s">
        <v>374</v>
      </c>
    </row>
    <row r="101" spans="1:2" x14ac:dyDescent="0.15">
      <c r="A101" t="s">
        <v>376</v>
      </c>
      <c r="B101" t="s">
        <v>377</v>
      </c>
    </row>
    <row r="102" spans="1:2" x14ac:dyDescent="0.15">
      <c r="A102" t="s">
        <v>379</v>
      </c>
      <c r="B102" t="s">
        <v>380</v>
      </c>
    </row>
    <row r="103" spans="1:2" x14ac:dyDescent="0.15">
      <c r="A103" t="s">
        <v>382</v>
      </c>
      <c r="B103" t="s">
        <v>383</v>
      </c>
    </row>
    <row r="104" spans="1:2" x14ac:dyDescent="0.15">
      <c r="A104" t="s">
        <v>385</v>
      </c>
      <c r="B104" t="s">
        <v>386</v>
      </c>
    </row>
    <row r="105" spans="1:2" x14ac:dyDescent="0.15">
      <c r="A105" t="s">
        <v>388</v>
      </c>
      <c r="B105" t="s">
        <v>389</v>
      </c>
    </row>
    <row r="106" spans="1:2" x14ac:dyDescent="0.15">
      <c r="A106" t="s">
        <v>391</v>
      </c>
      <c r="B106" t="s">
        <v>392</v>
      </c>
    </row>
    <row r="107" spans="1:2" x14ac:dyDescent="0.15">
      <c r="A107" t="s">
        <v>394</v>
      </c>
      <c r="B107" t="s">
        <v>395</v>
      </c>
    </row>
    <row r="108" spans="1:2" x14ac:dyDescent="0.15">
      <c r="A108" t="s">
        <v>397</v>
      </c>
      <c r="B108" t="s">
        <v>398</v>
      </c>
    </row>
    <row r="109" spans="1:2" x14ac:dyDescent="0.15">
      <c r="A109" t="s">
        <v>400</v>
      </c>
      <c r="B109" t="s">
        <v>401</v>
      </c>
    </row>
    <row r="110" spans="1:2" x14ac:dyDescent="0.15">
      <c r="A110" t="s">
        <v>995</v>
      </c>
      <c r="B110" s="79" t="s">
        <v>992</v>
      </c>
    </row>
    <row r="111" spans="1:2" x14ac:dyDescent="0.15">
      <c r="A111" t="s">
        <v>996</v>
      </c>
      <c r="B111" s="79" t="s">
        <v>993</v>
      </c>
    </row>
    <row r="112" spans="1:2" x14ac:dyDescent="0.15">
      <c r="A112" t="s">
        <v>997</v>
      </c>
      <c r="B112" s="79" t="s">
        <v>994</v>
      </c>
    </row>
    <row r="113" spans="1:18" x14ac:dyDescent="0.1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15">
      <c r="A114" t="s">
        <v>420</v>
      </c>
      <c r="B114">
        <v>1</v>
      </c>
    </row>
    <row r="115" spans="1:18" x14ac:dyDescent="0.15">
      <c r="A115" t="s">
        <v>421</v>
      </c>
      <c r="B115">
        <v>2</v>
      </c>
    </row>
    <row r="116" spans="1:18" x14ac:dyDescent="0.15">
      <c r="A116" t="s">
        <v>422</v>
      </c>
      <c r="B116">
        <v>3</v>
      </c>
    </row>
    <row r="117" spans="1:18" x14ac:dyDescent="0.15">
      <c r="A117" t="s">
        <v>423</v>
      </c>
      <c r="B117">
        <v>4</v>
      </c>
    </row>
    <row r="118" spans="1:18" x14ac:dyDescent="0.15">
      <c r="A118" t="s">
        <v>424</v>
      </c>
      <c r="B118">
        <v>5</v>
      </c>
    </row>
    <row r="119" spans="1:18" x14ac:dyDescent="0.15">
      <c r="A119" t="s">
        <v>425</v>
      </c>
      <c r="B119">
        <v>6</v>
      </c>
    </row>
    <row r="120" spans="1:18" x14ac:dyDescent="0.15">
      <c r="A120" t="s">
        <v>426</v>
      </c>
      <c r="B120">
        <v>7</v>
      </c>
    </row>
    <row r="121" spans="1:18" x14ac:dyDescent="0.15">
      <c r="A121" t="s">
        <v>427</v>
      </c>
      <c r="B121">
        <v>9</v>
      </c>
    </row>
    <row r="122" spans="1:18" x14ac:dyDescent="0.15">
      <c r="A122" t="s">
        <v>428</v>
      </c>
      <c r="B122">
        <v>10</v>
      </c>
    </row>
    <row r="123" spans="1:18" x14ac:dyDescent="0.15">
      <c r="A123" t="s">
        <v>429</v>
      </c>
      <c r="B123">
        <v>11</v>
      </c>
    </row>
    <row r="124" spans="1:18" x14ac:dyDescent="0.15">
      <c r="A124" t="s">
        <v>430</v>
      </c>
      <c r="B124">
        <v>12</v>
      </c>
    </row>
    <row r="125" spans="1:18" x14ac:dyDescent="0.15">
      <c r="A125" t="s">
        <v>431</v>
      </c>
      <c r="B125">
        <v>13</v>
      </c>
    </row>
    <row r="126" spans="1:18" x14ac:dyDescent="0.15">
      <c r="A126" t="s">
        <v>432</v>
      </c>
      <c r="B126">
        <v>14</v>
      </c>
    </row>
    <row r="127" spans="1:18" x14ac:dyDescent="0.15">
      <c r="A127" t="s">
        <v>433</v>
      </c>
      <c r="B127">
        <v>15</v>
      </c>
    </row>
    <row r="128" spans="1:18" x14ac:dyDescent="0.15">
      <c r="A128" t="s">
        <v>434</v>
      </c>
      <c r="B128">
        <v>16</v>
      </c>
    </row>
    <row r="129" spans="1:2" x14ac:dyDescent="0.15">
      <c r="A129" t="s">
        <v>435</v>
      </c>
      <c r="B129">
        <v>17</v>
      </c>
    </row>
    <row r="130" spans="1:2" x14ac:dyDescent="0.15">
      <c r="A130" t="s">
        <v>436</v>
      </c>
      <c r="B130">
        <v>18</v>
      </c>
    </row>
    <row r="131" spans="1:2" x14ac:dyDescent="0.15">
      <c r="A131" t="s">
        <v>437</v>
      </c>
      <c r="B131">
        <v>19</v>
      </c>
    </row>
    <row r="132" spans="1:2" x14ac:dyDescent="0.15">
      <c r="A132" t="s">
        <v>441</v>
      </c>
      <c r="B132">
        <v>20</v>
      </c>
    </row>
    <row r="133" spans="1:2" x14ac:dyDescent="0.15">
      <c r="A133" t="s">
        <v>444</v>
      </c>
      <c r="B133">
        <v>21</v>
      </c>
    </row>
    <row r="134" spans="1:2" x14ac:dyDescent="0.15">
      <c r="A134" t="s">
        <v>445</v>
      </c>
      <c r="B134">
        <v>22</v>
      </c>
    </row>
    <row r="135" spans="1:2" x14ac:dyDescent="0.15">
      <c r="A135" t="s">
        <v>446</v>
      </c>
      <c r="B135">
        <v>23</v>
      </c>
    </row>
    <row r="136" spans="1:2" x14ac:dyDescent="0.15">
      <c r="A136" t="s">
        <v>447</v>
      </c>
      <c r="B136">
        <v>24</v>
      </c>
    </row>
    <row r="137" spans="1:2" x14ac:dyDescent="0.15">
      <c r="A137" t="s">
        <v>448</v>
      </c>
      <c r="B137">
        <v>25</v>
      </c>
    </row>
    <row r="138" spans="1:2" x14ac:dyDescent="0.15">
      <c r="A138" t="s">
        <v>449</v>
      </c>
      <c r="B138">
        <v>26</v>
      </c>
    </row>
    <row r="139" spans="1:2" x14ac:dyDescent="0.15">
      <c r="A139" t="s">
        <v>450</v>
      </c>
      <c r="B139">
        <v>27</v>
      </c>
    </row>
    <row r="140" spans="1:2" x14ac:dyDescent="0.15">
      <c r="A140" t="s">
        <v>451</v>
      </c>
      <c r="B140">
        <v>29</v>
      </c>
    </row>
    <row r="141" spans="1:2" x14ac:dyDescent="0.15">
      <c r="A141" t="s">
        <v>452</v>
      </c>
      <c r="B141">
        <v>30</v>
      </c>
    </row>
    <row r="142" spans="1:2" x14ac:dyDescent="0.15">
      <c r="A142" t="s">
        <v>453</v>
      </c>
      <c r="B142">
        <v>31</v>
      </c>
    </row>
    <row r="143" spans="1:2" x14ac:dyDescent="0.15">
      <c r="A143" t="s">
        <v>454</v>
      </c>
      <c r="B143">
        <v>32</v>
      </c>
    </row>
    <row r="144" spans="1:2" x14ac:dyDescent="0.15">
      <c r="A144" t="s">
        <v>455</v>
      </c>
      <c r="B144">
        <v>33</v>
      </c>
    </row>
    <row r="145" spans="1:2" x14ac:dyDescent="0.15">
      <c r="A145" t="s">
        <v>456</v>
      </c>
      <c r="B145">
        <v>34</v>
      </c>
    </row>
    <row r="146" spans="1:2" x14ac:dyDescent="0.15">
      <c r="A146" t="s">
        <v>457</v>
      </c>
      <c r="B146">
        <v>35</v>
      </c>
    </row>
    <row r="147" spans="1:2" x14ac:dyDescent="0.15">
      <c r="A147" t="s">
        <v>458</v>
      </c>
      <c r="B147">
        <v>36</v>
      </c>
    </row>
    <row r="148" spans="1:2" x14ac:dyDescent="0.15">
      <c r="A148" t="s">
        <v>459</v>
      </c>
      <c r="B148">
        <v>37</v>
      </c>
    </row>
    <row r="149" spans="1:2" x14ac:dyDescent="0.15">
      <c r="A149" t="s">
        <v>460</v>
      </c>
      <c r="B149">
        <v>38</v>
      </c>
    </row>
    <row r="150" spans="1:2" x14ac:dyDescent="0.15">
      <c r="A150" t="s">
        <v>461</v>
      </c>
      <c r="B150">
        <v>39</v>
      </c>
    </row>
    <row r="151" spans="1:2" x14ac:dyDescent="0.15">
      <c r="A151" t="s">
        <v>463</v>
      </c>
      <c r="B151">
        <v>40</v>
      </c>
    </row>
    <row r="152" spans="1:2" x14ac:dyDescent="0.15">
      <c r="A152" t="s">
        <v>465</v>
      </c>
      <c r="B152">
        <v>41</v>
      </c>
    </row>
    <row r="153" spans="1:2" x14ac:dyDescent="0.15">
      <c r="A153" t="s">
        <v>466</v>
      </c>
      <c r="B153">
        <v>42</v>
      </c>
    </row>
    <row r="154" spans="1:2" x14ac:dyDescent="0.15">
      <c r="A154" t="s">
        <v>467</v>
      </c>
      <c r="B154">
        <v>43</v>
      </c>
    </row>
    <row r="155" spans="1:2" x14ac:dyDescent="0.15">
      <c r="A155" t="s">
        <v>468</v>
      </c>
      <c r="B155">
        <v>44</v>
      </c>
    </row>
    <row r="156" spans="1:2" x14ac:dyDescent="0.15">
      <c r="A156" t="s">
        <v>469</v>
      </c>
      <c r="B156">
        <v>45</v>
      </c>
    </row>
    <row r="157" spans="1:2" x14ac:dyDescent="0.15">
      <c r="A157" t="s">
        <v>470</v>
      </c>
      <c r="B157">
        <v>46</v>
      </c>
    </row>
    <row r="158" spans="1:2" x14ac:dyDescent="0.15">
      <c r="A158" t="s">
        <v>471</v>
      </c>
      <c r="B158">
        <v>47</v>
      </c>
    </row>
    <row r="159" spans="1:2" x14ac:dyDescent="0.15">
      <c r="A159" t="s">
        <v>472</v>
      </c>
      <c r="B159">
        <v>49</v>
      </c>
    </row>
    <row r="160" spans="1:2" x14ac:dyDescent="0.15">
      <c r="A160" t="s">
        <v>473</v>
      </c>
      <c r="B160">
        <v>50</v>
      </c>
    </row>
    <row r="161" spans="1:2" x14ac:dyDescent="0.15">
      <c r="A161" t="s">
        <v>476</v>
      </c>
      <c r="B161">
        <v>52</v>
      </c>
    </row>
    <row r="162" spans="1:2" x14ac:dyDescent="0.15">
      <c r="A162" t="s">
        <v>478</v>
      </c>
      <c r="B162">
        <v>53</v>
      </c>
    </row>
    <row r="163" spans="1:2" x14ac:dyDescent="0.15">
      <c r="A163" t="s">
        <v>479</v>
      </c>
      <c r="B163">
        <v>54</v>
      </c>
    </row>
    <row r="164" spans="1:2" x14ac:dyDescent="0.15">
      <c r="A164" t="s">
        <v>480</v>
      </c>
      <c r="B164">
        <v>55</v>
      </c>
    </row>
    <row r="165" spans="1:2" x14ac:dyDescent="0.15">
      <c r="A165" t="s">
        <v>481</v>
      </c>
      <c r="B165">
        <v>56</v>
      </c>
    </row>
    <row r="166" spans="1:2" x14ac:dyDescent="0.15">
      <c r="A166" t="s">
        <v>482</v>
      </c>
      <c r="B166">
        <v>57</v>
      </c>
    </row>
    <row r="167" spans="1:2" x14ac:dyDescent="0.15">
      <c r="A167" t="s">
        <v>485</v>
      </c>
      <c r="B167">
        <v>59</v>
      </c>
    </row>
    <row r="168" spans="1:2" x14ac:dyDescent="0.15">
      <c r="A168" t="s">
        <v>487</v>
      </c>
      <c r="B168">
        <v>60</v>
      </c>
    </row>
    <row r="169" spans="1:2" x14ac:dyDescent="0.15">
      <c r="A169" t="s">
        <v>488</v>
      </c>
      <c r="B169">
        <v>61</v>
      </c>
    </row>
    <row r="170" spans="1:2" x14ac:dyDescent="0.15">
      <c r="A170" t="s">
        <v>489</v>
      </c>
      <c r="B170">
        <v>62</v>
      </c>
    </row>
    <row r="171" spans="1:2" x14ac:dyDescent="0.15">
      <c r="A171" t="s">
        <v>490</v>
      </c>
      <c r="B171">
        <v>63</v>
      </c>
    </row>
    <row r="172" spans="1:2" x14ac:dyDescent="0.15">
      <c r="A172" t="s">
        <v>491</v>
      </c>
      <c r="B172">
        <v>64</v>
      </c>
    </row>
    <row r="173" spans="1:2" x14ac:dyDescent="0.15">
      <c r="A173" t="s">
        <v>493</v>
      </c>
      <c r="B173" t="s">
        <v>494</v>
      </c>
    </row>
    <row r="174" spans="1:2" x14ac:dyDescent="0.15">
      <c r="A174" t="s">
        <v>495</v>
      </c>
      <c r="B174" t="s">
        <v>496</v>
      </c>
    </row>
    <row r="175" spans="1:2" x14ac:dyDescent="0.15">
      <c r="A175" t="s">
        <v>497</v>
      </c>
      <c r="B175" t="s">
        <v>498</v>
      </c>
    </row>
    <row r="176" spans="1:2" x14ac:dyDescent="0.15">
      <c r="A176" t="s">
        <v>499</v>
      </c>
      <c r="B176" t="s">
        <v>500</v>
      </c>
    </row>
    <row r="177" spans="1:2" x14ac:dyDescent="0.15">
      <c r="A177" t="s">
        <v>501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505</v>
      </c>
      <c r="B179" t="s">
        <v>506</v>
      </c>
    </row>
    <row r="180" spans="1:2" x14ac:dyDescent="0.15">
      <c r="A180" t="s">
        <v>507</v>
      </c>
      <c r="B180" t="s">
        <v>508</v>
      </c>
    </row>
    <row r="181" spans="1:2" x14ac:dyDescent="0.15">
      <c r="A181" t="s">
        <v>509</v>
      </c>
      <c r="B181" t="s">
        <v>510</v>
      </c>
    </row>
    <row r="182" spans="1:2" x14ac:dyDescent="0.15">
      <c r="A182" t="s">
        <v>511</v>
      </c>
      <c r="B182" t="s">
        <v>512</v>
      </c>
    </row>
    <row r="183" spans="1:2" x14ac:dyDescent="0.15">
      <c r="A183" t="s">
        <v>513</v>
      </c>
      <c r="B183" t="s">
        <v>514</v>
      </c>
    </row>
    <row r="184" spans="1:2" x14ac:dyDescent="0.15">
      <c r="A184" t="s">
        <v>515</v>
      </c>
      <c r="B184" t="s">
        <v>516</v>
      </c>
    </row>
    <row r="185" spans="1:2" x14ac:dyDescent="0.15">
      <c r="A185" t="s">
        <v>517</v>
      </c>
      <c r="B185" t="s">
        <v>518</v>
      </c>
    </row>
    <row r="186" spans="1:2" x14ac:dyDescent="0.15">
      <c r="A186" t="s">
        <v>519</v>
      </c>
      <c r="B186" t="s">
        <v>520</v>
      </c>
    </row>
    <row r="187" spans="1:2" x14ac:dyDescent="0.15">
      <c r="A187" t="s">
        <v>521</v>
      </c>
      <c r="B187" t="s">
        <v>522</v>
      </c>
    </row>
    <row r="188" spans="1:2" x14ac:dyDescent="0.15">
      <c r="A188" t="s">
        <v>523</v>
      </c>
      <c r="B188" t="s">
        <v>524</v>
      </c>
    </row>
    <row r="189" spans="1:2" x14ac:dyDescent="0.15">
      <c r="A189" t="s">
        <v>525</v>
      </c>
      <c r="B189" t="s">
        <v>526</v>
      </c>
    </row>
    <row r="190" spans="1:2" x14ac:dyDescent="0.15">
      <c r="A190" t="s">
        <v>527</v>
      </c>
      <c r="B190" t="s">
        <v>528</v>
      </c>
    </row>
    <row r="191" spans="1:2" x14ac:dyDescent="0.15">
      <c r="A191" t="s">
        <v>529</v>
      </c>
      <c r="B191" t="s">
        <v>530</v>
      </c>
    </row>
    <row r="192" spans="1:2" x14ac:dyDescent="0.15">
      <c r="A192" t="s">
        <v>531</v>
      </c>
      <c r="B192" t="s">
        <v>532</v>
      </c>
    </row>
    <row r="193" spans="1:2" x14ac:dyDescent="0.15">
      <c r="A193" t="s">
        <v>533</v>
      </c>
      <c r="B193" t="s">
        <v>534</v>
      </c>
    </row>
    <row r="194" spans="1:2" x14ac:dyDescent="0.15">
      <c r="A194" t="s">
        <v>535</v>
      </c>
      <c r="B194" t="s">
        <v>536</v>
      </c>
    </row>
    <row r="195" spans="1:2" x14ac:dyDescent="0.15">
      <c r="A195" t="s">
        <v>537</v>
      </c>
      <c r="B195" t="s">
        <v>538</v>
      </c>
    </row>
    <row r="196" spans="1:2" x14ac:dyDescent="0.15">
      <c r="A196" t="s">
        <v>539</v>
      </c>
      <c r="B196" t="s">
        <v>540</v>
      </c>
    </row>
    <row r="197" spans="1:2" x14ac:dyDescent="0.15">
      <c r="A197" t="s">
        <v>541</v>
      </c>
      <c r="B197" t="s">
        <v>542</v>
      </c>
    </row>
    <row r="198" spans="1:2" x14ac:dyDescent="0.15">
      <c r="A198" t="s">
        <v>543</v>
      </c>
      <c r="B198" t="s">
        <v>544</v>
      </c>
    </row>
    <row r="199" spans="1:2" x14ac:dyDescent="0.15">
      <c r="A199" t="s">
        <v>545</v>
      </c>
      <c r="B199" t="s">
        <v>546</v>
      </c>
    </row>
    <row r="200" spans="1:2" x14ac:dyDescent="0.15">
      <c r="A200" t="s">
        <v>547</v>
      </c>
      <c r="B200" t="s">
        <v>548</v>
      </c>
    </row>
    <row r="201" spans="1:2" x14ac:dyDescent="0.15">
      <c r="A201" t="s">
        <v>549</v>
      </c>
      <c r="B201" t="s">
        <v>550</v>
      </c>
    </row>
    <row r="202" spans="1:2" x14ac:dyDescent="0.15">
      <c r="A202" t="s">
        <v>551</v>
      </c>
      <c r="B202" t="s">
        <v>552</v>
      </c>
    </row>
    <row r="203" spans="1:2" x14ac:dyDescent="0.15">
      <c r="A203" t="s">
        <v>553</v>
      </c>
      <c r="B203" t="s">
        <v>554</v>
      </c>
    </row>
    <row r="204" spans="1:2" x14ac:dyDescent="0.15">
      <c r="A204" t="s">
        <v>555</v>
      </c>
      <c r="B204" t="s">
        <v>556</v>
      </c>
    </row>
    <row r="205" spans="1:2" x14ac:dyDescent="0.15">
      <c r="A205" t="s">
        <v>557</v>
      </c>
      <c r="B205" t="s">
        <v>558</v>
      </c>
    </row>
    <row r="206" spans="1:2" x14ac:dyDescent="0.15">
      <c r="A206" t="s">
        <v>559</v>
      </c>
      <c r="B206" t="s">
        <v>560</v>
      </c>
    </row>
    <row r="207" spans="1:2" x14ac:dyDescent="0.15">
      <c r="A207" t="s">
        <v>561</v>
      </c>
      <c r="B207" t="s">
        <v>562</v>
      </c>
    </row>
    <row r="208" spans="1:2" x14ac:dyDescent="0.15">
      <c r="A208" t="s">
        <v>563</v>
      </c>
      <c r="B208" t="s">
        <v>564</v>
      </c>
    </row>
    <row r="209" spans="1:2" x14ac:dyDescent="0.15">
      <c r="A209" t="s">
        <v>565</v>
      </c>
      <c r="B209" t="s">
        <v>566</v>
      </c>
    </row>
    <row r="210" spans="1:2" x14ac:dyDescent="0.15">
      <c r="A210" t="s">
        <v>567</v>
      </c>
      <c r="B210" t="s">
        <v>568</v>
      </c>
    </row>
    <row r="211" spans="1:2" x14ac:dyDescent="0.15">
      <c r="A211" t="s">
        <v>569</v>
      </c>
      <c r="B211" t="s">
        <v>570</v>
      </c>
    </row>
    <row r="212" spans="1:2" x14ac:dyDescent="0.15">
      <c r="A212" t="s">
        <v>571</v>
      </c>
      <c r="B212" t="s">
        <v>572</v>
      </c>
    </row>
    <row r="213" spans="1:2" x14ac:dyDescent="0.15">
      <c r="A213" t="s">
        <v>573</v>
      </c>
      <c r="B213" t="s">
        <v>574</v>
      </c>
    </row>
    <row r="214" spans="1:2" x14ac:dyDescent="0.15">
      <c r="A214" t="s">
        <v>575</v>
      </c>
      <c r="B214" t="s">
        <v>576</v>
      </c>
    </row>
    <row r="215" spans="1:2" x14ac:dyDescent="0.15">
      <c r="A215" t="s">
        <v>577</v>
      </c>
      <c r="B215" t="s">
        <v>578</v>
      </c>
    </row>
    <row r="216" spans="1:2" x14ac:dyDescent="0.15">
      <c r="A216" t="s">
        <v>579</v>
      </c>
      <c r="B216" t="s">
        <v>580</v>
      </c>
    </row>
    <row r="217" spans="1:2" x14ac:dyDescent="0.15">
      <c r="A217" t="s">
        <v>581</v>
      </c>
      <c r="B217" t="s">
        <v>582</v>
      </c>
    </row>
    <row r="218" spans="1:2" x14ac:dyDescent="0.15">
      <c r="A218" t="s">
        <v>583</v>
      </c>
      <c r="B218" t="s">
        <v>584</v>
      </c>
    </row>
    <row r="219" spans="1:2" x14ac:dyDescent="0.15">
      <c r="A219" t="s">
        <v>585</v>
      </c>
      <c r="B219" t="s">
        <v>586</v>
      </c>
    </row>
    <row r="220" spans="1:2" x14ac:dyDescent="0.15">
      <c r="A220" t="s">
        <v>587</v>
      </c>
      <c r="B220" t="s">
        <v>588</v>
      </c>
    </row>
    <row r="221" spans="1:2" x14ac:dyDescent="0.15">
      <c r="A221" t="s">
        <v>589</v>
      </c>
      <c r="B221" t="s">
        <v>590</v>
      </c>
    </row>
    <row r="222" spans="1:2" x14ac:dyDescent="0.15">
      <c r="A222" t="s">
        <v>591</v>
      </c>
      <c r="B222" t="s">
        <v>592</v>
      </c>
    </row>
    <row r="223" spans="1:2" x14ac:dyDescent="0.15">
      <c r="A223" t="s">
        <v>593</v>
      </c>
      <c r="B223" t="s">
        <v>594</v>
      </c>
    </row>
    <row r="224" spans="1:2" x14ac:dyDescent="0.15">
      <c r="A224" t="s">
        <v>595</v>
      </c>
      <c r="B224" t="s">
        <v>596</v>
      </c>
    </row>
    <row r="225" spans="1:20" x14ac:dyDescent="0.15">
      <c r="A225" t="s">
        <v>597</v>
      </c>
      <c r="B225" t="s">
        <v>598</v>
      </c>
    </row>
    <row r="226" spans="1:20" x14ac:dyDescent="0.15">
      <c r="A226" t="s">
        <v>599</v>
      </c>
      <c r="B226" t="s">
        <v>600</v>
      </c>
    </row>
    <row r="227" spans="1:20" x14ac:dyDescent="0.15">
      <c r="A227" t="s">
        <v>601</v>
      </c>
      <c r="B227" t="s">
        <v>602</v>
      </c>
    </row>
    <row r="228" spans="1:20" x14ac:dyDescent="0.15">
      <c r="A228" t="s">
        <v>603</v>
      </c>
      <c r="B228" t="s">
        <v>604</v>
      </c>
    </row>
    <row r="229" spans="1:20" x14ac:dyDescent="0.15">
      <c r="A229" t="s">
        <v>605</v>
      </c>
      <c r="B229" t="s">
        <v>606</v>
      </c>
    </row>
    <row r="230" spans="1:20" x14ac:dyDescent="0.15">
      <c r="A230" t="s">
        <v>607</v>
      </c>
      <c r="B230" t="s">
        <v>608</v>
      </c>
    </row>
    <row r="231" spans="1:20" x14ac:dyDescent="0.15">
      <c r="A231" t="s">
        <v>998</v>
      </c>
      <c r="B231" s="79" t="s">
        <v>1001</v>
      </c>
    </row>
    <row r="232" spans="1:20" x14ac:dyDescent="0.15">
      <c r="A232" t="s">
        <v>999</v>
      </c>
      <c r="B232" s="79" t="s">
        <v>1002</v>
      </c>
    </row>
    <row r="233" spans="1:20" x14ac:dyDescent="0.15">
      <c r="A233" t="s">
        <v>1000</v>
      </c>
      <c r="B233" s="79" t="s">
        <v>1003</v>
      </c>
    </row>
    <row r="234" spans="1:20" x14ac:dyDescent="0.1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15">
      <c r="A235" t="s">
        <v>613</v>
      </c>
      <c r="B235">
        <v>1</v>
      </c>
    </row>
    <row r="236" spans="1:20" x14ac:dyDescent="0.15">
      <c r="A236" t="s">
        <v>614</v>
      </c>
      <c r="B236">
        <v>2</v>
      </c>
    </row>
    <row r="237" spans="1:20" x14ac:dyDescent="0.15">
      <c r="A237" t="s">
        <v>615</v>
      </c>
      <c r="B237">
        <v>3</v>
      </c>
    </row>
    <row r="238" spans="1:20" x14ac:dyDescent="0.15">
      <c r="A238" t="s">
        <v>616</v>
      </c>
      <c r="B238">
        <v>4</v>
      </c>
    </row>
    <row r="239" spans="1:20" x14ac:dyDescent="0.15">
      <c r="A239" t="s">
        <v>617</v>
      </c>
      <c r="B239">
        <v>5</v>
      </c>
    </row>
    <row r="240" spans="1:20" x14ac:dyDescent="0.15">
      <c r="A240" t="s">
        <v>618</v>
      </c>
      <c r="B240">
        <v>6</v>
      </c>
    </row>
    <row r="241" spans="1:2" x14ac:dyDescent="0.15">
      <c r="A241" t="s">
        <v>621</v>
      </c>
      <c r="B241">
        <v>8</v>
      </c>
    </row>
    <row r="242" spans="1:2" x14ac:dyDescent="0.15">
      <c r="A242" t="s">
        <v>622</v>
      </c>
      <c r="B242">
        <v>9</v>
      </c>
    </row>
    <row r="243" spans="1:2" x14ac:dyDescent="0.15">
      <c r="A243" t="s">
        <v>623</v>
      </c>
      <c r="B243">
        <v>10</v>
      </c>
    </row>
    <row r="244" spans="1:2" x14ac:dyDescent="0.15">
      <c r="A244" t="s">
        <v>624</v>
      </c>
      <c r="B244">
        <v>11</v>
      </c>
    </row>
    <row r="245" spans="1:2" x14ac:dyDescent="0.15">
      <c r="A245" t="s">
        <v>625</v>
      </c>
      <c r="B245">
        <v>12</v>
      </c>
    </row>
    <row r="246" spans="1:2" x14ac:dyDescent="0.15">
      <c r="A246" t="s">
        <v>626</v>
      </c>
      <c r="B246">
        <v>13</v>
      </c>
    </row>
    <row r="247" spans="1:2" x14ac:dyDescent="0.15">
      <c r="A247" t="s">
        <v>627</v>
      </c>
      <c r="B247">
        <v>14</v>
      </c>
    </row>
    <row r="248" spans="1:2" x14ac:dyDescent="0.15">
      <c r="A248" t="s">
        <v>628</v>
      </c>
      <c r="B248">
        <v>15</v>
      </c>
    </row>
    <row r="249" spans="1:2" x14ac:dyDescent="0.15">
      <c r="A249" t="s">
        <v>629</v>
      </c>
      <c r="B249">
        <v>16</v>
      </c>
    </row>
    <row r="250" spans="1:2" x14ac:dyDescent="0.15">
      <c r="A250" t="s">
        <v>630</v>
      </c>
      <c r="B250">
        <v>17</v>
      </c>
    </row>
    <row r="251" spans="1:2" x14ac:dyDescent="0.15">
      <c r="A251" t="s">
        <v>631</v>
      </c>
      <c r="B251">
        <v>18</v>
      </c>
    </row>
    <row r="252" spans="1:2" x14ac:dyDescent="0.15">
      <c r="A252" t="s">
        <v>632</v>
      </c>
      <c r="B252">
        <v>19</v>
      </c>
    </row>
    <row r="253" spans="1:2" x14ac:dyDescent="0.15">
      <c r="A253" t="s">
        <v>633</v>
      </c>
      <c r="B253">
        <v>20</v>
      </c>
    </row>
    <row r="254" spans="1:2" x14ac:dyDescent="0.15">
      <c r="A254" t="s">
        <v>634</v>
      </c>
      <c r="B254">
        <v>21</v>
      </c>
    </row>
    <row r="255" spans="1:2" x14ac:dyDescent="0.15">
      <c r="A255" t="s">
        <v>636</v>
      </c>
      <c r="B255">
        <v>23</v>
      </c>
    </row>
    <row r="256" spans="1:2" x14ac:dyDescent="0.15">
      <c r="A256" t="s">
        <v>637</v>
      </c>
      <c r="B256">
        <v>24</v>
      </c>
    </row>
    <row r="257" spans="1:2" x14ac:dyDescent="0.15">
      <c r="A257" t="s">
        <v>638</v>
      </c>
      <c r="B257">
        <v>25</v>
      </c>
    </row>
    <row r="258" spans="1:2" x14ac:dyDescent="0.15">
      <c r="A258" t="s">
        <v>639</v>
      </c>
      <c r="B258">
        <v>26</v>
      </c>
    </row>
    <row r="259" spans="1:2" x14ac:dyDescent="0.15">
      <c r="A259" t="s">
        <v>640</v>
      </c>
      <c r="B259">
        <v>27</v>
      </c>
    </row>
    <row r="260" spans="1:2" x14ac:dyDescent="0.15">
      <c r="A260" t="s">
        <v>641</v>
      </c>
      <c r="B260">
        <v>28</v>
      </c>
    </row>
    <row r="261" spans="1:2" x14ac:dyDescent="0.15">
      <c r="A261" t="s">
        <v>642</v>
      </c>
      <c r="B261">
        <v>29</v>
      </c>
    </row>
    <row r="262" spans="1:2" x14ac:dyDescent="0.15">
      <c r="A262" t="s">
        <v>643</v>
      </c>
      <c r="B262">
        <v>30</v>
      </c>
    </row>
    <row r="263" spans="1:2" x14ac:dyDescent="0.15">
      <c r="A263" t="s">
        <v>644</v>
      </c>
      <c r="B263">
        <v>31</v>
      </c>
    </row>
    <row r="264" spans="1:2" x14ac:dyDescent="0.15">
      <c r="A264" t="s">
        <v>645</v>
      </c>
      <c r="B264">
        <v>32</v>
      </c>
    </row>
    <row r="265" spans="1:2" x14ac:dyDescent="0.15">
      <c r="A265" t="s">
        <v>646</v>
      </c>
      <c r="B265">
        <v>33</v>
      </c>
    </row>
    <row r="266" spans="1:2" x14ac:dyDescent="0.15">
      <c r="A266" t="s">
        <v>647</v>
      </c>
      <c r="B266">
        <v>34</v>
      </c>
    </row>
    <row r="267" spans="1:2" x14ac:dyDescent="0.15">
      <c r="A267" t="s">
        <v>648</v>
      </c>
      <c r="B267">
        <v>35</v>
      </c>
    </row>
    <row r="268" spans="1:2" x14ac:dyDescent="0.15">
      <c r="A268" t="s">
        <v>649</v>
      </c>
      <c r="B268">
        <v>36</v>
      </c>
    </row>
    <row r="269" spans="1:2" x14ac:dyDescent="0.15">
      <c r="A269" t="s">
        <v>652</v>
      </c>
      <c r="B269">
        <v>38</v>
      </c>
    </row>
    <row r="270" spans="1:2" x14ac:dyDescent="0.15">
      <c r="A270" t="s">
        <v>654</v>
      </c>
      <c r="B270">
        <v>39</v>
      </c>
    </row>
    <row r="271" spans="1:2" x14ac:dyDescent="0.15">
      <c r="A271" t="s">
        <v>656</v>
      </c>
      <c r="B271">
        <v>40</v>
      </c>
    </row>
    <row r="272" spans="1:2" x14ac:dyDescent="0.15">
      <c r="A272" t="s">
        <v>658</v>
      </c>
      <c r="B272">
        <v>41</v>
      </c>
    </row>
    <row r="273" spans="1:2" x14ac:dyDescent="0.15">
      <c r="A273" t="s">
        <v>659</v>
      </c>
      <c r="B273">
        <v>42</v>
      </c>
    </row>
    <row r="274" spans="1:2" x14ac:dyDescent="0.15">
      <c r="A274" t="s">
        <v>660</v>
      </c>
      <c r="B274">
        <v>43</v>
      </c>
    </row>
    <row r="275" spans="1:2" x14ac:dyDescent="0.15">
      <c r="A275" t="s">
        <v>662</v>
      </c>
      <c r="B275" t="s">
        <v>663</v>
      </c>
    </row>
    <row r="276" spans="1:2" x14ac:dyDescent="0.15">
      <c r="A276" t="s">
        <v>664</v>
      </c>
      <c r="B276" t="s">
        <v>665</v>
      </c>
    </row>
    <row r="277" spans="1:2" x14ac:dyDescent="0.15">
      <c r="A277" t="s">
        <v>666</v>
      </c>
      <c r="B277" t="s">
        <v>667</v>
      </c>
    </row>
    <row r="278" spans="1:2" x14ac:dyDescent="0.15">
      <c r="A278" t="s">
        <v>668</v>
      </c>
      <c r="B278" t="s">
        <v>669</v>
      </c>
    </row>
    <row r="279" spans="1:2" x14ac:dyDescent="0.15">
      <c r="A279" t="s">
        <v>670</v>
      </c>
      <c r="B279" t="s">
        <v>671</v>
      </c>
    </row>
    <row r="280" spans="1:2" x14ac:dyDescent="0.15">
      <c r="A280" t="s">
        <v>672</v>
      </c>
      <c r="B280" t="s">
        <v>673</v>
      </c>
    </row>
    <row r="281" spans="1:2" x14ac:dyDescent="0.15">
      <c r="A281" t="s">
        <v>674</v>
      </c>
      <c r="B281" t="s">
        <v>675</v>
      </c>
    </row>
    <row r="282" spans="1:2" x14ac:dyDescent="0.15">
      <c r="A282" t="s">
        <v>676</v>
      </c>
      <c r="B282" t="s">
        <v>677</v>
      </c>
    </row>
    <row r="283" spans="1:2" x14ac:dyDescent="0.15">
      <c r="A283" t="s">
        <v>678</v>
      </c>
      <c r="B283" t="s">
        <v>679</v>
      </c>
    </row>
    <row r="284" spans="1:2" x14ac:dyDescent="0.15">
      <c r="A284" t="s">
        <v>680</v>
      </c>
      <c r="B284" t="s">
        <v>681</v>
      </c>
    </row>
    <row r="285" spans="1:2" x14ac:dyDescent="0.15">
      <c r="A285" t="s">
        <v>682</v>
      </c>
      <c r="B285" t="s">
        <v>683</v>
      </c>
    </row>
    <row r="286" spans="1:2" x14ac:dyDescent="0.15">
      <c r="A286" t="s">
        <v>684</v>
      </c>
      <c r="B286" t="s">
        <v>685</v>
      </c>
    </row>
    <row r="287" spans="1:2" x14ac:dyDescent="0.15">
      <c r="A287" t="s">
        <v>686</v>
      </c>
      <c r="B287" t="s">
        <v>687</v>
      </c>
    </row>
    <row r="288" spans="1:2" x14ac:dyDescent="0.15">
      <c r="A288" t="s">
        <v>688</v>
      </c>
      <c r="B288" t="s">
        <v>689</v>
      </c>
    </row>
    <row r="289" spans="1:2" x14ac:dyDescent="0.15">
      <c r="A289" t="s">
        <v>690</v>
      </c>
      <c r="B289" t="s">
        <v>691</v>
      </c>
    </row>
    <row r="290" spans="1:2" x14ac:dyDescent="0.15">
      <c r="A290" t="s">
        <v>692</v>
      </c>
      <c r="B290" t="s">
        <v>693</v>
      </c>
    </row>
    <row r="291" spans="1:2" x14ac:dyDescent="0.15">
      <c r="A291" t="s">
        <v>694</v>
      </c>
      <c r="B291" t="s">
        <v>695</v>
      </c>
    </row>
    <row r="292" spans="1:2" x14ac:dyDescent="0.15">
      <c r="A292" t="s">
        <v>696</v>
      </c>
      <c r="B292" t="s">
        <v>697</v>
      </c>
    </row>
    <row r="293" spans="1:2" x14ac:dyDescent="0.15">
      <c r="A293" t="s">
        <v>698</v>
      </c>
      <c r="B293" t="s">
        <v>699</v>
      </c>
    </row>
    <row r="294" spans="1:2" x14ac:dyDescent="0.15">
      <c r="A294" t="s">
        <v>700</v>
      </c>
      <c r="B294" t="s">
        <v>701</v>
      </c>
    </row>
    <row r="295" spans="1:2" x14ac:dyDescent="0.15">
      <c r="A295" t="s">
        <v>702</v>
      </c>
      <c r="B295" t="s">
        <v>703</v>
      </c>
    </row>
    <row r="296" spans="1:2" x14ac:dyDescent="0.15">
      <c r="A296" t="s">
        <v>704</v>
      </c>
      <c r="B296" t="s">
        <v>705</v>
      </c>
    </row>
    <row r="297" spans="1:2" x14ac:dyDescent="0.15">
      <c r="A297" t="s">
        <v>706</v>
      </c>
      <c r="B297" t="s">
        <v>707</v>
      </c>
    </row>
    <row r="298" spans="1:2" x14ac:dyDescent="0.15">
      <c r="A298" t="s">
        <v>708</v>
      </c>
      <c r="B298" t="s">
        <v>709</v>
      </c>
    </row>
    <row r="299" spans="1:2" x14ac:dyDescent="0.15">
      <c r="A299" t="s">
        <v>710</v>
      </c>
      <c r="B299" t="s">
        <v>711</v>
      </c>
    </row>
    <row r="300" spans="1:2" x14ac:dyDescent="0.15">
      <c r="A300" t="s">
        <v>712</v>
      </c>
      <c r="B300" t="s">
        <v>713</v>
      </c>
    </row>
    <row r="301" spans="1:2" x14ac:dyDescent="0.15">
      <c r="A301" t="s">
        <v>714</v>
      </c>
      <c r="B301" t="s">
        <v>715</v>
      </c>
    </row>
    <row r="302" spans="1:2" x14ac:dyDescent="0.15">
      <c r="A302" t="s">
        <v>716</v>
      </c>
      <c r="B302" t="s">
        <v>717</v>
      </c>
    </row>
    <row r="303" spans="1:2" x14ac:dyDescent="0.15">
      <c r="A303" t="s">
        <v>718</v>
      </c>
      <c r="B303" t="s">
        <v>719</v>
      </c>
    </row>
    <row r="304" spans="1:2" x14ac:dyDescent="0.15">
      <c r="A304" t="s">
        <v>720</v>
      </c>
      <c r="B304" t="s">
        <v>721</v>
      </c>
    </row>
    <row r="305" spans="1:2" x14ac:dyDescent="0.15">
      <c r="A305" t="s">
        <v>722</v>
      </c>
      <c r="B305" t="s">
        <v>723</v>
      </c>
    </row>
    <row r="306" spans="1:2" x14ac:dyDescent="0.15">
      <c r="A306" t="s">
        <v>724</v>
      </c>
      <c r="B306" t="s">
        <v>725</v>
      </c>
    </row>
    <row r="307" spans="1:2" x14ac:dyDescent="0.15">
      <c r="A307" t="s">
        <v>726</v>
      </c>
      <c r="B307" t="s">
        <v>727</v>
      </c>
    </row>
    <row r="308" spans="1:2" x14ac:dyDescent="0.15">
      <c r="A308" t="s">
        <v>728</v>
      </c>
      <c r="B308" t="s">
        <v>729</v>
      </c>
    </row>
    <row r="309" spans="1:2" x14ac:dyDescent="0.15">
      <c r="A309" t="s">
        <v>730</v>
      </c>
      <c r="B309" t="s">
        <v>731</v>
      </c>
    </row>
    <row r="310" spans="1:2" x14ac:dyDescent="0.15">
      <c r="A310" t="s">
        <v>732</v>
      </c>
      <c r="B310" t="s">
        <v>733</v>
      </c>
    </row>
    <row r="311" spans="1:2" x14ac:dyDescent="0.15">
      <c r="A311" t="s">
        <v>734</v>
      </c>
      <c r="B311" t="s">
        <v>735</v>
      </c>
    </row>
    <row r="312" spans="1:2" x14ac:dyDescent="0.15">
      <c r="A312" t="s">
        <v>736</v>
      </c>
      <c r="B312" t="s">
        <v>737</v>
      </c>
    </row>
    <row r="313" spans="1:2" x14ac:dyDescent="0.15">
      <c r="A313" t="s">
        <v>738</v>
      </c>
      <c r="B313" t="s">
        <v>739</v>
      </c>
    </row>
    <row r="314" spans="1:2" x14ac:dyDescent="0.15">
      <c r="A314" t="s">
        <v>740</v>
      </c>
      <c r="B314" t="s">
        <v>741</v>
      </c>
    </row>
    <row r="315" spans="1:2" x14ac:dyDescent="0.15">
      <c r="A315" t="s">
        <v>742</v>
      </c>
      <c r="B315" t="s">
        <v>743</v>
      </c>
    </row>
    <row r="316" spans="1:2" x14ac:dyDescent="0.15">
      <c r="A316" t="s">
        <v>744</v>
      </c>
      <c r="B316" t="s">
        <v>745</v>
      </c>
    </row>
    <row r="317" spans="1:2" x14ac:dyDescent="0.15">
      <c r="A317" t="s">
        <v>746</v>
      </c>
      <c r="B317" t="s">
        <v>747</v>
      </c>
    </row>
    <row r="318" spans="1:2" x14ac:dyDescent="0.15">
      <c r="A318" t="s">
        <v>748</v>
      </c>
      <c r="B318" t="s">
        <v>749</v>
      </c>
    </row>
    <row r="319" spans="1:2" x14ac:dyDescent="0.15">
      <c r="A319" t="s">
        <v>750</v>
      </c>
      <c r="B319" t="s">
        <v>751</v>
      </c>
    </row>
    <row r="320" spans="1:2" x14ac:dyDescent="0.15">
      <c r="A320" t="s">
        <v>752</v>
      </c>
      <c r="B320" t="s">
        <v>753</v>
      </c>
    </row>
    <row r="321" spans="1:15" x14ac:dyDescent="0.15">
      <c r="A321" t="s">
        <v>754</v>
      </c>
      <c r="B321" t="s">
        <v>755</v>
      </c>
    </row>
    <row r="322" spans="1:15" x14ac:dyDescent="0.15">
      <c r="A322" t="s">
        <v>756</v>
      </c>
      <c r="B322" t="s">
        <v>757</v>
      </c>
    </row>
    <row r="323" spans="1:15" x14ac:dyDescent="0.15">
      <c r="A323" t="s">
        <v>758</v>
      </c>
      <c r="B323" t="s">
        <v>759</v>
      </c>
    </row>
    <row r="324" spans="1:15" x14ac:dyDescent="0.15">
      <c r="A324" t="s">
        <v>760</v>
      </c>
      <c r="B324" t="s">
        <v>761</v>
      </c>
    </row>
    <row r="325" spans="1:15" x14ac:dyDescent="0.15">
      <c r="A325" t="s">
        <v>762</v>
      </c>
      <c r="B325" t="s">
        <v>763</v>
      </c>
    </row>
    <row r="326" spans="1:15" x14ac:dyDescent="0.15">
      <c r="A326" t="s">
        <v>764</v>
      </c>
      <c r="B326" t="s">
        <v>765</v>
      </c>
    </row>
    <row r="327" spans="1:15" x14ac:dyDescent="0.15">
      <c r="A327" t="s">
        <v>766</v>
      </c>
      <c r="B327" t="s">
        <v>767</v>
      </c>
    </row>
    <row r="328" spans="1:15" x14ac:dyDescent="0.15">
      <c r="A328" t="s">
        <v>768</v>
      </c>
      <c r="B328" t="s">
        <v>769</v>
      </c>
    </row>
    <row r="329" spans="1:15" x14ac:dyDescent="0.15">
      <c r="A329" t="s">
        <v>770</v>
      </c>
      <c r="B329" t="s">
        <v>771</v>
      </c>
    </row>
    <row r="330" spans="1:15" x14ac:dyDescent="0.15">
      <c r="A330" t="s">
        <v>772</v>
      </c>
      <c r="B330" t="s">
        <v>773</v>
      </c>
    </row>
    <row r="331" spans="1:15" x14ac:dyDescent="0.15">
      <c r="A331" t="s">
        <v>774</v>
      </c>
      <c r="B331" t="s">
        <v>775</v>
      </c>
    </row>
    <row r="332" spans="1:15" x14ac:dyDescent="0.15">
      <c r="A332" t="s">
        <v>776</v>
      </c>
      <c r="B332" t="s">
        <v>777</v>
      </c>
    </row>
    <row r="333" spans="1:15" x14ac:dyDescent="0.15">
      <c r="A333" t="s">
        <v>1004</v>
      </c>
      <c r="B333" s="79" t="s">
        <v>1007</v>
      </c>
    </row>
    <row r="334" spans="1:15" x14ac:dyDescent="0.15">
      <c r="A334" t="s">
        <v>1005</v>
      </c>
      <c r="B334" s="79" t="s">
        <v>1008</v>
      </c>
    </row>
    <row r="335" spans="1:15" x14ac:dyDescent="0.15">
      <c r="A335" t="s">
        <v>1006</v>
      </c>
      <c r="B335" s="79" t="s">
        <v>1009</v>
      </c>
    </row>
    <row r="336" spans="1:15" x14ac:dyDescent="0.1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15">
      <c r="A337" t="s">
        <v>782</v>
      </c>
      <c r="B337">
        <v>1</v>
      </c>
    </row>
    <row r="338" spans="1:2" x14ac:dyDescent="0.15">
      <c r="A338" t="s">
        <v>783</v>
      </c>
      <c r="B338">
        <v>2</v>
      </c>
    </row>
    <row r="339" spans="1:2" x14ac:dyDescent="0.15">
      <c r="A339" t="s">
        <v>784</v>
      </c>
      <c r="B339">
        <v>3</v>
      </c>
    </row>
    <row r="340" spans="1:2" x14ac:dyDescent="0.15">
      <c r="A340" t="s">
        <v>785</v>
      </c>
      <c r="B340">
        <v>4</v>
      </c>
    </row>
    <row r="341" spans="1:2" x14ac:dyDescent="0.15">
      <c r="A341" t="s">
        <v>786</v>
      </c>
      <c r="B341">
        <v>5</v>
      </c>
    </row>
    <row r="342" spans="1:2" x14ac:dyDescent="0.15">
      <c r="A342" t="s">
        <v>787</v>
      </c>
      <c r="B342">
        <v>6</v>
      </c>
    </row>
    <row r="343" spans="1:2" x14ac:dyDescent="0.15">
      <c r="A343" t="s">
        <v>788</v>
      </c>
      <c r="B343">
        <v>7</v>
      </c>
    </row>
    <row r="344" spans="1:2" x14ac:dyDescent="0.15">
      <c r="A344" t="s">
        <v>789</v>
      </c>
      <c r="B344">
        <v>9</v>
      </c>
    </row>
    <row r="345" spans="1:2" x14ac:dyDescent="0.15">
      <c r="A345" t="s">
        <v>790</v>
      </c>
      <c r="B345">
        <v>10</v>
      </c>
    </row>
    <row r="346" spans="1:2" x14ac:dyDescent="0.15">
      <c r="A346" t="s">
        <v>791</v>
      </c>
      <c r="B346">
        <v>11</v>
      </c>
    </row>
    <row r="347" spans="1:2" x14ac:dyDescent="0.15">
      <c r="A347" t="s">
        <v>792</v>
      </c>
      <c r="B347">
        <v>12</v>
      </c>
    </row>
    <row r="348" spans="1:2" x14ac:dyDescent="0.15">
      <c r="A348" t="s">
        <v>793</v>
      </c>
      <c r="B348">
        <v>13</v>
      </c>
    </row>
    <row r="349" spans="1:2" x14ac:dyDescent="0.15">
      <c r="A349" t="s">
        <v>794</v>
      </c>
      <c r="B349">
        <v>14</v>
      </c>
    </row>
    <row r="350" spans="1:2" x14ac:dyDescent="0.15">
      <c r="A350" t="s">
        <v>795</v>
      </c>
      <c r="B350">
        <v>15</v>
      </c>
    </row>
    <row r="351" spans="1:2" x14ac:dyDescent="0.15">
      <c r="A351" t="s">
        <v>796</v>
      </c>
      <c r="B351">
        <v>16</v>
      </c>
    </row>
    <row r="352" spans="1:2" x14ac:dyDescent="0.15">
      <c r="A352" t="s">
        <v>797</v>
      </c>
      <c r="B352">
        <v>17</v>
      </c>
    </row>
    <row r="353" spans="1:2" x14ac:dyDescent="0.15">
      <c r="A353" t="s">
        <v>798</v>
      </c>
      <c r="B353">
        <v>18</v>
      </c>
    </row>
    <row r="354" spans="1:2" x14ac:dyDescent="0.15">
      <c r="A354" t="s">
        <v>799</v>
      </c>
      <c r="B354">
        <v>19</v>
      </c>
    </row>
    <row r="355" spans="1:2" x14ac:dyDescent="0.15">
      <c r="A355" t="s">
        <v>800</v>
      </c>
      <c r="B355">
        <v>20</v>
      </c>
    </row>
    <row r="356" spans="1:2" x14ac:dyDescent="0.15">
      <c r="A356" t="s">
        <v>801</v>
      </c>
      <c r="B356">
        <v>21</v>
      </c>
    </row>
    <row r="357" spans="1:2" x14ac:dyDescent="0.15">
      <c r="A357" t="s">
        <v>802</v>
      </c>
      <c r="B357">
        <v>22</v>
      </c>
    </row>
    <row r="358" spans="1:2" x14ac:dyDescent="0.15">
      <c r="A358" t="s">
        <v>803</v>
      </c>
      <c r="B358">
        <v>23</v>
      </c>
    </row>
    <row r="359" spans="1:2" x14ac:dyDescent="0.15">
      <c r="A359" t="s">
        <v>806</v>
      </c>
      <c r="B359">
        <v>24</v>
      </c>
    </row>
    <row r="360" spans="1:2" x14ac:dyDescent="0.15">
      <c r="A360" t="s">
        <v>808</v>
      </c>
      <c r="B360">
        <v>25</v>
      </c>
    </row>
    <row r="361" spans="1:2" x14ac:dyDescent="0.15">
      <c r="A361" t="s">
        <v>810</v>
      </c>
      <c r="B361">
        <v>26</v>
      </c>
    </row>
    <row r="362" spans="1:2" x14ac:dyDescent="0.15">
      <c r="A362" t="s">
        <v>812</v>
      </c>
      <c r="B362">
        <v>27</v>
      </c>
    </row>
    <row r="363" spans="1:2" x14ac:dyDescent="0.15">
      <c r="A363" t="s">
        <v>813</v>
      </c>
      <c r="B363">
        <v>28</v>
      </c>
    </row>
    <row r="364" spans="1:2" x14ac:dyDescent="0.15">
      <c r="A364" t="s">
        <v>814</v>
      </c>
      <c r="B364">
        <v>29</v>
      </c>
    </row>
    <row r="365" spans="1:2" x14ac:dyDescent="0.15">
      <c r="A365" t="s">
        <v>815</v>
      </c>
      <c r="B365">
        <v>31</v>
      </c>
    </row>
    <row r="366" spans="1:2" x14ac:dyDescent="0.15">
      <c r="A366" t="s">
        <v>816</v>
      </c>
      <c r="B366">
        <v>32</v>
      </c>
    </row>
    <row r="367" spans="1:2" x14ac:dyDescent="0.15">
      <c r="A367" t="s">
        <v>817</v>
      </c>
      <c r="B367">
        <v>33</v>
      </c>
    </row>
    <row r="368" spans="1:2" x14ac:dyDescent="0.15">
      <c r="A368" t="s">
        <v>818</v>
      </c>
      <c r="B368">
        <v>34</v>
      </c>
    </row>
    <row r="369" spans="1:2" x14ac:dyDescent="0.15">
      <c r="A369" t="s">
        <v>819</v>
      </c>
      <c r="B369">
        <v>35</v>
      </c>
    </row>
    <row r="370" spans="1:2" x14ac:dyDescent="0.15">
      <c r="A370" t="s">
        <v>820</v>
      </c>
      <c r="B370">
        <v>36</v>
      </c>
    </row>
    <row r="371" spans="1:2" x14ac:dyDescent="0.15">
      <c r="A371" t="s">
        <v>821</v>
      </c>
      <c r="B371">
        <v>37</v>
      </c>
    </row>
    <row r="372" spans="1:2" x14ac:dyDescent="0.15">
      <c r="A372" t="s">
        <v>822</v>
      </c>
      <c r="B372">
        <v>38</v>
      </c>
    </row>
    <row r="373" spans="1:2" x14ac:dyDescent="0.15">
      <c r="A373" t="s">
        <v>823</v>
      </c>
      <c r="B373">
        <v>39</v>
      </c>
    </row>
    <row r="374" spans="1:2" x14ac:dyDescent="0.15">
      <c r="A374" t="s">
        <v>824</v>
      </c>
      <c r="B374">
        <v>40</v>
      </c>
    </row>
    <row r="375" spans="1:2" x14ac:dyDescent="0.15">
      <c r="A375" t="s">
        <v>825</v>
      </c>
      <c r="B375">
        <v>41</v>
      </c>
    </row>
    <row r="376" spans="1:2" x14ac:dyDescent="0.15">
      <c r="A376" t="s">
        <v>826</v>
      </c>
      <c r="B376">
        <v>42</v>
      </c>
    </row>
    <row r="377" spans="1:2" x14ac:dyDescent="0.15">
      <c r="A377" t="s">
        <v>827</v>
      </c>
      <c r="B377">
        <v>43</v>
      </c>
    </row>
    <row r="378" spans="1:2" x14ac:dyDescent="0.15">
      <c r="A378" t="s">
        <v>828</v>
      </c>
      <c r="B378">
        <v>44</v>
      </c>
    </row>
    <row r="379" spans="1:2" x14ac:dyDescent="0.15">
      <c r="A379" t="s">
        <v>829</v>
      </c>
      <c r="B379">
        <v>45</v>
      </c>
    </row>
    <row r="380" spans="1:2" x14ac:dyDescent="0.15">
      <c r="A380" t="s">
        <v>831</v>
      </c>
      <c r="B380">
        <v>46</v>
      </c>
    </row>
    <row r="381" spans="1:2" x14ac:dyDescent="0.15">
      <c r="A381" t="s">
        <v>833</v>
      </c>
      <c r="B381">
        <v>47</v>
      </c>
    </row>
    <row r="382" spans="1:2" x14ac:dyDescent="0.15">
      <c r="A382" t="s">
        <v>835</v>
      </c>
      <c r="B382">
        <v>48</v>
      </c>
    </row>
    <row r="383" spans="1:2" x14ac:dyDescent="0.15">
      <c r="A383" t="s">
        <v>837</v>
      </c>
      <c r="B383">
        <v>49</v>
      </c>
    </row>
    <row r="384" spans="1:2" x14ac:dyDescent="0.15">
      <c r="A384" t="s">
        <v>838</v>
      </c>
      <c r="B384">
        <v>50</v>
      </c>
    </row>
    <row r="385" spans="1:2" x14ac:dyDescent="0.15">
      <c r="A385" t="s">
        <v>839</v>
      </c>
      <c r="B385">
        <v>51</v>
      </c>
    </row>
    <row r="386" spans="1:2" x14ac:dyDescent="0.15">
      <c r="A386" t="s">
        <v>840</v>
      </c>
      <c r="B386">
        <v>53</v>
      </c>
    </row>
    <row r="387" spans="1:2" x14ac:dyDescent="0.15">
      <c r="A387" t="s">
        <v>841</v>
      </c>
      <c r="B387">
        <v>54</v>
      </c>
    </row>
    <row r="388" spans="1:2" x14ac:dyDescent="0.15">
      <c r="A388" t="s">
        <v>842</v>
      </c>
      <c r="B388">
        <v>56</v>
      </c>
    </row>
    <row r="389" spans="1:2" x14ac:dyDescent="0.15">
      <c r="A389" t="s">
        <v>843</v>
      </c>
      <c r="B389">
        <v>57</v>
      </c>
    </row>
    <row r="390" spans="1:2" x14ac:dyDescent="0.15">
      <c r="A390" t="s">
        <v>844</v>
      </c>
      <c r="B390">
        <v>58</v>
      </c>
    </row>
    <row r="391" spans="1:2" x14ac:dyDescent="0.15">
      <c r="A391" t="s">
        <v>845</v>
      </c>
      <c r="B391">
        <v>59</v>
      </c>
    </row>
    <row r="392" spans="1:2" x14ac:dyDescent="0.15">
      <c r="A392" t="s">
        <v>848</v>
      </c>
      <c r="B392">
        <v>61</v>
      </c>
    </row>
    <row r="393" spans="1:2" x14ac:dyDescent="0.15">
      <c r="A393" t="s">
        <v>850</v>
      </c>
      <c r="B393">
        <v>62</v>
      </c>
    </row>
    <row r="394" spans="1:2" x14ac:dyDescent="0.15">
      <c r="A394" t="s">
        <v>852</v>
      </c>
      <c r="B394">
        <v>63</v>
      </c>
    </row>
    <row r="395" spans="1:2" x14ac:dyDescent="0.15">
      <c r="A395" t="s">
        <v>854</v>
      </c>
      <c r="B395">
        <v>64</v>
      </c>
    </row>
    <row r="396" spans="1:2" x14ac:dyDescent="0.15">
      <c r="A396" t="s">
        <v>855</v>
      </c>
      <c r="B396">
        <v>66</v>
      </c>
    </row>
    <row r="397" spans="1:2" x14ac:dyDescent="0.15">
      <c r="A397" t="s">
        <v>856</v>
      </c>
      <c r="B397">
        <v>67</v>
      </c>
    </row>
    <row r="398" spans="1:2" x14ac:dyDescent="0.15">
      <c r="A398" t="s">
        <v>857</v>
      </c>
      <c r="B398">
        <v>68</v>
      </c>
    </row>
    <row r="399" spans="1:2" x14ac:dyDescent="0.15">
      <c r="A399" t="s">
        <v>858</v>
      </c>
      <c r="B399">
        <v>69</v>
      </c>
    </row>
    <row r="400" spans="1:2" x14ac:dyDescent="0.15">
      <c r="A400" t="s">
        <v>861</v>
      </c>
      <c r="B400">
        <v>71</v>
      </c>
    </row>
    <row r="401" spans="1:2" x14ac:dyDescent="0.15">
      <c r="A401" t="s">
        <v>863</v>
      </c>
      <c r="B401">
        <v>72</v>
      </c>
    </row>
    <row r="402" spans="1:2" x14ac:dyDescent="0.15">
      <c r="A402" t="s">
        <v>865</v>
      </c>
      <c r="B402">
        <v>73</v>
      </c>
    </row>
    <row r="403" spans="1:2" x14ac:dyDescent="0.15">
      <c r="A403" t="s">
        <v>867</v>
      </c>
      <c r="B403">
        <v>74</v>
      </c>
    </row>
    <row r="404" spans="1:2" x14ac:dyDescent="0.15">
      <c r="A404" t="s">
        <v>869</v>
      </c>
      <c r="B404" t="s">
        <v>870</v>
      </c>
    </row>
    <row r="405" spans="1:2" x14ac:dyDescent="0.15">
      <c r="A405" t="s">
        <v>871</v>
      </c>
      <c r="B405" t="s">
        <v>872</v>
      </c>
    </row>
    <row r="406" spans="1:2" x14ac:dyDescent="0.15">
      <c r="A406" t="s">
        <v>873</v>
      </c>
      <c r="B406" t="s">
        <v>874</v>
      </c>
    </row>
    <row r="407" spans="1:2" x14ac:dyDescent="0.15">
      <c r="A407" t="s">
        <v>875</v>
      </c>
      <c r="B407" t="s">
        <v>876</v>
      </c>
    </row>
    <row r="408" spans="1:2" x14ac:dyDescent="0.15">
      <c r="A408" t="s">
        <v>877</v>
      </c>
      <c r="B408" t="s">
        <v>878</v>
      </c>
    </row>
    <row r="409" spans="1:2" x14ac:dyDescent="0.15">
      <c r="A409" t="s">
        <v>879</v>
      </c>
      <c r="B409" t="s">
        <v>880</v>
      </c>
    </row>
    <row r="410" spans="1:2" x14ac:dyDescent="0.15">
      <c r="A410" t="s">
        <v>881</v>
      </c>
      <c r="B410" t="s">
        <v>882</v>
      </c>
    </row>
    <row r="411" spans="1:2" x14ac:dyDescent="0.15">
      <c r="A411" t="s">
        <v>883</v>
      </c>
      <c r="B411" t="s">
        <v>884</v>
      </c>
    </row>
    <row r="412" spans="1:2" x14ac:dyDescent="0.15">
      <c r="A412" t="s">
        <v>885</v>
      </c>
      <c r="B412" t="s">
        <v>886</v>
      </c>
    </row>
    <row r="413" spans="1:2" x14ac:dyDescent="0.15">
      <c r="A413" t="s">
        <v>887</v>
      </c>
      <c r="B413" t="s">
        <v>888</v>
      </c>
    </row>
    <row r="414" spans="1:2" x14ac:dyDescent="0.15">
      <c r="A414" t="s">
        <v>889</v>
      </c>
      <c r="B414" t="s">
        <v>890</v>
      </c>
    </row>
    <row r="415" spans="1:2" x14ac:dyDescent="0.15">
      <c r="A415" t="s">
        <v>891</v>
      </c>
      <c r="B415" t="s">
        <v>892</v>
      </c>
    </row>
    <row r="416" spans="1:2" x14ac:dyDescent="0.15">
      <c r="A416" t="s">
        <v>893</v>
      </c>
      <c r="B416" t="s">
        <v>894</v>
      </c>
    </row>
    <row r="417" spans="1:2" x14ac:dyDescent="0.15">
      <c r="A417" t="s">
        <v>895</v>
      </c>
      <c r="B417" t="s">
        <v>896</v>
      </c>
    </row>
    <row r="418" spans="1:2" x14ac:dyDescent="0.15">
      <c r="A418" t="s">
        <v>897</v>
      </c>
      <c r="B418" t="s">
        <v>898</v>
      </c>
    </row>
    <row r="419" spans="1:2" x14ac:dyDescent="0.15">
      <c r="A419" t="s">
        <v>899</v>
      </c>
      <c r="B419" t="s">
        <v>900</v>
      </c>
    </row>
    <row r="420" spans="1:2" x14ac:dyDescent="0.15">
      <c r="A420" t="s">
        <v>901</v>
      </c>
      <c r="B420" t="s">
        <v>902</v>
      </c>
    </row>
    <row r="421" spans="1:2" x14ac:dyDescent="0.15">
      <c r="A421" t="s">
        <v>903</v>
      </c>
      <c r="B421" t="s">
        <v>904</v>
      </c>
    </row>
    <row r="422" spans="1:2" x14ac:dyDescent="0.15">
      <c r="A422" t="s">
        <v>905</v>
      </c>
      <c r="B422" t="s">
        <v>906</v>
      </c>
    </row>
    <row r="423" spans="1:2" x14ac:dyDescent="0.15">
      <c r="A423" t="s">
        <v>907</v>
      </c>
      <c r="B423" t="s">
        <v>908</v>
      </c>
    </row>
    <row r="424" spans="1:2" x14ac:dyDescent="0.15">
      <c r="A424" t="s">
        <v>909</v>
      </c>
      <c r="B424" t="s">
        <v>910</v>
      </c>
    </row>
    <row r="425" spans="1:2" x14ac:dyDescent="0.15">
      <c r="A425" t="s">
        <v>911</v>
      </c>
      <c r="B425" t="s">
        <v>912</v>
      </c>
    </row>
    <row r="426" spans="1:2" x14ac:dyDescent="0.15">
      <c r="A426" t="s">
        <v>913</v>
      </c>
      <c r="B426" t="s">
        <v>914</v>
      </c>
    </row>
    <row r="427" spans="1:2" x14ac:dyDescent="0.15">
      <c r="A427" t="s">
        <v>915</v>
      </c>
      <c r="B427" t="s">
        <v>916</v>
      </c>
    </row>
    <row r="428" spans="1:2" x14ac:dyDescent="0.15">
      <c r="A428" t="s">
        <v>917</v>
      </c>
      <c r="B428" t="s">
        <v>918</v>
      </c>
    </row>
    <row r="429" spans="1:2" x14ac:dyDescent="0.15">
      <c r="A429" t="s">
        <v>919</v>
      </c>
      <c r="B429" t="s">
        <v>920</v>
      </c>
    </row>
    <row r="430" spans="1:2" x14ac:dyDescent="0.15">
      <c r="A430" t="s">
        <v>921</v>
      </c>
      <c r="B430" t="s">
        <v>922</v>
      </c>
    </row>
    <row r="431" spans="1:2" x14ac:dyDescent="0.15">
      <c r="A431" t="s">
        <v>923</v>
      </c>
      <c r="B431" t="s">
        <v>924</v>
      </c>
    </row>
    <row r="432" spans="1:2" x14ac:dyDescent="0.15">
      <c r="A432" t="s">
        <v>925</v>
      </c>
      <c r="B432" t="s">
        <v>926</v>
      </c>
    </row>
    <row r="433" spans="1:2" x14ac:dyDescent="0.15">
      <c r="A433" t="s">
        <v>927</v>
      </c>
      <c r="B433" t="s">
        <v>928</v>
      </c>
    </row>
    <row r="434" spans="1:2" x14ac:dyDescent="0.15">
      <c r="A434" t="s">
        <v>929</v>
      </c>
      <c r="B434" t="s">
        <v>930</v>
      </c>
    </row>
    <row r="435" spans="1:2" x14ac:dyDescent="0.15">
      <c r="A435" t="s">
        <v>931</v>
      </c>
      <c r="B435" t="s">
        <v>932</v>
      </c>
    </row>
    <row r="436" spans="1:2" x14ac:dyDescent="0.15">
      <c r="A436" t="s">
        <v>933</v>
      </c>
      <c r="B436" t="s">
        <v>934</v>
      </c>
    </row>
    <row r="437" spans="1:2" x14ac:dyDescent="0.15">
      <c r="A437" t="s">
        <v>935</v>
      </c>
      <c r="B437" t="s">
        <v>936</v>
      </c>
    </row>
    <row r="438" spans="1:2" x14ac:dyDescent="0.15">
      <c r="A438" t="s">
        <v>937</v>
      </c>
      <c r="B438" t="s">
        <v>938</v>
      </c>
    </row>
    <row r="439" spans="1:2" x14ac:dyDescent="0.15">
      <c r="A439" t="s">
        <v>939</v>
      </c>
      <c r="B439" t="s">
        <v>940</v>
      </c>
    </row>
    <row r="440" spans="1:2" x14ac:dyDescent="0.15">
      <c r="A440" t="s">
        <v>941</v>
      </c>
      <c r="B440" t="s">
        <v>942</v>
      </c>
    </row>
    <row r="441" spans="1:2" x14ac:dyDescent="0.15">
      <c r="A441" t="s">
        <v>943</v>
      </c>
      <c r="B441" t="s">
        <v>944</v>
      </c>
    </row>
    <row r="442" spans="1:2" x14ac:dyDescent="0.15">
      <c r="A442" t="s">
        <v>945</v>
      </c>
      <c r="B442" t="s">
        <v>946</v>
      </c>
    </row>
    <row r="443" spans="1:2" x14ac:dyDescent="0.15">
      <c r="A443" t="s">
        <v>947</v>
      </c>
      <c r="B443" t="s">
        <v>948</v>
      </c>
    </row>
    <row r="444" spans="1:2" x14ac:dyDescent="0.15">
      <c r="A444" t="s">
        <v>949</v>
      </c>
      <c r="B444" t="s">
        <v>950</v>
      </c>
    </row>
    <row r="445" spans="1:2" x14ac:dyDescent="0.15">
      <c r="A445" t="s">
        <v>951</v>
      </c>
      <c r="B445" t="s">
        <v>952</v>
      </c>
    </row>
    <row r="446" spans="1:2" x14ac:dyDescent="0.15">
      <c r="A446" t="s">
        <v>953</v>
      </c>
      <c r="B446" t="s">
        <v>954</v>
      </c>
    </row>
    <row r="447" spans="1:2" x14ac:dyDescent="0.15">
      <c r="A447" t="s">
        <v>955</v>
      </c>
      <c r="B447" t="s">
        <v>956</v>
      </c>
    </row>
    <row r="448" spans="1:2" x14ac:dyDescent="0.15">
      <c r="A448" t="s">
        <v>957</v>
      </c>
      <c r="B448" t="s">
        <v>958</v>
      </c>
    </row>
    <row r="449" spans="1:2" x14ac:dyDescent="0.15">
      <c r="A449" t="s">
        <v>959</v>
      </c>
      <c r="B449" t="s">
        <v>960</v>
      </c>
    </row>
    <row r="450" spans="1:2" x14ac:dyDescent="0.15">
      <c r="A450" t="s">
        <v>961</v>
      </c>
      <c r="B450" t="s">
        <v>962</v>
      </c>
    </row>
    <row r="451" spans="1:2" x14ac:dyDescent="0.15">
      <c r="A451" t="s">
        <v>963</v>
      </c>
      <c r="B451" t="s">
        <v>964</v>
      </c>
    </row>
    <row r="452" spans="1:2" x14ac:dyDescent="0.15">
      <c r="A452" t="s">
        <v>965</v>
      </c>
      <c r="B452" t="s">
        <v>966</v>
      </c>
    </row>
    <row r="453" spans="1:2" x14ac:dyDescent="0.15">
      <c r="A453" t="s">
        <v>967</v>
      </c>
      <c r="B453" t="s">
        <v>968</v>
      </c>
    </row>
    <row r="454" spans="1:2" x14ac:dyDescent="0.15">
      <c r="A454" t="s">
        <v>969</v>
      </c>
      <c r="B454" t="s">
        <v>970</v>
      </c>
    </row>
    <row r="455" spans="1:2" x14ac:dyDescent="0.15">
      <c r="A455" t="s">
        <v>971</v>
      </c>
      <c r="B455" t="s">
        <v>972</v>
      </c>
    </row>
    <row r="456" spans="1:2" x14ac:dyDescent="0.15">
      <c r="A456" t="s">
        <v>973</v>
      </c>
      <c r="B456" t="s">
        <v>974</v>
      </c>
    </row>
    <row r="457" spans="1:2" x14ac:dyDescent="0.15">
      <c r="A457" t="s">
        <v>975</v>
      </c>
      <c r="B457" t="s">
        <v>976</v>
      </c>
    </row>
    <row r="458" spans="1:2" x14ac:dyDescent="0.15">
      <c r="A458" t="s">
        <v>977</v>
      </c>
      <c r="B458" t="s">
        <v>978</v>
      </c>
    </row>
    <row r="459" spans="1:2" x14ac:dyDescent="0.15">
      <c r="A459" t="s">
        <v>979</v>
      </c>
      <c r="B459" t="s">
        <v>980</v>
      </c>
    </row>
    <row r="460" spans="1:2" x14ac:dyDescent="0.15">
      <c r="A460" t="s">
        <v>981</v>
      </c>
      <c r="B460" t="s">
        <v>982</v>
      </c>
    </row>
    <row r="461" spans="1:2" x14ac:dyDescent="0.15">
      <c r="A461" t="s">
        <v>983</v>
      </c>
      <c r="B461" t="s">
        <v>984</v>
      </c>
    </row>
    <row r="462" spans="1:2" x14ac:dyDescent="0.15">
      <c r="A462" t="s">
        <v>1010</v>
      </c>
      <c r="B462" s="79" t="s">
        <v>1013</v>
      </c>
    </row>
    <row r="463" spans="1:2" x14ac:dyDescent="0.15">
      <c r="A463" t="s">
        <v>1011</v>
      </c>
      <c r="B463" s="79" t="s">
        <v>1014</v>
      </c>
    </row>
    <row r="464" spans="1:2" x14ac:dyDescent="0.15">
      <c r="A464" t="s">
        <v>1012</v>
      </c>
      <c r="B464" s="79" t="s">
        <v>1015</v>
      </c>
    </row>
    <row r="465" spans="1:22" x14ac:dyDescent="0.1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zoomScale="85" zoomScaleNormal="85" workbookViewId="0">
      <pane xSplit="2" ySplit="4" topLeftCell="W247" activePane="bottomRight" state="frozen"/>
      <selection pane="topRight" activeCell="C1" sqref="C1"/>
      <selection pane="bottomLeft" activeCell="A5" sqref="A5"/>
      <selection pane="bottomRight" activeCell="AK185" sqref="AK185:AK280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5" width="11.625" customWidth="1"/>
    <col min="28" max="28" width="1.625" customWidth="1"/>
    <col min="30" max="32" width="10.625" customWidth="1"/>
    <col min="33" max="33" width="11.625" customWidth="1"/>
    <col min="34" max="34" width="12.625" customWidth="1"/>
    <col min="35" max="35" width="10.625" customWidth="1"/>
    <col min="36" max="39" width="12.625" customWidth="1"/>
    <col min="40" max="45" width="11.625" customWidth="1"/>
    <col min="48" max="48" width="1.625" customWidth="1"/>
    <col min="51" max="51" width="1.625" customWidth="1"/>
    <col min="54" max="57" width="11.625" customWidth="1"/>
    <col min="58" max="58" width="1.625" customWidth="1"/>
    <col min="61" max="64" width="11.625" customWidth="1"/>
    <col min="65" max="65" width="1.625" customWidth="1"/>
  </cols>
  <sheetData>
    <row r="1" spans="1:64" x14ac:dyDescent="0.15">
      <c r="A1" s="105" t="s">
        <v>492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C1" s="102" t="str">
        <f>Summary!C2</f>
        <v>v20.0-rc1-trisoup-raht+18edges+flagCtx_test</v>
      </c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</row>
    <row r="2" spans="1:64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438</v>
      </c>
      <c r="U2" s="104"/>
      <c r="V2" s="103" t="s">
        <v>143</v>
      </c>
      <c r="W2" s="103"/>
      <c r="X2" s="103"/>
      <c r="Y2" s="103"/>
      <c r="Z2" s="107" t="s">
        <v>155</v>
      </c>
      <c r="AA2" s="106" t="s">
        <v>158</v>
      </c>
      <c r="AC2" s="107" t="s">
        <v>112</v>
      </c>
      <c r="AD2" s="103" t="s">
        <v>115</v>
      </c>
      <c r="AE2" s="103"/>
      <c r="AF2" s="103"/>
      <c r="AG2" s="103"/>
      <c r="AH2" s="107" t="s">
        <v>128</v>
      </c>
      <c r="AI2" s="106" t="s">
        <v>22</v>
      </c>
      <c r="AJ2" s="104" t="s">
        <v>133</v>
      </c>
      <c r="AK2" s="104"/>
      <c r="AL2" s="104"/>
      <c r="AM2" s="104"/>
      <c r="AN2" s="103" t="s">
        <v>438</v>
      </c>
      <c r="AO2" s="103"/>
      <c r="AP2" s="104" t="s">
        <v>143</v>
      </c>
      <c r="AQ2" s="104"/>
      <c r="AR2" s="104"/>
      <c r="AS2" s="104"/>
      <c r="AT2" s="106" t="s">
        <v>155</v>
      </c>
      <c r="AU2" s="107" t="s">
        <v>158</v>
      </c>
      <c r="AW2" s="106" t="s">
        <v>195</v>
      </c>
      <c r="AX2" s="107" t="s">
        <v>195</v>
      </c>
      <c r="AZ2" s="103" t="s">
        <v>474</v>
      </c>
      <c r="BA2" s="103"/>
      <c r="BB2" s="104" t="s">
        <v>200</v>
      </c>
      <c r="BC2" s="104"/>
      <c r="BD2" s="104"/>
      <c r="BE2" s="104"/>
      <c r="BG2" s="103" t="s">
        <v>483</v>
      </c>
      <c r="BH2" s="103"/>
      <c r="BI2" s="104" t="s">
        <v>209</v>
      </c>
      <c r="BJ2" s="104"/>
      <c r="BK2" s="104"/>
      <c r="BL2" s="104"/>
    </row>
    <row r="3" spans="1:64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7"/>
      <c r="AA3" s="106"/>
      <c r="AC3" s="107"/>
      <c r="AD3" s="12" t="s">
        <v>116</v>
      </c>
      <c r="AE3" s="12" t="s">
        <v>119</v>
      </c>
      <c r="AF3" s="12" t="s">
        <v>122</v>
      </c>
      <c r="AG3" s="12" t="s">
        <v>125</v>
      </c>
      <c r="AH3" s="107"/>
      <c r="AI3" s="106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6"/>
      <c r="AU3" s="107"/>
      <c r="AW3" s="106"/>
      <c r="AX3" s="107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>
        <f t="shared" ref="J5:J68" si="1">IF(ISBLANK(P5),"·",P5/D5)</f>
        <v>3.725020628853596E-2</v>
      </c>
      <c r="K5" s="19">
        <f t="shared" ref="K5:K68" si="2">IF(Q5="","·",Q5/D5)</f>
        <v>7.7415455882282568E-3</v>
      </c>
      <c r="L5" s="19">
        <f t="shared" ref="L5:L68" si="3">IF(ISBLANK(R5),"·",R5/D5)</f>
        <v>2.9218797107106648E-2</v>
      </c>
      <c r="M5" s="20"/>
      <c r="N5" s="19">
        <f t="shared" ref="N5:N68" si="4">IF(ISBLANK(P5),"·",P5/O5)</f>
        <v>4.2585551330798478E-2</v>
      </c>
      <c r="O5" s="21">
        <v>2558990</v>
      </c>
      <c r="P5" s="22">
        <v>108976</v>
      </c>
      <c r="Q5" s="22">
        <v>22648</v>
      </c>
      <c r="R5" s="22">
        <v>85480</v>
      </c>
      <c r="S5" s="23"/>
      <c r="T5" s="24">
        <v>64.553656099999998</v>
      </c>
      <c r="U5" s="24">
        <v>65.319606100000001</v>
      </c>
      <c r="V5" s="24">
        <v>33.206619199999999</v>
      </c>
      <c r="W5" s="24">
        <v>42.674645499999997</v>
      </c>
      <c r="X5" s="24">
        <v>45.968250699999999</v>
      </c>
      <c r="Y5" s="23"/>
      <c r="Z5" s="26">
        <v>3.9</v>
      </c>
      <c r="AA5" s="26">
        <v>3.1659999999999999</v>
      </c>
      <c r="AC5" s="18" t="str">
        <f t="shared" ref="AC5:AC68" si="5">IF(OR(ISBLANK(AJ5),ISBLANK(G5)),"·",AJ5*G5/F5/1000000)</f>
        <v>·</v>
      </c>
      <c r="AD5" s="19">
        <f t="shared" ref="AD5:AD68" si="6">IF(ISBLANK(AJ5),"·",AJ5/D5)</f>
        <v>3.7217391542135846E-2</v>
      </c>
      <c r="AE5" s="19">
        <f t="shared" ref="AE5:AE68" si="7">IF(AK5="","·",AK5/D5)</f>
        <v>7.7825640212284067E-3</v>
      </c>
      <c r="AF5" s="19">
        <f t="shared" ref="AF5:AF68" si="8">IF(ISBLANK(AL5),"·",AL5/D5)</f>
        <v>2.9218797107106648E-2</v>
      </c>
      <c r="AG5" s="20"/>
      <c r="AH5" s="19">
        <f t="shared" ref="AH5:AH68" si="9">IF(ISBLANK(AJ5),"·",AJ5/AI5)</f>
        <v>4.2548036530037241E-2</v>
      </c>
      <c r="AI5" s="21">
        <v>2558990</v>
      </c>
      <c r="AJ5" s="22">
        <v>108880</v>
      </c>
      <c r="AK5" s="22">
        <v>22768</v>
      </c>
      <c r="AL5" s="22">
        <v>85480</v>
      </c>
      <c r="AM5" s="23"/>
      <c r="AN5" s="24">
        <v>64.553656099999998</v>
      </c>
      <c r="AO5" s="24">
        <v>65.319606100000001</v>
      </c>
      <c r="AP5" s="24">
        <v>33.206619199999999</v>
      </c>
      <c r="AQ5" s="24">
        <v>42.674645499999997</v>
      </c>
      <c r="AR5" s="24">
        <v>45.968250699999999</v>
      </c>
      <c r="AS5" s="25"/>
      <c r="AT5" s="26">
        <v>3.7909999999999999</v>
      </c>
      <c r="AU5" s="26">
        <v>3.2309999999999999</v>
      </c>
      <c r="AW5" s="27">
        <f t="shared" ref="AW5:AW68" si="10">(AK5/AJ5) - (Q5/P5)</f>
        <v>1.2853715588011794E-3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1.1116974755859488E-2</v>
      </c>
      <c r="BA5" s="28">
        <f>IF( OR(ISBLANK(Q5:Q10),ISBLANK(AK5:AK10), ISBLANK(U5:U10),ISBLANK(AO5:AO10)), "·", bdRateExtend( Q5:Q10,U5:U10, AK5:AK10,AO5:AO10))</f>
        <v>9.6466666934609258E-3</v>
      </c>
      <c r="BB5" s="28">
        <f>IF( OR(ISBLANK(R5:R10),ISBLANK(AL5:AL10), ISBLANK(V5:V10),ISBLANK(AP5:AP10)), "·", bdRateExtend( R5:R10,V5:V10, AL5:AL10,AP5:AP10))</f>
        <v>0</v>
      </c>
      <c r="BC5" s="28">
        <f>IF( OR(ISBLANK(R5:R10),ISBLANK(AL5:AL10), ISBLANK(W5:W10),ISBLANK(AQ5:AQ10)), "·", bdRateExtend( R5:R10,W5:W10, AL5:AL10,AQ5:AQ10))</f>
        <v>0</v>
      </c>
      <c r="BD5" s="28">
        <f>IF( OR(ISBLANK(R5:R10),ISBLANK(AL5:AL10), ISBLANK(X5:X10),ISBLANK(AR5:AR10)), "·", bdRateExtend( R5:R10,X5:X10, AL5:AL10,AR5:AR10))</f>
        <v>0</v>
      </c>
      <c r="BE5" s="29"/>
      <c r="BG5" s="28">
        <f>IF( OR(ISBLANK(P5:P10),ISBLANK(AJ5:AJ10), ISBLANK(T5:T10),ISBLANK(AN5:AN10)), "·", bdRateExtend( P5:P10,T5:T10, AJ5:AJ10,AN5:AN10))</f>
        <v>-2.357077050376688E-4</v>
      </c>
      <c r="BH5" s="28">
        <f>IF( OR(ISBLANK(P5:P10),ISBLANK(AJ5:AJ10), ISBLANK(U5:U10),ISBLANK(AO5:AO10)), "·", bdRateExtend( P5:P10,U5:U10, AJ5:AJ10,AO5:AO10))</f>
        <v>-3.5116222503306371E-4</v>
      </c>
      <c r="BI5" s="28">
        <f>IF( OR(ISBLANK(P5:P10),ISBLANK(AJ5:AJ10), ISBLANK(V5:V10),ISBLANK(AP5:AP10)), "·", bdRateExtend( P5:P10,V5:V10, AJ5:AJ10,AP5:AP10))</f>
        <v>-6.8665934075062829E-5</v>
      </c>
      <c r="BJ5" s="28">
        <f>IF( OR(ISBLANK(P5:P10),ISBLANK(AJ5:AJ10), ISBLANK(W5:W10),ISBLANK(AQ5:AQ10)), "·", bdRateExtend( P5:P10,W5:W10, AJ5:AJ10,AQ5:AQ10))</f>
        <v>1.6592473992149692E-4</v>
      </c>
      <c r="BK5" s="28">
        <f>IF( OR(ISBLANK(P5:P10),ISBLANK(AJ5:AJ10), ISBLANK(X5:X10),ISBLANK(AR5:AR10)), "·", bdRateExtend( P5:P10,X5:X10, AJ5:AJ10,AR5:AR10))</f>
        <v>-7.5996627727503707E-5</v>
      </c>
      <c r="BL5" s="29"/>
    </row>
    <row r="6" spans="1:6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>
        <f t="shared" si="1"/>
        <v>8.4470626358308321E-2</v>
      </c>
      <c r="K6" s="34">
        <f t="shared" si="2"/>
        <v>2.2945711420283753E-2</v>
      </c>
      <c r="L6" s="34">
        <f t="shared" si="3"/>
        <v>6.1235051344823509E-2</v>
      </c>
      <c r="M6" s="35"/>
      <c r="N6" s="34">
        <f t="shared" si="4"/>
        <v>0.10388968321466092</v>
      </c>
      <c r="O6" s="36">
        <v>2378677</v>
      </c>
      <c r="P6" s="37">
        <v>247120</v>
      </c>
      <c r="Q6" s="37">
        <v>67128</v>
      </c>
      <c r="R6" s="37">
        <v>179144</v>
      </c>
      <c r="S6" s="38"/>
      <c r="T6" s="39">
        <v>69.936707900000002</v>
      </c>
      <c r="U6" s="39">
        <v>73.158202200000005</v>
      </c>
      <c r="V6" s="39">
        <v>36.270892199999999</v>
      </c>
      <c r="W6" s="39">
        <v>43.556286900000003</v>
      </c>
      <c r="X6" s="39">
        <v>47.6246285</v>
      </c>
      <c r="Y6" s="38"/>
      <c r="Z6" s="41">
        <v>3.899</v>
      </c>
      <c r="AA6" s="41">
        <v>3.2919999999999998</v>
      </c>
      <c r="AC6" s="33" t="str">
        <f t="shared" si="5"/>
        <v>·</v>
      </c>
      <c r="AD6" s="34">
        <f t="shared" si="6"/>
        <v>8.4418669676508129E-2</v>
      </c>
      <c r="AE6" s="34">
        <f t="shared" si="7"/>
        <v>2.306603215708419E-2</v>
      </c>
      <c r="AF6" s="34">
        <f t="shared" si="8"/>
        <v>6.1235051344823509E-2</v>
      </c>
      <c r="AG6" s="35"/>
      <c r="AH6" s="34">
        <f t="shared" si="9"/>
        <v>0.10382578214696657</v>
      </c>
      <c r="AI6" s="36">
        <v>2378677</v>
      </c>
      <c r="AJ6" s="37">
        <v>246968</v>
      </c>
      <c r="AK6" s="37">
        <v>67480</v>
      </c>
      <c r="AL6" s="37">
        <v>179144</v>
      </c>
      <c r="AM6" s="38"/>
      <c r="AN6" s="39">
        <v>69.936707900000002</v>
      </c>
      <c r="AO6" s="39">
        <v>73.158202200000005</v>
      </c>
      <c r="AP6" s="39">
        <v>36.270892199999999</v>
      </c>
      <c r="AQ6" s="39">
        <v>43.556286900000003</v>
      </c>
      <c r="AR6" s="39">
        <v>47.6246285</v>
      </c>
      <c r="AS6" s="40"/>
      <c r="AT6" s="41">
        <v>3.98</v>
      </c>
      <c r="AU6" s="41">
        <v>3.4169999999999998</v>
      </c>
      <c r="AW6" s="42">
        <f t="shared" si="10"/>
        <v>1.5924714084242786E-3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>
        <f t="shared" si="1"/>
        <v>0.22025531239980392</v>
      </c>
      <c r="K7" s="19">
        <f t="shared" si="2"/>
        <v>7.3275328711467455E-2</v>
      </c>
      <c r="L7" s="19">
        <f t="shared" si="3"/>
        <v>0.14669012009513541</v>
      </c>
      <c r="M7" s="20"/>
      <c r="N7" s="19">
        <f t="shared" si="4"/>
        <v>0.25962482609012733</v>
      </c>
      <c r="O7" s="21">
        <v>2481889</v>
      </c>
      <c r="P7" s="22">
        <v>644360</v>
      </c>
      <c r="Q7" s="22">
        <v>214368</v>
      </c>
      <c r="R7" s="22">
        <v>429144</v>
      </c>
      <c r="S7" s="23"/>
      <c r="T7" s="24">
        <v>74.791387799999995</v>
      </c>
      <c r="U7" s="24">
        <v>78.582488400000003</v>
      </c>
      <c r="V7" s="24">
        <v>39.363891500000001</v>
      </c>
      <c r="W7" s="24">
        <v>44.789835500000002</v>
      </c>
      <c r="X7" s="24">
        <v>49.174117099999997</v>
      </c>
      <c r="Y7" s="23"/>
      <c r="Z7" s="26">
        <v>5.21</v>
      </c>
      <c r="AA7" s="26">
        <v>4.3380000000000001</v>
      </c>
      <c r="AC7" s="18" t="str">
        <f t="shared" si="5"/>
        <v>·</v>
      </c>
      <c r="AD7" s="19">
        <f t="shared" si="6"/>
        <v>0.22040297875860448</v>
      </c>
      <c r="AE7" s="19">
        <f t="shared" si="7"/>
        <v>7.4672689995672559E-2</v>
      </c>
      <c r="AF7" s="19">
        <f t="shared" si="8"/>
        <v>0.14669012009513541</v>
      </c>
      <c r="AG7" s="20"/>
      <c r="AH7" s="19">
        <f t="shared" si="9"/>
        <v>0.25979888705739862</v>
      </c>
      <c r="AI7" s="21">
        <v>2481889</v>
      </c>
      <c r="AJ7" s="22">
        <v>644792</v>
      </c>
      <c r="AK7" s="22">
        <v>218456</v>
      </c>
      <c r="AL7" s="22">
        <v>429144</v>
      </c>
      <c r="AM7" s="23"/>
      <c r="AN7" s="24">
        <v>74.791387799999995</v>
      </c>
      <c r="AO7" s="24">
        <v>78.582488400000003</v>
      </c>
      <c r="AP7" s="24">
        <v>39.363891500000001</v>
      </c>
      <c r="AQ7" s="24">
        <v>44.789835500000002</v>
      </c>
      <c r="AR7" s="24">
        <v>49.174117099999997</v>
      </c>
      <c r="AS7" s="25"/>
      <c r="AT7" s="26">
        <v>5.1360000000000001</v>
      </c>
      <c r="AU7" s="26">
        <v>4.3369999999999997</v>
      </c>
      <c r="AW7" s="27">
        <f t="shared" si="10"/>
        <v>6.1171365150533563E-3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>
        <f t="shared" si="1"/>
        <v>0.59737331627878043</v>
      </c>
      <c r="K8" s="34">
        <f t="shared" si="2"/>
        <v>0.22789567918663181</v>
      </c>
      <c r="L8" s="34">
        <f t="shared" si="3"/>
        <v>0.36918777349894755</v>
      </c>
      <c r="M8" s="35"/>
      <c r="N8" s="34">
        <f t="shared" si="4"/>
        <v>0.629148893046517</v>
      </c>
      <c r="O8" s="36">
        <v>2777759</v>
      </c>
      <c r="P8" s="37">
        <v>1747624</v>
      </c>
      <c r="Q8" s="37">
        <v>666712</v>
      </c>
      <c r="R8" s="37">
        <v>1080064</v>
      </c>
      <c r="S8" s="38"/>
      <c r="T8" s="39">
        <v>76.971451099999996</v>
      </c>
      <c r="U8" s="39">
        <v>80.705232499999994</v>
      </c>
      <c r="V8" s="39">
        <v>41.729102599999997</v>
      </c>
      <c r="W8" s="39">
        <v>46.257398500000001</v>
      </c>
      <c r="X8" s="39">
        <v>50.433714299999998</v>
      </c>
      <c r="Y8" s="38"/>
      <c r="Z8" s="41">
        <v>8.65</v>
      </c>
      <c r="AA8" s="41">
        <v>7.2910000000000004</v>
      </c>
      <c r="AC8" s="33" t="str">
        <f t="shared" si="5"/>
        <v>·</v>
      </c>
      <c r="AD8" s="34">
        <f t="shared" si="6"/>
        <v>0.59784366097718211</v>
      </c>
      <c r="AE8" s="34">
        <f t="shared" si="7"/>
        <v>0.23817216393426932</v>
      </c>
      <c r="AF8" s="34">
        <f t="shared" si="8"/>
        <v>0.36918777349894755</v>
      </c>
      <c r="AG8" s="35"/>
      <c r="AH8" s="34">
        <f t="shared" si="9"/>
        <v>0.62964425639517319</v>
      </c>
      <c r="AI8" s="36">
        <v>2777759</v>
      </c>
      <c r="AJ8" s="37">
        <v>1749000</v>
      </c>
      <c r="AK8" s="37">
        <v>696776</v>
      </c>
      <c r="AL8" s="37">
        <v>1080064</v>
      </c>
      <c r="AM8" s="38"/>
      <c r="AN8" s="39">
        <v>76.971451099999996</v>
      </c>
      <c r="AO8" s="39">
        <v>80.705232499999994</v>
      </c>
      <c r="AP8" s="39">
        <v>41.729102599999997</v>
      </c>
      <c r="AQ8" s="39">
        <v>46.257398500000001</v>
      </c>
      <c r="AR8" s="39">
        <v>50.433714299999998</v>
      </c>
      <c r="AS8" s="40"/>
      <c r="AT8" s="41">
        <v>8.5419999999999998</v>
      </c>
      <c r="AU8" s="41">
        <v>7.4480000000000004</v>
      </c>
      <c r="AW8" s="42">
        <f t="shared" si="10"/>
        <v>1.688911444362351E-2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5"/>
        <v>·</v>
      </c>
      <c r="AD9" s="19" t="str">
        <f t="shared" si="6"/>
        <v>·</v>
      </c>
      <c r="AE9" s="19">
        <f t="shared" si="7"/>
        <v>0</v>
      </c>
      <c r="AF9" s="19" t="str">
        <f t="shared" si="8"/>
        <v>·</v>
      </c>
      <c r="AG9" s="20"/>
      <c r="AH9" s="19" t="str">
        <f t="shared" si="9"/>
        <v>·</v>
      </c>
      <c r="AI9" s="21"/>
      <c r="AJ9" s="22"/>
      <c r="AK9" s="22">
        <v>0</v>
      </c>
      <c r="AL9" s="22"/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10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5"/>
        <v>·</v>
      </c>
      <c r="AD10" s="49" t="str">
        <f t="shared" si="6"/>
        <v>·</v>
      </c>
      <c r="AE10" s="49">
        <f t="shared" si="7"/>
        <v>0</v>
      </c>
      <c r="AF10" s="49" t="str">
        <f t="shared" si="8"/>
        <v>·</v>
      </c>
      <c r="AG10" s="50"/>
      <c r="AH10" s="49" t="str">
        <f t="shared" si="9"/>
        <v>·</v>
      </c>
      <c r="AI10" s="51"/>
      <c r="AJ10" s="52"/>
      <c r="AK10" s="52">
        <v>0</v>
      </c>
      <c r="AL10" s="52"/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10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>
        <f t="shared" si="1"/>
        <v>4.6221051096940018E-2</v>
      </c>
      <c r="K11" s="19">
        <f t="shared" si="2"/>
        <v>7.692194952247761E-3</v>
      </c>
      <c r="L11" s="19">
        <f t="shared" si="3"/>
        <v>3.8263501645737857E-2</v>
      </c>
      <c r="M11" s="20"/>
      <c r="N11" s="19">
        <f t="shared" si="4"/>
        <v>5.0746009531814705E-2</v>
      </c>
      <c r="O11" s="21">
        <v>2361565</v>
      </c>
      <c r="P11" s="22">
        <v>119840</v>
      </c>
      <c r="Q11" s="22">
        <v>19944</v>
      </c>
      <c r="R11" s="22">
        <v>99208</v>
      </c>
      <c r="S11" s="23"/>
      <c r="T11" s="24">
        <v>64.555706900000004</v>
      </c>
      <c r="U11" s="24">
        <v>65.065640099999996</v>
      </c>
      <c r="V11" s="24">
        <v>32.227706099999999</v>
      </c>
      <c r="W11" s="24">
        <v>43.4825272</v>
      </c>
      <c r="X11" s="24">
        <v>45.741549300000003</v>
      </c>
      <c r="Y11" s="23"/>
      <c r="Z11" s="26">
        <v>3.4649999999999999</v>
      </c>
      <c r="AA11" s="26">
        <v>2.9340000000000002</v>
      </c>
      <c r="AC11" s="18" t="str">
        <f t="shared" si="5"/>
        <v>·</v>
      </c>
      <c r="AD11" s="19">
        <f t="shared" si="6"/>
        <v>4.6224136614369721E-2</v>
      </c>
      <c r="AE11" s="19">
        <f t="shared" si="7"/>
        <v>7.7508197834121042E-3</v>
      </c>
      <c r="AF11" s="19">
        <f t="shared" si="8"/>
        <v>3.8263501645737857E-2</v>
      </c>
      <c r="AG11" s="20"/>
      <c r="AH11" s="19">
        <f t="shared" si="9"/>
        <v>5.07493971158956E-2</v>
      </c>
      <c r="AI11" s="21">
        <v>2361565</v>
      </c>
      <c r="AJ11" s="22">
        <v>119848</v>
      </c>
      <c r="AK11" s="22">
        <v>20096</v>
      </c>
      <c r="AL11" s="22">
        <v>99208</v>
      </c>
      <c r="AM11" s="23"/>
      <c r="AN11" s="24">
        <v>64.555706900000004</v>
      </c>
      <c r="AO11" s="24">
        <v>65.065640099999996</v>
      </c>
      <c r="AP11" s="24">
        <v>32.227706099999999</v>
      </c>
      <c r="AQ11" s="24">
        <v>43.4825272</v>
      </c>
      <c r="AR11" s="24">
        <v>45.741549300000003</v>
      </c>
      <c r="AS11" s="25"/>
      <c r="AT11" s="26">
        <v>3.387</v>
      </c>
      <c r="AU11" s="26">
        <v>3.012</v>
      </c>
      <c r="AW11" s="27">
        <f t="shared" si="10"/>
        <v>1.2571642816994189E-3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1.0438282880254279E-2</v>
      </c>
      <c r="BA11" s="28">
        <f>IF( OR(ISBLANK(Q11:Q16),ISBLANK(AK11:AK16), ISBLANK(U11:U16),ISBLANK(AO11:AO16)), "·", bdRateExtend( Q11:Q16,U11:U16, AK11:AK16,AO11:AO16))</f>
        <v>9.0484355806270678E-3</v>
      </c>
      <c r="BB11" s="28">
        <f>IF( OR(ISBLANK(R11:R16),ISBLANK(AL11:AL16), ISBLANK(V11:V16),ISBLANK(AP11:AP16)), "·", bdRateExtend( R11:R16,V11:V16, AL11:AL16,AP11:AP16))</f>
        <v>0</v>
      </c>
      <c r="BC11" s="28">
        <f>IF( OR(ISBLANK(R11:R16),ISBLANK(AL11:AL16), ISBLANK(W11:W16),ISBLANK(AQ11:AQ16)), "·", bdRateExtend( R11:R16,W11:W16, AL11:AL16,AQ11:AQ16))</f>
        <v>0</v>
      </c>
      <c r="BD11" s="28">
        <f>IF( OR(ISBLANK(R11:R16),ISBLANK(AL11:AL16), ISBLANK(X11:X16),ISBLANK(AR11:AR16)), "·", bdRateExtend( R11:R16,X11:X16, AL11:AL16,AR11:AR16))</f>
        <v>0</v>
      </c>
      <c r="BE11" s="29"/>
      <c r="BG11" s="28">
        <f>IF( OR(ISBLANK(P11:P16),ISBLANK(AJ11:AJ16), ISBLANK(T11:T16),ISBLANK(AN11:AN16)), "·", bdRateExtend( P11:P16,T11:T16, AJ11:AJ16,AN11:AN16))</f>
        <v>6.1881652583251068E-5</v>
      </c>
      <c r="BH11" s="28">
        <f>IF( OR(ISBLANK(P11:P16),ISBLANK(AJ11:AJ16), ISBLANK(U11:U16),ISBLANK(AO11:AO16)), "·", bdRateExtend( P11:P16,U11:U16, AJ11:AJ16,AO11:AO16))</f>
        <v>2.2100072798236781E-5</v>
      </c>
      <c r="BI11" s="28">
        <f>IF( OR(ISBLANK(P11:P16),ISBLANK(AJ11:AJ16), ISBLANK(V11:V16),ISBLANK(AP11:AP16)), "·", bdRateExtend( P11:P16,V11:V16, AJ11:AJ16,AP11:AP16))</f>
        <v>1.0474636283186456E-4</v>
      </c>
      <c r="BJ11" s="28">
        <f>IF( OR(ISBLANK(P11:P16),ISBLANK(AJ11:AJ16), ISBLANK(W11:W16),ISBLANK(AQ11:AQ16)), "·", bdRateExtend( P11:P16,W11:W16, AJ11:AJ16,AQ11:AQ16))</f>
        <v>1.9869925767390662E-4</v>
      </c>
      <c r="BK11" s="28">
        <f>IF( OR(ISBLANK(P11:P16),ISBLANK(AJ11:AJ16), ISBLANK(X11:X16),ISBLANK(AR11:AR16)), "·", bdRateExtend( P11:P16,X11:X16, AJ11:AJ16,AR11:AR16))</f>
        <v>1.191399751931943E-4</v>
      </c>
      <c r="BL11" s="29"/>
    </row>
    <row r="12" spans="1:64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>
        <f t="shared" si="1"/>
        <v>0.10111549168877311</v>
      </c>
      <c r="K12" s="34">
        <f t="shared" si="2"/>
        <v>2.2570559998272111E-2</v>
      </c>
      <c r="L12" s="34">
        <f t="shared" si="3"/>
        <v>7.8279577191546601E-2</v>
      </c>
      <c r="M12" s="35"/>
      <c r="N12" s="34">
        <f t="shared" si="4"/>
        <v>0.12077478511718243</v>
      </c>
      <c r="O12" s="36">
        <v>2170718</v>
      </c>
      <c r="P12" s="37">
        <v>262168</v>
      </c>
      <c r="Q12" s="37">
        <v>58520</v>
      </c>
      <c r="R12" s="37">
        <v>202960</v>
      </c>
      <c r="S12" s="38"/>
      <c r="T12" s="39">
        <v>69.728556600000005</v>
      </c>
      <c r="U12" s="39">
        <v>73.036275599999996</v>
      </c>
      <c r="V12" s="39">
        <v>35.846152199999999</v>
      </c>
      <c r="W12" s="39">
        <v>44.4473336</v>
      </c>
      <c r="X12" s="39">
        <v>47.590812999999997</v>
      </c>
      <c r="Y12" s="38"/>
      <c r="Z12" s="41">
        <v>3.4159999999999999</v>
      </c>
      <c r="AA12" s="41">
        <v>2.95</v>
      </c>
      <c r="AC12" s="33" t="str">
        <f t="shared" si="5"/>
        <v>·</v>
      </c>
      <c r="AD12" s="34">
        <f t="shared" si="6"/>
        <v>0.1010969785841949</v>
      </c>
      <c r="AE12" s="34">
        <f t="shared" si="7"/>
        <v>2.2629184829436454E-2</v>
      </c>
      <c r="AF12" s="34">
        <f t="shared" si="8"/>
        <v>7.8279577191546601E-2</v>
      </c>
      <c r="AG12" s="35"/>
      <c r="AH12" s="34">
        <f t="shared" si="9"/>
        <v>0.12075267261800013</v>
      </c>
      <c r="AI12" s="36">
        <v>2170718</v>
      </c>
      <c r="AJ12" s="37">
        <v>262120</v>
      </c>
      <c r="AK12" s="37">
        <v>58672</v>
      </c>
      <c r="AL12" s="37">
        <v>202960</v>
      </c>
      <c r="AM12" s="38"/>
      <c r="AN12" s="39">
        <v>69.728556600000005</v>
      </c>
      <c r="AO12" s="39">
        <v>73.036275599999996</v>
      </c>
      <c r="AP12" s="39">
        <v>35.846152199999999</v>
      </c>
      <c r="AQ12" s="39">
        <v>44.4473336</v>
      </c>
      <c r="AR12" s="39">
        <v>47.590812999999997</v>
      </c>
      <c r="AS12" s="40"/>
      <c r="AT12" s="41">
        <v>3.5910000000000002</v>
      </c>
      <c r="AU12" s="41">
        <v>2.84</v>
      </c>
      <c r="AW12" s="42">
        <f t="shared" si="10"/>
        <v>6.2076282276479766E-4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>
        <f t="shared" si="1"/>
        <v>0.25434845828264729</v>
      </c>
      <c r="K13" s="19">
        <f t="shared" si="2"/>
        <v>7.3148361705951737E-2</v>
      </c>
      <c r="L13" s="19">
        <f t="shared" si="3"/>
        <v>0.18093474207774116</v>
      </c>
      <c r="M13" s="20"/>
      <c r="N13" s="19">
        <f t="shared" si="4"/>
        <v>0.29210054122385953</v>
      </c>
      <c r="O13" s="21">
        <v>2257661</v>
      </c>
      <c r="P13" s="22">
        <v>659464</v>
      </c>
      <c r="Q13" s="22">
        <v>189656</v>
      </c>
      <c r="R13" s="22">
        <v>469120</v>
      </c>
      <c r="S13" s="23"/>
      <c r="T13" s="24">
        <v>74.804639100000003</v>
      </c>
      <c r="U13" s="24">
        <v>78.233147500000001</v>
      </c>
      <c r="V13" s="24">
        <v>38.859093700000003</v>
      </c>
      <c r="W13" s="24">
        <v>45.732737999999998</v>
      </c>
      <c r="X13" s="24">
        <v>49.1174052</v>
      </c>
      <c r="Y13" s="23"/>
      <c r="Z13" s="26">
        <v>4.5759999999999996</v>
      </c>
      <c r="AA13" s="26">
        <v>3.8090000000000002</v>
      </c>
      <c r="AC13" s="18" t="str">
        <f t="shared" si="5"/>
        <v>·</v>
      </c>
      <c r="AD13" s="19">
        <f t="shared" si="6"/>
        <v>0.25444410932296807</v>
      </c>
      <c r="AE13" s="19">
        <f t="shared" si="7"/>
        <v>7.4425765921848477E-2</v>
      </c>
      <c r="AF13" s="19">
        <f t="shared" si="8"/>
        <v>0.18093474207774116</v>
      </c>
      <c r="AG13" s="20"/>
      <c r="AH13" s="19">
        <f t="shared" si="9"/>
        <v>0.2922103894251617</v>
      </c>
      <c r="AI13" s="21">
        <v>2257661</v>
      </c>
      <c r="AJ13" s="22">
        <v>659712</v>
      </c>
      <c r="AK13" s="22">
        <v>192968</v>
      </c>
      <c r="AL13" s="22">
        <v>469120</v>
      </c>
      <c r="AM13" s="23"/>
      <c r="AN13" s="24">
        <v>74.804639100000003</v>
      </c>
      <c r="AO13" s="24">
        <v>78.233147500000001</v>
      </c>
      <c r="AP13" s="24">
        <v>38.859093700000003</v>
      </c>
      <c r="AQ13" s="24">
        <v>45.732737999999998</v>
      </c>
      <c r="AR13" s="24">
        <v>49.1174052</v>
      </c>
      <c r="AS13" s="25"/>
      <c r="AT13" s="26">
        <v>4.45</v>
      </c>
      <c r="AU13" s="26">
        <v>3.9180000000000001</v>
      </c>
      <c r="AW13" s="27">
        <f t="shared" si="10"/>
        <v>4.9122608026148096E-3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>
        <f t="shared" si="1"/>
        <v>0.64664114429499397</v>
      </c>
      <c r="K14" s="34">
        <f t="shared" si="2"/>
        <v>0.22473983302722428</v>
      </c>
      <c r="L14" s="34">
        <f t="shared" si="3"/>
        <v>0.42163595676881527</v>
      </c>
      <c r="M14" s="35"/>
      <c r="N14" s="34">
        <f t="shared" si="4"/>
        <v>0.67735458311550534</v>
      </c>
      <c r="O14" s="36">
        <v>2475194</v>
      </c>
      <c r="P14" s="37">
        <v>1676584</v>
      </c>
      <c r="Q14" s="37">
        <v>582696</v>
      </c>
      <c r="R14" s="37">
        <v>1093200</v>
      </c>
      <c r="S14" s="38"/>
      <c r="T14" s="39">
        <v>77.082859900000003</v>
      </c>
      <c r="U14" s="39">
        <v>80.631966199999994</v>
      </c>
      <c r="V14" s="39">
        <v>41.2034485</v>
      </c>
      <c r="W14" s="39">
        <v>47.113899000000004</v>
      </c>
      <c r="X14" s="39">
        <v>50.457027600000004</v>
      </c>
      <c r="Y14" s="38"/>
      <c r="Z14" s="41">
        <v>7.6369999999999996</v>
      </c>
      <c r="AA14" s="41">
        <v>6.4809999999999999</v>
      </c>
      <c r="AC14" s="33" t="str">
        <f t="shared" si="5"/>
        <v>·</v>
      </c>
      <c r="AD14" s="34">
        <f t="shared" si="6"/>
        <v>0.64704534707828498</v>
      </c>
      <c r="AE14" s="34">
        <f t="shared" si="7"/>
        <v>0.23674866686362553</v>
      </c>
      <c r="AF14" s="34">
        <f t="shared" si="8"/>
        <v>0.42163595676881527</v>
      </c>
      <c r="AG14" s="35"/>
      <c r="AH14" s="34">
        <f t="shared" si="9"/>
        <v>0.67777798427113189</v>
      </c>
      <c r="AI14" s="36">
        <v>2475194</v>
      </c>
      <c r="AJ14" s="37">
        <v>1677632</v>
      </c>
      <c r="AK14" s="37">
        <v>613832</v>
      </c>
      <c r="AL14" s="37">
        <v>1093200</v>
      </c>
      <c r="AM14" s="38"/>
      <c r="AN14" s="39">
        <v>77.082859900000003</v>
      </c>
      <c r="AO14" s="39">
        <v>80.631966199999994</v>
      </c>
      <c r="AP14" s="39">
        <v>41.2034485</v>
      </c>
      <c r="AQ14" s="39">
        <v>47.113899000000004</v>
      </c>
      <c r="AR14" s="39">
        <v>50.457027600000004</v>
      </c>
      <c r="AS14" s="40"/>
      <c r="AT14" s="41">
        <v>7.3390000000000004</v>
      </c>
      <c r="AU14" s="41">
        <v>6.4180000000000001</v>
      </c>
      <c r="AW14" s="42">
        <f t="shared" si="10"/>
        <v>1.834238264459187E-2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5"/>
        <v>·</v>
      </c>
      <c r="AD15" s="19" t="str">
        <f t="shared" si="6"/>
        <v>·</v>
      </c>
      <c r="AE15" s="19">
        <f t="shared" si="7"/>
        <v>0</v>
      </c>
      <c r="AF15" s="19" t="str">
        <f t="shared" si="8"/>
        <v>·</v>
      </c>
      <c r="AG15" s="20"/>
      <c r="AH15" s="19" t="str">
        <f t="shared" si="9"/>
        <v>·</v>
      </c>
      <c r="AI15" s="21"/>
      <c r="AJ15" s="22"/>
      <c r="AK15" s="22">
        <v>0</v>
      </c>
      <c r="AL15" s="22"/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10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5"/>
        <v>·</v>
      </c>
      <c r="AD16" s="49" t="str">
        <f t="shared" si="6"/>
        <v>·</v>
      </c>
      <c r="AE16" s="49">
        <f t="shared" si="7"/>
        <v>0</v>
      </c>
      <c r="AF16" s="49" t="str">
        <f t="shared" si="8"/>
        <v>·</v>
      </c>
      <c r="AG16" s="50"/>
      <c r="AH16" s="49" t="str">
        <f t="shared" si="9"/>
        <v>·</v>
      </c>
      <c r="AI16" s="51"/>
      <c r="AJ16" s="52"/>
      <c r="AK16" s="52">
        <v>0</v>
      </c>
      <c r="AL16" s="52"/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10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>
        <f t="shared" si="1"/>
        <v>3.7006663375806763E-2</v>
      </c>
      <c r="K17" s="19">
        <f t="shared" si="2"/>
        <v>6.4760183713690267E-3</v>
      </c>
      <c r="L17" s="19">
        <f t="shared" si="3"/>
        <v>3.0327777032341931E-2</v>
      </c>
      <c r="M17" s="20"/>
      <c r="N17" s="19">
        <f t="shared" si="4"/>
        <v>4.2555119059887229E-2</v>
      </c>
      <c r="O17" s="21">
        <v>3532172</v>
      </c>
      <c r="P17" s="22">
        <v>150312</v>
      </c>
      <c r="Q17" s="22">
        <v>26304</v>
      </c>
      <c r="R17" s="22">
        <v>123184</v>
      </c>
      <c r="S17" s="23"/>
      <c r="T17" s="24">
        <v>60.379426000000002</v>
      </c>
      <c r="U17" s="24">
        <v>64.650964700000003</v>
      </c>
      <c r="V17" s="24">
        <v>28.5174904</v>
      </c>
      <c r="W17" s="24">
        <v>42.3791248</v>
      </c>
      <c r="X17" s="24">
        <v>44.266030200000003</v>
      </c>
      <c r="Y17" s="23"/>
      <c r="Z17" s="26">
        <v>4.9640000000000004</v>
      </c>
      <c r="AA17" s="26">
        <v>4.01</v>
      </c>
      <c r="AC17" s="18" t="str">
        <f t="shared" si="5"/>
        <v>·</v>
      </c>
      <c r="AD17" s="19">
        <f t="shared" si="6"/>
        <v>3.7030298479351909E-2</v>
      </c>
      <c r="AE17" s="19">
        <f t="shared" si="7"/>
        <v>6.4878359231415978E-3</v>
      </c>
      <c r="AF17" s="19">
        <f t="shared" si="8"/>
        <v>3.0327777032341931E-2</v>
      </c>
      <c r="AG17" s="20"/>
      <c r="AH17" s="19">
        <f t="shared" si="9"/>
        <v>4.2582297804297183E-2</v>
      </c>
      <c r="AI17" s="21">
        <v>3532172</v>
      </c>
      <c r="AJ17" s="22">
        <v>150408</v>
      </c>
      <c r="AK17" s="22">
        <v>26352</v>
      </c>
      <c r="AL17" s="22">
        <v>123184</v>
      </c>
      <c r="AM17" s="23"/>
      <c r="AN17" s="24">
        <v>60.379426000000002</v>
      </c>
      <c r="AO17" s="24">
        <v>64.650964700000003</v>
      </c>
      <c r="AP17" s="24">
        <v>28.5174904</v>
      </c>
      <c r="AQ17" s="24">
        <v>42.3791248</v>
      </c>
      <c r="AR17" s="24">
        <v>44.266030200000003</v>
      </c>
      <c r="AS17" s="25"/>
      <c r="AT17" s="26">
        <v>5.0720000000000001</v>
      </c>
      <c r="AU17" s="26">
        <v>3.996</v>
      </c>
      <c r="AW17" s="27">
        <f t="shared" si="10"/>
        <v>2.074383224491827E-4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7.3302482672292779E-3</v>
      </c>
      <c r="BA17" s="28">
        <f>IF( OR(ISBLANK(Q17:Q22),ISBLANK(AK17:AK22), ISBLANK(U17:U22),ISBLANK(AO17:AO22)), "·", bdRateExtend( Q17:Q22,U17:U22, AK17:AK22,AO17:AO22))</f>
        <v>7.1229655460502972E-3</v>
      </c>
      <c r="BB17" s="28">
        <f>IF( OR(ISBLANK(R17:R22),ISBLANK(AL17:AL22), ISBLANK(V17:V22),ISBLANK(AP17:AP22)), "·", bdRateExtend( R17:R22,V17:V22, AL17:AL22,AP17:AP22))</f>
        <v>0</v>
      </c>
      <c r="BC17" s="28">
        <f>IF( OR(ISBLANK(R17:R22),ISBLANK(AL17:AL22), ISBLANK(W17:W22),ISBLANK(AQ17:AQ22)), "·", bdRateExtend( R17:R22,W17:W22, AL17:AL22,AQ17:AQ22))</f>
        <v>0</v>
      </c>
      <c r="BD17" s="28">
        <f>IF( OR(ISBLANK(R17:R22),ISBLANK(AL17:AL22), ISBLANK(X17:X22),ISBLANK(AR17:AR22)), "·", bdRateExtend( R17:R22,X17:X22, AL17:AL22,AR17:AR22))</f>
        <v>0</v>
      </c>
      <c r="BE17" s="29"/>
      <c r="BG17" s="28">
        <f>IF( OR(ISBLANK(P17:P22),ISBLANK(AJ17:AJ22), ISBLANK(T17:T22),ISBLANK(AN17:AN22)), "·", bdRateExtend( P17:P22,T17:T22, AJ17:AJ22,AN17:AN22))</f>
        <v>4.6435786880993923E-4</v>
      </c>
      <c r="BH17" s="28">
        <f>IF( OR(ISBLANK(P17:P22),ISBLANK(AJ17:AJ22), ISBLANK(U17:U22),ISBLANK(AO17:AO22)), "·", bdRateExtend( P17:P22,U17:U22, AJ17:AJ22,AO17:AO22))</f>
        <v>4.7379258940183355E-4</v>
      </c>
      <c r="BI17" s="28">
        <f>IF( OR(ISBLANK(P17:P22),ISBLANK(AJ17:AJ22), ISBLANK(V17:V22),ISBLANK(AP17:AP22)), "·", bdRateExtend( P17:P22,V17:V22, AJ17:AJ22,AP17:AP22))</f>
        <v>3.7984444438721177E-4</v>
      </c>
      <c r="BJ17" s="28">
        <f>IF( OR(ISBLANK(P17:P22),ISBLANK(AJ17:AJ22), ISBLANK(W17:W22),ISBLANK(AQ17:AQ22)), "·", bdRateExtend( P17:P22,W17:W22, AJ17:AJ22,AQ17:AQ22))</f>
        <v>3.9478713767060469E-4</v>
      </c>
      <c r="BK17" s="28">
        <f>IF( OR(ISBLANK(P17:P22),ISBLANK(AJ17:AJ22), ISBLANK(X17:X22),ISBLANK(AR17:AR22)), "·", bdRateExtend( P17:P22,X17:X22, AJ17:AJ22,AR17:AR22))</f>
        <v>4.0314006588948459E-4</v>
      </c>
      <c r="BL17" s="29"/>
    </row>
    <row r="18" spans="1:64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>
        <f t="shared" si="1"/>
        <v>0.12283360271606732</v>
      </c>
      <c r="K18" s="34">
        <f t="shared" si="2"/>
        <v>2.1533548921586852E-2</v>
      </c>
      <c r="L18" s="34">
        <f t="shared" si="3"/>
        <v>0.10109718582238465</v>
      </c>
      <c r="M18" s="35"/>
      <c r="N18" s="34">
        <f t="shared" si="4"/>
        <v>0.14462195440808251</v>
      </c>
      <c r="O18" s="36">
        <v>3449822</v>
      </c>
      <c r="P18" s="37">
        <v>498920</v>
      </c>
      <c r="Q18" s="37">
        <v>87464</v>
      </c>
      <c r="R18" s="37">
        <v>410632</v>
      </c>
      <c r="S18" s="38"/>
      <c r="T18" s="39">
        <v>67.356421699999999</v>
      </c>
      <c r="U18" s="39">
        <v>71.762189100000001</v>
      </c>
      <c r="V18" s="39">
        <v>30.601611599999998</v>
      </c>
      <c r="W18" s="39">
        <v>43.483237199999998</v>
      </c>
      <c r="X18" s="39">
        <v>45.348677100000003</v>
      </c>
      <c r="Y18" s="38"/>
      <c r="Z18" s="41">
        <v>5.3529999999999998</v>
      </c>
      <c r="AA18" s="41">
        <v>4.306</v>
      </c>
      <c r="AC18" s="33" t="str">
        <f t="shared" si="5"/>
        <v>·</v>
      </c>
      <c r="AD18" s="34">
        <f t="shared" si="6"/>
        <v>0.12290056884277856</v>
      </c>
      <c r="AE18" s="34">
        <f t="shared" si="7"/>
        <v>2.1572940760828756E-2</v>
      </c>
      <c r="AF18" s="34">
        <f t="shared" si="8"/>
        <v>0.10109718582238465</v>
      </c>
      <c r="AG18" s="35"/>
      <c r="AH18" s="34">
        <f t="shared" si="9"/>
        <v>0.14470079905571939</v>
      </c>
      <c r="AI18" s="36">
        <v>3449822</v>
      </c>
      <c r="AJ18" s="37">
        <v>499192</v>
      </c>
      <c r="AK18" s="37">
        <v>87624</v>
      </c>
      <c r="AL18" s="37">
        <v>410632</v>
      </c>
      <c r="AM18" s="38"/>
      <c r="AN18" s="39">
        <v>67.356421699999999</v>
      </c>
      <c r="AO18" s="39">
        <v>71.762189100000001</v>
      </c>
      <c r="AP18" s="39">
        <v>30.601611599999998</v>
      </c>
      <c r="AQ18" s="39">
        <v>43.483237199999998</v>
      </c>
      <c r="AR18" s="39">
        <v>45.348677100000003</v>
      </c>
      <c r="AS18" s="40"/>
      <c r="AT18" s="41">
        <v>5.3070000000000004</v>
      </c>
      <c r="AU18" s="41">
        <v>4.3220000000000001</v>
      </c>
      <c r="AW18" s="42">
        <f t="shared" si="10"/>
        <v>2.2499677044043875E-4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>
        <f t="shared" si="1"/>
        <v>0.47706077791496532</v>
      </c>
      <c r="K19" s="19">
        <f t="shared" si="2"/>
        <v>8.138353987377378E-2</v>
      </c>
      <c r="L19" s="19">
        <f t="shared" si="3"/>
        <v>0.39547437006909575</v>
      </c>
      <c r="M19" s="20"/>
      <c r="N19" s="19">
        <f t="shared" si="4"/>
        <v>0.5230107238974947</v>
      </c>
      <c r="O19" s="21">
        <v>3704903</v>
      </c>
      <c r="P19" s="22">
        <v>1937704</v>
      </c>
      <c r="Q19" s="22">
        <v>330560</v>
      </c>
      <c r="R19" s="22">
        <v>1606320</v>
      </c>
      <c r="S19" s="23"/>
      <c r="T19" s="24">
        <v>73.415104400000004</v>
      </c>
      <c r="U19" s="24">
        <v>76.776845199999997</v>
      </c>
      <c r="V19" s="24">
        <v>33.409351700000002</v>
      </c>
      <c r="W19" s="24">
        <v>44.739324799999999</v>
      </c>
      <c r="X19" s="24">
        <v>46.518696300000002</v>
      </c>
      <c r="Y19" s="23"/>
      <c r="Z19" s="26">
        <v>7.4649999999999999</v>
      </c>
      <c r="AA19" s="26">
        <v>5.8070000000000004</v>
      </c>
      <c r="AC19" s="18" t="str">
        <f t="shared" si="5"/>
        <v>·</v>
      </c>
      <c r="AD19" s="19">
        <f t="shared" si="6"/>
        <v>0.47719077098446361</v>
      </c>
      <c r="AE19" s="19">
        <f t="shared" si="7"/>
        <v>8.2443180349380987E-2</v>
      </c>
      <c r="AF19" s="19">
        <f t="shared" si="8"/>
        <v>0.39547437006909575</v>
      </c>
      <c r="AG19" s="20"/>
      <c r="AH19" s="19">
        <f t="shared" si="9"/>
        <v>0.52315323775008415</v>
      </c>
      <c r="AI19" s="21">
        <v>3704903</v>
      </c>
      <c r="AJ19" s="22">
        <v>1938232</v>
      </c>
      <c r="AK19" s="22">
        <v>334864</v>
      </c>
      <c r="AL19" s="22">
        <v>1606320</v>
      </c>
      <c r="AM19" s="23"/>
      <c r="AN19" s="24">
        <v>73.415104400000004</v>
      </c>
      <c r="AO19" s="24">
        <v>76.776845199999997</v>
      </c>
      <c r="AP19" s="24">
        <v>33.409351700000002</v>
      </c>
      <c r="AQ19" s="24">
        <v>44.739324799999999</v>
      </c>
      <c r="AR19" s="24">
        <v>46.518696300000002</v>
      </c>
      <c r="AS19" s="25"/>
      <c r="AT19" s="26">
        <v>7.1059999999999999</v>
      </c>
      <c r="AU19" s="26">
        <v>5.7910000000000004</v>
      </c>
      <c r="AW19" s="27">
        <f t="shared" si="10"/>
        <v>2.1741084412234823E-3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>
        <f t="shared" si="1"/>
        <v>1.4619138771294675</v>
      </c>
      <c r="K20" s="34">
        <f t="shared" si="2"/>
        <v>0.27737960561382952</v>
      </c>
      <c r="L20" s="34">
        <f t="shared" si="3"/>
        <v>1.1843314035435422</v>
      </c>
      <c r="M20" s="35"/>
      <c r="N20" s="34">
        <f t="shared" si="4"/>
        <v>1.5099116674354467</v>
      </c>
      <c r="O20" s="36">
        <v>3932638</v>
      </c>
      <c r="P20" s="37">
        <v>5937936</v>
      </c>
      <c r="Q20" s="37">
        <v>1126648</v>
      </c>
      <c r="R20" s="37">
        <v>4810464</v>
      </c>
      <c r="S20" s="38"/>
      <c r="T20" s="39">
        <v>76.425477099999995</v>
      </c>
      <c r="U20" s="39">
        <v>79.631892100000002</v>
      </c>
      <c r="V20" s="39">
        <v>36.559525600000001</v>
      </c>
      <c r="W20" s="39">
        <v>46.086562800000003</v>
      </c>
      <c r="X20" s="39">
        <v>47.698688300000001</v>
      </c>
      <c r="Y20" s="38"/>
      <c r="Z20" s="41">
        <v>11.994999999999999</v>
      </c>
      <c r="AA20" s="41">
        <v>9.6489999999999991</v>
      </c>
      <c r="AC20" s="33" t="str">
        <f t="shared" si="5"/>
        <v>·</v>
      </c>
      <c r="AD20" s="34">
        <f t="shared" si="6"/>
        <v>1.4621837112282745</v>
      </c>
      <c r="AE20" s="34">
        <f t="shared" si="7"/>
        <v>0.28953395761191897</v>
      </c>
      <c r="AF20" s="34">
        <f t="shared" si="8"/>
        <v>1.1843314035435422</v>
      </c>
      <c r="AG20" s="35"/>
      <c r="AH20" s="34">
        <f t="shared" si="9"/>
        <v>1.5101903607705565</v>
      </c>
      <c r="AI20" s="36">
        <v>3932638</v>
      </c>
      <c r="AJ20" s="37">
        <v>5939032</v>
      </c>
      <c r="AK20" s="37">
        <v>1176016</v>
      </c>
      <c r="AL20" s="37">
        <v>4810464</v>
      </c>
      <c r="AM20" s="38"/>
      <c r="AN20" s="39">
        <v>76.425477099999995</v>
      </c>
      <c r="AO20" s="39">
        <v>79.631892100000002</v>
      </c>
      <c r="AP20" s="39">
        <v>36.559525600000001</v>
      </c>
      <c r="AQ20" s="39">
        <v>46.086562800000003</v>
      </c>
      <c r="AR20" s="39">
        <v>47.698688300000001</v>
      </c>
      <c r="AS20" s="40"/>
      <c r="AT20" s="41">
        <v>11.244999999999999</v>
      </c>
      <c r="AU20" s="41">
        <v>9.2899999999999991</v>
      </c>
      <c r="AW20" s="42">
        <f t="shared" si="10"/>
        <v>8.2774512595492067E-3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5"/>
        <v>·</v>
      </c>
      <c r="AD21" s="19" t="str">
        <f t="shared" si="6"/>
        <v>·</v>
      </c>
      <c r="AE21" s="19">
        <f t="shared" si="7"/>
        <v>0</v>
      </c>
      <c r="AF21" s="19" t="str">
        <f t="shared" si="8"/>
        <v>·</v>
      </c>
      <c r="AG21" s="20"/>
      <c r="AH21" s="19" t="str">
        <f t="shared" si="9"/>
        <v>·</v>
      </c>
      <c r="AI21" s="21"/>
      <c r="AJ21" s="22"/>
      <c r="AK21" s="22">
        <v>0</v>
      </c>
      <c r="AL21" s="22"/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10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5"/>
        <v>·</v>
      </c>
      <c r="AD22" s="49" t="str">
        <f t="shared" si="6"/>
        <v>·</v>
      </c>
      <c r="AE22" s="49">
        <f t="shared" si="7"/>
        <v>0</v>
      </c>
      <c r="AF22" s="49" t="str">
        <f t="shared" si="8"/>
        <v>·</v>
      </c>
      <c r="AG22" s="50"/>
      <c r="AH22" s="49" t="str">
        <f t="shared" si="9"/>
        <v>·</v>
      </c>
      <c r="AI22" s="51"/>
      <c r="AJ22" s="52"/>
      <c r="AK22" s="52">
        <v>0</v>
      </c>
      <c r="AL22" s="52"/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10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>
        <f t="shared" si="1"/>
        <v>0.17472021035798621</v>
      </c>
      <c r="K23" s="19">
        <f t="shared" si="2"/>
        <v>6.937337843224557E-3</v>
      </c>
      <c r="L23" s="19">
        <f t="shared" si="3"/>
        <v>0.16726070730075551</v>
      </c>
      <c r="M23" s="20"/>
      <c r="N23" s="19">
        <f t="shared" si="4"/>
        <v>0.1877423427214524</v>
      </c>
      <c r="O23" s="21">
        <v>798456</v>
      </c>
      <c r="P23" s="22">
        <v>149904</v>
      </c>
      <c r="Q23" s="22">
        <v>5952</v>
      </c>
      <c r="R23" s="22">
        <v>143504</v>
      </c>
      <c r="S23" s="23"/>
      <c r="T23" s="24">
        <v>55.6445571</v>
      </c>
      <c r="U23" s="24">
        <v>56.0637027</v>
      </c>
      <c r="V23" s="24">
        <v>25.5643791</v>
      </c>
      <c r="W23" s="24">
        <v>32.726838299999997</v>
      </c>
      <c r="X23" s="24">
        <v>31.561361699999999</v>
      </c>
      <c r="Y23" s="23"/>
      <c r="Z23" s="26">
        <v>1.046</v>
      </c>
      <c r="AA23" s="26">
        <v>0.92100000000000004</v>
      </c>
      <c r="AC23" s="18" t="str">
        <f t="shared" si="5"/>
        <v>·</v>
      </c>
      <c r="AD23" s="19">
        <f t="shared" si="6"/>
        <v>0.17469223722152161</v>
      </c>
      <c r="AE23" s="19">
        <f t="shared" si="7"/>
        <v>6.9466622220460952E-3</v>
      </c>
      <c r="AF23" s="19">
        <f t="shared" si="8"/>
        <v>0.16726070730075551</v>
      </c>
      <c r="AG23" s="20"/>
      <c r="AH23" s="19">
        <f t="shared" si="9"/>
        <v>0.18771228470948931</v>
      </c>
      <c r="AI23" s="21">
        <v>798456</v>
      </c>
      <c r="AJ23" s="22">
        <v>149880</v>
      </c>
      <c r="AK23" s="22">
        <v>5960</v>
      </c>
      <c r="AL23" s="22">
        <v>143504</v>
      </c>
      <c r="AM23" s="23"/>
      <c r="AN23" s="24">
        <v>55.6445571</v>
      </c>
      <c r="AO23" s="24">
        <v>56.0637027</v>
      </c>
      <c r="AP23" s="24">
        <v>25.5643791</v>
      </c>
      <c r="AQ23" s="24">
        <v>32.726838299999997</v>
      </c>
      <c r="AR23" s="24">
        <v>31.561361699999999</v>
      </c>
      <c r="AS23" s="25"/>
      <c r="AT23" s="26">
        <v>1.125</v>
      </c>
      <c r="AU23" s="26">
        <v>0.96799999999999997</v>
      </c>
      <c r="AW23" s="27">
        <f t="shared" si="10"/>
        <v>5.9733986356551305E-5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8.5605897505198758E-3</v>
      </c>
      <c r="BA23" s="28">
        <f>IF( OR(ISBLANK(Q23:Q28),ISBLANK(AK23:AK28), ISBLANK(U23:U28),ISBLANK(AO23:AO28)), "·", bdRateExtend( Q23:Q28,U23:U28, AK23:AK28,AO23:AO28))</f>
        <v>1.0121652437388384E-2</v>
      </c>
      <c r="BB23" s="28">
        <f>IF( OR(ISBLANK(R23:R28),ISBLANK(AL23:AL28), ISBLANK(V23:V28),ISBLANK(AP23:AP28)), "·", bdRateExtend( R23:R28,V23:V28, AL23:AL28,AP23:AP28))</f>
        <v>0</v>
      </c>
      <c r="BC23" s="28">
        <f>IF( OR(ISBLANK(R23:R28),ISBLANK(AL23:AL28), ISBLANK(W23:W28),ISBLANK(AQ23:AQ28)), "·", bdRateExtend( R23:R28,W23:W28, AL23:AL28,AQ23:AQ28))</f>
        <v>0</v>
      </c>
      <c r="BD23" s="28">
        <f>IF( OR(ISBLANK(R23:R28),ISBLANK(AL23:AL28), ISBLANK(X23:X28),ISBLANK(AR23:AR28)), "·", bdRateExtend( R23:R28,X23:X28, AL23:AL28,AR23:AR28))</f>
        <v>0</v>
      </c>
      <c r="BE23" s="29"/>
      <c r="BG23" s="28">
        <f>IF( OR(ISBLANK(P23:P28),ISBLANK(AJ23:AJ28), ISBLANK(T23:T28),ISBLANK(AN23:AN28)), "·", bdRateExtend( P23:P28,T23:T28, AJ23:AJ28,AN23:AN28))</f>
        <v>-8.8204126540758487E-5</v>
      </c>
      <c r="BH23" s="28">
        <f>IF( OR(ISBLANK(P23:P28),ISBLANK(AJ23:AJ28), ISBLANK(U23:U28),ISBLANK(AO23:AO28)), "·", bdRateExtend( P23:P28,U23:U28, AJ23:AJ28,AO23:AO28))</f>
        <v>-7.7059457702421952E-5</v>
      </c>
      <c r="BI23" s="28">
        <f>IF( OR(ISBLANK(P23:P28),ISBLANK(AJ23:AJ28), ISBLANK(V23:V28),ISBLANK(AP23:AP28)), "·", bdRateExtend( P23:P28,V23:V28, AJ23:AJ28,AP23:AP28))</f>
        <v>-5.5839071541607943E-5</v>
      </c>
      <c r="BJ23" s="28">
        <f>IF( OR(ISBLANK(P23:P28),ISBLANK(AJ23:AJ28), ISBLANK(W23:W28),ISBLANK(AQ23:AQ28)), "·", bdRateExtend( P23:P28,W23:W28, AJ23:AJ28,AQ23:AQ28))</f>
        <v>-4.8258290594738185E-5</v>
      </c>
      <c r="BK23" s="28">
        <f>IF( OR(ISBLANK(P23:P28),ISBLANK(AJ23:AJ28), ISBLANK(X23:X28),ISBLANK(AR23:AR28)), "·", bdRateExtend( P23:P28,X23:X28, AJ23:AJ28,AR23:AR28))</f>
        <v>-5.4678888524284375E-5</v>
      </c>
      <c r="BL23" s="29"/>
    </row>
    <row r="24" spans="1:64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>
        <f t="shared" si="1"/>
        <v>0.47228911168974064</v>
      </c>
      <c r="K24" s="34">
        <f t="shared" si="2"/>
        <v>2.4485818785359794E-2</v>
      </c>
      <c r="L24" s="34">
        <f t="shared" si="3"/>
        <v>0.4472811276903747</v>
      </c>
      <c r="M24" s="35"/>
      <c r="N24" s="34">
        <f t="shared" si="4"/>
        <v>0.51573127520058648</v>
      </c>
      <c r="O24" s="36">
        <v>785696</v>
      </c>
      <c r="P24" s="37">
        <v>405208</v>
      </c>
      <c r="Q24" s="37">
        <v>21008</v>
      </c>
      <c r="R24" s="37">
        <v>383752</v>
      </c>
      <c r="S24" s="38"/>
      <c r="T24" s="39">
        <v>62.669087300000001</v>
      </c>
      <c r="U24" s="39">
        <v>63.466967099999998</v>
      </c>
      <c r="V24" s="39">
        <v>29.381278500000001</v>
      </c>
      <c r="W24" s="39">
        <v>35.896707499999998</v>
      </c>
      <c r="X24" s="39">
        <v>35.231554199999998</v>
      </c>
      <c r="Y24" s="38"/>
      <c r="Z24" s="41">
        <v>1.2809999999999999</v>
      </c>
      <c r="AA24" s="41">
        <v>1.03</v>
      </c>
      <c r="AC24" s="33" t="str">
        <f t="shared" si="5"/>
        <v>·</v>
      </c>
      <c r="AD24" s="34">
        <f t="shared" si="6"/>
        <v>0.47222384103798987</v>
      </c>
      <c r="AE24" s="34">
        <f t="shared" si="7"/>
        <v>2.4532440679467485E-2</v>
      </c>
      <c r="AF24" s="34">
        <f t="shared" si="8"/>
        <v>0.4472811276903747</v>
      </c>
      <c r="AG24" s="35"/>
      <c r="AH24" s="34">
        <f t="shared" si="9"/>
        <v>0.51566000081456442</v>
      </c>
      <c r="AI24" s="36">
        <v>785696</v>
      </c>
      <c r="AJ24" s="37">
        <v>405152</v>
      </c>
      <c r="AK24" s="37">
        <v>21048</v>
      </c>
      <c r="AL24" s="37">
        <v>383752</v>
      </c>
      <c r="AM24" s="38"/>
      <c r="AN24" s="39">
        <v>62.669087300000001</v>
      </c>
      <c r="AO24" s="39">
        <v>63.466967099999998</v>
      </c>
      <c r="AP24" s="39">
        <v>29.381278500000001</v>
      </c>
      <c r="AQ24" s="39">
        <v>35.896707499999998</v>
      </c>
      <c r="AR24" s="39">
        <v>35.231554199999998</v>
      </c>
      <c r="AS24" s="40"/>
      <c r="AT24" s="41">
        <v>1.2809999999999999</v>
      </c>
      <c r="AU24" s="41">
        <v>0.999</v>
      </c>
      <c r="AW24" s="42">
        <f t="shared" si="10"/>
        <v>1.0589437739258467E-4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>
        <f t="shared" si="1"/>
        <v>1.1720744178673748</v>
      </c>
      <c r="K25" s="19">
        <f t="shared" si="2"/>
        <v>8.60453677651562E-2</v>
      </c>
      <c r="L25" s="19">
        <f t="shared" si="3"/>
        <v>1.0855068848882123</v>
      </c>
      <c r="M25" s="20"/>
      <c r="N25" s="19">
        <f t="shared" si="4"/>
        <v>1.2652876340027177</v>
      </c>
      <c r="O25" s="21">
        <v>794760</v>
      </c>
      <c r="P25" s="22">
        <v>1005600</v>
      </c>
      <c r="Q25" s="22">
        <v>73824</v>
      </c>
      <c r="R25" s="22">
        <v>931328</v>
      </c>
      <c r="S25" s="23"/>
      <c r="T25" s="24">
        <v>68.604806499999995</v>
      </c>
      <c r="U25" s="24">
        <v>70.4588593</v>
      </c>
      <c r="V25" s="24">
        <v>33.200805000000003</v>
      </c>
      <c r="W25" s="24">
        <v>39.401769199999997</v>
      </c>
      <c r="X25" s="24">
        <v>38.920159699999999</v>
      </c>
      <c r="Y25" s="23"/>
      <c r="Z25" s="26">
        <v>1.6080000000000001</v>
      </c>
      <c r="AA25" s="26">
        <v>1.2649999999999999</v>
      </c>
      <c r="AC25" s="18" t="str">
        <f t="shared" si="5"/>
        <v>·</v>
      </c>
      <c r="AD25" s="19">
        <f t="shared" si="6"/>
        <v>1.1721117153826608</v>
      </c>
      <c r="AE25" s="19">
        <f t="shared" si="7"/>
        <v>8.7686458437746945E-2</v>
      </c>
      <c r="AF25" s="19">
        <f t="shared" si="8"/>
        <v>1.0855068848882123</v>
      </c>
      <c r="AG25" s="20"/>
      <c r="AH25" s="19">
        <f t="shared" si="9"/>
        <v>1.2653278977301323</v>
      </c>
      <c r="AI25" s="21">
        <v>794760</v>
      </c>
      <c r="AJ25" s="22">
        <v>1005632</v>
      </c>
      <c r="AK25" s="22">
        <v>75232</v>
      </c>
      <c r="AL25" s="22">
        <v>931328</v>
      </c>
      <c r="AM25" s="23"/>
      <c r="AN25" s="24">
        <v>68.604806499999995</v>
      </c>
      <c r="AO25" s="24">
        <v>70.4588593</v>
      </c>
      <c r="AP25" s="24">
        <v>33.200805000000003</v>
      </c>
      <c r="AQ25" s="24">
        <v>39.401769199999997</v>
      </c>
      <c r="AR25" s="24">
        <v>38.920159699999999</v>
      </c>
      <c r="AS25" s="25"/>
      <c r="AT25" s="26">
        <v>1.5620000000000001</v>
      </c>
      <c r="AU25" s="26">
        <v>1.296</v>
      </c>
      <c r="AW25" s="27">
        <f t="shared" si="10"/>
        <v>1.3977784990826664E-3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>
        <f t="shared" si="1"/>
        <v>2.4899448229883236</v>
      </c>
      <c r="K26" s="34">
        <f t="shared" si="2"/>
        <v>0.26040192734910239</v>
      </c>
      <c r="L26" s="34">
        <f t="shared" si="3"/>
        <v>2.2290207304252152</v>
      </c>
      <c r="M26" s="35"/>
      <c r="N26" s="34">
        <f t="shared" si="4"/>
        <v>2.5184591371432075</v>
      </c>
      <c r="O26" s="36">
        <v>848252</v>
      </c>
      <c r="P26" s="37">
        <v>2136288</v>
      </c>
      <c r="Q26" s="37">
        <v>223416</v>
      </c>
      <c r="R26" s="37">
        <v>1912424</v>
      </c>
      <c r="S26" s="38"/>
      <c r="T26" s="39">
        <v>71.029979699999998</v>
      </c>
      <c r="U26" s="39">
        <v>73.9660966</v>
      </c>
      <c r="V26" s="39">
        <v>36.350391500000001</v>
      </c>
      <c r="W26" s="39">
        <v>42.516891000000001</v>
      </c>
      <c r="X26" s="39">
        <v>42.031444999999998</v>
      </c>
      <c r="Y26" s="38"/>
      <c r="Z26" s="41">
        <v>2.6709999999999998</v>
      </c>
      <c r="AA26" s="41">
        <v>2.2330000000000001</v>
      </c>
      <c r="AC26" s="33" t="str">
        <f t="shared" si="5"/>
        <v>·</v>
      </c>
      <c r="AD26" s="34">
        <f t="shared" si="6"/>
        <v>2.4901965812165052</v>
      </c>
      <c r="AE26" s="34">
        <f t="shared" si="7"/>
        <v>0.27522768967534844</v>
      </c>
      <c r="AF26" s="34">
        <f t="shared" si="8"/>
        <v>2.2290207304252152</v>
      </c>
      <c r="AG26" s="35"/>
      <c r="AH26" s="34">
        <f t="shared" si="9"/>
        <v>2.5187137784526294</v>
      </c>
      <c r="AI26" s="36">
        <v>848252</v>
      </c>
      <c r="AJ26" s="37">
        <v>2136504</v>
      </c>
      <c r="AK26" s="37">
        <v>236136</v>
      </c>
      <c r="AL26" s="37">
        <v>1912424</v>
      </c>
      <c r="AM26" s="38"/>
      <c r="AN26" s="39">
        <v>71.029979699999998</v>
      </c>
      <c r="AO26" s="39">
        <v>73.9660966</v>
      </c>
      <c r="AP26" s="39">
        <v>36.350391500000001</v>
      </c>
      <c r="AQ26" s="39">
        <v>42.516891000000001</v>
      </c>
      <c r="AR26" s="39">
        <v>42.031444999999998</v>
      </c>
      <c r="AS26" s="40"/>
      <c r="AT26" s="41">
        <v>2.577</v>
      </c>
      <c r="AU26" s="41">
        <v>2.1240000000000001</v>
      </c>
      <c r="AW26" s="42">
        <f t="shared" si="10"/>
        <v>5.9430782327452025E-3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5"/>
        <v>·</v>
      </c>
      <c r="AD27" s="19" t="str">
        <f t="shared" si="6"/>
        <v>·</v>
      </c>
      <c r="AE27" s="19">
        <f t="shared" si="7"/>
        <v>0</v>
      </c>
      <c r="AF27" s="19" t="str">
        <f t="shared" si="8"/>
        <v>·</v>
      </c>
      <c r="AG27" s="20"/>
      <c r="AH27" s="19" t="str">
        <f t="shared" si="9"/>
        <v>·</v>
      </c>
      <c r="AI27" s="21"/>
      <c r="AJ27" s="22"/>
      <c r="AK27" s="22">
        <v>0</v>
      </c>
      <c r="AL27" s="22"/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10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5"/>
        <v>·</v>
      </c>
      <c r="AD28" s="49" t="str">
        <f t="shared" si="6"/>
        <v>·</v>
      </c>
      <c r="AE28" s="49">
        <f t="shared" si="7"/>
        <v>0</v>
      </c>
      <c r="AF28" s="49" t="str">
        <f t="shared" si="8"/>
        <v>·</v>
      </c>
      <c r="AG28" s="50"/>
      <c r="AH28" s="49" t="str">
        <f t="shared" si="9"/>
        <v>·</v>
      </c>
      <c r="AI28" s="51"/>
      <c r="AJ28" s="52"/>
      <c r="AK28" s="52">
        <v>0</v>
      </c>
      <c r="AL28" s="52"/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10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>
        <f t="shared" si="1"/>
        <v>3.8535425346305968E-2</v>
      </c>
      <c r="K29" s="19">
        <f t="shared" si="2"/>
        <v>7.1428127929863338E-3</v>
      </c>
      <c r="L29" s="19">
        <f t="shared" si="3"/>
        <v>3.0846222144954891E-2</v>
      </c>
      <c r="M29" s="20"/>
      <c r="N29" s="19">
        <f t="shared" si="4"/>
        <v>4.1532272095805817E-2</v>
      </c>
      <c r="O29" s="21">
        <v>747178</v>
      </c>
      <c r="P29" s="22">
        <v>31032</v>
      </c>
      <c r="Q29" s="22">
        <v>5752</v>
      </c>
      <c r="R29" s="22">
        <v>24840</v>
      </c>
      <c r="S29" s="23"/>
      <c r="T29" s="24">
        <v>55.289748799999998</v>
      </c>
      <c r="U29" s="24">
        <v>57.733209899999999</v>
      </c>
      <c r="V29" s="24">
        <v>31.202408999999999</v>
      </c>
      <c r="W29" s="24">
        <v>44.705795600000002</v>
      </c>
      <c r="X29" s="24">
        <v>43.283148699999998</v>
      </c>
      <c r="Y29" s="23"/>
      <c r="Z29" s="26">
        <v>1.0620000000000001</v>
      </c>
      <c r="AA29" s="26">
        <v>0.874</v>
      </c>
      <c r="AC29" s="18" t="str">
        <f t="shared" si="5"/>
        <v>·</v>
      </c>
      <c r="AD29" s="19">
        <f t="shared" si="6"/>
        <v>3.852549097524479E-2</v>
      </c>
      <c r="AE29" s="19">
        <f t="shared" si="7"/>
        <v>7.1924846482922192E-3</v>
      </c>
      <c r="AF29" s="19">
        <f t="shared" si="8"/>
        <v>3.0846222144954891E-2</v>
      </c>
      <c r="AG29" s="20"/>
      <c r="AH29" s="19">
        <f t="shared" si="9"/>
        <v>4.152156514244263E-2</v>
      </c>
      <c r="AI29" s="21">
        <v>747178</v>
      </c>
      <c r="AJ29" s="22">
        <v>31024</v>
      </c>
      <c r="AK29" s="22">
        <v>5792</v>
      </c>
      <c r="AL29" s="22">
        <v>24840</v>
      </c>
      <c r="AM29" s="23"/>
      <c r="AN29" s="24">
        <v>55.289748799999998</v>
      </c>
      <c r="AO29" s="24">
        <v>57.733209899999999</v>
      </c>
      <c r="AP29" s="24">
        <v>31.202408999999999</v>
      </c>
      <c r="AQ29" s="24">
        <v>44.705795600000002</v>
      </c>
      <c r="AR29" s="24">
        <v>43.283148699999998</v>
      </c>
      <c r="AS29" s="25"/>
      <c r="AT29" s="26">
        <v>1.0620000000000001</v>
      </c>
      <c r="AU29" s="26">
        <v>0.92100000000000004</v>
      </c>
      <c r="AW29" s="27">
        <f t="shared" si="10"/>
        <v>1.3371214674539333E-3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1.1072763262073515E-2</v>
      </c>
      <c r="BA29" s="28">
        <f>IF( OR(ISBLANK(Q29:Q34),ISBLANK(AK29:AK34), ISBLANK(U29:U34),ISBLANK(AO29:AO34)), "·", bdRateExtend( Q29:Q34,U29:U34, AK29:AK34,AO29:AO34))</f>
        <v>1.1555546043563902E-2</v>
      </c>
      <c r="BB29" s="28">
        <f>IF( OR(ISBLANK(R29:R34),ISBLANK(AL29:AL34), ISBLANK(V29:V34),ISBLANK(AP29:AP34)), "·", bdRateExtend( R29:R34,V29:V34, AL29:AL34,AP29:AP34))</f>
        <v>0</v>
      </c>
      <c r="BC29" s="28">
        <f>IF( OR(ISBLANK(R29:R34),ISBLANK(AL29:AL34), ISBLANK(W29:W34),ISBLANK(AQ29:AQ34)), "·", bdRateExtend( R29:R34,W29:W34, AL29:AL34,AQ29:AQ34))</f>
        <v>0</v>
      </c>
      <c r="BD29" s="28">
        <f>IF( OR(ISBLANK(R29:R34),ISBLANK(AL29:AL34), ISBLANK(X29:X34),ISBLANK(AR29:AR34)), "·", bdRateExtend( R29:R34,X29:X34, AL29:AL34,AR29:AR34))</f>
        <v>0</v>
      </c>
      <c r="BE29" s="29"/>
      <c r="BG29" s="28">
        <f>IF( OR(ISBLANK(P29:P34),ISBLANK(AJ29:AJ34), ISBLANK(T29:T34),ISBLANK(AN29:AN34)), "·", bdRateExtend( P29:P34,T29:T34, AJ29:AJ34,AN29:AN34))</f>
        <v>-2.7979947962586404E-4</v>
      </c>
      <c r="BH29" s="28">
        <f>IF( OR(ISBLANK(P29:P34),ISBLANK(AJ29:AJ34), ISBLANK(U29:U34),ISBLANK(AO29:AO34)), "·", bdRateExtend( P29:P34,U29:U34, AJ29:AJ34,AO29:AO34))</f>
        <v>-2.5867127396006495E-4</v>
      </c>
      <c r="BI29" s="28">
        <f>IF( OR(ISBLANK(P29:P34),ISBLANK(AJ29:AJ34), ISBLANK(V29:V34),ISBLANK(AP29:AP34)), "·", bdRateExtend( P29:P34,V29:V34, AJ29:AJ34,AP29:AP34))</f>
        <v>-1.0991188053766088E-4</v>
      </c>
      <c r="BJ29" s="28">
        <f>IF( OR(ISBLANK(P29:P34),ISBLANK(AJ29:AJ34), ISBLANK(W29:W34),ISBLANK(AQ29:AQ34)), "·", bdRateExtend( P29:P34,W29:W34, AJ29:AJ34,AQ29:AQ34))</f>
        <v>-1.7518706358909952E-4</v>
      </c>
      <c r="BK29" s="28">
        <f>IF( OR(ISBLANK(P29:P34),ISBLANK(AJ29:AJ34), ISBLANK(X29:X34),ISBLANK(AR29:AR34)), "·", bdRateExtend( P29:P34,X29:X34, AJ29:AJ34,AR29:AR34))</f>
        <v>-2.1407276450302604E-4</v>
      </c>
      <c r="BL29" s="29"/>
    </row>
    <row r="30" spans="1:64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>
        <f t="shared" si="1"/>
        <v>0.11101659660865408</v>
      </c>
      <c r="K30" s="34">
        <f t="shared" si="2"/>
        <v>2.3315968880582651E-2</v>
      </c>
      <c r="L30" s="34">
        <f t="shared" si="3"/>
        <v>8.7154237319706687E-2</v>
      </c>
      <c r="M30" s="35"/>
      <c r="N30" s="34">
        <f t="shared" si="4"/>
        <v>0.12531310755481045</v>
      </c>
      <c r="O30" s="36">
        <v>713413</v>
      </c>
      <c r="P30" s="37">
        <v>89400</v>
      </c>
      <c r="Q30" s="37">
        <v>18776</v>
      </c>
      <c r="R30" s="37">
        <v>70184</v>
      </c>
      <c r="S30" s="38"/>
      <c r="T30" s="39">
        <v>63.177750000000003</v>
      </c>
      <c r="U30" s="39">
        <v>65.228434300000004</v>
      </c>
      <c r="V30" s="39">
        <v>34.333899799999998</v>
      </c>
      <c r="W30" s="39">
        <v>47.167225000000002</v>
      </c>
      <c r="X30" s="39">
        <v>46.607648500000003</v>
      </c>
      <c r="Y30" s="38"/>
      <c r="Z30" s="41">
        <v>1.093</v>
      </c>
      <c r="AA30" s="41">
        <v>0.96799999999999997</v>
      </c>
      <c r="AC30" s="33" t="str">
        <f t="shared" si="5"/>
        <v>·</v>
      </c>
      <c r="AD30" s="34">
        <f t="shared" si="6"/>
        <v>0.11095699038228701</v>
      </c>
      <c r="AE30" s="34">
        <f t="shared" si="7"/>
        <v>2.3445115704377954E-2</v>
      </c>
      <c r="AF30" s="34">
        <f t="shared" si="8"/>
        <v>8.7154237319706687E-2</v>
      </c>
      <c r="AG30" s="35"/>
      <c r="AH30" s="34">
        <f t="shared" si="9"/>
        <v>0.12524582534941192</v>
      </c>
      <c r="AI30" s="36">
        <v>713413</v>
      </c>
      <c r="AJ30" s="37">
        <v>89352</v>
      </c>
      <c r="AK30" s="37">
        <v>18880</v>
      </c>
      <c r="AL30" s="37">
        <v>70184</v>
      </c>
      <c r="AM30" s="38"/>
      <c r="AN30" s="39">
        <v>63.177750000000003</v>
      </c>
      <c r="AO30" s="39">
        <v>65.228434300000004</v>
      </c>
      <c r="AP30" s="39">
        <v>34.333899799999998</v>
      </c>
      <c r="AQ30" s="39">
        <v>47.167225000000002</v>
      </c>
      <c r="AR30" s="39">
        <v>46.607648500000003</v>
      </c>
      <c r="AS30" s="40"/>
      <c r="AT30" s="41">
        <v>1.202</v>
      </c>
      <c r="AU30" s="41">
        <v>0.93600000000000005</v>
      </c>
      <c r="AW30" s="42">
        <f t="shared" si="10"/>
        <v>1.27676016010278E-3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>
        <f t="shared" si="1"/>
        <v>0.30963447723476784</v>
      </c>
      <c r="K31" s="19">
        <f t="shared" si="2"/>
        <v>7.9941883929292121E-2</v>
      </c>
      <c r="L31" s="19">
        <f t="shared" si="3"/>
        <v>0.22914620289711096</v>
      </c>
      <c r="M31" s="20"/>
      <c r="N31" s="19">
        <f t="shared" si="4"/>
        <v>0.33914248679645115</v>
      </c>
      <c r="O31" s="21">
        <v>735219</v>
      </c>
      <c r="P31" s="22">
        <v>249344</v>
      </c>
      <c r="Q31" s="22">
        <v>64376</v>
      </c>
      <c r="R31" s="22">
        <v>184528</v>
      </c>
      <c r="S31" s="23"/>
      <c r="T31" s="24">
        <v>68.458337499999999</v>
      </c>
      <c r="U31" s="24">
        <v>71.271203799999995</v>
      </c>
      <c r="V31" s="24">
        <v>38.118692699999997</v>
      </c>
      <c r="W31" s="24">
        <v>49.045690299999997</v>
      </c>
      <c r="X31" s="24">
        <v>49.286591299999998</v>
      </c>
      <c r="Y31" s="23"/>
      <c r="Z31" s="26">
        <v>1.514</v>
      </c>
      <c r="AA31" s="26">
        <v>1.1870000000000001</v>
      </c>
      <c r="AC31" s="18" t="str">
        <f t="shared" si="5"/>
        <v>·</v>
      </c>
      <c r="AD31" s="19">
        <f t="shared" si="6"/>
        <v>0.30968414909007369</v>
      </c>
      <c r="AE31" s="19">
        <f t="shared" si="7"/>
        <v>8.1352564619979265E-2</v>
      </c>
      <c r="AF31" s="19">
        <f t="shared" si="8"/>
        <v>0.22914620289711096</v>
      </c>
      <c r="AG31" s="20"/>
      <c r="AH31" s="19">
        <f t="shared" si="9"/>
        <v>0.33919689235452294</v>
      </c>
      <c r="AI31" s="21">
        <v>735219</v>
      </c>
      <c r="AJ31" s="22">
        <v>249384</v>
      </c>
      <c r="AK31" s="22">
        <v>65512</v>
      </c>
      <c r="AL31" s="22">
        <v>184528</v>
      </c>
      <c r="AM31" s="23"/>
      <c r="AN31" s="24">
        <v>68.458337499999999</v>
      </c>
      <c r="AO31" s="24">
        <v>71.271203799999995</v>
      </c>
      <c r="AP31" s="24">
        <v>38.118692699999997</v>
      </c>
      <c r="AQ31" s="24">
        <v>49.045690299999997</v>
      </c>
      <c r="AR31" s="24">
        <v>49.286591299999998</v>
      </c>
      <c r="AS31" s="25"/>
      <c r="AT31" s="26">
        <v>1.39</v>
      </c>
      <c r="AU31" s="26">
        <v>1.1399999999999999</v>
      </c>
      <c r="AW31" s="27">
        <f t="shared" si="10"/>
        <v>4.5138130003252175E-3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>
        <f t="shared" si="1"/>
        <v>0.77399678374736891</v>
      </c>
      <c r="K32" s="34">
        <f t="shared" si="2"/>
        <v>0.24760426432877802</v>
      </c>
      <c r="L32" s="34">
        <f t="shared" si="3"/>
        <v>0.5258461290102262</v>
      </c>
      <c r="M32" s="35"/>
      <c r="N32" s="34">
        <f t="shared" si="4"/>
        <v>0.78736950611919032</v>
      </c>
      <c r="O32" s="36">
        <v>791608</v>
      </c>
      <c r="P32" s="37">
        <v>623288</v>
      </c>
      <c r="Q32" s="37">
        <v>199392</v>
      </c>
      <c r="R32" s="37">
        <v>423456</v>
      </c>
      <c r="S32" s="38"/>
      <c r="T32" s="39">
        <v>71.086933299999998</v>
      </c>
      <c r="U32" s="39">
        <v>74.126947000000001</v>
      </c>
      <c r="V32" s="39">
        <v>41.5832519</v>
      </c>
      <c r="W32" s="39">
        <v>50.7763578</v>
      </c>
      <c r="X32" s="39">
        <v>51.090319299999997</v>
      </c>
      <c r="Y32" s="38"/>
      <c r="Z32" s="41">
        <v>2.4990000000000001</v>
      </c>
      <c r="AA32" s="41">
        <v>2.14</v>
      </c>
      <c r="AC32" s="33" t="str">
        <f t="shared" si="5"/>
        <v>·</v>
      </c>
      <c r="AD32" s="34">
        <f t="shared" si="6"/>
        <v>0.77432461799238783</v>
      </c>
      <c r="AE32" s="34">
        <f t="shared" si="7"/>
        <v>0.26162166189609892</v>
      </c>
      <c r="AF32" s="34">
        <f t="shared" si="8"/>
        <v>0.5258461290102262</v>
      </c>
      <c r="AG32" s="35"/>
      <c r="AH32" s="34">
        <f t="shared" si="9"/>
        <v>0.7877030045173874</v>
      </c>
      <c r="AI32" s="36">
        <v>791608</v>
      </c>
      <c r="AJ32" s="37">
        <v>623552</v>
      </c>
      <c r="AK32" s="37">
        <v>210680</v>
      </c>
      <c r="AL32" s="37">
        <v>423456</v>
      </c>
      <c r="AM32" s="38"/>
      <c r="AN32" s="39">
        <v>71.086933299999998</v>
      </c>
      <c r="AO32" s="39">
        <v>74.126947000000001</v>
      </c>
      <c r="AP32" s="39">
        <v>41.5832519</v>
      </c>
      <c r="AQ32" s="39">
        <v>50.7763578</v>
      </c>
      <c r="AR32" s="39">
        <v>51.090319299999997</v>
      </c>
      <c r="AS32" s="40"/>
      <c r="AT32" s="41">
        <v>2.4209999999999998</v>
      </c>
      <c r="AU32" s="41">
        <v>2.077</v>
      </c>
      <c r="AW32" s="42">
        <f t="shared" si="10"/>
        <v>1.796729940948405E-2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5"/>
        <v>·</v>
      </c>
      <c r="AD33" s="19" t="str">
        <f t="shared" si="6"/>
        <v>·</v>
      </c>
      <c r="AE33" s="19">
        <f t="shared" si="7"/>
        <v>0</v>
      </c>
      <c r="AF33" s="19" t="str">
        <f t="shared" si="8"/>
        <v>·</v>
      </c>
      <c r="AG33" s="20"/>
      <c r="AH33" s="19" t="str">
        <f t="shared" si="9"/>
        <v>·</v>
      </c>
      <c r="AI33" s="21"/>
      <c r="AJ33" s="22"/>
      <c r="AK33" s="22">
        <v>0</v>
      </c>
      <c r="AL33" s="22"/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10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5"/>
        <v>·</v>
      </c>
      <c r="AD34" s="49" t="str">
        <f t="shared" si="6"/>
        <v>·</v>
      </c>
      <c r="AE34" s="49">
        <f t="shared" si="7"/>
        <v>0</v>
      </c>
      <c r="AF34" s="49" t="str">
        <f t="shared" si="8"/>
        <v>·</v>
      </c>
      <c r="AG34" s="50"/>
      <c r="AH34" s="49" t="str">
        <f t="shared" si="9"/>
        <v>·</v>
      </c>
      <c r="AI34" s="51"/>
      <c r="AJ34" s="52"/>
      <c r="AK34" s="52">
        <v>0</v>
      </c>
      <c r="AL34" s="52"/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10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>
        <f t="shared" si="1"/>
        <v>6.1890542691107733E-2</v>
      </c>
      <c r="K35" s="19">
        <f t="shared" si="2"/>
        <v>5.4665716943075524E-3</v>
      </c>
      <c r="L35" s="19">
        <f t="shared" si="3"/>
        <v>5.5976415419488446E-2</v>
      </c>
      <c r="M35" s="20"/>
      <c r="N35" s="19">
        <f t="shared" si="4"/>
        <v>8.2931406763075505E-2</v>
      </c>
      <c r="O35" s="21">
        <v>747027</v>
      </c>
      <c r="P35" s="22">
        <v>61952</v>
      </c>
      <c r="Q35" s="22">
        <v>5472</v>
      </c>
      <c r="R35" s="22">
        <v>56032</v>
      </c>
      <c r="S35" s="23"/>
      <c r="T35" s="24">
        <v>55.7712225</v>
      </c>
      <c r="U35" s="24">
        <v>57.162020499999997</v>
      </c>
      <c r="V35" s="24">
        <v>26.0704052</v>
      </c>
      <c r="W35" s="24">
        <v>34.747233399999999</v>
      </c>
      <c r="X35" s="24">
        <v>32.313972999999997</v>
      </c>
      <c r="Y35" s="23"/>
      <c r="Z35" s="26">
        <v>1.139</v>
      </c>
      <c r="AA35" s="26">
        <v>0.90600000000000003</v>
      </c>
      <c r="AC35" s="18" t="str">
        <f t="shared" si="5"/>
        <v>·</v>
      </c>
      <c r="AD35" s="19">
        <f t="shared" si="6"/>
        <v>6.1882550627227161E-2</v>
      </c>
      <c r="AE35" s="19">
        <f t="shared" si="7"/>
        <v>5.4905478859492525E-3</v>
      </c>
      <c r="AF35" s="19">
        <f t="shared" si="8"/>
        <v>5.5976415419488446E-2</v>
      </c>
      <c r="AG35" s="20"/>
      <c r="AH35" s="19">
        <f t="shared" si="9"/>
        <v>8.2920697645466626E-2</v>
      </c>
      <c r="AI35" s="21">
        <v>747027</v>
      </c>
      <c r="AJ35" s="22">
        <v>61944</v>
      </c>
      <c r="AK35" s="22">
        <v>5496</v>
      </c>
      <c r="AL35" s="22">
        <v>56032</v>
      </c>
      <c r="AM35" s="23"/>
      <c r="AN35" s="24">
        <v>55.7712225</v>
      </c>
      <c r="AO35" s="24">
        <v>57.162020499999997</v>
      </c>
      <c r="AP35" s="24">
        <v>26.0704052</v>
      </c>
      <c r="AQ35" s="24">
        <v>34.747233399999999</v>
      </c>
      <c r="AR35" s="24">
        <v>32.313972999999997</v>
      </c>
      <c r="AS35" s="25"/>
      <c r="AT35" s="26">
        <v>1.1559999999999999</v>
      </c>
      <c r="AU35" s="26">
        <v>0.85899999999999999</v>
      </c>
      <c r="AW35" s="27">
        <f t="shared" si="10"/>
        <v>3.9885399022097923E-4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1.2545592109674653E-2</v>
      </c>
      <c r="BA35" s="28">
        <f>IF( OR(ISBLANK(Q35:Q40),ISBLANK(AK35:AK40), ISBLANK(U35:U40),ISBLANK(AO35:AO40)), "·", bdRateExtend( Q35:Q40,U35:U40, AK35:AK40,AO35:AO40))</f>
        <v>1.3457603503338911E-2</v>
      </c>
      <c r="BB35" s="28">
        <f>IF( OR(ISBLANK(R35:R40),ISBLANK(AL35:AL40), ISBLANK(V35:V40),ISBLANK(AP35:AP40)), "·", bdRateExtend( R35:R40,V35:V40, AL35:AL40,AP35:AP40))</f>
        <v>0</v>
      </c>
      <c r="BC35" s="28">
        <f>IF( OR(ISBLANK(R35:R40),ISBLANK(AL35:AL40), ISBLANK(W35:W40),ISBLANK(AQ35:AQ40)), "·", bdRateExtend( R35:R40,W35:W40, AL35:AL40,AQ35:AQ40))</f>
        <v>0</v>
      </c>
      <c r="BD35" s="28">
        <f>IF( OR(ISBLANK(R35:R40),ISBLANK(AL35:AL40), ISBLANK(X35:X40),ISBLANK(AR35:AR40)), "·", bdRateExtend( R35:R40,X35:X40, AL35:AL40,AR35:AR40))</f>
        <v>0</v>
      </c>
      <c r="BE35" s="29"/>
      <c r="BG35" s="28">
        <f>IF( OR(ISBLANK(P35:P40),ISBLANK(AJ35:AJ40), ISBLANK(T35:T40),ISBLANK(AN35:AN40)), "·", bdRateExtend( P35:P40,T35:T40, AJ35:AJ40,AN35:AN40))</f>
        <v>1.1537090047863963E-4</v>
      </c>
      <c r="BH35" s="28">
        <f>IF( OR(ISBLANK(P35:P40),ISBLANK(AJ35:AJ40), ISBLANK(U35:U40),ISBLANK(AO35:AO40)), "·", bdRateExtend( P35:P40,U35:U40, AJ35:AJ40,AO35:AO40))</f>
        <v>1.2558093020875738E-4</v>
      </c>
      <c r="BI35" s="28">
        <f>IF( OR(ISBLANK(P35:P40),ISBLANK(AJ35:AJ40), ISBLANK(V35:V40),ISBLANK(AP35:AP40)), "·", bdRateExtend( P35:P40,V35:V40, AJ35:AJ40,AP35:AP40))</f>
        <v>1.3500955450318486E-4</v>
      </c>
      <c r="BJ35" s="28">
        <f>IF( OR(ISBLANK(P35:P40),ISBLANK(AJ35:AJ40), ISBLANK(W35:W40),ISBLANK(AQ35:AQ40)), "·", bdRateExtend( P35:P40,W35:W40, AJ35:AJ40,AQ35:AQ40))</f>
        <v>1.368812577269285E-4</v>
      </c>
      <c r="BK35" s="28">
        <f>IF( OR(ISBLANK(P35:P40),ISBLANK(AJ35:AJ40), ISBLANK(X35:X40),ISBLANK(AR35:AR40)), "·", bdRateExtend( P35:P40,X35:X40, AJ35:AJ40,AR35:AR40))</f>
        <v>1.3626150195489295E-4</v>
      </c>
      <c r="BL35" s="29"/>
    </row>
    <row r="36" spans="1:64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>
        <f t="shared" si="1"/>
        <v>0.16813703991936008</v>
      </c>
      <c r="K36" s="34">
        <f t="shared" si="2"/>
        <v>1.8141985008886176E-2</v>
      </c>
      <c r="L36" s="34">
        <f t="shared" si="3"/>
        <v>0.14954749933316216</v>
      </c>
      <c r="M36" s="35"/>
      <c r="N36" s="34">
        <f t="shared" si="4"/>
        <v>0.23157202434269092</v>
      </c>
      <c r="O36" s="36">
        <v>726789</v>
      </c>
      <c r="P36" s="37">
        <v>168304</v>
      </c>
      <c r="Q36" s="37">
        <v>18160</v>
      </c>
      <c r="R36" s="37">
        <v>149696</v>
      </c>
      <c r="S36" s="38"/>
      <c r="T36" s="39">
        <v>62.500404699999997</v>
      </c>
      <c r="U36" s="39">
        <v>64.232491400000001</v>
      </c>
      <c r="V36" s="39">
        <v>30.320138499999999</v>
      </c>
      <c r="W36" s="39">
        <v>39.027258199999999</v>
      </c>
      <c r="X36" s="39">
        <v>37.091278299999999</v>
      </c>
      <c r="Y36" s="38"/>
      <c r="Z36" s="41">
        <v>1.171</v>
      </c>
      <c r="AA36" s="41">
        <v>1.0309999999999999</v>
      </c>
      <c r="AC36" s="33" t="str">
        <f t="shared" si="5"/>
        <v>·</v>
      </c>
      <c r="AD36" s="34">
        <f t="shared" si="6"/>
        <v>0.16816101611100179</v>
      </c>
      <c r="AE36" s="34">
        <f t="shared" si="7"/>
        <v>1.8253873903214108E-2</v>
      </c>
      <c r="AF36" s="34">
        <f t="shared" si="8"/>
        <v>0.14954749933316216</v>
      </c>
      <c r="AG36" s="35"/>
      <c r="AH36" s="34">
        <f t="shared" si="9"/>
        <v>0.23160504630642456</v>
      </c>
      <c r="AI36" s="36">
        <v>726789</v>
      </c>
      <c r="AJ36" s="37">
        <v>168328</v>
      </c>
      <c r="AK36" s="37">
        <v>18272</v>
      </c>
      <c r="AL36" s="37">
        <v>149696</v>
      </c>
      <c r="AM36" s="38"/>
      <c r="AN36" s="39">
        <v>62.500404699999997</v>
      </c>
      <c r="AO36" s="39">
        <v>64.232491400000001</v>
      </c>
      <c r="AP36" s="39">
        <v>30.320138499999999</v>
      </c>
      <c r="AQ36" s="39">
        <v>39.027258199999999</v>
      </c>
      <c r="AR36" s="39">
        <v>37.091278299999999</v>
      </c>
      <c r="AS36" s="40"/>
      <c r="AT36" s="41">
        <v>1.202</v>
      </c>
      <c r="AU36" s="41">
        <v>0.95199999999999996</v>
      </c>
      <c r="AW36" s="42">
        <f t="shared" si="10"/>
        <v>6.4998336716504124E-4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>
        <f t="shared" si="1"/>
        <v>0.40960126594291868</v>
      </c>
      <c r="K37" s="19">
        <f t="shared" si="2"/>
        <v>6.3177264975878958E-2</v>
      </c>
      <c r="L37" s="19">
        <f t="shared" si="3"/>
        <v>0.34597644538972799</v>
      </c>
      <c r="M37" s="20"/>
      <c r="N37" s="19">
        <f t="shared" si="4"/>
        <v>0.53400851531597704</v>
      </c>
      <c r="O37" s="21">
        <v>767793</v>
      </c>
      <c r="P37" s="22">
        <v>410008</v>
      </c>
      <c r="Q37" s="22">
        <v>63240</v>
      </c>
      <c r="R37" s="22">
        <v>346320</v>
      </c>
      <c r="S37" s="23"/>
      <c r="T37" s="24">
        <v>67.685976199999999</v>
      </c>
      <c r="U37" s="24">
        <v>71.006012600000005</v>
      </c>
      <c r="V37" s="24">
        <v>33.888105799999998</v>
      </c>
      <c r="W37" s="24">
        <v>43.398568400000002</v>
      </c>
      <c r="X37" s="24">
        <v>41.647070599999999</v>
      </c>
      <c r="Y37" s="23"/>
      <c r="Z37" s="26">
        <v>1.593</v>
      </c>
      <c r="AA37" s="26">
        <v>1.155</v>
      </c>
      <c r="AC37" s="18" t="str">
        <f t="shared" si="5"/>
        <v>·</v>
      </c>
      <c r="AD37" s="19">
        <f t="shared" si="6"/>
        <v>0.40968917864560489</v>
      </c>
      <c r="AE37" s="19">
        <f t="shared" si="7"/>
        <v>6.4567884091097538E-2</v>
      </c>
      <c r="AF37" s="19">
        <f t="shared" si="8"/>
        <v>0.34597644538972799</v>
      </c>
      <c r="AG37" s="20"/>
      <c r="AH37" s="19">
        <f t="shared" si="9"/>
        <v>0.53412312954142593</v>
      </c>
      <c r="AI37" s="21">
        <v>767793</v>
      </c>
      <c r="AJ37" s="22">
        <v>410096</v>
      </c>
      <c r="AK37" s="22">
        <v>64632</v>
      </c>
      <c r="AL37" s="22">
        <v>346320</v>
      </c>
      <c r="AM37" s="23"/>
      <c r="AN37" s="24">
        <v>67.685976199999999</v>
      </c>
      <c r="AO37" s="24">
        <v>71.006012600000005</v>
      </c>
      <c r="AP37" s="24">
        <v>33.888105799999998</v>
      </c>
      <c r="AQ37" s="24">
        <v>43.398568400000002</v>
      </c>
      <c r="AR37" s="24">
        <v>41.647070599999999</v>
      </c>
      <c r="AS37" s="25"/>
      <c r="AT37" s="26">
        <v>1.5620000000000001</v>
      </c>
      <c r="AU37" s="26">
        <v>1.2030000000000001</v>
      </c>
      <c r="AW37" s="27">
        <f t="shared" si="10"/>
        <v>3.3612295692429517E-3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>
        <f t="shared" si="1"/>
        <v>0.96522553104766962</v>
      </c>
      <c r="K38" s="34">
        <f t="shared" si="2"/>
        <v>0.20140000979027825</v>
      </c>
      <c r="L38" s="34">
        <f t="shared" si="3"/>
        <v>0.76337796568007965</v>
      </c>
      <c r="M38" s="35"/>
      <c r="N38" s="34">
        <f t="shared" si="4"/>
        <v>1.1134795255590539</v>
      </c>
      <c r="O38" s="36">
        <v>867716</v>
      </c>
      <c r="P38" s="37">
        <v>966184</v>
      </c>
      <c r="Q38" s="37">
        <v>201600</v>
      </c>
      <c r="R38" s="37">
        <v>764136</v>
      </c>
      <c r="S38" s="38"/>
      <c r="T38" s="39">
        <v>70.039026800000002</v>
      </c>
      <c r="U38" s="39">
        <v>73.995464799999993</v>
      </c>
      <c r="V38" s="39">
        <v>36.864893700000003</v>
      </c>
      <c r="W38" s="39">
        <v>46.162604899999998</v>
      </c>
      <c r="X38" s="39">
        <v>44.833169400000003</v>
      </c>
      <c r="Y38" s="38"/>
      <c r="Z38" s="41">
        <v>2.64</v>
      </c>
      <c r="AA38" s="41">
        <v>2.1709999999999998</v>
      </c>
      <c r="AC38" s="33" t="str">
        <f t="shared" si="5"/>
        <v>·</v>
      </c>
      <c r="AD38" s="34">
        <f t="shared" si="6"/>
        <v>0.96546529296408667</v>
      </c>
      <c r="AE38" s="34">
        <f t="shared" si="7"/>
        <v>0.21455494693769087</v>
      </c>
      <c r="AF38" s="34">
        <f t="shared" si="8"/>
        <v>0.76337796568007965</v>
      </c>
      <c r="AG38" s="35"/>
      <c r="AH38" s="34">
        <f t="shared" si="9"/>
        <v>1.113756113751504</v>
      </c>
      <c r="AI38" s="36">
        <v>867716</v>
      </c>
      <c r="AJ38" s="37">
        <v>966424</v>
      </c>
      <c r="AK38" s="37">
        <v>214768</v>
      </c>
      <c r="AL38" s="37">
        <v>764136</v>
      </c>
      <c r="AM38" s="38"/>
      <c r="AN38" s="39">
        <v>70.039026800000002</v>
      </c>
      <c r="AO38" s="39">
        <v>73.995464799999993</v>
      </c>
      <c r="AP38" s="39">
        <v>36.864893700000003</v>
      </c>
      <c r="AQ38" s="39">
        <v>46.162604899999998</v>
      </c>
      <c r="AR38" s="39">
        <v>44.833169400000003</v>
      </c>
      <c r="AS38" s="40"/>
      <c r="AT38" s="41">
        <v>2.8119999999999998</v>
      </c>
      <c r="AU38" s="41">
        <v>2.2330000000000001</v>
      </c>
      <c r="AW38" s="42">
        <f t="shared" si="10"/>
        <v>1.3573672199815062E-2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5"/>
        <v>·</v>
      </c>
      <c r="AD39" s="19" t="str">
        <f t="shared" si="6"/>
        <v>·</v>
      </c>
      <c r="AE39" s="19">
        <f t="shared" si="7"/>
        <v>0</v>
      </c>
      <c r="AF39" s="19" t="str">
        <f t="shared" si="8"/>
        <v>·</v>
      </c>
      <c r="AG39" s="20"/>
      <c r="AH39" s="19" t="str">
        <f t="shared" si="9"/>
        <v>·</v>
      </c>
      <c r="AI39" s="21"/>
      <c r="AJ39" s="22"/>
      <c r="AK39" s="22">
        <v>0</v>
      </c>
      <c r="AL39" s="22"/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10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5"/>
        <v>·</v>
      </c>
      <c r="AD40" s="49" t="str">
        <f t="shared" si="6"/>
        <v>·</v>
      </c>
      <c r="AE40" s="49">
        <f t="shared" si="7"/>
        <v>0</v>
      </c>
      <c r="AF40" s="49" t="str">
        <f t="shared" si="8"/>
        <v>·</v>
      </c>
      <c r="AG40" s="50"/>
      <c r="AH40" s="49" t="str">
        <f t="shared" si="9"/>
        <v>·</v>
      </c>
      <c r="AI40" s="51"/>
      <c r="AJ40" s="52"/>
      <c r="AK40" s="52">
        <v>0</v>
      </c>
      <c r="AL40" s="52"/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10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>
        <f t="shared" si="1"/>
        <v>9.2069194434142673E-2</v>
      </c>
      <c r="K41" s="19">
        <f t="shared" si="2"/>
        <v>7.3064085491315062E-3</v>
      </c>
      <c r="L41" s="19">
        <f t="shared" si="3"/>
        <v>8.4171515829012097E-2</v>
      </c>
      <c r="M41" s="20"/>
      <c r="N41" s="19">
        <f t="shared" si="4"/>
        <v>0.10232309808994929</v>
      </c>
      <c r="O41" s="21">
        <v>681762</v>
      </c>
      <c r="P41" s="22">
        <v>69760</v>
      </c>
      <c r="Q41" s="22">
        <v>5536</v>
      </c>
      <c r="R41" s="22">
        <v>63776</v>
      </c>
      <c r="S41" s="23"/>
      <c r="T41" s="24">
        <v>54.167279200000003</v>
      </c>
      <c r="U41" s="24">
        <v>55.859701999999999</v>
      </c>
      <c r="V41" s="24">
        <v>30.375178399999999</v>
      </c>
      <c r="W41" s="24">
        <v>39.3476122</v>
      </c>
      <c r="X41" s="24">
        <v>30.823781700000001</v>
      </c>
      <c r="Y41" s="23"/>
      <c r="Z41" s="26">
        <v>1.046</v>
      </c>
      <c r="AA41" s="26">
        <v>0.84299999999999997</v>
      </c>
      <c r="AC41" s="18" t="str">
        <f t="shared" si="5"/>
        <v>·</v>
      </c>
      <c r="AD41" s="19">
        <f t="shared" si="6"/>
        <v>9.2058636040285552E-2</v>
      </c>
      <c r="AE41" s="19">
        <f t="shared" si="7"/>
        <v>7.3380837307028858E-3</v>
      </c>
      <c r="AF41" s="19">
        <f t="shared" si="8"/>
        <v>8.4171515829012097E-2</v>
      </c>
      <c r="AG41" s="20"/>
      <c r="AH41" s="19">
        <f t="shared" si="9"/>
        <v>0.10231136378970961</v>
      </c>
      <c r="AI41" s="21">
        <v>681762</v>
      </c>
      <c r="AJ41" s="22">
        <v>69752</v>
      </c>
      <c r="AK41" s="22">
        <v>5560</v>
      </c>
      <c r="AL41" s="22">
        <v>63776</v>
      </c>
      <c r="AM41" s="23"/>
      <c r="AN41" s="24">
        <v>54.167279200000003</v>
      </c>
      <c r="AO41" s="24">
        <v>55.859701999999999</v>
      </c>
      <c r="AP41" s="24">
        <v>30.375178399999999</v>
      </c>
      <c r="AQ41" s="24">
        <v>39.3476122</v>
      </c>
      <c r="AR41" s="24">
        <v>30.823781700000001</v>
      </c>
      <c r="AS41" s="25"/>
      <c r="AT41" s="26">
        <v>0.92100000000000004</v>
      </c>
      <c r="AU41" s="26">
        <v>0.85799999999999998</v>
      </c>
      <c r="AW41" s="27">
        <f t="shared" si="10"/>
        <v>3.5317786422355002E-4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9.9262459977560447E-3</v>
      </c>
      <c r="BA41" s="28">
        <f>IF( OR(ISBLANK(Q41:Q46),ISBLANK(AK41:AK46), ISBLANK(U41:U46),ISBLANK(AO41:AO46)), "·", bdRateExtend( Q41:Q46,U41:U46, AK41:AK46,AO41:AO46))</f>
        <v>1.035017080464895E-2</v>
      </c>
      <c r="BB41" s="28">
        <f>IF( OR(ISBLANK(R41:R46),ISBLANK(AL41:AL46), ISBLANK(V41:V46),ISBLANK(AP41:AP46)), "·", bdRateExtend( R41:R46,V41:V46, AL41:AL46,AP41:AP46))</f>
        <v>0</v>
      </c>
      <c r="BC41" s="28">
        <f>IF( OR(ISBLANK(R41:R46),ISBLANK(AL41:AL46), ISBLANK(W41:W46),ISBLANK(AQ41:AQ46)), "·", bdRateExtend( R41:R46,W41:W46, AL41:AL46,AQ41:AQ46))</f>
        <v>0</v>
      </c>
      <c r="BD41" s="28">
        <f>IF( OR(ISBLANK(R41:R46),ISBLANK(AL41:AL46), ISBLANK(X41:X46),ISBLANK(AR41:AR46)), "·", bdRateExtend( R41:R46,X41:X46, AL41:AL46,AR41:AR46))</f>
        <v>0</v>
      </c>
      <c r="BE41" s="29"/>
      <c r="BG41" s="28">
        <f>IF( OR(ISBLANK(P41:P46),ISBLANK(AJ41:AJ46), ISBLANK(T41:T46),ISBLANK(AN41:AN46)), "·", bdRateExtend( P41:P46,T41:T46, AJ41:AJ46,AN41:AN46))</f>
        <v>9.6999356419269489E-5</v>
      </c>
      <c r="BH41" s="28">
        <f>IF( OR(ISBLANK(P41:P46),ISBLANK(AJ41:AJ46), ISBLANK(U41:U46),ISBLANK(AO41:AO46)), "·", bdRateExtend( P41:P46,U41:U46, AJ41:AJ46,AO41:AO46))</f>
        <v>9.9750617542637698E-5</v>
      </c>
      <c r="BI41" s="28">
        <f>IF( OR(ISBLANK(P41:P46),ISBLANK(AJ41:AJ46), ISBLANK(V41:V46),ISBLANK(AP41:AP46)), "·", bdRateExtend( P41:P46,V41:V46, AJ41:AJ46,AP41:AP46))</f>
        <v>1.2483773601701387E-4</v>
      </c>
      <c r="BJ41" s="28">
        <f>IF( OR(ISBLANK(P41:P46),ISBLANK(AJ41:AJ46), ISBLANK(W41:W46),ISBLANK(AQ41:AQ46)), "·", bdRateExtend( P41:P46,W41:W46, AJ41:AJ46,AQ41:AQ46))</f>
        <v>1.3061889578125374E-4</v>
      </c>
      <c r="BK41" s="28">
        <f>IF( OR(ISBLANK(P41:P46),ISBLANK(AJ41:AJ46), ISBLANK(X41:X46),ISBLANK(AR41:AR46)), "·", bdRateExtend( P41:P46,X41:X46, AJ41:AJ46,AR41:AR46))</f>
        <v>1.1814848792379706E-4</v>
      </c>
      <c r="BL41" s="29"/>
    </row>
    <row r="42" spans="1:64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>
        <f t="shared" si="1"/>
        <v>0.22899044597335852</v>
      </c>
      <c r="K42" s="34">
        <f t="shared" si="2"/>
        <v>2.5224002924675099E-2</v>
      </c>
      <c r="L42" s="34">
        <f t="shared" si="3"/>
        <v>0.20317517299268437</v>
      </c>
      <c r="M42" s="35"/>
      <c r="N42" s="34">
        <f t="shared" si="4"/>
        <v>0.25710809701420656</v>
      </c>
      <c r="O42" s="36">
        <v>674829</v>
      </c>
      <c r="P42" s="37">
        <v>173504</v>
      </c>
      <c r="Q42" s="37">
        <v>19112</v>
      </c>
      <c r="R42" s="37">
        <v>153944</v>
      </c>
      <c r="S42" s="38"/>
      <c r="T42" s="39">
        <v>61.528513199999999</v>
      </c>
      <c r="U42" s="39">
        <v>63.620031500000003</v>
      </c>
      <c r="V42" s="39">
        <v>33.995055700000002</v>
      </c>
      <c r="W42" s="39">
        <v>41.308801199999998</v>
      </c>
      <c r="X42" s="39">
        <v>35.199165399999998</v>
      </c>
      <c r="Y42" s="38"/>
      <c r="Z42" s="41">
        <v>1.1080000000000001</v>
      </c>
      <c r="AA42" s="41">
        <v>0.85799999999999998</v>
      </c>
      <c r="AC42" s="33" t="str">
        <f t="shared" si="5"/>
        <v>·</v>
      </c>
      <c r="AD42" s="34">
        <f t="shared" si="6"/>
        <v>0.22901156276107279</v>
      </c>
      <c r="AE42" s="34">
        <f t="shared" si="7"/>
        <v>2.5361262044817742E-2</v>
      </c>
      <c r="AF42" s="34">
        <f t="shared" si="8"/>
        <v>0.20317517299268437</v>
      </c>
      <c r="AG42" s="35"/>
      <c r="AH42" s="34">
        <f t="shared" si="9"/>
        <v>0.25713180672437019</v>
      </c>
      <c r="AI42" s="36">
        <v>674829</v>
      </c>
      <c r="AJ42" s="37">
        <v>173520</v>
      </c>
      <c r="AK42" s="37">
        <v>19216</v>
      </c>
      <c r="AL42" s="37">
        <v>153944</v>
      </c>
      <c r="AM42" s="38"/>
      <c r="AN42" s="39">
        <v>61.528513199999999</v>
      </c>
      <c r="AO42" s="39">
        <v>63.620031500000003</v>
      </c>
      <c r="AP42" s="39">
        <v>33.995055700000002</v>
      </c>
      <c r="AQ42" s="39">
        <v>41.308801199999998</v>
      </c>
      <c r="AR42" s="39">
        <v>35.199165399999998</v>
      </c>
      <c r="AS42" s="40"/>
      <c r="AT42" s="41">
        <v>1.093</v>
      </c>
      <c r="AU42" s="41">
        <v>0.90500000000000003</v>
      </c>
      <c r="AW42" s="42">
        <f t="shared" si="10"/>
        <v>5.891975029926888E-4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>
        <f t="shared" si="1"/>
        <v>0.58138739934881101</v>
      </c>
      <c r="K43" s="19">
        <f t="shared" si="2"/>
        <v>8.9640763847003591E-2</v>
      </c>
      <c r="L43" s="19">
        <f t="shared" si="3"/>
        <v>0.4911553654458084</v>
      </c>
      <c r="M43" s="20"/>
      <c r="N43" s="19">
        <f t="shared" si="4"/>
        <v>0.63194801096016184</v>
      </c>
      <c r="O43" s="21">
        <v>697070</v>
      </c>
      <c r="P43" s="22">
        <v>440512</v>
      </c>
      <c r="Q43" s="22">
        <v>67920</v>
      </c>
      <c r="R43" s="22">
        <v>372144</v>
      </c>
      <c r="S43" s="23"/>
      <c r="T43" s="24">
        <v>67.916162999999997</v>
      </c>
      <c r="U43" s="24">
        <v>70.312938099999997</v>
      </c>
      <c r="V43" s="24">
        <v>37.655261400000001</v>
      </c>
      <c r="W43" s="24">
        <v>43.198679499999997</v>
      </c>
      <c r="X43" s="24">
        <v>39.205252399999999</v>
      </c>
      <c r="Y43" s="23"/>
      <c r="Z43" s="26">
        <v>1.421</v>
      </c>
      <c r="AA43" s="26">
        <v>1.1399999999999999</v>
      </c>
      <c r="AC43" s="18" t="str">
        <f t="shared" si="5"/>
        <v>·</v>
      </c>
      <c r="AD43" s="19">
        <f t="shared" si="6"/>
        <v>0.58151410007509663</v>
      </c>
      <c r="AE43" s="19">
        <f t="shared" si="7"/>
        <v>9.0939446291430151E-2</v>
      </c>
      <c r="AF43" s="19">
        <f t="shared" si="8"/>
        <v>0.4911553654458084</v>
      </c>
      <c r="AG43" s="20"/>
      <c r="AH43" s="19">
        <f t="shared" si="9"/>
        <v>0.63208573027099146</v>
      </c>
      <c r="AI43" s="21">
        <v>697070</v>
      </c>
      <c r="AJ43" s="22">
        <v>440608</v>
      </c>
      <c r="AK43" s="22">
        <v>68904</v>
      </c>
      <c r="AL43" s="22">
        <v>372144</v>
      </c>
      <c r="AM43" s="23"/>
      <c r="AN43" s="24">
        <v>67.916162999999997</v>
      </c>
      <c r="AO43" s="24">
        <v>70.312938099999997</v>
      </c>
      <c r="AP43" s="24">
        <v>37.655261400000001</v>
      </c>
      <c r="AQ43" s="24">
        <v>43.198679499999997</v>
      </c>
      <c r="AR43" s="24">
        <v>39.205252399999999</v>
      </c>
      <c r="AS43" s="25"/>
      <c r="AT43" s="26">
        <v>1.5309999999999999</v>
      </c>
      <c r="AU43" s="26">
        <v>1.1399999999999999</v>
      </c>
      <c r="AW43" s="27">
        <f t="shared" si="10"/>
        <v>2.199683879294867E-3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>
        <f t="shared" si="1"/>
        <v>1.3930533687215501</v>
      </c>
      <c r="K44" s="34">
        <f t="shared" si="2"/>
        <v>0.28034647369442162</v>
      </c>
      <c r="L44" s="34">
        <f t="shared" si="3"/>
        <v>1.1121156249711295</v>
      </c>
      <c r="M44" s="35"/>
      <c r="N44" s="34">
        <f t="shared" si="4"/>
        <v>1.3995181591930956</v>
      </c>
      <c r="O44" s="36">
        <v>754191</v>
      </c>
      <c r="P44" s="37">
        <v>1055504</v>
      </c>
      <c r="Q44" s="37">
        <v>212416</v>
      </c>
      <c r="R44" s="37">
        <v>842640</v>
      </c>
      <c r="S44" s="38"/>
      <c r="T44" s="39">
        <v>70.785361600000002</v>
      </c>
      <c r="U44" s="39">
        <v>73.698572999999996</v>
      </c>
      <c r="V44" s="39">
        <v>40.829461100000003</v>
      </c>
      <c r="W44" s="39">
        <v>45.2463731</v>
      </c>
      <c r="X44" s="39">
        <v>42.529779099999999</v>
      </c>
      <c r="Y44" s="38"/>
      <c r="Z44" s="41">
        <v>2.4990000000000001</v>
      </c>
      <c r="AA44" s="41">
        <v>2.0150000000000001</v>
      </c>
      <c r="AC44" s="33" t="str">
        <f t="shared" si="5"/>
        <v>·</v>
      </c>
      <c r="AD44" s="34">
        <f t="shared" si="6"/>
        <v>1.3933595621434067</v>
      </c>
      <c r="AE44" s="34">
        <f t="shared" si="7"/>
        <v>0.29434690394897128</v>
      </c>
      <c r="AF44" s="34">
        <f t="shared" si="8"/>
        <v>1.1121156249711295</v>
      </c>
      <c r="AG44" s="35"/>
      <c r="AH44" s="34">
        <f t="shared" si="9"/>
        <v>1.3998257735772504</v>
      </c>
      <c r="AI44" s="36">
        <v>754191</v>
      </c>
      <c r="AJ44" s="37">
        <v>1055736</v>
      </c>
      <c r="AK44" s="37">
        <v>223024</v>
      </c>
      <c r="AL44" s="37">
        <v>842640</v>
      </c>
      <c r="AM44" s="38"/>
      <c r="AN44" s="39">
        <v>70.785361600000002</v>
      </c>
      <c r="AO44" s="39">
        <v>73.698572999999996</v>
      </c>
      <c r="AP44" s="39">
        <v>40.829461100000003</v>
      </c>
      <c r="AQ44" s="39">
        <v>45.2463731</v>
      </c>
      <c r="AR44" s="39">
        <v>42.529779099999999</v>
      </c>
      <c r="AS44" s="40"/>
      <c r="AT44" s="41">
        <v>2.3109999999999999</v>
      </c>
      <c r="AU44" s="41">
        <v>1.984</v>
      </c>
      <c r="AW44" s="42">
        <f t="shared" si="10"/>
        <v>1.0003742335929489E-2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5"/>
        <v>·</v>
      </c>
      <c r="AD45" s="19" t="str">
        <f t="shared" si="6"/>
        <v>·</v>
      </c>
      <c r="AE45" s="19">
        <f t="shared" si="7"/>
        <v>0</v>
      </c>
      <c r="AF45" s="19" t="str">
        <f t="shared" si="8"/>
        <v>·</v>
      </c>
      <c r="AG45" s="20"/>
      <c r="AH45" s="19" t="str">
        <f t="shared" si="9"/>
        <v>·</v>
      </c>
      <c r="AI45" s="21"/>
      <c r="AJ45" s="22"/>
      <c r="AK45" s="22">
        <v>0</v>
      </c>
      <c r="AL45" s="22"/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10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5"/>
        <v>·</v>
      </c>
      <c r="AD46" s="49" t="str">
        <f t="shared" si="6"/>
        <v>·</v>
      </c>
      <c r="AE46" s="49">
        <f t="shared" si="7"/>
        <v>0</v>
      </c>
      <c r="AF46" s="49" t="str">
        <f t="shared" si="8"/>
        <v>·</v>
      </c>
      <c r="AG46" s="50"/>
      <c r="AH46" s="49" t="str">
        <f t="shared" si="9"/>
        <v>·</v>
      </c>
      <c r="AI46" s="51"/>
      <c r="AJ46" s="52"/>
      <c r="AK46" s="52">
        <v>0</v>
      </c>
      <c r="AL46" s="52"/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10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>
        <f t="shared" si="1"/>
        <v>6.8526872410110823E-2</v>
      </c>
      <c r="K47" s="19">
        <f t="shared" si="2"/>
        <v>7.2353917165783209E-3</v>
      </c>
      <c r="L47" s="19">
        <f t="shared" si="3"/>
        <v>6.0887474049459593E-2</v>
      </c>
      <c r="M47" s="20"/>
      <c r="N47" s="19">
        <f t="shared" si="4"/>
        <v>7.2604377548211113E-2</v>
      </c>
      <c r="O47" s="21">
        <v>1027927</v>
      </c>
      <c r="P47" s="22">
        <v>74632</v>
      </c>
      <c r="Q47" s="22">
        <v>7880</v>
      </c>
      <c r="R47" s="22">
        <v>66312</v>
      </c>
      <c r="S47" s="23"/>
      <c r="T47" s="24">
        <v>55.215634399999999</v>
      </c>
      <c r="U47" s="24">
        <v>56.773492599999997</v>
      </c>
      <c r="V47" s="24">
        <v>28.022342399999999</v>
      </c>
      <c r="W47" s="24">
        <v>44.4311212</v>
      </c>
      <c r="X47" s="24">
        <v>44.916148900000003</v>
      </c>
      <c r="Y47" s="23"/>
      <c r="Z47" s="26">
        <v>1.5620000000000001</v>
      </c>
      <c r="AA47" s="26">
        <v>1.3109999999999999</v>
      </c>
      <c r="AC47" s="18" t="str">
        <f t="shared" si="5"/>
        <v>·</v>
      </c>
      <c r="AD47" s="19">
        <f t="shared" si="6"/>
        <v>6.8548909136151151E-2</v>
      </c>
      <c r="AE47" s="19">
        <f t="shared" si="7"/>
        <v>7.2574284426186611E-3</v>
      </c>
      <c r="AF47" s="19">
        <f t="shared" si="8"/>
        <v>6.0887474049459593E-2</v>
      </c>
      <c r="AG47" s="20"/>
      <c r="AH47" s="19">
        <f t="shared" si="9"/>
        <v>7.2627725509690863E-2</v>
      </c>
      <c r="AI47" s="21">
        <v>1027927</v>
      </c>
      <c r="AJ47" s="22">
        <v>74656</v>
      </c>
      <c r="AK47" s="22">
        <v>7904</v>
      </c>
      <c r="AL47" s="22">
        <v>66312</v>
      </c>
      <c r="AM47" s="23"/>
      <c r="AN47" s="24">
        <v>55.215634399999999</v>
      </c>
      <c r="AO47" s="24">
        <v>56.773492599999997</v>
      </c>
      <c r="AP47" s="24">
        <v>28.022342399999999</v>
      </c>
      <c r="AQ47" s="24">
        <v>44.4311212</v>
      </c>
      <c r="AR47" s="24">
        <v>44.916148900000003</v>
      </c>
      <c r="AS47" s="25"/>
      <c r="AT47" s="26">
        <v>1.577</v>
      </c>
      <c r="AU47" s="26">
        <v>1.2490000000000001</v>
      </c>
      <c r="AW47" s="27">
        <f t="shared" si="10"/>
        <v>2.8753169660195033E-4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1.2154038292646829E-2</v>
      </c>
      <c r="BA47" s="28">
        <f>IF( OR(ISBLANK(Q47:Q52),ISBLANK(AK47:AK52), ISBLANK(U47:U52),ISBLANK(AO47:AO52)), "·", bdRateExtend( Q47:Q52,U47:U52, AK47:AK52,AO47:AO52))</f>
        <v>1.3516535577992261E-2</v>
      </c>
      <c r="BB47" s="28">
        <f>IF( OR(ISBLANK(R47:R52),ISBLANK(AL47:AL52), ISBLANK(V47:V52),ISBLANK(AP47:AP52)), "·", bdRateExtend( R47:R52,V47:V52, AL47:AL52,AP47:AP52))</f>
        <v>0</v>
      </c>
      <c r="BC47" s="28">
        <f>IF( OR(ISBLANK(R47:R52),ISBLANK(AL47:AL52), ISBLANK(W47:W52),ISBLANK(AQ47:AQ52)), "·", bdRateExtend( R47:R52,W47:W52, AL47:AL52,AQ47:AQ52))</f>
        <v>0</v>
      </c>
      <c r="BD47" s="28">
        <f>IF( OR(ISBLANK(R47:R52),ISBLANK(AL47:AL52), ISBLANK(X47:X52),ISBLANK(AR47:AR52)), "·", bdRateExtend( R47:R52,X47:X52, AL47:AL52,AR47:AR52))</f>
        <v>0</v>
      </c>
      <c r="BE47" s="29"/>
      <c r="BG47" s="28">
        <f>IF( OR(ISBLANK(P47:P52),ISBLANK(AJ47:AJ52), ISBLANK(T47:T52),ISBLANK(AN47:AN52)), "·", bdRateExtend( P47:P52,T47:T52, AJ47:AJ52,AN47:AN52))</f>
        <v>7.4861286364358293E-5</v>
      </c>
      <c r="BH47" s="28">
        <f>IF( OR(ISBLANK(P47:P52),ISBLANK(AJ47:AJ52), ISBLANK(U47:U52),ISBLANK(AO47:AO52)), "·", bdRateExtend( P47:P52,U47:U52, AJ47:AJ52,AO47:AO52))</f>
        <v>7.1590242219254918E-5</v>
      </c>
      <c r="BI47" s="28">
        <f>IF( OR(ISBLANK(P47:P52),ISBLANK(AJ47:AJ52), ISBLANK(V47:V52),ISBLANK(AP47:AP52)), "·", bdRateExtend( P47:P52,V47:V52, AJ47:AJ52,AP47:AP52))</f>
        <v>8.6117618903758242E-5</v>
      </c>
      <c r="BJ47" s="28">
        <f>IF( OR(ISBLANK(P47:P52),ISBLANK(AJ47:AJ52), ISBLANK(W47:W52),ISBLANK(AQ47:AQ52)), "·", bdRateExtend( P47:P52,W47:W52, AJ47:AJ52,AQ47:AQ52))</f>
        <v>8.9821214624752344E-5</v>
      </c>
      <c r="BK47" s="28">
        <f>IF( OR(ISBLANK(P47:P52),ISBLANK(AJ47:AJ52), ISBLANK(X47:X52),ISBLANK(AR47:AR52)), "·", bdRateExtend( P47:P52,X47:X52, AJ47:AJ52,AR47:AR52))</f>
        <v>9.0131708015972478E-5</v>
      </c>
      <c r="BL47" s="29"/>
    </row>
    <row r="48" spans="1:64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>
        <f t="shared" si="1"/>
        <v>0.18232452568242691</v>
      </c>
      <c r="K48" s="34">
        <f t="shared" si="2"/>
        <v>2.451953050755171E-2</v>
      </c>
      <c r="L48" s="34">
        <f t="shared" si="3"/>
        <v>0.15740098853080228</v>
      </c>
      <c r="M48" s="35"/>
      <c r="N48" s="34">
        <f t="shared" si="4"/>
        <v>0.20286508830037861</v>
      </c>
      <c r="O48" s="36">
        <v>978818</v>
      </c>
      <c r="P48" s="37">
        <v>198568</v>
      </c>
      <c r="Q48" s="37">
        <v>26704</v>
      </c>
      <c r="R48" s="37">
        <v>171424</v>
      </c>
      <c r="S48" s="38"/>
      <c r="T48" s="39">
        <v>63.325067900000001</v>
      </c>
      <c r="U48" s="39">
        <v>64.334055399999997</v>
      </c>
      <c r="V48" s="39">
        <v>31.981434199999999</v>
      </c>
      <c r="W48" s="39">
        <v>46.191587400000003</v>
      </c>
      <c r="X48" s="39">
        <v>46.8616034</v>
      </c>
      <c r="Y48" s="38"/>
      <c r="Z48" s="41">
        <v>1.546</v>
      </c>
      <c r="AA48" s="41">
        <v>1.39</v>
      </c>
      <c r="AC48" s="33" t="str">
        <f t="shared" si="5"/>
        <v>·</v>
      </c>
      <c r="AD48" s="34">
        <f t="shared" si="6"/>
        <v>0.18231718010708012</v>
      </c>
      <c r="AE48" s="34">
        <f t="shared" si="7"/>
        <v>2.472520661726155E-2</v>
      </c>
      <c r="AF48" s="34">
        <f t="shared" si="8"/>
        <v>0.15740098853080228</v>
      </c>
      <c r="AG48" s="35"/>
      <c r="AH48" s="34">
        <f t="shared" si="9"/>
        <v>0.20285691517728527</v>
      </c>
      <c r="AI48" s="36">
        <v>978818</v>
      </c>
      <c r="AJ48" s="37">
        <v>198560</v>
      </c>
      <c r="AK48" s="37">
        <v>26928</v>
      </c>
      <c r="AL48" s="37">
        <v>171424</v>
      </c>
      <c r="AM48" s="38"/>
      <c r="AN48" s="39">
        <v>63.325067900000001</v>
      </c>
      <c r="AO48" s="39">
        <v>64.334055399999997</v>
      </c>
      <c r="AP48" s="39">
        <v>31.981434199999999</v>
      </c>
      <c r="AQ48" s="39">
        <v>46.191587400000003</v>
      </c>
      <c r="AR48" s="39">
        <v>46.8616034</v>
      </c>
      <c r="AS48" s="40"/>
      <c r="AT48" s="41">
        <v>1.593</v>
      </c>
      <c r="AU48" s="41">
        <v>1.296</v>
      </c>
      <c r="AW48" s="42">
        <f t="shared" si="10"/>
        <v>1.1335408097319366E-3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>
        <f t="shared" si="1"/>
        <v>0.48114987636478496</v>
      </c>
      <c r="K49" s="19">
        <f t="shared" si="2"/>
        <v>8.6854082900326965E-2</v>
      </c>
      <c r="L49" s="19">
        <f t="shared" si="3"/>
        <v>0.39389178682038506</v>
      </c>
      <c r="M49" s="20"/>
      <c r="N49" s="19">
        <f t="shared" si="4"/>
        <v>0.52465240336528207</v>
      </c>
      <c r="O49" s="21">
        <v>998787</v>
      </c>
      <c r="P49" s="22">
        <v>524016</v>
      </c>
      <c r="Q49" s="22">
        <v>94592</v>
      </c>
      <c r="R49" s="22">
        <v>428984</v>
      </c>
      <c r="S49" s="23"/>
      <c r="T49" s="24">
        <v>68.544061400000004</v>
      </c>
      <c r="U49" s="24">
        <v>71.031361399999994</v>
      </c>
      <c r="V49" s="24">
        <v>36.070827600000001</v>
      </c>
      <c r="W49" s="24">
        <v>48.112387699999999</v>
      </c>
      <c r="X49" s="24">
        <v>48.786230699999997</v>
      </c>
      <c r="Y49" s="23"/>
      <c r="Z49" s="26">
        <v>2.1240000000000001</v>
      </c>
      <c r="AA49" s="26">
        <v>1.702</v>
      </c>
      <c r="AC49" s="18" t="str">
        <f t="shared" si="5"/>
        <v>·</v>
      </c>
      <c r="AD49" s="19">
        <f t="shared" si="6"/>
        <v>0.48119394981686564</v>
      </c>
      <c r="AE49" s="19">
        <f t="shared" si="7"/>
        <v>8.8668440010981633E-2</v>
      </c>
      <c r="AF49" s="19">
        <f t="shared" si="8"/>
        <v>0.39389178682038506</v>
      </c>
      <c r="AG49" s="20"/>
      <c r="AH49" s="19">
        <f t="shared" si="9"/>
        <v>0.52470046165999362</v>
      </c>
      <c r="AI49" s="21">
        <v>998787</v>
      </c>
      <c r="AJ49" s="22">
        <v>524064</v>
      </c>
      <c r="AK49" s="22">
        <v>96568</v>
      </c>
      <c r="AL49" s="22">
        <v>428984</v>
      </c>
      <c r="AM49" s="23"/>
      <c r="AN49" s="24">
        <v>68.544061400000004</v>
      </c>
      <c r="AO49" s="24">
        <v>71.031361399999994</v>
      </c>
      <c r="AP49" s="24">
        <v>36.070827600000001</v>
      </c>
      <c r="AQ49" s="24">
        <v>48.112387699999999</v>
      </c>
      <c r="AR49" s="24">
        <v>48.786230699999997</v>
      </c>
      <c r="AS49" s="25"/>
      <c r="AT49" s="26">
        <v>1.9830000000000001</v>
      </c>
      <c r="AU49" s="26">
        <v>1.671</v>
      </c>
      <c r="AW49" s="27">
        <f t="shared" si="10"/>
        <v>3.7539982684156314E-3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>
        <f t="shared" si="1"/>
        <v>1.1219925607685675</v>
      </c>
      <c r="K50" s="34">
        <f t="shared" si="2"/>
        <v>0.26108378455060227</v>
      </c>
      <c r="L50" s="34">
        <f t="shared" si="3"/>
        <v>0.86050476957389233</v>
      </c>
      <c r="M50" s="35"/>
      <c r="N50" s="34">
        <f t="shared" si="4"/>
        <v>1.1381616756037292</v>
      </c>
      <c r="O50" s="36">
        <v>1073619</v>
      </c>
      <c r="P50" s="37">
        <v>1221952</v>
      </c>
      <c r="Q50" s="37">
        <v>284344</v>
      </c>
      <c r="R50" s="37">
        <v>937168</v>
      </c>
      <c r="S50" s="38"/>
      <c r="T50" s="39">
        <v>71.013650200000001</v>
      </c>
      <c r="U50" s="39">
        <v>74.127468199999996</v>
      </c>
      <c r="V50" s="39">
        <v>39.6186474</v>
      </c>
      <c r="W50" s="39">
        <v>49.995641499999998</v>
      </c>
      <c r="X50" s="39">
        <v>50.686168600000002</v>
      </c>
      <c r="Y50" s="38"/>
      <c r="Z50" s="41">
        <v>3.593</v>
      </c>
      <c r="AA50" s="41">
        <v>2.9060000000000001</v>
      </c>
      <c r="AC50" s="33" t="str">
        <f t="shared" si="5"/>
        <v>·</v>
      </c>
      <c r="AD50" s="34">
        <f t="shared" si="6"/>
        <v>1.1222716926317451</v>
      </c>
      <c r="AE50" s="34">
        <f t="shared" si="7"/>
        <v>0.27623036091566272</v>
      </c>
      <c r="AF50" s="34">
        <f t="shared" si="8"/>
        <v>0.86050476957389233</v>
      </c>
      <c r="AG50" s="35"/>
      <c r="AH50" s="34">
        <f t="shared" si="9"/>
        <v>1.1384448300560999</v>
      </c>
      <c r="AI50" s="36">
        <v>1073619</v>
      </c>
      <c r="AJ50" s="37">
        <v>1222256</v>
      </c>
      <c r="AK50" s="37">
        <v>300840</v>
      </c>
      <c r="AL50" s="37">
        <v>937168</v>
      </c>
      <c r="AM50" s="38"/>
      <c r="AN50" s="39">
        <v>71.013650200000001</v>
      </c>
      <c r="AO50" s="39">
        <v>74.127468199999996</v>
      </c>
      <c r="AP50" s="39">
        <v>39.6186474</v>
      </c>
      <c r="AQ50" s="39">
        <v>49.995641499999998</v>
      </c>
      <c r="AR50" s="39">
        <v>50.686168600000002</v>
      </c>
      <c r="AS50" s="40"/>
      <c r="AT50" s="41">
        <v>3.359</v>
      </c>
      <c r="AU50" s="41">
        <v>2.7959999999999998</v>
      </c>
      <c r="AW50" s="42">
        <f t="shared" si="10"/>
        <v>1.3438477906795754E-2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5"/>
        <v>·</v>
      </c>
      <c r="AD51" s="19" t="str">
        <f t="shared" si="6"/>
        <v>·</v>
      </c>
      <c r="AE51" s="19">
        <f t="shared" si="7"/>
        <v>0</v>
      </c>
      <c r="AF51" s="19" t="str">
        <f t="shared" si="8"/>
        <v>·</v>
      </c>
      <c r="AG51" s="20"/>
      <c r="AH51" s="19" t="str">
        <f t="shared" si="9"/>
        <v>·</v>
      </c>
      <c r="AI51" s="21"/>
      <c r="AJ51" s="22"/>
      <c r="AK51" s="22">
        <v>0</v>
      </c>
      <c r="AL51" s="22"/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10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5"/>
        <v>·</v>
      </c>
      <c r="AD52" s="49" t="str">
        <f t="shared" si="6"/>
        <v>·</v>
      </c>
      <c r="AE52" s="49">
        <f t="shared" si="7"/>
        <v>0</v>
      </c>
      <c r="AF52" s="49" t="str">
        <f t="shared" si="8"/>
        <v>·</v>
      </c>
      <c r="AG52" s="50"/>
      <c r="AH52" s="49" t="str">
        <f t="shared" si="9"/>
        <v>·</v>
      </c>
      <c r="AI52" s="51"/>
      <c r="AJ52" s="52"/>
      <c r="AK52" s="52">
        <v>0</v>
      </c>
      <c r="AL52" s="52"/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10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>
        <f t="shared" si="1"/>
        <v>3.8200570887303269E-2</v>
      </c>
      <c r="K53" s="19">
        <f t="shared" si="2"/>
        <v>2.1953763559372122E-3</v>
      </c>
      <c r="L53" s="19">
        <f t="shared" si="3"/>
        <v>3.5859517636967431E-2</v>
      </c>
      <c r="M53" s="20"/>
      <c r="N53" s="19">
        <f t="shared" si="4"/>
        <v>0.12837012369376508</v>
      </c>
      <c r="O53" s="21">
        <v>931494</v>
      </c>
      <c r="P53" s="22">
        <v>119576</v>
      </c>
      <c r="Q53" s="22">
        <v>6872</v>
      </c>
      <c r="R53" s="22">
        <v>112248</v>
      </c>
      <c r="S53" s="23"/>
      <c r="T53" s="24">
        <v>61.373746500000003</v>
      </c>
      <c r="U53" s="24">
        <v>62.324563300000001</v>
      </c>
      <c r="V53" s="24">
        <v>26.852784400000001</v>
      </c>
      <c r="W53" s="24">
        <v>34.6089883</v>
      </c>
      <c r="X53" s="24">
        <v>34.735602</v>
      </c>
      <c r="Y53" s="23"/>
      <c r="Z53" s="26">
        <v>1.296</v>
      </c>
      <c r="AA53" s="26">
        <v>1.155</v>
      </c>
      <c r="AC53" s="18" t="str">
        <f t="shared" si="5"/>
        <v>·</v>
      </c>
      <c r="AD53" s="19">
        <f t="shared" si="6"/>
        <v>3.8195459417324371E-2</v>
      </c>
      <c r="AE53" s="19">
        <f t="shared" si="7"/>
        <v>2.1953763559372122E-3</v>
      </c>
      <c r="AF53" s="19">
        <f t="shared" si="8"/>
        <v>3.5859517636967431E-2</v>
      </c>
      <c r="AG53" s="20"/>
      <c r="AH53" s="19">
        <f t="shared" si="9"/>
        <v>0.12835294698623931</v>
      </c>
      <c r="AI53" s="21">
        <v>931494</v>
      </c>
      <c r="AJ53" s="22">
        <v>119560</v>
      </c>
      <c r="AK53" s="22">
        <v>6872</v>
      </c>
      <c r="AL53" s="22">
        <v>112248</v>
      </c>
      <c r="AM53" s="23"/>
      <c r="AN53" s="24">
        <v>61.373746500000003</v>
      </c>
      <c r="AO53" s="24">
        <v>62.324563300000001</v>
      </c>
      <c r="AP53" s="24">
        <v>26.852784400000001</v>
      </c>
      <c r="AQ53" s="24">
        <v>34.6089883</v>
      </c>
      <c r="AR53" s="24">
        <v>34.735602</v>
      </c>
      <c r="AS53" s="25"/>
      <c r="AT53" s="26">
        <v>1.3109999999999999</v>
      </c>
      <c r="AU53" s="26">
        <v>1.109</v>
      </c>
      <c r="AW53" s="27">
        <f t="shared" si="10"/>
        <v>7.6908298917988116E-6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6.6662269784316663E-3</v>
      </c>
      <c r="BA53" s="28">
        <f>IF( OR(ISBLANK(Q53:Q58),ISBLANK(AK53:AK58), ISBLANK(U53:U58),ISBLANK(AO53:AO58)), "·", bdRateExtend( Q53:Q58,U53:U58, AK53:AK58,AO53:AO58))</f>
        <v>7.6094061130778101E-3</v>
      </c>
      <c r="BB53" s="28">
        <f>IF( OR(ISBLANK(R53:R58),ISBLANK(AL53:AL58), ISBLANK(V53:V58),ISBLANK(AP53:AP58)), "·", bdRateExtend( R53:R58,V53:V58, AL53:AL58,AP53:AP58))</f>
        <v>0</v>
      </c>
      <c r="BC53" s="28">
        <f>IF( OR(ISBLANK(R53:R58),ISBLANK(AL53:AL58), ISBLANK(W53:W58),ISBLANK(AQ53:AQ58)), "·", bdRateExtend( R53:R58,W53:W58, AL53:AL58,AQ53:AQ58))</f>
        <v>0</v>
      </c>
      <c r="BD53" s="28">
        <f>IF( OR(ISBLANK(R53:R58),ISBLANK(AL53:AL58), ISBLANK(X53:X58),ISBLANK(AR53:AR58)), "·", bdRateExtend( R53:R58,X53:X58, AL53:AL58,AR53:AR58))</f>
        <v>0</v>
      </c>
      <c r="BE53" s="29"/>
      <c r="BG53" s="28">
        <f>IF( OR(ISBLANK(P53:P58),ISBLANK(AJ53:AJ58), ISBLANK(T53:T58),ISBLANK(AN53:AN58)), "·", bdRateExtend( P53:P58,T53:T58, AJ53:AJ58,AN53:AN58))</f>
        <v>-3.5390339448437835E-5</v>
      </c>
      <c r="BH53" s="28">
        <f>IF( OR(ISBLANK(P53:P58),ISBLANK(AJ53:AJ58), ISBLANK(U53:U58),ISBLANK(AO53:AO58)), "·", bdRateExtend( P53:P58,U53:U58, AJ53:AJ58,AO53:AO58))</f>
        <v>-3.3044615105115582E-5</v>
      </c>
      <c r="BI53" s="28">
        <f>IF( OR(ISBLANK(P53:P58),ISBLANK(AJ53:AJ58), ISBLANK(V53:V58),ISBLANK(AP53:AP58)), "·", bdRateExtend( P53:P58,V53:V58, AJ53:AJ58,AP53:AP58))</f>
        <v>-1.6398420430996374E-5</v>
      </c>
      <c r="BJ53" s="28">
        <f>IF( OR(ISBLANK(P53:P58),ISBLANK(AJ53:AJ58), ISBLANK(W53:W58),ISBLANK(AQ53:AQ58)), "·", bdRateExtend( P53:P58,W53:W58, AJ53:AJ58,AQ53:AQ58))</f>
        <v>-4.6321084424816306E-6</v>
      </c>
      <c r="BK53" s="28">
        <f>IF( OR(ISBLANK(P53:P58),ISBLANK(AJ53:AJ58), ISBLANK(X53:X58),ISBLANK(AR53:AR58)), "·", bdRateExtend( P53:P58,X53:X58, AJ53:AJ58,AR53:AR58))</f>
        <v>-3.6582404306928495E-6</v>
      </c>
      <c r="BL53" s="29"/>
    </row>
    <row r="54" spans="1:64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>
        <f t="shared" si="1"/>
        <v>0.10798235903923532</v>
      </c>
      <c r="K54" s="34">
        <f t="shared" si="2"/>
        <v>7.5726427737391839E-3</v>
      </c>
      <c r="L54" s="34">
        <f t="shared" si="3"/>
        <v>0.10026403937109751</v>
      </c>
      <c r="M54" s="35"/>
      <c r="N54" s="34">
        <f t="shared" si="4"/>
        <v>0.37911931993436232</v>
      </c>
      <c r="O54" s="36">
        <v>891561</v>
      </c>
      <c r="P54" s="37">
        <v>338008</v>
      </c>
      <c r="Q54" s="37">
        <v>23704</v>
      </c>
      <c r="R54" s="37">
        <v>313848</v>
      </c>
      <c r="S54" s="38"/>
      <c r="T54" s="39">
        <v>68.096070800000007</v>
      </c>
      <c r="U54" s="39">
        <v>70.033604499999996</v>
      </c>
      <c r="V54" s="39">
        <v>30.2348924</v>
      </c>
      <c r="W54" s="39">
        <v>37.782975999999998</v>
      </c>
      <c r="X54" s="39">
        <v>37.853010500000003</v>
      </c>
      <c r="Y54" s="38"/>
      <c r="Z54" s="41">
        <v>1.5149999999999999</v>
      </c>
      <c r="AA54" s="41">
        <v>1.2030000000000001</v>
      </c>
      <c r="AC54" s="33" t="str">
        <f t="shared" si="5"/>
        <v>·</v>
      </c>
      <c r="AD54" s="34">
        <f t="shared" si="6"/>
        <v>0.10797980330424588</v>
      </c>
      <c r="AE54" s="34">
        <f t="shared" si="7"/>
        <v>7.6084230635914789E-3</v>
      </c>
      <c r="AF54" s="34">
        <f t="shared" si="8"/>
        <v>0.10026403937109751</v>
      </c>
      <c r="AG54" s="35"/>
      <c r="AH54" s="34">
        <f t="shared" si="9"/>
        <v>0.37911034690840001</v>
      </c>
      <c r="AI54" s="36">
        <v>891561</v>
      </c>
      <c r="AJ54" s="37">
        <v>338000</v>
      </c>
      <c r="AK54" s="37">
        <v>23816</v>
      </c>
      <c r="AL54" s="37">
        <v>313848</v>
      </c>
      <c r="AM54" s="38"/>
      <c r="AN54" s="39">
        <v>68.096070800000007</v>
      </c>
      <c r="AO54" s="39">
        <v>70.033604499999996</v>
      </c>
      <c r="AP54" s="39">
        <v>30.2348924</v>
      </c>
      <c r="AQ54" s="39">
        <v>37.782975999999998</v>
      </c>
      <c r="AR54" s="39">
        <v>37.853010500000003</v>
      </c>
      <c r="AS54" s="40"/>
      <c r="AT54" s="41">
        <v>1.546</v>
      </c>
      <c r="AU54" s="41">
        <v>1.155</v>
      </c>
      <c r="AW54" s="42">
        <f t="shared" si="10"/>
        <v>3.3302079331759549E-4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>
        <f t="shared" si="1"/>
        <v>0.27190464552754362</v>
      </c>
      <c r="K55" s="19">
        <f t="shared" si="2"/>
        <v>2.6837773124210318E-2</v>
      </c>
      <c r="L55" s="19">
        <f t="shared" si="3"/>
        <v>0.24492119550893468</v>
      </c>
      <c r="M55" s="20"/>
      <c r="N55" s="19">
        <f t="shared" si="4"/>
        <v>0.92274433828176916</v>
      </c>
      <c r="O55" s="21">
        <v>922379</v>
      </c>
      <c r="P55" s="22">
        <v>851120</v>
      </c>
      <c r="Q55" s="22">
        <v>84008</v>
      </c>
      <c r="R55" s="22">
        <v>766656</v>
      </c>
      <c r="S55" s="23"/>
      <c r="T55" s="24">
        <v>73.398408799999999</v>
      </c>
      <c r="U55" s="24">
        <v>75.143603499999998</v>
      </c>
      <c r="V55" s="24">
        <v>33.565472900000003</v>
      </c>
      <c r="W55" s="24">
        <v>41.269367099999997</v>
      </c>
      <c r="X55" s="24">
        <v>41.354917399999998</v>
      </c>
      <c r="Y55" s="23"/>
      <c r="Z55" s="26">
        <v>1.968</v>
      </c>
      <c r="AA55" s="26">
        <v>1.6559999999999999</v>
      </c>
      <c r="AC55" s="18" t="str">
        <f t="shared" si="5"/>
        <v>·</v>
      </c>
      <c r="AD55" s="19">
        <f t="shared" si="6"/>
        <v>0.27190975699752251</v>
      </c>
      <c r="AE55" s="19">
        <f t="shared" si="7"/>
        <v>2.7272248072416752E-2</v>
      </c>
      <c r="AF55" s="19">
        <f t="shared" si="8"/>
        <v>0.24492119550893468</v>
      </c>
      <c r="AG55" s="20"/>
      <c r="AH55" s="19">
        <f t="shared" si="9"/>
        <v>0.92276168473046327</v>
      </c>
      <c r="AI55" s="21">
        <v>922379</v>
      </c>
      <c r="AJ55" s="22">
        <v>851136</v>
      </c>
      <c r="AK55" s="22">
        <v>85368</v>
      </c>
      <c r="AL55" s="22">
        <v>766656</v>
      </c>
      <c r="AM55" s="23"/>
      <c r="AN55" s="24">
        <v>73.398408799999999</v>
      </c>
      <c r="AO55" s="24">
        <v>75.143603499999998</v>
      </c>
      <c r="AP55" s="24">
        <v>33.565472900000003</v>
      </c>
      <c r="AQ55" s="24">
        <v>41.269367099999997</v>
      </c>
      <c r="AR55" s="24">
        <v>41.354917399999998</v>
      </c>
      <c r="AS55" s="25"/>
      <c r="AT55" s="26">
        <v>1.796</v>
      </c>
      <c r="AU55" s="26">
        <v>1.546</v>
      </c>
      <c r="AW55" s="27">
        <f t="shared" si="10"/>
        <v>1.5960090441835828E-3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>
        <f t="shared" si="1"/>
        <v>0.56224891900396623</v>
      </c>
      <c r="K56" s="34">
        <f t="shared" si="2"/>
        <v>8.1292818544413087E-2</v>
      </c>
      <c r="L56" s="34">
        <f t="shared" si="3"/>
        <v>0.48081042356515447</v>
      </c>
      <c r="M56" s="35"/>
      <c r="N56" s="34">
        <f t="shared" si="4"/>
        <v>1.7820358602366111</v>
      </c>
      <c r="O56" s="36">
        <v>987612</v>
      </c>
      <c r="P56" s="37">
        <v>1759960</v>
      </c>
      <c r="Q56" s="37">
        <v>254464</v>
      </c>
      <c r="R56" s="37">
        <v>1505040</v>
      </c>
      <c r="S56" s="38"/>
      <c r="T56" s="39">
        <v>74.497849799999997</v>
      </c>
      <c r="U56" s="39">
        <v>77.029704199999998</v>
      </c>
      <c r="V56" s="39">
        <v>35.360334899999998</v>
      </c>
      <c r="W56" s="39">
        <v>44.089222999999997</v>
      </c>
      <c r="X56" s="39">
        <v>44.235774900000003</v>
      </c>
      <c r="Y56" s="38"/>
      <c r="Z56" s="41">
        <v>3.3580000000000001</v>
      </c>
      <c r="AA56" s="41">
        <v>2.8580000000000001</v>
      </c>
      <c r="AC56" s="33" t="str">
        <f t="shared" si="5"/>
        <v>·</v>
      </c>
      <c r="AD56" s="34">
        <f t="shared" si="6"/>
        <v>0.56232559105364965</v>
      </c>
      <c r="AE56" s="34">
        <f t="shared" si="7"/>
        <v>8.5673348316329709E-2</v>
      </c>
      <c r="AF56" s="34">
        <f t="shared" si="8"/>
        <v>0.48081042356515447</v>
      </c>
      <c r="AG56" s="35"/>
      <c r="AH56" s="34">
        <f t="shared" si="9"/>
        <v>1.7822788706496073</v>
      </c>
      <c r="AI56" s="36">
        <v>987612</v>
      </c>
      <c r="AJ56" s="37">
        <v>1760200</v>
      </c>
      <c r="AK56" s="37">
        <v>268176</v>
      </c>
      <c r="AL56" s="37">
        <v>1505040</v>
      </c>
      <c r="AM56" s="38"/>
      <c r="AN56" s="39">
        <v>74.497849799999997</v>
      </c>
      <c r="AO56" s="39">
        <v>77.029704199999998</v>
      </c>
      <c r="AP56" s="39">
        <v>35.360334899999998</v>
      </c>
      <c r="AQ56" s="39">
        <v>44.089222999999997</v>
      </c>
      <c r="AR56" s="39">
        <v>44.235774900000003</v>
      </c>
      <c r="AS56" s="40"/>
      <c r="AT56" s="41">
        <v>3.14</v>
      </c>
      <c r="AU56" s="41">
        <v>2.4990000000000001</v>
      </c>
      <c r="AW56" s="42">
        <f t="shared" si="10"/>
        <v>7.7703099505683215E-3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5"/>
        <v>·</v>
      </c>
      <c r="AD57" s="19" t="str">
        <f t="shared" si="6"/>
        <v>·</v>
      </c>
      <c r="AE57" s="19">
        <f t="shared" si="7"/>
        <v>0</v>
      </c>
      <c r="AF57" s="19" t="str">
        <f t="shared" si="8"/>
        <v>·</v>
      </c>
      <c r="AG57" s="20"/>
      <c r="AH57" s="19" t="str">
        <f t="shared" si="9"/>
        <v>·</v>
      </c>
      <c r="AI57" s="21"/>
      <c r="AJ57" s="22"/>
      <c r="AK57" s="22">
        <v>0</v>
      </c>
      <c r="AL57" s="22"/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10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5"/>
        <v>·</v>
      </c>
      <c r="AD58" s="49" t="str">
        <f t="shared" si="6"/>
        <v>·</v>
      </c>
      <c r="AE58" s="49">
        <f t="shared" si="7"/>
        <v>0</v>
      </c>
      <c r="AF58" s="49" t="str">
        <f t="shared" si="8"/>
        <v>·</v>
      </c>
      <c r="AG58" s="50"/>
      <c r="AH58" s="49" t="str">
        <f t="shared" si="9"/>
        <v>·</v>
      </c>
      <c r="AI58" s="51"/>
      <c r="AJ58" s="52"/>
      <c r="AK58" s="52">
        <v>0</v>
      </c>
      <c r="AL58" s="52"/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10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15">
      <c r="A59" s="15" t="s">
        <v>258</v>
      </c>
      <c r="B59" s="15" t="s">
        <v>1040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>
        <f t="shared" si="1"/>
        <v>2.5123923408677432E-2</v>
      </c>
      <c r="K59" s="19">
        <f t="shared" si="2"/>
        <v>7.855520263606525E-3</v>
      </c>
      <c r="L59" s="19">
        <f t="shared" si="3"/>
        <v>1.7078313296126489E-2</v>
      </c>
      <c r="M59" s="20"/>
      <c r="N59" s="19">
        <f t="shared" si="4"/>
        <v>3.7991078849670304E-2</v>
      </c>
      <c r="O59" s="21">
        <v>2310016</v>
      </c>
      <c r="P59" s="22">
        <v>87760</v>
      </c>
      <c r="Q59" s="22">
        <v>27440</v>
      </c>
      <c r="R59" s="22">
        <v>59656</v>
      </c>
      <c r="S59" s="23"/>
      <c r="T59" s="24">
        <v>64.278808400000003</v>
      </c>
      <c r="U59" s="24">
        <v>64.676648499999999</v>
      </c>
      <c r="V59" s="24">
        <v>34.424011200000002</v>
      </c>
      <c r="W59" s="24">
        <v>46.074849700000001</v>
      </c>
      <c r="X59" s="24">
        <v>46.184782499999997</v>
      </c>
      <c r="Y59" s="23"/>
      <c r="Z59" s="26">
        <v>4.5119999999999996</v>
      </c>
      <c r="AA59" s="26">
        <v>2.6840000000000002</v>
      </c>
      <c r="AC59" s="18" t="str">
        <f t="shared" si="5"/>
        <v>·</v>
      </c>
      <c r="AD59" s="19">
        <f t="shared" si="6"/>
        <v>2.5133084365253064E-2</v>
      </c>
      <c r="AE59" s="19">
        <f t="shared" si="7"/>
        <v>7.8967445681968809E-3</v>
      </c>
      <c r="AF59" s="19">
        <f t="shared" si="8"/>
        <v>1.7078313296126489E-2</v>
      </c>
      <c r="AG59" s="20"/>
      <c r="AH59" s="19">
        <f t="shared" si="9"/>
        <v>3.8004931567573556E-2</v>
      </c>
      <c r="AI59" s="21">
        <v>2310016</v>
      </c>
      <c r="AJ59" s="22">
        <v>87792</v>
      </c>
      <c r="AK59" s="22">
        <v>27584</v>
      </c>
      <c r="AL59" s="22">
        <v>59656</v>
      </c>
      <c r="AM59" s="23"/>
      <c r="AN59" s="24">
        <v>64.278808400000003</v>
      </c>
      <c r="AO59" s="24">
        <v>64.676648499999999</v>
      </c>
      <c r="AP59" s="24">
        <v>34.424011200000002</v>
      </c>
      <c r="AQ59" s="24">
        <v>46.074849700000001</v>
      </c>
      <c r="AR59" s="24">
        <v>46.184782499999997</v>
      </c>
      <c r="AS59" s="25"/>
      <c r="AT59" s="26">
        <v>4.4820000000000002</v>
      </c>
      <c r="AU59" s="26">
        <v>2.81</v>
      </c>
      <c r="AW59" s="27">
        <f t="shared" si="10"/>
        <v>1.5262726733396015E-3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6.8887140940836478E-3</v>
      </c>
      <c r="BA59" s="28">
        <f>IF( OR(ISBLANK(Q59:Q64),ISBLANK(AK59:AK64), ISBLANK(U59:U64),ISBLANK(AO59:AO64)), "·", bdRateExtend( Q59:Q64,U59:U64, AK59:AK64,AO59:AO64))</f>
        <v>9.7664621696498255E-3</v>
      </c>
      <c r="BB59" s="28">
        <f>IF( OR(ISBLANK(R59:R64),ISBLANK(AL59:AL64), ISBLANK(V59:V64),ISBLANK(AP59:AP64)), "·", bdRateExtend( R59:R64,V59:V64, AL59:AL64,AP59:AP64))</f>
        <v>0</v>
      </c>
      <c r="BC59" s="28">
        <f>IF( OR(ISBLANK(R59:R64),ISBLANK(AL59:AL64), ISBLANK(W59:W64),ISBLANK(AQ59:AQ64)), "·", bdRateExtend( R59:R64,W59:W64, AL59:AL64,AQ59:AQ64))</f>
        <v>0</v>
      </c>
      <c r="BD59" s="28">
        <f>IF( OR(ISBLANK(R59:R64),ISBLANK(AL59:AL64), ISBLANK(X59:X64),ISBLANK(AR59:AR64)), "·", bdRateExtend( R59:R64,X59:X64, AL59:AL64,AR59:AR64))</f>
        <v>0</v>
      </c>
      <c r="BE59" s="29"/>
      <c r="BG59" s="28">
        <f>IF( OR(ISBLANK(P59:P64),ISBLANK(AJ59:AJ64), ISBLANK(T59:T64),ISBLANK(AN59:AN64)), "·", bdRateExtend( P59:P64,T59:T64, AJ59:AJ64,AN59:AN64))</f>
        <v>3.3732611095427245E-4</v>
      </c>
      <c r="BH59" s="28">
        <f>IF( OR(ISBLANK(P59:P64),ISBLANK(AJ59:AJ64), ISBLANK(U59:U64),ISBLANK(AO59:AO64)), "·", bdRateExtend( P59:P64,U59:U64, AJ59:AJ64,AO59:AO64))</f>
        <v>3.9545900893211972E-4</v>
      </c>
      <c r="BI59" s="28">
        <f>IF( OR(ISBLANK(P59:P64),ISBLANK(AJ59:AJ64), ISBLANK(V59:V64),ISBLANK(AP59:AP64)), "·", bdRateExtend( P59:P64,V59:V64, AJ59:AJ64,AP59:AP64))</f>
        <v>4.8013907699773206E-4</v>
      </c>
      <c r="BJ59" s="28">
        <f>IF( OR(ISBLANK(P59:P64),ISBLANK(AJ59:AJ64), ISBLANK(W59:W64),ISBLANK(AQ59:AQ64)), "·", bdRateExtend( P59:P64,W59:W64, AJ59:AJ64,AQ59:AQ64))</f>
        <v>4.4031577089165275E-4</v>
      </c>
      <c r="BK59" s="28">
        <f>IF( OR(ISBLANK(P59:P64),ISBLANK(AJ59:AJ64), ISBLANK(X59:X64),ISBLANK(AR59:AR64)), "·", bdRateExtend( P59:P64,X59:X64, AJ59:AJ64,AR59:AR64))</f>
        <v>4.2895833710554498E-4</v>
      </c>
      <c r="BL59" s="29"/>
    </row>
    <row r="60" spans="1:64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>
        <f t="shared" si="1"/>
        <v>7.2731124493105662E-2</v>
      </c>
      <c r="K60" s="34">
        <f t="shared" si="2"/>
        <v>2.4040640293608657E-2</v>
      </c>
      <c r="L60" s="34">
        <f t="shared" si="3"/>
        <v>4.8500394350552589E-2</v>
      </c>
      <c r="M60" s="35"/>
      <c r="N60" s="34">
        <f t="shared" si="4"/>
        <v>7.3623543212710071E-2</v>
      </c>
      <c r="O60" s="36">
        <v>3450744</v>
      </c>
      <c r="P60" s="37">
        <v>254056</v>
      </c>
      <c r="Q60" s="37">
        <v>83976</v>
      </c>
      <c r="R60" s="37">
        <v>169416</v>
      </c>
      <c r="S60" s="38"/>
      <c r="T60" s="39">
        <v>70.303257599999995</v>
      </c>
      <c r="U60" s="39">
        <v>71.453574099999997</v>
      </c>
      <c r="V60" s="39">
        <v>37.9453611</v>
      </c>
      <c r="W60" s="39">
        <v>48.420141000000001</v>
      </c>
      <c r="X60" s="39">
        <v>48.880134300000002</v>
      </c>
      <c r="Y60" s="38"/>
      <c r="Z60" s="41">
        <v>5.4809999999999999</v>
      </c>
      <c r="AA60" s="41">
        <v>4.6210000000000004</v>
      </c>
      <c r="AC60" s="33" t="str">
        <f t="shared" si="5"/>
        <v>·</v>
      </c>
      <c r="AD60" s="34">
        <f t="shared" si="6"/>
        <v>7.2754026884544756E-2</v>
      </c>
      <c r="AE60" s="34">
        <f t="shared" si="7"/>
        <v>2.4205537511970077E-2</v>
      </c>
      <c r="AF60" s="34">
        <f t="shared" si="8"/>
        <v>4.8500394350552589E-2</v>
      </c>
      <c r="AG60" s="35"/>
      <c r="AH60" s="34">
        <f t="shared" si="9"/>
        <v>7.3646726618955216E-2</v>
      </c>
      <c r="AI60" s="36">
        <v>3450744</v>
      </c>
      <c r="AJ60" s="37">
        <v>254136</v>
      </c>
      <c r="AK60" s="37">
        <v>84552</v>
      </c>
      <c r="AL60" s="37">
        <v>169416</v>
      </c>
      <c r="AM60" s="38"/>
      <c r="AN60" s="39">
        <v>70.303257599999995</v>
      </c>
      <c r="AO60" s="39">
        <v>71.453574099999997</v>
      </c>
      <c r="AP60" s="39">
        <v>37.9453611</v>
      </c>
      <c r="AQ60" s="39">
        <v>48.420141000000001</v>
      </c>
      <c r="AR60" s="39">
        <v>48.880134300000002</v>
      </c>
      <c r="AS60" s="40"/>
      <c r="AT60" s="41">
        <v>5.4809999999999999</v>
      </c>
      <c r="AU60" s="41">
        <v>4.5119999999999996</v>
      </c>
      <c r="AW60" s="42">
        <f t="shared" si="10"/>
        <v>2.1624511921234379E-3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>
        <f t="shared" si="1"/>
        <v>0.17876232613864249</v>
      </c>
      <c r="K61" s="19">
        <f t="shared" si="2"/>
        <v>7.6842103756421615E-2</v>
      </c>
      <c r="L61" s="19">
        <f t="shared" si="3"/>
        <v>0.10173013253327647</v>
      </c>
      <c r="M61" s="20"/>
      <c r="N61" s="19">
        <f t="shared" si="4"/>
        <v>0.21091485880507521</v>
      </c>
      <c r="O61" s="21">
        <v>2960588</v>
      </c>
      <c r="P61" s="22">
        <v>624432</v>
      </c>
      <c r="Q61" s="22">
        <v>268416</v>
      </c>
      <c r="R61" s="22">
        <v>355352</v>
      </c>
      <c r="S61" s="23"/>
      <c r="T61" s="24">
        <v>73.091376800000006</v>
      </c>
      <c r="U61" s="24">
        <v>75.492138199999999</v>
      </c>
      <c r="V61" s="24">
        <v>39.876223099999997</v>
      </c>
      <c r="W61" s="24">
        <v>49.568649200000003</v>
      </c>
      <c r="X61" s="24">
        <v>50.156902500000001</v>
      </c>
      <c r="Y61" s="23"/>
      <c r="Z61" s="26">
        <v>6.8710000000000004</v>
      </c>
      <c r="AA61" s="26">
        <v>4.9800000000000004</v>
      </c>
      <c r="AC61" s="18" t="str">
        <f t="shared" si="5"/>
        <v>·</v>
      </c>
      <c r="AD61" s="19">
        <f t="shared" si="6"/>
        <v>0.17889286976984528</v>
      </c>
      <c r="AE61" s="19">
        <f t="shared" si="7"/>
        <v>7.8252891069069325E-2</v>
      </c>
      <c r="AF61" s="19">
        <f t="shared" si="8"/>
        <v>0.10173013253327647</v>
      </c>
      <c r="AG61" s="20"/>
      <c r="AH61" s="19">
        <f t="shared" si="9"/>
        <v>0.21106888226257756</v>
      </c>
      <c r="AI61" s="21">
        <v>2960588</v>
      </c>
      <c r="AJ61" s="22">
        <v>624888</v>
      </c>
      <c r="AK61" s="22">
        <v>273344</v>
      </c>
      <c r="AL61" s="22">
        <v>355352</v>
      </c>
      <c r="AM61" s="23"/>
      <c r="AN61" s="24">
        <v>73.091376800000006</v>
      </c>
      <c r="AO61" s="24">
        <v>75.492138199999999</v>
      </c>
      <c r="AP61" s="24">
        <v>39.876223099999997</v>
      </c>
      <c r="AQ61" s="24">
        <v>49.568649200000003</v>
      </c>
      <c r="AR61" s="24">
        <v>50.156902500000001</v>
      </c>
      <c r="AS61" s="25"/>
      <c r="AT61" s="26">
        <v>6.9969999999999999</v>
      </c>
      <c r="AU61" s="26">
        <v>4.8559999999999999</v>
      </c>
      <c r="AW61" s="27">
        <f t="shared" si="10"/>
        <v>7.5725338756168492E-3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>
        <f t="shared" si="1"/>
        <v>0.46207635943585684</v>
      </c>
      <c r="K62" s="34">
        <f t="shared" si="2"/>
        <v>0.23002703913589276</v>
      </c>
      <c r="L62" s="34">
        <f t="shared" si="3"/>
        <v>0.23185923045101967</v>
      </c>
      <c r="M62" s="35"/>
      <c r="N62" s="34">
        <f t="shared" si="4"/>
        <v>0.57051925540307824</v>
      </c>
      <c r="O62" s="36">
        <v>2829128</v>
      </c>
      <c r="P62" s="37">
        <v>1614072</v>
      </c>
      <c r="Q62" s="37">
        <v>803504</v>
      </c>
      <c r="R62" s="37">
        <v>809904</v>
      </c>
      <c r="S62" s="38"/>
      <c r="T62" s="39">
        <v>73.359102899999996</v>
      </c>
      <c r="U62" s="39">
        <v>76.659602100000001</v>
      </c>
      <c r="V62" s="39">
        <v>42.071944799999997</v>
      </c>
      <c r="W62" s="39">
        <v>50.555151199999997</v>
      </c>
      <c r="X62" s="39">
        <v>51.160566099999997</v>
      </c>
      <c r="Y62" s="38"/>
      <c r="Z62" s="41">
        <v>12.089</v>
      </c>
      <c r="AA62" s="41">
        <v>7.8079999999999998</v>
      </c>
      <c r="AC62" s="33" t="str">
        <f t="shared" si="5"/>
        <v>·</v>
      </c>
      <c r="AD62" s="34">
        <f t="shared" si="6"/>
        <v>0.46242676602487487</v>
      </c>
      <c r="AE62" s="34">
        <f t="shared" si="7"/>
        <v>0.24689465043077966</v>
      </c>
      <c r="AF62" s="34">
        <f t="shared" si="8"/>
        <v>0.23185923045101967</v>
      </c>
      <c r="AG62" s="35"/>
      <c r="AH62" s="34">
        <f t="shared" si="9"/>
        <v>0.57095189754581621</v>
      </c>
      <c r="AI62" s="36">
        <v>2829128</v>
      </c>
      <c r="AJ62" s="37">
        <v>1615296</v>
      </c>
      <c r="AK62" s="37">
        <v>862424</v>
      </c>
      <c r="AL62" s="37">
        <v>809904</v>
      </c>
      <c r="AM62" s="38"/>
      <c r="AN62" s="39">
        <v>73.359102899999996</v>
      </c>
      <c r="AO62" s="39">
        <v>76.659602100000001</v>
      </c>
      <c r="AP62" s="39">
        <v>42.071944799999997</v>
      </c>
      <c r="AQ62" s="39">
        <v>50.555151199999997</v>
      </c>
      <c r="AR62" s="39">
        <v>51.160566099999997</v>
      </c>
      <c r="AS62" s="40"/>
      <c r="AT62" s="41">
        <v>11.605</v>
      </c>
      <c r="AU62" s="41">
        <v>7.2949999999999999</v>
      </c>
      <c r="AW62" s="42">
        <f t="shared" si="10"/>
        <v>3.6099066934646873E-2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5"/>
        <v>·</v>
      </c>
      <c r="AD63" s="19" t="str">
        <f t="shared" si="6"/>
        <v>·</v>
      </c>
      <c r="AE63" s="19">
        <f t="shared" si="7"/>
        <v>0</v>
      </c>
      <c r="AF63" s="19" t="str">
        <f t="shared" si="8"/>
        <v>·</v>
      </c>
      <c r="AG63" s="20"/>
      <c r="AH63" s="19" t="str">
        <f t="shared" si="9"/>
        <v>·</v>
      </c>
      <c r="AI63" s="21"/>
      <c r="AJ63" s="22"/>
      <c r="AK63" s="22">
        <v>0</v>
      </c>
      <c r="AL63" s="22"/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10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5"/>
        <v>·</v>
      </c>
      <c r="AD64" s="49" t="str">
        <f t="shared" si="6"/>
        <v>·</v>
      </c>
      <c r="AE64" s="49">
        <f t="shared" si="7"/>
        <v>0</v>
      </c>
      <c r="AF64" s="49" t="str">
        <f t="shared" si="8"/>
        <v>·</v>
      </c>
      <c r="AG64" s="50"/>
      <c r="AH64" s="49" t="str">
        <f t="shared" si="9"/>
        <v>·</v>
      </c>
      <c r="AI64" s="51"/>
      <c r="AJ64" s="52"/>
      <c r="AK64" s="52">
        <v>0</v>
      </c>
      <c r="AL64" s="52"/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10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>
        <f t="shared" si="1"/>
        <v>0.19222535140672334</v>
      </c>
      <c r="K65" s="19">
        <f t="shared" si="2"/>
        <v>2.0199425469194936E-2</v>
      </c>
      <c r="L65" s="19">
        <f t="shared" si="3"/>
        <v>0.17168509195938814</v>
      </c>
      <c r="M65" s="20"/>
      <c r="N65" s="19">
        <f t="shared" si="4"/>
        <v>0.26127729586753212</v>
      </c>
      <c r="O65" s="21">
        <v>1174262</v>
      </c>
      <c r="P65" s="22">
        <v>306808</v>
      </c>
      <c r="Q65" s="22">
        <v>32240</v>
      </c>
      <c r="R65" s="22">
        <v>274024</v>
      </c>
      <c r="S65" s="23"/>
      <c r="T65" s="24">
        <v>58.671061399999999</v>
      </c>
      <c r="U65" s="24">
        <v>61.544482799999997</v>
      </c>
      <c r="V65" s="24">
        <v>22.848789100000001</v>
      </c>
      <c r="W65" s="24">
        <v>38.0890986</v>
      </c>
      <c r="X65" s="24">
        <v>37.125543499999999</v>
      </c>
      <c r="Y65" s="23"/>
      <c r="Z65" s="26">
        <v>3.6549999999999998</v>
      </c>
      <c r="AA65" s="26">
        <v>1.421</v>
      </c>
      <c r="AC65" s="18" t="str">
        <f t="shared" si="5"/>
        <v>·</v>
      </c>
      <c r="AD65" s="19">
        <f t="shared" si="6"/>
        <v>0.19227547405056747</v>
      </c>
      <c r="AE65" s="19">
        <f t="shared" si="7"/>
        <v>2.0349793400727404E-2</v>
      </c>
      <c r="AF65" s="19">
        <f t="shared" si="8"/>
        <v>0.17168509195938814</v>
      </c>
      <c r="AG65" s="20"/>
      <c r="AH65" s="19">
        <f t="shared" si="9"/>
        <v>0.26134542376403219</v>
      </c>
      <c r="AI65" s="21">
        <v>1174262</v>
      </c>
      <c r="AJ65" s="22">
        <v>306888</v>
      </c>
      <c r="AK65" s="22">
        <v>32480</v>
      </c>
      <c r="AL65" s="22">
        <v>274024</v>
      </c>
      <c r="AM65" s="23"/>
      <c r="AN65" s="24">
        <v>58.671061399999999</v>
      </c>
      <c r="AO65" s="24">
        <v>61.544482799999997</v>
      </c>
      <c r="AP65" s="24">
        <v>22.848789100000001</v>
      </c>
      <c r="AQ65" s="24">
        <v>38.0890986</v>
      </c>
      <c r="AR65" s="24">
        <v>37.125543499999999</v>
      </c>
      <c r="AS65" s="25"/>
      <c r="AT65" s="26">
        <v>3.718</v>
      </c>
      <c r="AU65" s="26">
        <v>1.3740000000000001</v>
      </c>
      <c r="AW65" s="27">
        <f t="shared" si="10"/>
        <v>7.5465133711728749E-4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1.115953028528005E-2</v>
      </c>
      <c r="BA65" s="28">
        <f>IF( OR(ISBLANK(Q65:Q70),ISBLANK(AK65:AK70), ISBLANK(U65:U70),ISBLANK(AO65:AO70)), "·", bdRateExtend( Q65:Q70,U65:U70, AK65:AK70,AO65:AO70))</f>
        <v>1.0793853137871068E-2</v>
      </c>
      <c r="BB65" s="28">
        <f>IF( OR(ISBLANK(R65:R70),ISBLANK(AL65:AL70), ISBLANK(V65:V70),ISBLANK(AP65:AP70)), "·", bdRateExtend( R65:R70,V65:V70, AL65:AL70,AP65:AP70))</f>
        <v>0</v>
      </c>
      <c r="BC65" s="28">
        <f>IF( OR(ISBLANK(R65:R70),ISBLANK(AL65:AL70), ISBLANK(W65:W70),ISBLANK(AQ65:AQ70)), "·", bdRateExtend( R65:R70,W65:W70, AL65:AL70,AQ65:AQ70))</f>
        <v>0</v>
      </c>
      <c r="BD65" s="28">
        <f>IF( OR(ISBLANK(R65:R70),ISBLANK(AL65:AL70), ISBLANK(X65:X70),ISBLANK(AR65:AR70)), "·", bdRateExtend( R65:R70,X65:X70, AL65:AL70,AR65:AR70))</f>
        <v>0</v>
      </c>
      <c r="BE65" s="29"/>
      <c r="BG65" s="28">
        <f>IF( OR(ISBLANK(P65:P70),ISBLANK(AJ65:AJ70), ISBLANK(T65:T70),ISBLANK(AN65:AN70)), "·", bdRateExtend( P65:P70,T65:T70, AJ65:AJ70,AN65:AN70))</f>
        <v>1.421566024430998E-4</v>
      </c>
      <c r="BH65" s="28">
        <f>IF( OR(ISBLANK(P65:P70),ISBLANK(AJ65:AJ70), ISBLANK(U65:U70),ISBLANK(AO65:AO70)), "·", bdRateExtend( P65:P70,U65:U70, AJ65:AJ70,AO65:AO70))</f>
        <v>1.4731864716810428E-4</v>
      </c>
      <c r="BI65" s="28">
        <f>IF( OR(ISBLANK(P65:P70),ISBLANK(AJ65:AJ70), ISBLANK(V65:V70),ISBLANK(AP65:AP70)), "·", bdRateExtend( P65:P70,V65:V70, AJ65:AJ70,AP65:AP70))</f>
        <v>1.3836739029970957E-4</v>
      </c>
      <c r="BJ65" s="28">
        <f>IF( OR(ISBLANK(P65:P70),ISBLANK(AJ65:AJ70), ISBLANK(W65:W70),ISBLANK(AQ65:AQ70)), "·", bdRateExtend( P65:P70,W65:W70, AJ65:AJ70,AQ65:AQ70))</f>
        <v>1.2268001942650208E-4</v>
      </c>
      <c r="BK65" s="28">
        <f>IF( OR(ISBLANK(P65:P70),ISBLANK(AJ65:AJ70), ISBLANK(X65:X70),ISBLANK(AR65:AR70)), "·", bdRateExtend( P65:P70,X65:X70, AJ65:AJ70,AR65:AR70))</f>
        <v>1.2451683857328533E-4</v>
      </c>
      <c r="BL65" s="29"/>
    </row>
    <row r="66" spans="1:64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>
        <f t="shared" si="1"/>
        <v>0.5285583161297801</v>
      </c>
      <c r="K66" s="34">
        <f t="shared" si="2"/>
        <v>7.9218838595688831E-2</v>
      </c>
      <c r="L66" s="34">
        <f t="shared" si="3"/>
        <v>0.44899864355595098</v>
      </c>
      <c r="M66" s="35"/>
      <c r="N66" s="34">
        <f t="shared" si="4"/>
        <v>0.66024338151449391</v>
      </c>
      <c r="O66" s="36">
        <v>1277747</v>
      </c>
      <c r="P66" s="37">
        <v>843624</v>
      </c>
      <c r="Q66" s="37">
        <v>126440</v>
      </c>
      <c r="R66" s="37">
        <v>716640</v>
      </c>
      <c r="S66" s="38"/>
      <c r="T66" s="39">
        <v>64.071536100000003</v>
      </c>
      <c r="U66" s="39">
        <v>67.809738100000004</v>
      </c>
      <c r="V66" s="39">
        <v>26.251206700000001</v>
      </c>
      <c r="W66" s="39">
        <v>39.752618200000001</v>
      </c>
      <c r="X66" s="39">
        <v>38.453042400000001</v>
      </c>
      <c r="Y66" s="38"/>
      <c r="Z66" s="41">
        <v>4.4820000000000002</v>
      </c>
      <c r="AA66" s="41">
        <v>1.8109999999999999</v>
      </c>
      <c r="AC66" s="33" t="str">
        <f t="shared" si="5"/>
        <v>·</v>
      </c>
      <c r="AD66" s="34">
        <f t="shared" si="6"/>
        <v>0.52861846330239304</v>
      </c>
      <c r="AE66" s="34">
        <f t="shared" si="7"/>
        <v>8.0100997127345974E-2</v>
      </c>
      <c r="AF66" s="34">
        <f t="shared" si="8"/>
        <v>0.44899864355595098</v>
      </c>
      <c r="AG66" s="35"/>
      <c r="AH66" s="34">
        <f t="shared" si="9"/>
        <v>0.66031851375898354</v>
      </c>
      <c r="AI66" s="36">
        <v>1277747</v>
      </c>
      <c r="AJ66" s="37">
        <v>843720</v>
      </c>
      <c r="AK66" s="37">
        <v>127848</v>
      </c>
      <c r="AL66" s="37">
        <v>716640</v>
      </c>
      <c r="AM66" s="38"/>
      <c r="AN66" s="39">
        <v>64.071536100000003</v>
      </c>
      <c r="AO66" s="39">
        <v>67.809738100000004</v>
      </c>
      <c r="AP66" s="39">
        <v>26.251206700000001</v>
      </c>
      <c r="AQ66" s="39">
        <v>39.752618200000001</v>
      </c>
      <c r="AR66" s="39">
        <v>38.453042400000001</v>
      </c>
      <c r="AS66" s="40"/>
      <c r="AT66" s="41">
        <v>4.2789999999999999</v>
      </c>
      <c r="AU66" s="41">
        <v>1.8260000000000001</v>
      </c>
      <c r="AW66" s="42">
        <f t="shared" si="10"/>
        <v>1.6517467751603621E-3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>
        <f t="shared" si="1"/>
        <v>1.4440834917939833</v>
      </c>
      <c r="K67" s="19">
        <f t="shared" si="2"/>
        <v>0.33674397040257881</v>
      </c>
      <c r="L67" s="19">
        <f t="shared" si="3"/>
        <v>1.1069986874132642</v>
      </c>
      <c r="M67" s="20"/>
      <c r="N67" s="19">
        <f t="shared" si="4"/>
        <v>1.4268071716733388</v>
      </c>
      <c r="O67" s="21">
        <v>1615411</v>
      </c>
      <c r="P67" s="22">
        <v>2304880</v>
      </c>
      <c r="Q67" s="22">
        <v>537472</v>
      </c>
      <c r="R67" s="22">
        <v>1766864</v>
      </c>
      <c r="S67" s="23"/>
      <c r="T67" s="24">
        <v>68.140869600000002</v>
      </c>
      <c r="U67" s="24">
        <v>71.694531100000006</v>
      </c>
      <c r="V67" s="24">
        <v>29.198854600000001</v>
      </c>
      <c r="W67" s="24">
        <v>42.207480799999999</v>
      </c>
      <c r="X67" s="24">
        <v>40.301549000000001</v>
      </c>
      <c r="Y67" s="23"/>
      <c r="Z67" s="26">
        <v>8.1219999999999999</v>
      </c>
      <c r="AA67" s="26">
        <v>3.0139999999999998</v>
      </c>
      <c r="AC67" s="18" t="str">
        <f t="shared" si="5"/>
        <v>·</v>
      </c>
      <c r="AD67" s="19">
        <f t="shared" si="6"/>
        <v>1.4442138106679783</v>
      </c>
      <c r="AE67" s="19">
        <f t="shared" si="7"/>
        <v>0.34281883483649056</v>
      </c>
      <c r="AF67" s="19">
        <f t="shared" si="8"/>
        <v>1.1069986874132642</v>
      </c>
      <c r="AG67" s="20"/>
      <c r="AH67" s="19">
        <f t="shared" si="9"/>
        <v>1.4269359314750241</v>
      </c>
      <c r="AI67" s="21">
        <v>1615411</v>
      </c>
      <c r="AJ67" s="22">
        <v>2305088</v>
      </c>
      <c r="AK67" s="22">
        <v>547168</v>
      </c>
      <c r="AL67" s="22">
        <v>1766864</v>
      </c>
      <c r="AM67" s="23"/>
      <c r="AN67" s="24">
        <v>68.140869600000002</v>
      </c>
      <c r="AO67" s="24">
        <v>71.694531100000006</v>
      </c>
      <c r="AP67" s="24">
        <v>29.198854600000001</v>
      </c>
      <c r="AQ67" s="24">
        <v>42.207480799999999</v>
      </c>
      <c r="AR67" s="24">
        <v>40.301549000000001</v>
      </c>
      <c r="AS67" s="25"/>
      <c r="AT67" s="26">
        <v>7.6859999999999999</v>
      </c>
      <c r="AU67" s="26">
        <v>2.9359999999999999</v>
      </c>
      <c r="AW67" s="27">
        <f t="shared" si="10"/>
        <v>4.185305180439941E-3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9"/>
      <c r="X68" s="39"/>
      <c r="Y68" s="38"/>
      <c r="Z68" s="41"/>
      <c r="AA68" s="41"/>
      <c r="AC68" s="33" t="str">
        <f t="shared" si="5"/>
        <v>·</v>
      </c>
      <c r="AD68" s="34" t="str">
        <f t="shared" si="6"/>
        <v>·</v>
      </c>
      <c r="AE68" s="34">
        <f t="shared" si="7"/>
        <v>1.3701275308019309</v>
      </c>
      <c r="AF68" s="34" t="str">
        <f t="shared" si="8"/>
        <v>·</v>
      </c>
      <c r="AG68" s="35"/>
      <c r="AH68" s="34" t="str">
        <f t="shared" si="9"/>
        <v>·</v>
      </c>
      <c r="AI68" s="36"/>
      <c r="AJ68" s="37"/>
      <c r="AK68" s="37">
        <v>2186840</v>
      </c>
      <c r="AL68" s="37"/>
      <c r="AM68" s="38"/>
      <c r="AN68" s="39"/>
      <c r="AO68" s="39"/>
      <c r="AP68" s="39"/>
      <c r="AQ68" s="39"/>
      <c r="AR68" s="39"/>
      <c r="AS68" s="40"/>
      <c r="AT68" s="41"/>
      <c r="AU68" s="41"/>
      <c r="AW68" s="42" t="e">
        <f t="shared" si="10"/>
        <v>#DIV/0!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16">IF(OR(ISBLANK(AJ69),ISBLANK(G69)),"·",AJ69*G69/F69/1000000)</f>
        <v>·</v>
      </c>
      <c r="AD69" s="19" t="str">
        <f t="shared" ref="AD69:AD132" si="17">IF(ISBLANK(AJ69),"·",AJ69/D69)</f>
        <v>·</v>
      </c>
      <c r="AE69" s="19">
        <f t="shared" ref="AE69:AE132" si="18">IF(AK69="","·",AK69/D69)</f>
        <v>0</v>
      </c>
      <c r="AF69" s="19" t="str">
        <f t="shared" ref="AF69:AF132" si="19">IF(ISBLANK(AL69),"·",AL69/D69)</f>
        <v>·</v>
      </c>
      <c r="AG69" s="20"/>
      <c r="AH69" s="19" t="str">
        <f t="shared" ref="AH69:AH132" si="20">IF(ISBLANK(AJ69),"·",AJ69/AI69)</f>
        <v>·</v>
      </c>
      <c r="AI69" s="21"/>
      <c r="AJ69" s="22"/>
      <c r="AK69" s="22">
        <v>0</v>
      </c>
      <c r="AL69" s="22"/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2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16"/>
        <v>·</v>
      </c>
      <c r="AD70" s="49" t="str">
        <f t="shared" si="17"/>
        <v>·</v>
      </c>
      <c r="AE70" s="49">
        <f t="shared" si="18"/>
        <v>0</v>
      </c>
      <c r="AF70" s="49" t="str">
        <f t="shared" si="19"/>
        <v>·</v>
      </c>
      <c r="AG70" s="50"/>
      <c r="AH70" s="49" t="str">
        <f t="shared" si="20"/>
        <v>·</v>
      </c>
      <c r="AI70" s="51"/>
      <c r="AJ70" s="52"/>
      <c r="AK70" s="52">
        <v>0</v>
      </c>
      <c r="AL70" s="52"/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2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>
        <f t="shared" si="12"/>
        <v>9.2017404814613582E-2</v>
      </c>
      <c r="K71" s="19">
        <f t="shared" si="13"/>
        <v>9.0221242315792309E-3</v>
      </c>
      <c r="L71" s="19">
        <f t="shared" si="14"/>
        <v>8.2871345370615676E-2</v>
      </c>
      <c r="M71" s="20"/>
      <c r="N71" s="19">
        <f t="shared" si="15"/>
        <v>0.10829475918262084</v>
      </c>
      <c r="O71" s="21">
        <v>7568972</v>
      </c>
      <c r="P71" s="22">
        <v>819680</v>
      </c>
      <c r="Q71" s="22">
        <v>80368</v>
      </c>
      <c r="R71" s="22">
        <v>738208</v>
      </c>
      <c r="S71" s="23"/>
      <c r="T71" s="24">
        <v>63.9047907</v>
      </c>
      <c r="U71" s="24">
        <v>70.585697199999998</v>
      </c>
      <c r="V71" s="24">
        <v>23.848378499999999</v>
      </c>
      <c r="W71" s="24">
        <v>39.036888500000003</v>
      </c>
      <c r="X71" s="24">
        <v>40.386623100000001</v>
      </c>
      <c r="Y71" s="23"/>
      <c r="Z71" s="26">
        <v>11.805</v>
      </c>
      <c r="AA71" s="26">
        <v>9.4610000000000003</v>
      </c>
      <c r="AC71" s="18" t="str">
        <f t="shared" si="16"/>
        <v>·</v>
      </c>
      <c r="AD71" s="19">
        <f t="shared" si="17"/>
        <v>9.2030876033354733E-2</v>
      </c>
      <c r="AE71" s="19">
        <f t="shared" si="18"/>
        <v>9.0751110252944578E-3</v>
      </c>
      <c r="AF71" s="19">
        <f t="shared" si="19"/>
        <v>8.2871345370615676E-2</v>
      </c>
      <c r="AG71" s="20"/>
      <c r="AH71" s="19">
        <f t="shared" si="20"/>
        <v>0.10831061338316485</v>
      </c>
      <c r="AI71" s="21">
        <v>7568972</v>
      </c>
      <c r="AJ71" s="22">
        <v>819800</v>
      </c>
      <c r="AK71" s="22">
        <v>80840</v>
      </c>
      <c r="AL71" s="22">
        <v>738208</v>
      </c>
      <c r="AM71" s="23"/>
      <c r="AN71" s="24">
        <v>63.9047907</v>
      </c>
      <c r="AO71" s="24">
        <v>70.585697199999998</v>
      </c>
      <c r="AP71" s="24">
        <v>23.848378499999999</v>
      </c>
      <c r="AQ71" s="24">
        <v>39.036888500000003</v>
      </c>
      <c r="AR71" s="24">
        <v>40.386623100000001</v>
      </c>
      <c r="AS71" s="25"/>
      <c r="AT71" s="26">
        <v>11.772</v>
      </c>
      <c r="AU71" s="26">
        <v>9.2739999999999991</v>
      </c>
      <c r="AW71" s="27">
        <f t="shared" si="21"/>
        <v>5.6139819193866403E-4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8.2760388959708386E-3</v>
      </c>
      <c r="BA71" s="28">
        <f>IF( OR(ISBLANK(Q71:Q76),ISBLANK(AK71:AK76), ISBLANK(U71:U76),ISBLANK(AO71:AO76)), "·", bdRateExtend( Q71:Q76,U71:U76, AK71:AK76,AO71:AO76))</f>
        <v>8.3701255494585958E-3</v>
      </c>
      <c r="BB71" s="28">
        <f>IF( OR(ISBLANK(R71:R76),ISBLANK(AL71:AL76), ISBLANK(V71:V76),ISBLANK(AP71:AP76)), "·", bdRateExtend( R71:R76,V71:V76, AL71:AL76,AP71:AP76))</f>
        <v>0</v>
      </c>
      <c r="BC71" s="28">
        <f>IF( OR(ISBLANK(R71:R76),ISBLANK(AL71:AL76), ISBLANK(W71:W76),ISBLANK(AQ71:AQ76)), "·", bdRateExtend( R71:R76,W71:W76, AL71:AL76,AQ71:AQ76))</f>
        <v>0</v>
      </c>
      <c r="BD71" s="28">
        <f>IF( OR(ISBLANK(R71:R76),ISBLANK(AL71:AL76), ISBLANK(X71:X76),ISBLANK(AR71:AR76)), "·", bdRateExtend( R71:R76,X71:X76, AL71:AL76,AR71:AR76))</f>
        <v>0</v>
      </c>
      <c r="BE71" s="29"/>
      <c r="BG71" s="28">
        <f>IF( OR(ISBLANK(P71:P76),ISBLANK(AJ71:AJ76), ISBLANK(T71:T76),ISBLANK(AN71:AN76)), "·", bdRateExtend( P71:P76,T71:T76, AJ71:AJ76,AN71:AN76))</f>
        <v>1.6073998941479317E-4</v>
      </c>
      <c r="BH71" s="28">
        <f>IF( OR(ISBLANK(P71:P76),ISBLANK(AJ71:AJ76), ISBLANK(U71:U76),ISBLANK(AO71:AO76)), "·", bdRateExtend( P71:P76,U71:U76, AJ71:AJ76,AO71:AO76))</f>
        <v>1.6389519275916697E-4</v>
      </c>
      <c r="BI71" s="28">
        <f>IF( OR(ISBLANK(P71:P76),ISBLANK(AJ71:AJ76), ISBLANK(V71:V76),ISBLANK(AP71:AP76)), "·", bdRateExtend( P71:P76,V71:V76, AJ71:AJ76,AP71:AP76))</f>
        <v>1.5272342062466748E-4</v>
      </c>
      <c r="BJ71" s="28">
        <f>IF( OR(ISBLANK(P71:P76),ISBLANK(AJ71:AJ76), ISBLANK(W71:W76),ISBLANK(AQ71:AQ76)), "·", bdRateExtend( P71:P76,W71:W76, AJ71:AJ76,AQ71:AQ76))</f>
        <v>1.4477411011948327E-4</v>
      </c>
      <c r="BK71" s="28">
        <f>IF( OR(ISBLANK(P71:P76),ISBLANK(AJ71:AJ76), ISBLANK(X71:X76),ISBLANK(AR71:AR76)), "·", bdRateExtend( P71:P76,X71:X76, AJ71:AJ76,AR71:AR76))</f>
        <v>1.4331048912796795E-4</v>
      </c>
      <c r="BL71" s="29"/>
    </row>
    <row r="72" spans="1:64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>
        <f t="shared" si="12"/>
        <v>0.28134819957161522</v>
      </c>
      <c r="K72" s="34">
        <f t="shared" si="13"/>
        <v>3.2606635922351898E-2</v>
      </c>
      <c r="L72" s="34">
        <f t="shared" si="14"/>
        <v>0.24861762843684468</v>
      </c>
      <c r="M72" s="35"/>
      <c r="N72" s="34">
        <f t="shared" si="15"/>
        <v>0.34955650876424155</v>
      </c>
      <c r="O72" s="36">
        <v>7169702</v>
      </c>
      <c r="P72" s="37">
        <v>2506216</v>
      </c>
      <c r="Q72" s="37">
        <v>290456</v>
      </c>
      <c r="R72" s="37">
        <v>2214656</v>
      </c>
      <c r="S72" s="38"/>
      <c r="T72" s="39">
        <v>69.551420500000006</v>
      </c>
      <c r="U72" s="39">
        <v>75.8867288</v>
      </c>
      <c r="V72" s="39">
        <v>26.174687899999999</v>
      </c>
      <c r="W72" s="39">
        <v>40.621276700000003</v>
      </c>
      <c r="X72" s="39">
        <v>41.787168100000002</v>
      </c>
      <c r="Y72" s="38"/>
      <c r="Z72" s="41">
        <v>13.226000000000001</v>
      </c>
      <c r="AA72" s="41">
        <v>10.244</v>
      </c>
      <c r="AC72" s="33" t="str">
        <f t="shared" si="16"/>
        <v>·</v>
      </c>
      <c r="AD72" s="34">
        <f t="shared" si="17"/>
        <v>0.28140567677157752</v>
      </c>
      <c r="AE72" s="34">
        <f t="shared" si="18"/>
        <v>3.2855404428438643E-2</v>
      </c>
      <c r="AF72" s="34">
        <f t="shared" si="19"/>
        <v>0.24861762843684468</v>
      </c>
      <c r="AG72" s="35"/>
      <c r="AH72" s="34">
        <f t="shared" si="20"/>
        <v>0.3496279203793965</v>
      </c>
      <c r="AI72" s="36">
        <v>7169702</v>
      </c>
      <c r="AJ72" s="37">
        <v>2506728</v>
      </c>
      <c r="AK72" s="37">
        <v>292672</v>
      </c>
      <c r="AL72" s="37">
        <v>2214656</v>
      </c>
      <c r="AM72" s="38"/>
      <c r="AN72" s="39">
        <v>69.551420500000006</v>
      </c>
      <c r="AO72" s="39">
        <v>75.8867288</v>
      </c>
      <c r="AP72" s="39">
        <v>26.174687899999999</v>
      </c>
      <c r="AQ72" s="39">
        <v>40.621276700000003</v>
      </c>
      <c r="AR72" s="39">
        <v>41.787168100000002</v>
      </c>
      <c r="AS72" s="40"/>
      <c r="AT72" s="41">
        <v>12.741</v>
      </c>
      <c r="AU72" s="41">
        <v>9.8829999999999991</v>
      </c>
      <c r="AW72" s="42">
        <f t="shared" si="21"/>
        <v>8.6034948699385827E-4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>
        <f t="shared" si="12"/>
        <v>0.83217106651638773</v>
      </c>
      <c r="K73" s="19">
        <f t="shared" si="13"/>
        <v>0.14725479014086404</v>
      </c>
      <c r="L73" s="19">
        <f t="shared" si="14"/>
        <v>0.68479234116310506</v>
      </c>
      <c r="M73" s="20"/>
      <c r="N73" s="19">
        <f t="shared" si="15"/>
        <v>1.0668467368468317</v>
      </c>
      <c r="O73" s="21">
        <v>6948402</v>
      </c>
      <c r="P73" s="22">
        <v>7412880</v>
      </c>
      <c r="Q73" s="22">
        <v>1311728</v>
      </c>
      <c r="R73" s="22">
        <v>6100048</v>
      </c>
      <c r="S73" s="23"/>
      <c r="T73" s="24">
        <v>75.282660300000003</v>
      </c>
      <c r="U73" s="24">
        <v>78.806474300000005</v>
      </c>
      <c r="V73" s="24">
        <v>28.563997199999999</v>
      </c>
      <c r="W73" s="24">
        <v>42.301371699999997</v>
      </c>
      <c r="X73" s="24">
        <v>43.242584899999997</v>
      </c>
      <c r="Y73" s="23"/>
      <c r="Z73" s="26">
        <v>20.04</v>
      </c>
      <c r="AA73" s="26">
        <v>12.195</v>
      </c>
      <c r="AC73" s="18" t="str">
        <f t="shared" si="16"/>
        <v>·</v>
      </c>
      <c r="AD73" s="19">
        <f t="shared" si="17"/>
        <v>0.8322545880725829</v>
      </c>
      <c r="AE73" s="19">
        <f t="shared" si="18"/>
        <v>0.14853006551502715</v>
      </c>
      <c r="AF73" s="19">
        <f t="shared" si="19"/>
        <v>0.68479234116310506</v>
      </c>
      <c r="AG73" s="20"/>
      <c r="AH73" s="19">
        <f t="shared" si="20"/>
        <v>1.066953811826086</v>
      </c>
      <c r="AI73" s="21">
        <v>6948402</v>
      </c>
      <c r="AJ73" s="22">
        <v>7413624</v>
      </c>
      <c r="AK73" s="22">
        <v>1323088</v>
      </c>
      <c r="AL73" s="22">
        <v>6100048</v>
      </c>
      <c r="AM73" s="23"/>
      <c r="AN73" s="24">
        <v>75.282660300000003</v>
      </c>
      <c r="AO73" s="24">
        <v>78.806474300000005</v>
      </c>
      <c r="AP73" s="24">
        <v>28.563997199999999</v>
      </c>
      <c r="AQ73" s="24">
        <v>42.301371699999997</v>
      </c>
      <c r="AR73" s="24">
        <v>43.242584899999997</v>
      </c>
      <c r="AS73" s="25"/>
      <c r="AT73" s="26">
        <v>19.495999999999999</v>
      </c>
      <c r="AU73" s="26">
        <v>11.837</v>
      </c>
      <c r="AW73" s="27">
        <f t="shared" si="21"/>
        <v>1.5145558103150936E-3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>
        <f t="shared" si="12"/>
        <v>2.1688231094267096</v>
      </c>
      <c r="K74" s="34">
        <f t="shared" si="13"/>
        <v>0.60188866486751058</v>
      </c>
      <c r="L74" s="34">
        <f t="shared" si="14"/>
        <v>1.5668105093467806</v>
      </c>
      <c r="M74" s="35"/>
      <c r="N74" s="34">
        <f t="shared" si="15"/>
        <v>2.3999001263947677</v>
      </c>
      <c r="O74" s="36">
        <v>8050175</v>
      </c>
      <c r="P74" s="37">
        <v>19319616</v>
      </c>
      <c r="Q74" s="37">
        <v>5361552</v>
      </c>
      <c r="R74" s="37">
        <v>13956960</v>
      </c>
      <c r="S74" s="38"/>
      <c r="T74" s="39">
        <v>77.465557200000006</v>
      </c>
      <c r="U74" s="39">
        <v>80.776850100000004</v>
      </c>
      <c r="V74" s="39">
        <v>30.070159799999999</v>
      </c>
      <c r="W74" s="39">
        <v>43.854728700000003</v>
      </c>
      <c r="X74" s="39">
        <v>44.706952700000002</v>
      </c>
      <c r="Y74" s="38"/>
      <c r="Z74" s="41">
        <v>41.350999999999999</v>
      </c>
      <c r="AA74" s="41">
        <v>21.509</v>
      </c>
      <c r="AC74" s="33" t="str">
        <f t="shared" si="16"/>
        <v>·</v>
      </c>
      <c r="AD74" s="34">
        <f t="shared" si="17"/>
        <v>2.1690242796265777</v>
      </c>
      <c r="AE74" s="34">
        <f t="shared" si="18"/>
        <v>0.61476265957781195</v>
      </c>
      <c r="AF74" s="34">
        <f t="shared" si="19"/>
        <v>1.5668105093467806</v>
      </c>
      <c r="AG74" s="35"/>
      <c r="AH74" s="34">
        <f t="shared" si="20"/>
        <v>2.4001227302512058</v>
      </c>
      <c r="AI74" s="36">
        <v>8050175</v>
      </c>
      <c r="AJ74" s="37">
        <v>19321408</v>
      </c>
      <c r="AK74" s="37">
        <v>5476232</v>
      </c>
      <c r="AL74" s="37">
        <v>13956960</v>
      </c>
      <c r="AM74" s="38"/>
      <c r="AN74" s="39">
        <v>77.465557200000006</v>
      </c>
      <c r="AO74" s="39">
        <v>80.776850100000004</v>
      </c>
      <c r="AP74" s="39">
        <v>30.070159799999999</v>
      </c>
      <c r="AQ74" s="39">
        <v>43.854728700000003</v>
      </c>
      <c r="AR74" s="39">
        <v>44.706952700000002</v>
      </c>
      <c r="AS74" s="40"/>
      <c r="AT74" s="41">
        <v>39.473999999999997</v>
      </c>
      <c r="AU74" s="41">
        <v>20.257999999999999</v>
      </c>
      <c r="AW74" s="42">
        <f t="shared" si="21"/>
        <v>5.9096462712033837E-3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16"/>
        <v>·</v>
      </c>
      <c r="AD75" s="19" t="str">
        <f t="shared" si="17"/>
        <v>·</v>
      </c>
      <c r="AE75" s="19">
        <f t="shared" si="18"/>
        <v>0</v>
      </c>
      <c r="AF75" s="19" t="str">
        <f t="shared" si="19"/>
        <v>·</v>
      </c>
      <c r="AG75" s="20"/>
      <c r="AH75" s="19" t="str">
        <f t="shared" si="20"/>
        <v>·</v>
      </c>
      <c r="AI75" s="21"/>
      <c r="AJ75" s="22"/>
      <c r="AK75" s="22">
        <v>0</v>
      </c>
      <c r="AL75" s="22"/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2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16"/>
        <v>·</v>
      </c>
      <c r="AD76" s="49" t="str">
        <f t="shared" si="17"/>
        <v>·</v>
      </c>
      <c r="AE76" s="49">
        <f t="shared" si="18"/>
        <v>0</v>
      </c>
      <c r="AF76" s="49" t="str">
        <f t="shared" si="19"/>
        <v>·</v>
      </c>
      <c r="AG76" s="50"/>
      <c r="AH76" s="49" t="str">
        <f t="shared" si="20"/>
        <v>·</v>
      </c>
      <c r="AI76" s="51"/>
      <c r="AJ76" s="52"/>
      <c r="AK76" s="52">
        <v>0</v>
      </c>
      <c r="AL76" s="52"/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2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>
        <f t="shared" si="12"/>
        <v>2.3346506525638289E-2</v>
      </c>
      <c r="K77" s="19">
        <f t="shared" si="13"/>
        <v>5.0272726802081443E-3</v>
      </c>
      <c r="L77" s="19">
        <f t="shared" si="14"/>
        <v>1.8234775989240556E-2</v>
      </c>
      <c r="M77" s="20"/>
      <c r="N77" s="19">
        <f t="shared" si="15"/>
        <v>4.3930276339675924E-2</v>
      </c>
      <c r="O77" s="21">
        <v>10470592</v>
      </c>
      <c r="P77" s="22">
        <v>459976</v>
      </c>
      <c r="Q77" s="22">
        <v>99048</v>
      </c>
      <c r="R77" s="22">
        <v>359264</v>
      </c>
      <c r="S77" s="23"/>
      <c r="T77" s="24">
        <v>68.032191900000001</v>
      </c>
      <c r="U77" s="24">
        <v>71.018393599999996</v>
      </c>
      <c r="V77" s="24">
        <v>28.971665000000002</v>
      </c>
      <c r="W77" s="24">
        <v>42.466366299999997</v>
      </c>
      <c r="X77" s="24">
        <v>44.330679199999999</v>
      </c>
      <c r="Y77" s="23"/>
      <c r="Z77" s="26">
        <v>17.05</v>
      </c>
      <c r="AA77" s="26">
        <v>12.343999999999999</v>
      </c>
      <c r="AC77" s="18" t="str">
        <f t="shared" si="16"/>
        <v>·</v>
      </c>
      <c r="AD77" s="19">
        <f t="shared" si="17"/>
        <v>2.3365184705372525E-2</v>
      </c>
      <c r="AE77" s="19">
        <f t="shared" si="18"/>
        <v>5.0370178174607887E-3</v>
      </c>
      <c r="AF77" s="19">
        <f t="shared" si="19"/>
        <v>1.8234775989240556E-2</v>
      </c>
      <c r="AG77" s="20"/>
      <c r="AH77" s="19">
        <f t="shared" si="20"/>
        <v>4.3965422394454869E-2</v>
      </c>
      <c r="AI77" s="21">
        <v>10470592</v>
      </c>
      <c r="AJ77" s="22">
        <v>460344</v>
      </c>
      <c r="AK77" s="22">
        <v>99240</v>
      </c>
      <c r="AL77" s="22">
        <v>359264</v>
      </c>
      <c r="AM77" s="23"/>
      <c r="AN77" s="24">
        <v>68.032191900000001</v>
      </c>
      <c r="AO77" s="24">
        <v>71.018393599999996</v>
      </c>
      <c r="AP77" s="24">
        <v>28.971665000000002</v>
      </c>
      <c r="AQ77" s="24">
        <v>42.466366299999997</v>
      </c>
      <c r="AR77" s="24">
        <v>44.330679199999999</v>
      </c>
      <c r="AS77" s="25"/>
      <c r="AT77" s="26">
        <v>16.61</v>
      </c>
      <c r="AU77" s="26">
        <v>11.785</v>
      </c>
      <c r="AW77" s="27">
        <f t="shared" si="21"/>
        <v>2.4494175140091223E-4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5.5025372979866649E-3</v>
      </c>
      <c r="BA77" s="28">
        <f>IF( OR(ISBLANK(Q77:Q82),ISBLANK(AK77:AK82), ISBLANK(U77:U82),ISBLANK(AO77:AO82)), "·", bdRateExtend( Q77:Q82,U77:U82, AK77:AK82,AO77:AO82))</f>
        <v>6.5714045723768155E-3</v>
      </c>
      <c r="BB77" s="28">
        <f>IF( OR(ISBLANK(R77:R82),ISBLANK(AL77:AL82), ISBLANK(V77:V82),ISBLANK(AP77:AP82)), "·", bdRateExtend( R77:R82,V77:V82, AL77:AL82,AP77:AP82))</f>
        <v>0</v>
      </c>
      <c r="BC77" s="28">
        <f>IF( OR(ISBLANK(R77:R82),ISBLANK(AL77:AL82), ISBLANK(W77:W82),ISBLANK(AQ77:AQ82)), "·", bdRateExtend( R77:R82,W77:W82, AL77:AL82,AQ77:AQ82))</f>
        <v>0</v>
      </c>
      <c r="BD77" s="28">
        <f>IF( OR(ISBLANK(R77:R82),ISBLANK(AL77:AL82), ISBLANK(X77:X82),ISBLANK(AR77:AR82)), "·", bdRateExtend( R77:R82,X77:X82, AL77:AL82,AR77:AR82))</f>
        <v>0</v>
      </c>
      <c r="BE77" s="29"/>
      <c r="BG77" s="28">
        <f>IF( OR(ISBLANK(P77:P82),ISBLANK(AJ77:AJ82), ISBLANK(T77:T82),ISBLANK(AN77:AN82)), "·", bdRateExtend( P77:P82,T77:T82, AJ77:AJ82,AN77:AN82))</f>
        <v>4.189284780535818E-4</v>
      </c>
      <c r="BH77" s="28">
        <f>IF( OR(ISBLANK(P77:P82),ISBLANK(AJ77:AJ82), ISBLANK(U77:U82),ISBLANK(AO77:AO82)), "·", bdRateExtend( P77:P82,U77:U82, AJ77:AJ82,AO77:AO82))</f>
        <v>4.1246742219658294E-4</v>
      </c>
      <c r="BI77" s="28">
        <f>IF( OR(ISBLANK(P77:P82),ISBLANK(AJ77:AJ82), ISBLANK(V77:V82),ISBLANK(AP77:AP82)), "·", bdRateExtend( P77:P82,V77:V82, AJ77:AJ82,AP77:AP82))</f>
        <v>3.492214411386918E-4</v>
      </c>
      <c r="BJ77" s="28">
        <f>IF( OR(ISBLANK(P77:P82),ISBLANK(AJ77:AJ82), ISBLANK(W77:W82),ISBLANK(AQ77:AQ82)), "·", bdRateExtend( P77:P82,W77:W82, AJ77:AJ82,AQ77:AQ82))</f>
        <v>3.4432221886504522E-4</v>
      </c>
      <c r="BK77" s="28">
        <f>IF( OR(ISBLANK(P77:P82),ISBLANK(AJ77:AJ82), ISBLANK(X77:X82),ISBLANK(AR77:AR82)), "·", bdRateExtend( P77:P82,X77:X82, AJ77:AJ82,AR77:AR82))</f>
        <v>3.5251047254791779E-4</v>
      </c>
      <c r="BL77" s="29"/>
    </row>
    <row r="78" spans="1:64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>
        <f t="shared" si="12"/>
        <v>8.2413813650846143E-2</v>
      </c>
      <c r="K78" s="34">
        <f t="shared" si="13"/>
        <v>1.7035718059779718E-2</v>
      </c>
      <c r="L78" s="34">
        <f t="shared" si="14"/>
        <v>6.5293637734876842E-2</v>
      </c>
      <c r="M78" s="35"/>
      <c r="N78" s="34">
        <f t="shared" si="15"/>
        <v>0.14676148709475656</v>
      </c>
      <c r="O78" s="36">
        <v>11063720</v>
      </c>
      <c r="P78" s="37">
        <v>1623728</v>
      </c>
      <c r="Q78" s="37">
        <v>335640</v>
      </c>
      <c r="R78" s="37">
        <v>1286424</v>
      </c>
      <c r="S78" s="38"/>
      <c r="T78" s="39">
        <v>74.053016499999998</v>
      </c>
      <c r="U78" s="39">
        <v>76.914632699999999</v>
      </c>
      <c r="V78" s="39">
        <v>30.7897173</v>
      </c>
      <c r="W78" s="39">
        <v>43.434107599999997</v>
      </c>
      <c r="X78" s="39">
        <v>45.283923799999997</v>
      </c>
      <c r="Y78" s="38"/>
      <c r="Z78" s="41">
        <v>19.297999999999998</v>
      </c>
      <c r="AA78" s="41">
        <v>14.173</v>
      </c>
      <c r="AC78" s="33" t="str">
        <f t="shared" si="16"/>
        <v>·</v>
      </c>
      <c r="AD78" s="34">
        <f t="shared" si="17"/>
        <v>8.2442643015218559E-2</v>
      </c>
      <c r="AE78" s="34">
        <f t="shared" si="18"/>
        <v>1.7041808770562619E-2</v>
      </c>
      <c r="AF78" s="34">
        <f t="shared" si="19"/>
        <v>6.5293637734876842E-2</v>
      </c>
      <c r="AG78" s="35"/>
      <c r="AH78" s="34">
        <f t="shared" si="20"/>
        <v>0.14681282606573556</v>
      </c>
      <c r="AI78" s="36">
        <v>11063720</v>
      </c>
      <c r="AJ78" s="37">
        <v>1624296</v>
      </c>
      <c r="AK78" s="37">
        <v>335760</v>
      </c>
      <c r="AL78" s="37">
        <v>1286424</v>
      </c>
      <c r="AM78" s="38"/>
      <c r="AN78" s="39">
        <v>74.053016499999998</v>
      </c>
      <c r="AO78" s="39">
        <v>76.914632699999999</v>
      </c>
      <c r="AP78" s="39">
        <v>30.7897173</v>
      </c>
      <c r="AQ78" s="39">
        <v>43.434107599999997</v>
      </c>
      <c r="AR78" s="39">
        <v>45.283923799999997</v>
      </c>
      <c r="AS78" s="40"/>
      <c r="AT78" s="41">
        <v>18.753</v>
      </c>
      <c r="AU78" s="41">
        <v>13.737</v>
      </c>
      <c r="AW78" s="42">
        <f t="shared" si="21"/>
        <v>1.5939244171203626E-6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>
        <f t="shared" si="12"/>
        <v>0.29395150799400716</v>
      </c>
      <c r="K79" s="19">
        <f t="shared" si="13"/>
        <v>6.589093343898686E-2</v>
      </c>
      <c r="L79" s="19">
        <f t="shared" si="14"/>
        <v>0.22797611669883069</v>
      </c>
      <c r="M79" s="20"/>
      <c r="N79" s="19">
        <f t="shared" si="15"/>
        <v>0.50419674101808976</v>
      </c>
      <c r="O79" s="21">
        <v>11486532</v>
      </c>
      <c r="P79" s="22">
        <v>5791472</v>
      </c>
      <c r="Q79" s="22">
        <v>1298192</v>
      </c>
      <c r="R79" s="22">
        <v>4491616</v>
      </c>
      <c r="S79" s="23"/>
      <c r="T79" s="24">
        <v>78.334226000000001</v>
      </c>
      <c r="U79" s="24">
        <v>80.942864999999998</v>
      </c>
      <c r="V79" s="24">
        <v>32.886068999999999</v>
      </c>
      <c r="W79" s="24">
        <v>44.4760864</v>
      </c>
      <c r="X79" s="24">
        <v>46.241186599999999</v>
      </c>
      <c r="Y79" s="23"/>
      <c r="Z79" s="26">
        <v>26.689</v>
      </c>
      <c r="AA79" s="26">
        <v>18.298999999999999</v>
      </c>
      <c r="AC79" s="18" t="str">
        <f t="shared" si="16"/>
        <v>·</v>
      </c>
      <c r="AD79" s="19">
        <f t="shared" si="17"/>
        <v>0.29403596585019676</v>
      </c>
      <c r="AE79" s="19">
        <f t="shared" si="18"/>
        <v>6.6826872662626297E-2</v>
      </c>
      <c r="AF79" s="19">
        <f t="shared" si="19"/>
        <v>0.22797611669883069</v>
      </c>
      <c r="AG79" s="20"/>
      <c r="AH79" s="19">
        <f t="shared" si="20"/>
        <v>0.50434160632643521</v>
      </c>
      <c r="AI79" s="21">
        <v>11486532</v>
      </c>
      <c r="AJ79" s="22">
        <v>5793136</v>
      </c>
      <c r="AK79" s="22">
        <v>1316632</v>
      </c>
      <c r="AL79" s="22">
        <v>4491616</v>
      </c>
      <c r="AM79" s="23"/>
      <c r="AN79" s="24">
        <v>78.334226000000001</v>
      </c>
      <c r="AO79" s="24">
        <v>80.942864999999998</v>
      </c>
      <c r="AP79" s="24">
        <v>32.886068999999999</v>
      </c>
      <c r="AQ79" s="24">
        <v>44.4760864</v>
      </c>
      <c r="AR79" s="24">
        <v>46.241186599999999</v>
      </c>
      <c r="AS79" s="25"/>
      <c r="AT79" s="26">
        <v>26.033000000000001</v>
      </c>
      <c r="AU79" s="26">
        <v>17.876999999999999</v>
      </c>
      <c r="AW79" s="27">
        <f t="shared" si="21"/>
        <v>3.1186916309409174E-3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>
        <f t="shared" si="12"/>
        <v>0.88268001831679754</v>
      </c>
      <c r="K80" s="34">
        <f t="shared" si="13"/>
        <v>0.23762461467372012</v>
      </c>
      <c r="L80" s="34">
        <f t="shared" si="14"/>
        <v>0.64497500626074311</v>
      </c>
      <c r="M80" s="35"/>
      <c r="N80" s="34">
        <f t="shared" si="15"/>
        <v>1.4521340149551429</v>
      </c>
      <c r="O80" s="36">
        <v>11975947</v>
      </c>
      <c r="P80" s="37">
        <v>17390680</v>
      </c>
      <c r="Q80" s="37">
        <v>4681712</v>
      </c>
      <c r="R80" s="37">
        <v>12707384</v>
      </c>
      <c r="S80" s="38"/>
      <c r="T80" s="39">
        <v>79.953439399999993</v>
      </c>
      <c r="U80" s="39">
        <v>83.018344799999994</v>
      </c>
      <c r="V80" s="39">
        <v>34.920436299999999</v>
      </c>
      <c r="W80" s="39">
        <v>45.698978400000001</v>
      </c>
      <c r="X80" s="39">
        <v>47.285995499999999</v>
      </c>
      <c r="Y80" s="38"/>
      <c r="Z80" s="41">
        <v>51.048000000000002</v>
      </c>
      <c r="AA80" s="41">
        <v>32.158000000000001</v>
      </c>
      <c r="AC80" s="33" t="str">
        <f t="shared" si="16"/>
        <v>·</v>
      </c>
      <c r="AD80" s="34">
        <f t="shared" si="17"/>
        <v>0.88280832929062403</v>
      </c>
      <c r="AE80" s="34">
        <f t="shared" si="18"/>
        <v>0.24990511180159469</v>
      </c>
      <c r="AF80" s="34">
        <f t="shared" si="19"/>
        <v>0.64497500626074311</v>
      </c>
      <c r="AG80" s="35"/>
      <c r="AH80" s="34">
        <f t="shared" si="20"/>
        <v>1.4523451047336799</v>
      </c>
      <c r="AI80" s="36">
        <v>11975947</v>
      </c>
      <c r="AJ80" s="37">
        <v>17393208</v>
      </c>
      <c r="AK80" s="37">
        <v>4923664</v>
      </c>
      <c r="AL80" s="37">
        <v>12707384</v>
      </c>
      <c r="AM80" s="38"/>
      <c r="AN80" s="39">
        <v>79.953439399999993</v>
      </c>
      <c r="AO80" s="39">
        <v>83.018344799999994</v>
      </c>
      <c r="AP80" s="39">
        <v>34.920436299999999</v>
      </c>
      <c r="AQ80" s="39">
        <v>45.698978400000001</v>
      </c>
      <c r="AR80" s="39">
        <v>47.285995499999999</v>
      </c>
      <c r="AS80" s="40"/>
      <c r="AT80" s="41">
        <v>46.8</v>
      </c>
      <c r="AU80" s="41">
        <v>29.405999999999999</v>
      </c>
      <c r="AW80" s="42">
        <f t="shared" si="21"/>
        <v>1.3871589525730033E-2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16"/>
        <v>·</v>
      </c>
      <c r="AD81" s="19" t="str">
        <f t="shared" si="17"/>
        <v>·</v>
      </c>
      <c r="AE81" s="19">
        <f t="shared" si="18"/>
        <v>0</v>
      </c>
      <c r="AF81" s="19" t="str">
        <f t="shared" si="19"/>
        <v>·</v>
      </c>
      <c r="AG81" s="20"/>
      <c r="AH81" s="19" t="str">
        <f t="shared" si="20"/>
        <v>·</v>
      </c>
      <c r="AI81" s="21"/>
      <c r="AJ81" s="22"/>
      <c r="AK81" s="22">
        <v>0</v>
      </c>
      <c r="AL81" s="22"/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2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16"/>
        <v>·</v>
      </c>
      <c r="AD82" s="49" t="str">
        <f t="shared" si="17"/>
        <v>·</v>
      </c>
      <c r="AE82" s="49">
        <f t="shared" si="18"/>
        <v>0</v>
      </c>
      <c r="AF82" s="49" t="str">
        <f t="shared" si="19"/>
        <v>·</v>
      </c>
      <c r="AG82" s="50"/>
      <c r="AH82" s="49" t="str">
        <f t="shared" si="20"/>
        <v>·</v>
      </c>
      <c r="AI82" s="51"/>
      <c r="AJ82" s="52"/>
      <c r="AK82" s="52">
        <v>0</v>
      </c>
      <c r="AL82" s="52"/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2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15">
      <c r="A83" s="15"/>
      <c r="B83" s="15" t="s">
        <v>1043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>
        <f t="shared" si="12"/>
        <v>4.9778501825136108E-2</v>
      </c>
      <c r="K83" s="19">
        <f t="shared" si="13"/>
        <v>1.5122358685105157E-2</v>
      </c>
      <c r="L83" s="19">
        <f t="shared" si="14"/>
        <v>3.4439224060531494E-2</v>
      </c>
      <c r="M83" s="20"/>
      <c r="N83" s="19">
        <f t="shared" si="15"/>
        <v>6.0756819405223997E-2</v>
      </c>
      <c r="O83" s="21">
        <v>2961182</v>
      </c>
      <c r="P83" s="22">
        <v>179912</v>
      </c>
      <c r="Q83" s="22">
        <v>54656</v>
      </c>
      <c r="R83" s="22">
        <v>124472</v>
      </c>
      <c r="S83" s="23"/>
      <c r="T83" s="24">
        <v>60.201499699999999</v>
      </c>
      <c r="U83" s="24">
        <v>64.254783799999998</v>
      </c>
      <c r="V83" s="24">
        <v>28.187215500000001</v>
      </c>
      <c r="W83" s="24">
        <v>43.164291499999997</v>
      </c>
      <c r="X83" s="24">
        <v>46.655758599999999</v>
      </c>
      <c r="Y83" s="23"/>
      <c r="Z83" s="26">
        <v>6.6349999999999998</v>
      </c>
      <c r="AA83" s="26">
        <v>3.7469999999999999</v>
      </c>
      <c r="AC83" s="18" t="str">
        <f t="shared" si="16"/>
        <v>·</v>
      </c>
      <c r="AD83" s="19">
        <f t="shared" si="17"/>
        <v>4.980506334507482E-2</v>
      </c>
      <c r="AE83" s="19">
        <f t="shared" si="18"/>
        <v>1.5204256704916177E-2</v>
      </c>
      <c r="AF83" s="19">
        <f t="shared" si="19"/>
        <v>3.4439224060531494E-2</v>
      </c>
      <c r="AG83" s="20"/>
      <c r="AH83" s="19">
        <f t="shared" si="20"/>
        <v>6.0789238891766871E-2</v>
      </c>
      <c r="AI83" s="21">
        <v>2961182</v>
      </c>
      <c r="AJ83" s="22">
        <v>180008</v>
      </c>
      <c r="AK83" s="22">
        <v>54952</v>
      </c>
      <c r="AL83" s="22">
        <v>124472</v>
      </c>
      <c r="AM83" s="23"/>
      <c r="AN83" s="24">
        <v>60.201499699999999</v>
      </c>
      <c r="AO83" s="24">
        <v>64.254783799999998</v>
      </c>
      <c r="AP83" s="24">
        <v>28.187215500000001</v>
      </c>
      <c r="AQ83" s="24">
        <v>43.164291499999997</v>
      </c>
      <c r="AR83" s="24">
        <v>46.655758599999999</v>
      </c>
      <c r="AS83" s="25"/>
      <c r="AT83" s="26">
        <v>6.3550000000000004</v>
      </c>
      <c r="AU83" s="26">
        <v>3.6360000000000001</v>
      </c>
      <c r="AW83" s="27">
        <f t="shared" si="21"/>
        <v>1.4823556470646704E-3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9.4620807327898682E-3</v>
      </c>
      <c r="BA83" s="28">
        <f>IF( OR(ISBLANK(Q83:Q88),ISBLANK(AK83:AK88), ISBLANK(U83:U88),ISBLANK(AO83:AO88)), "·", bdRateExtend( Q83:Q88,U83:U88, AK83:AK88,AO83:AO88))</f>
        <v>8.3287232280848666E-3</v>
      </c>
      <c r="BB83" s="28">
        <f>IF( OR(ISBLANK(R83:R88),ISBLANK(AL83:AL88), ISBLANK(V83:V88),ISBLANK(AP83:AP88)), "·", bdRateExtend( R83:R88,V83:V88, AL83:AL88,AP83:AP88))</f>
        <v>0</v>
      </c>
      <c r="BC83" s="28">
        <f>IF( OR(ISBLANK(R83:R88),ISBLANK(AL83:AL88), ISBLANK(W83:W88),ISBLANK(AQ83:AQ88)), "·", bdRateExtend( R83:R88,W83:W88, AL83:AL88,AQ83:AQ88))</f>
        <v>0</v>
      </c>
      <c r="BD83" s="28">
        <f>IF( OR(ISBLANK(R83:R88),ISBLANK(AL83:AL88), ISBLANK(X83:X88),ISBLANK(AR83:AR88)), "·", bdRateExtend( R83:R88,X83:X88, AL83:AL88,AR83:AR88))</f>
        <v>0</v>
      </c>
      <c r="BE83" s="29"/>
      <c r="BG83" s="28">
        <f>IF( OR(ISBLANK(P83:P88),ISBLANK(AJ83:AJ88), ISBLANK(T83:T88),ISBLANK(AN83:AN88)), "·", bdRateExtend( P83:P88,T83:T88, AJ83:AJ88,AN83:AN88))</f>
        <v>3.311962356864484E-4</v>
      </c>
      <c r="BH83" s="28">
        <f>IF( OR(ISBLANK(P83:P88),ISBLANK(AJ83:AJ88), ISBLANK(U83:U88),ISBLANK(AO83:AO88)), "·", bdRateExtend( P83:P88,U83:U88, AJ83:AJ88,AO83:AO88))</f>
        <v>3.8702115749500443E-4</v>
      </c>
      <c r="BI83" s="28">
        <f>IF( OR(ISBLANK(P83:P88),ISBLANK(AJ83:AJ88), ISBLANK(V83:V88),ISBLANK(AP83:AP88)), "·", bdRateExtend( P83:P88,V83:V88, AJ83:AJ88,AP83:AP88))</f>
        <v>3.0692686324584884E-4</v>
      </c>
      <c r="BJ83" s="28">
        <f>IF( OR(ISBLANK(P83:P88),ISBLANK(AJ83:AJ88), ISBLANK(W83:W88),ISBLANK(AQ83:AQ88)), "·", bdRateExtend( P83:P88,W83:W88, AJ83:AJ88,AQ83:AQ88))</f>
        <v>3.0630738454728856E-4</v>
      </c>
      <c r="BK83" s="28">
        <f>IF( OR(ISBLANK(P83:P88),ISBLANK(AJ83:AJ88), ISBLANK(X83:X88),ISBLANK(AR83:AR88)), "·", bdRateExtend( P83:P88,X83:X88, AJ83:AJ88,AR83:AR88))</f>
        <v>2.8942598458692181E-4</v>
      </c>
      <c r="BL83" s="29"/>
    </row>
    <row r="84" spans="1:64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>
        <f t="shared" si="12"/>
        <v>0.15798792059544287</v>
      </c>
      <c r="K84" s="34">
        <f t="shared" si="13"/>
        <v>4.9061340786790954E-2</v>
      </c>
      <c r="L84" s="34">
        <f t="shared" si="14"/>
        <v>0.10870966072915246</v>
      </c>
      <c r="M84" s="35"/>
      <c r="N84" s="34">
        <f t="shared" si="15"/>
        <v>0.1839991905437986</v>
      </c>
      <c r="O84" s="36">
        <v>3103318</v>
      </c>
      <c r="P84" s="37">
        <v>571008</v>
      </c>
      <c r="Q84" s="37">
        <v>177320</v>
      </c>
      <c r="R84" s="37">
        <v>392904</v>
      </c>
      <c r="S84" s="38"/>
      <c r="T84" s="39">
        <v>65.771084700000003</v>
      </c>
      <c r="U84" s="39">
        <v>70.603299800000002</v>
      </c>
      <c r="V84" s="39">
        <v>30.143104600000001</v>
      </c>
      <c r="W84" s="39">
        <v>44.291519999999998</v>
      </c>
      <c r="X84" s="39">
        <v>47.237123099999998</v>
      </c>
      <c r="Y84" s="38"/>
      <c r="Z84" s="41">
        <v>7.7910000000000004</v>
      </c>
      <c r="AA84" s="41">
        <v>4.37</v>
      </c>
      <c r="AC84" s="33" t="str">
        <f t="shared" si="16"/>
        <v>·</v>
      </c>
      <c r="AD84" s="34">
        <f t="shared" si="17"/>
        <v>0.15803218979534073</v>
      </c>
      <c r="AE84" s="34">
        <f t="shared" si="18"/>
        <v>4.9543875065677506E-2</v>
      </c>
      <c r="AF84" s="34">
        <f t="shared" si="19"/>
        <v>0.10870966072915246</v>
      </c>
      <c r="AG84" s="35"/>
      <c r="AH84" s="34">
        <f t="shared" si="20"/>
        <v>0.18405074826363266</v>
      </c>
      <c r="AI84" s="36">
        <v>3103318</v>
      </c>
      <c r="AJ84" s="37">
        <v>571168</v>
      </c>
      <c r="AK84" s="37">
        <v>179064</v>
      </c>
      <c r="AL84" s="37">
        <v>392904</v>
      </c>
      <c r="AM84" s="38"/>
      <c r="AN84" s="39">
        <v>65.771084700000003</v>
      </c>
      <c r="AO84" s="39">
        <v>70.603299800000002</v>
      </c>
      <c r="AP84" s="39">
        <v>30.143104600000001</v>
      </c>
      <c r="AQ84" s="39">
        <v>44.291519999999998</v>
      </c>
      <c r="AR84" s="39">
        <v>47.237123099999998</v>
      </c>
      <c r="AS84" s="40"/>
      <c r="AT84" s="41">
        <v>7.4640000000000004</v>
      </c>
      <c r="AU84" s="41">
        <v>4.2309999999999999</v>
      </c>
      <c r="AW84" s="42">
        <f t="shared" si="21"/>
        <v>2.9664018834731909E-3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>
        <f t="shared" si="12"/>
        <v>0.60041209091454906</v>
      </c>
      <c r="K85" s="19">
        <f t="shared" si="13"/>
        <v>0.19814008490279175</v>
      </c>
      <c r="L85" s="19">
        <f t="shared" si="14"/>
        <v>0.40205508693225789</v>
      </c>
      <c r="M85" s="20"/>
      <c r="N85" s="19">
        <f t="shared" si="15"/>
        <v>0.50434366691991839</v>
      </c>
      <c r="O85" s="21">
        <v>4302701</v>
      </c>
      <c r="P85" s="22">
        <v>2170040</v>
      </c>
      <c r="Q85" s="22">
        <v>716128</v>
      </c>
      <c r="R85" s="22">
        <v>1453128</v>
      </c>
      <c r="S85" s="23"/>
      <c r="T85" s="24">
        <v>69.856580500000007</v>
      </c>
      <c r="U85" s="24">
        <v>72.8184495</v>
      </c>
      <c r="V85" s="24">
        <v>32.493205000000003</v>
      </c>
      <c r="W85" s="24">
        <v>45.6620572</v>
      </c>
      <c r="X85" s="24">
        <v>48.196544299999999</v>
      </c>
      <c r="Y85" s="23"/>
      <c r="Z85" s="26">
        <v>12.526</v>
      </c>
      <c r="AA85" s="26">
        <v>7.3230000000000004</v>
      </c>
      <c r="AC85" s="18" t="str">
        <f t="shared" si="16"/>
        <v>·</v>
      </c>
      <c r="AD85" s="19">
        <f t="shared" si="17"/>
        <v>0.60055817927421196</v>
      </c>
      <c r="AE85" s="19">
        <f t="shared" si="18"/>
        <v>0.20112161551591187</v>
      </c>
      <c r="AF85" s="19">
        <f t="shared" si="19"/>
        <v>0.40205508693225789</v>
      </c>
      <c r="AG85" s="20"/>
      <c r="AH85" s="19">
        <f t="shared" si="20"/>
        <v>0.50446638053631898</v>
      </c>
      <c r="AI85" s="21">
        <v>4302701</v>
      </c>
      <c r="AJ85" s="22">
        <v>2170568</v>
      </c>
      <c r="AK85" s="22">
        <v>726904</v>
      </c>
      <c r="AL85" s="22">
        <v>1453128</v>
      </c>
      <c r="AM85" s="23"/>
      <c r="AN85" s="24">
        <v>69.856580500000007</v>
      </c>
      <c r="AO85" s="24">
        <v>72.8184495</v>
      </c>
      <c r="AP85" s="24">
        <v>32.493205000000003</v>
      </c>
      <c r="AQ85" s="24">
        <v>45.6620572</v>
      </c>
      <c r="AR85" s="24">
        <v>48.196544299999999</v>
      </c>
      <c r="AS85" s="25"/>
      <c r="AT85" s="26">
        <v>12.151</v>
      </c>
      <c r="AU85" s="26">
        <v>7.3860000000000001</v>
      </c>
      <c r="AW85" s="27">
        <f t="shared" si="21"/>
        <v>4.884323549854408E-3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9"/>
      <c r="X86" s="39"/>
      <c r="Y86" s="38"/>
      <c r="Z86" s="41"/>
      <c r="AA86" s="41"/>
      <c r="AC86" s="33" t="str">
        <f t="shared" si="16"/>
        <v>·</v>
      </c>
      <c r="AD86" s="34" t="str">
        <f t="shared" si="17"/>
        <v>·</v>
      </c>
      <c r="AE86" s="34">
        <f t="shared" si="18"/>
        <v>0.4478139454066693</v>
      </c>
      <c r="AF86" s="34" t="str">
        <f t="shared" si="19"/>
        <v>·</v>
      </c>
      <c r="AG86" s="35"/>
      <c r="AH86" s="34" t="str">
        <f t="shared" si="20"/>
        <v>·</v>
      </c>
      <c r="AI86" s="36"/>
      <c r="AJ86" s="37"/>
      <c r="AK86" s="37">
        <v>1618512</v>
      </c>
      <c r="AL86" s="37"/>
      <c r="AM86" s="38"/>
      <c r="AN86" s="39"/>
      <c r="AO86" s="39"/>
      <c r="AP86" s="39"/>
      <c r="AQ86" s="39"/>
      <c r="AR86" s="39"/>
      <c r="AS86" s="40"/>
      <c r="AT86" s="41"/>
      <c r="AU86" s="41"/>
      <c r="AW86" s="42" t="e">
        <f t="shared" si="21"/>
        <v>#DIV/0!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16"/>
        <v>·</v>
      </c>
      <c r="AD87" s="19" t="str">
        <f t="shared" si="17"/>
        <v>·</v>
      </c>
      <c r="AE87" s="19">
        <f t="shared" si="18"/>
        <v>0</v>
      </c>
      <c r="AF87" s="19" t="str">
        <f t="shared" si="19"/>
        <v>·</v>
      </c>
      <c r="AG87" s="20"/>
      <c r="AH87" s="19" t="str">
        <f t="shared" si="20"/>
        <v>·</v>
      </c>
      <c r="AI87" s="21"/>
      <c r="AJ87" s="22"/>
      <c r="AK87" s="22">
        <v>0</v>
      </c>
      <c r="AL87" s="22"/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2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16"/>
        <v>·</v>
      </c>
      <c r="AD88" s="49" t="str">
        <f t="shared" si="17"/>
        <v>·</v>
      </c>
      <c r="AE88" s="49">
        <f t="shared" si="18"/>
        <v>0</v>
      </c>
      <c r="AF88" s="49" t="str">
        <f t="shared" si="19"/>
        <v>·</v>
      </c>
      <c r="AG88" s="50"/>
      <c r="AH88" s="49" t="str">
        <f t="shared" si="20"/>
        <v>·</v>
      </c>
      <c r="AI88" s="51"/>
      <c r="AJ88" s="52"/>
      <c r="AK88" s="52">
        <v>0</v>
      </c>
      <c r="AL88" s="52"/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2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>
        <f t="shared" si="12"/>
        <v>8.646158281113929E-2</v>
      </c>
      <c r="K89" s="19">
        <f t="shared" si="13"/>
        <v>2.6546378628254895E-2</v>
      </c>
      <c r="L89" s="19">
        <f t="shared" si="14"/>
        <v>5.9798399196289632E-2</v>
      </c>
      <c r="M89" s="20"/>
      <c r="N89" s="19">
        <f t="shared" si="15"/>
        <v>0.10429782124339744</v>
      </c>
      <c r="O89" s="21">
        <v>11525840</v>
      </c>
      <c r="P89" s="22">
        <v>1202120</v>
      </c>
      <c r="Q89" s="22">
        <v>369088</v>
      </c>
      <c r="R89" s="22">
        <v>831408</v>
      </c>
      <c r="S89" s="23"/>
      <c r="T89" s="24">
        <v>67.660789300000005</v>
      </c>
      <c r="U89" s="24">
        <v>71.061954600000007</v>
      </c>
      <c r="V89" s="24">
        <v>26.274219800000001</v>
      </c>
      <c r="W89" s="24">
        <v>39.718314599999999</v>
      </c>
      <c r="X89" s="24">
        <v>44.105291399999999</v>
      </c>
      <c r="Y89" s="23"/>
      <c r="Z89" s="26">
        <v>40.505000000000003</v>
      </c>
      <c r="AA89" s="26">
        <v>15.05</v>
      </c>
      <c r="AC89" s="18" t="str">
        <f t="shared" si="16"/>
        <v>·</v>
      </c>
      <c r="AD89" s="19">
        <f t="shared" si="17"/>
        <v>8.6494955664452075E-2</v>
      </c>
      <c r="AE89" s="19">
        <f t="shared" si="18"/>
        <v>2.6785742541670755E-2</v>
      </c>
      <c r="AF89" s="19">
        <f t="shared" si="19"/>
        <v>5.9798399196289632E-2</v>
      </c>
      <c r="AG89" s="20"/>
      <c r="AH89" s="19">
        <f t="shared" si="20"/>
        <v>0.10433807861292539</v>
      </c>
      <c r="AI89" s="21">
        <v>11525840</v>
      </c>
      <c r="AJ89" s="22">
        <v>1202584</v>
      </c>
      <c r="AK89" s="22">
        <v>372416</v>
      </c>
      <c r="AL89" s="22">
        <v>831408</v>
      </c>
      <c r="AM89" s="23"/>
      <c r="AN89" s="24">
        <v>67.660789300000005</v>
      </c>
      <c r="AO89" s="24">
        <v>71.061954600000007</v>
      </c>
      <c r="AP89" s="24">
        <v>26.274219800000001</v>
      </c>
      <c r="AQ89" s="24">
        <v>39.718314599999999</v>
      </c>
      <c r="AR89" s="24">
        <v>44.105291399999999</v>
      </c>
      <c r="AS89" s="25"/>
      <c r="AT89" s="26">
        <v>39.234999999999999</v>
      </c>
      <c r="AU89" s="26">
        <v>14.861000000000001</v>
      </c>
      <c r="AW89" s="27">
        <f t="shared" si="21"/>
        <v>2.6489107262414047E-3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1.2173239549708725E-2</v>
      </c>
      <c r="BA89" s="28">
        <f>IF( OR(ISBLANK(Q89:Q94),ISBLANK(AK89:AK94), ISBLANK(U89:U94),ISBLANK(AO89:AO94)), "·", bdRateExtend( Q89:Q94,U89:U94, AK89:AK94,AO89:AO94))</f>
        <v>1.1749144798343769E-2</v>
      </c>
      <c r="BB89" s="28">
        <f>IF( OR(ISBLANK(R89:R94),ISBLANK(AL89:AL94), ISBLANK(V89:V94),ISBLANK(AP89:AP94)), "·", bdRateExtend( R89:R94,V89:V94, AL89:AL94,AP89:AP94))</f>
        <v>0</v>
      </c>
      <c r="BC89" s="28">
        <f>IF( OR(ISBLANK(R89:R94),ISBLANK(AL89:AL94), ISBLANK(W89:W94),ISBLANK(AQ89:AQ94)), "·", bdRateExtend( R89:R94,W89:W94, AL89:AL94,AQ89:AQ94))</f>
        <v>0</v>
      </c>
      <c r="BD89" s="28">
        <f>IF( OR(ISBLANK(R89:R94),ISBLANK(AL89:AL94), ISBLANK(X89:X94),ISBLANK(AR89:AR94)), "·", bdRateExtend( R89:R94,X89:X94, AL89:AL94,AR89:AR94))</f>
        <v>0</v>
      </c>
      <c r="BE89" s="29"/>
      <c r="BG89" s="28">
        <f>IF( OR(ISBLANK(P89:P94),ISBLANK(AJ89:AJ94), ISBLANK(T89:T94),ISBLANK(AN89:AN94)), "·", bdRateExtend( P89:P94,T89:T94, AJ89:AJ94,AN89:AN94))</f>
        <v>2.8435336356436025E-4</v>
      </c>
      <c r="BH89" s="28">
        <f>IF( OR(ISBLANK(P89:P94),ISBLANK(AJ89:AJ94), ISBLANK(U89:U94),ISBLANK(AO89:AO94)), "·", bdRateExtend( P89:P94,U89:U94, AJ89:AJ94,AO89:AO94))</f>
        <v>2.9081466323122029E-4</v>
      </c>
      <c r="BI89" s="28">
        <f>IF( OR(ISBLANK(P89:P94),ISBLANK(AJ89:AJ94), ISBLANK(V89:V94),ISBLANK(AP89:AP94)), "·", bdRateExtend( P89:P94,V89:V94, AJ89:AJ94,AP89:AP94))</f>
        <v>2.5921957773866744E-4</v>
      </c>
      <c r="BJ89" s="28">
        <f>IF( OR(ISBLANK(P89:P94),ISBLANK(AJ89:AJ94), ISBLANK(W89:W94),ISBLANK(AQ89:AQ94)), "·", bdRateExtend( P89:P94,W89:W94, AJ89:AJ94,AQ89:AQ94))</f>
        <v>2.5405558186331056E-4</v>
      </c>
      <c r="BK89" s="28">
        <f>IF( OR(ISBLANK(P89:P94),ISBLANK(AJ89:AJ94), ISBLANK(X89:X94),ISBLANK(AR89:AR94)), "·", bdRateExtend( P89:P94,X89:X94, AJ89:AJ94,AR89:AR94))</f>
        <v>2.5889541905788072E-4</v>
      </c>
      <c r="BL89" s="29"/>
    </row>
    <row r="90" spans="1:64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>
        <f t="shared" si="12"/>
        <v>0.32129772066288842</v>
      </c>
      <c r="K90" s="34">
        <f t="shared" si="13"/>
        <v>9.2943396476114382E-2</v>
      </c>
      <c r="L90" s="34">
        <f t="shared" si="14"/>
        <v>0.22823751920017929</v>
      </c>
      <c r="M90" s="35"/>
      <c r="N90" s="34">
        <f t="shared" si="15"/>
        <v>0.35220340396873445</v>
      </c>
      <c r="O90" s="36">
        <v>12683489</v>
      </c>
      <c r="P90" s="37">
        <v>4467168</v>
      </c>
      <c r="Q90" s="37">
        <v>1292240</v>
      </c>
      <c r="R90" s="37">
        <v>3173304</v>
      </c>
      <c r="S90" s="38"/>
      <c r="T90" s="39">
        <v>71.286233999999993</v>
      </c>
      <c r="U90" s="39">
        <v>75.979500999999999</v>
      </c>
      <c r="V90" s="39">
        <v>28.3686516</v>
      </c>
      <c r="W90" s="39">
        <v>41.289508699999999</v>
      </c>
      <c r="X90" s="39">
        <v>45.516131799999997</v>
      </c>
      <c r="Y90" s="38"/>
      <c r="Z90" s="41">
        <v>50.831000000000003</v>
      </c>
      <c r="AA90" s="41">
        <v>19.233000000000001</v>
      </c>
      <c r="AC90" s="33" t="str">
        <f t="shared" si="16"/>
        <v>·</v>
      </c>
      <c r="AD90" s="34">
        <f t="shared" si="17"/>
        <v>0.32138057740214776</v>
      </c>
      <c r="AE90" s="34">
        <f t="shared" si="18"/>
        <v>9.409936306758665E-2</v>
      </c>
      <c r="AF90" s="34">
        <f t="shared" si="19"/>
        <v>0.22823751920017929</v>
      </c>
      <c r="AG90" s="35"/>
      <c r="AH90" s="34">
        <f t="shared" si="20"/>
        <v>0.35229423071206983</v>
      </c>
      <c r="AI90" s="36">
        <v>12683489</v>
      </c>
      <c r="AJ90" s="37">
        <v>4468320</v>
      </c>
      <c r="AK90" s="37">
        <v>1308312</v>
      </c>
      <c r="AL90" s="37">
        <v>3173304</v>
      </c>
      <c r="AM90" s="38"/>
      <c r="AN90" s="39">
        <v>71.286233999999993</v>
      </c>
      <c r="AO90" s="39">
        <v>75.979500999999999</v>
      </c>
      <c r="AP90" s="39">
        <v>28.3686516</v>
      </c>
      <c r="AQ90" s="39">
        <v>41.289508699999999</v>
      </c>
      <c r="AR90" s="39">
        <v>45.516131799999997</v>
      </c>
      <c r="AS90" s="40"/>
      <c r="AT90" s="41">
        <v>48.97</v>
      </c>
      <c r="AU90" s="41">
        <v>18.503</v>
      </c>
      <c r="AW90" s="42">
        <f t="shared" si="21"/>
        <v>3.5222981357608263E-3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>
        <f t="shared" si="12"/>
        <v>1.0880263668556931</v>
      </c>
      <c r="K91" s="19">
        <f t="shared" si="13"/>
        <v>0.37286165600125898</v>
      </c>
      <c r="L91" s="19">
        <f t="shared" si="14"/>
        <v>0.71505365980806579</v>
      </c>
      <c r="M91" s="20"/>
      <c r="N91" s="19">
        <f t="shared" si="15"/>
        <v>1.0400336223218556</v>
      </c>
      <c r="O91" s="21">
        <v>14545099</v>
      </c>
      <c r="P91" s="22">
        <v>15127392</v>
      </c>
      <c r="Q91" s="22">
        <v>5184088</v>
      </c>
      <c r="R91" s="22">
        <v>9941760</v>
      </c>
      <c r="S91" s="23"/>
      <c r="T91" s="24">
        <v>73.348554699999994</v>
      </c>
      <c r="U91" s="24">
        <v>78.352076499999995</v>
      </c>
      <c r="V91" s="24">
        <v>30.693555400000001</v>
      </c>
      <c r="W91" s="24">
        <v>43.288253400000002</v>
      </c>
      <c r="X91" s="24">
        <v>47.095767700000003</v>
      </c>
      <c r="Y91" s="23"/>
      <c r="Z91" s="26">
        <v>97.081000000000003</v>
      </c>
      <c r="AA91" s="26">
        <v>31.079000000000001</v>
      </c>
      <c r="AC91" s="18" t="str">
        <f t="shared" si="16"/>
        <v>·</v>
      </c>
      <c r="AD91" s="19">
        <f t="shared" si="17"/>
        <v>1.0882018620325966</v>
      </c>
      <c r="AE91" s="19">
        <f t="shared" si="18"/>
        <v>0.38109439367711018</v>
      </c>
      <c r="AF91" s="19">
        <f t="shared" si="19"/>
        <v>0.71505365980806579</v>
      </c>
      <c r="AG91" s="20"/>
      <c r="AH91" s="19">
        <f t="shared" si="20"/>
        <v>1.040201376422395</v>
      </c>
      <c r="AI91" s="21">
        <v>14545099</v>
      </c>
      <c r="AJ91" s="22">
        <v>15129832</v>
      </c>
      <c r="AK91" s="22">
        <v>5298552</v>
      </c>
      <c r="AL91" s="22">
        <v>9941760</v>
      </c>
      <c r="AM91" s="23"/>
      <c r="AN91" s="24">
        <v>73.348554699999994</v>
      </c>
      <c r="AO91" s="24">
        <v>78.352076499999995</v>
      </c>
      <c r="AP91" s="24">
        <v>30.693555400000001</v>
      </c>
      <c r="AQ91" s="24">
        <v>43.288253400000002</v>
      </c>
      <c r="AR91" s="24">
        <v>47.095767700000003</v>
      </c>
      <c r="AS91" s="25"/>
      <c r="AT91" s="26">
        <v>94.441000000000003</v>
      </c>
      <c r="AU91" s="26">
        <v>29.126999999999999</v>
      </c>
      <c r="AW91" s="27">
        <f t="shared" si="21"/>
        <v>7.5101840633744477E-3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9"/>
      <c r="X92" s="39"/>
      <c r="Y92" s="38"/>
      <c r="Z92" s="41"/>
      <c r="AA92" s="41"/>
      <c r="AC92" s="33" t="str">
        <f t="shared" si="16"/>
        <v>·</v>
      </c>
      <c r="AD92" s="34" t="str">
        <f t="shared" si="17"/>
        <v>·</v>
      </c>
      <c r="AE92" s="34">
        <f t="shared" si="18"/>
        <v>0.1517256498284319</v>
      </c>
      <c r="AF92" s="34" t="str">
        <f t="shared" si="19"/>
        <v>·</v>
      </c>
      <c r="AG92" s="35"/>
      <c r="AH92" s="34" t="str">
        <f t="shared" si="20"/>
        <v>·</v>
      </c>
      <c r="AI92" s="36"/>
      <c r="AJ92" s="37"/>
      <c r="AK92" s="37">
        <v>2109520</v>
      </c>
      <c r="AL92" s="37"/>
      <c r="AM92" s="38"/>
      <c r="AN92" s="39"/>
      <c r="AO92" s="39"/>
      <c r="AP92" s="39"/>
      <c r="AQ92" s="39"/>
      <c r="AR92" s="39"/>
      <c r="AS92" s="40"/>
      <c r="AT92" s="41"/>
      <c r="AU92" s="41"/>
      <c r="AW92" s="42" t="e">
        <f t="shared" si="21"/>
        <v>#DIV/0!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16"/>
        <v>·</v>
      </c>
      <c r="AD93" s="19" t="str">
        <f t="shared" si="17"/>
        <v>·</v>
      </c>
      <c r="AE93" s="19">
        <f t="shared" si="18"/>
        <v>0</v>
      </c>
      <c r="AF93" s="19" t="str">
        <f t="shared" si="19"/>
        <v>·</v>
      </c>
      <c r="AG93" s="20"/>
      <c r="AH93" s="19" t="str">
        <f t="shared" si="20"/>
        <v>·</v>
      </c>
      <c r="AI93" s="21"/>
      <c r="AJ93" s="22"/>
      <c r="AK93" s="22">
        <v>0</v>
      </c>
      <c r="AL93" s="22"/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2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16"/>
        <v>·</v>
      </c>
      <c r="AD94" s="49" t="str">
        <f t="shared" si="17"/>
        <v>·</v>
      </c>
      <c r="AE94" s="49">
        <f t="shared" si="18"/>
        <v>0</v>
      </c>
      <c r="AF94" s="49" t="str">
        <f t="shared" si="19"/>
        <v>·</v>
      </c>
      <c r="AG94" s="50"/>
      <c r="AH94" s="49" t="str">
        <f t="shared" si="20"/>
        <v>·</v>
      </c>
      <c r="AI94" s="51"/>
      <c r="AJ94" s="52"/>
      <c r="AK94" s="52">
        <v>0</v>
      </c>
      <c r="AL94" s="52"/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2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>
        <f t="shared" si="12"/>
        <v>5.476716139949616E-2</v>
      </c>
      <c r="K95" s="19">
        <f t="shared" si="13"/>
        <v>9.4110950359319774E-3</v>
      </c>
      <c r="L95" s="19">
        <f t="shared" si="14"/>
        <v>4.5194375039314297E-2</v>
      </c>
      <c r="M95" s="20"/>
      <c r="N95" s="19">
        <f t="shared" si="15"/>
        <v>9.0850495183642854E-2</v>
      </c>
      <c r="O95" s="21">
        <v>2922956</v>
      </c>
      <c r="P95" s="22">
        <v>265552</v>
      </c>
      <c r="Q95" s="22">
        <v>45632</v>
      </c>
      <c r="R95" s="22">
        <v>219136</v>
      </c>
      <c r="S95" s="23"/>
      <c r="T95" s="24">
        <v>61.520561899999997</v>
      </c>
      <c r="U95" s="24">
        <v>65.029272800000001</v>
      </c>
      <c r="V95" s="24">
        <v>26.048649699999999</v>
      </c>
      <c r="W95" s="24">
        <v>39.060267799999998</v>
      </c>
      <c r="X95" s="24">
        <v>41.064883700000003</v>
      </c>
      <c r="Y95" s="23"/>
      <c r="Z95" s="26">
        <v>6.23</v>
      </c>
      <c r="AA95" s="26">
        <v>3.6040000000000001</v>
      </c>
      <c r="AC95" s="18" t="str">
        <f t="shared" si="16"/>
        <v>·</v>
      </c>
      <c r="AD95" s="19">
        <f t="shared" si="17"/>
        <v>5.4796859805991034E-2</v>
      </c>
      <c r="AE95" s="19">
        <f t="shared" si="18"/>
        <v>9.3879962753248523E-3</v>
      </c>
      <c r="AF95" s="19">
        <f t="shared" si="19"/>
        <v>4.5194375039314297E-2</v>
      </c>
      <c r="AG95" s="20"/>
      <c r="AH95" s="19">
        <f t="shared" si="20"/>
        <v>9.0899760379560962E-2</v>
      </c>
      <c r="AI95" s="21">
        <v>2922956</v>
      </c>
      <c r="AJ95" s="22">
        <v>265696</v>
      </c>
      <c r="AK95" s="22">
        <v>45520</v>
      </c>
      <c r="AL95" s="22">
        <v>219136</v>
      </c>
      <c r="AM95" s="23"/>
      <c r="AN95" s="24">
        <v>61.520561899999997</v>
      </c>
      <c r="AO95" s="24">
        <v>65.029272800000001</v>
      </c>
      <c r="AP95" s="24">
        <v>26.048649699999999</v>
      </c>
      <c r="AQ95" s="24">
        <v>39.060267799999998</v>
      </c>
      <c r="AR95" s="24">
        <v>41.064883700000003</v>
      </c>
      <c r="AS95" s="25"/>
      <c r="AT95" s="26">
        <v>5.9630000000000001</v>
      </c>
      <c r="AU95" s="26">
        <v>3.3079999999999998</v>
      </c>
      <c r="AW95" s="27">
        <f t="shared" si="21"/>
        <v>-5.1466605782518604E-4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9.2431184915509057E-4</v>
      </c>
      <c r="BA95" s="28">
        <f>IF( OR(ISBLANK(Q95:Q100),ISBLANK(AK95:AK100), ISBLANK(U95:U100),ISBLANK(AO95:AO100)), "·", bdRateExtend( Q95:Q100,U95:U100, AK95:AK100,AO95:AO100))</f>
        <v>1.1814066179316463E-3</v>
      </c>
      <c r="BB95" s="28">
        <f>IF( OR(ISBLANK(R95:R100),ISBLANK(AL95:AL100), ISBLANK(V95:V100),ISBLANK(AP95:AP100)), "·", bdRateExtend( R95:R100,V95:V100, AL95:AL100,AP95:AP100))</f>
        <v>0</v>
      </c>
      <c r="BC95" s="28">
        <f>IF( OR(ISBLANK(R95:R100),ISBLANK(AL95:AL100), ISBLANK(W95:W100),ISBLANK(AQ95:AQ100)), "·", bdRateExtend( R95:R100,W95:W100, AL95:AL100,AQ95:AQ100))</f>
        <v>0</v>
      </c>
      <c r="BD95" s="28">
        <f>IF( OR(ISBLANK(R95:R100),ISBLANK(AL95:AL100), ISBLANK(X95:X100),ISBLANK(AR95:AR100)), "·", bdRateExtend( R95:R100,X95:X100, AL95:AL100,AR95:AR100))</f>
        <v>0</v>
      </c>
      <c r="BE95" s="29"/>
      <c r="BG95" s="28">
        <f>IF( OR(ISBLANK(P95:P100),ISBLANK(AJ95:AJ100), ISBLANK(T95:T100),ISBLANK(AN95:AN100)), "·", bdRateExtend( P95:P100,T95:T100, AJ95:AJ100,AN95:AN100))</f>
        <v>4.4088533651631678E-4</v>
      </c>
      <c r="BH95" s="28">
        <f>IF( OR(ISBLANK(P95:P100),ISBLANK(AJ95:AJ100), ISBLANK(U95:U100),ISBLANK(AO95:AO100)), "·", bdRateExtend( P95:P100,U95:U100, AJ95:AJ100,AO95:AO100))</f>
        <v>4.3597232542413877E-4</v>
      </c>
      <c r="BI95" s="28">
        <f>IF( OR(ISBLANK(P95:P100),ISBLANK(AJ95:AJ100), ISBLANK(V95:V100),ISBLANK(AP95:AP100)), "·", bdRateExtend( P95:P100,V95:V100, AJ95:AJ100,AP95:AP100))</f>
        <v>4.1530326208705226E-4</v>
      </c>
      <c r="BJ95" s="28">
        <f>IF( OR(ISBLANK(P95:P100),ISBLANK(AJ95:AJ100), ISBLANK(W95:W100),ISBLANK(AQ95:AQ100)), "·", bdRateExtend( P95:P100,W95:W100, AJ95:AJ100,AQ95:AQ100))</f>
        <v>4.0199523839756779E-4</v>
      </c>
      <c r="BK95" s="28">
        <f>IF( OR(ISBLANK(P95:P100),ISBLANK(AJ95:AJ100), ISBLANK(X95:X100),ISBLANK(AR95:AR100)), "·", bdRateExtend( P95:P100,X95:X100, AJ95:AJ100,AR95:AR100))</f>
        <v>3.9584084839794365E-4</v>
      </c>
      <c r="BL95" s="29"/>
    </row>
    <row r="96" spans="1:64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>
        <f t="shared" si="12"/>
        <v>0.18472573830960382</v>
      </c>
      <c r="K96" s="34">
        <f t="shared" si="13"/>
        <v>3.4168016672355424E-2</v>
      </c>
      <c r="L96" s="34">
        <f t="shared" si="14"/>
        <v>0.15039603031299853</v>
      </c>
      <c r="M96" s="35"/>
      <c r="N96" s="34">
        <f t="shared" si="15"/>
        <v>0.26427313881444603</v>
      </c>
      <c r="O96" s="36">
        <v>3389251</v>
      </c>
      <c r="P96" s="37">
        <v>895688</v>
      </c>
      <c r="Q96" s="37">
        <v>165672</v>
      </c>
      <c r="R96" s="37">
        <v>729232</v>
      </c>
      <c r="S96" s="38"/>
      <c r="T96" s="39">
        <v>66.8257124</v>
      </c>
      <c r="U96" s="39">
        <v>69.786220400000005</v>
      </c>
      <c r="V96" s="39">
        <v>28.3175922</v>
      </c>
      <c r="W96" s="39">
        <v>40.281699099999997</v>
      </c>
      <c r="X96" s="39">
        <v>41.864276799999999</v>
      </c>
      <c r="Y96" s="38"/>
      <c r="Z96" s="41">
        <v>8.3239999999999998</v>
      </c>
      <c r="AA96" s="41">
        <v>4.5419999999999998</v>
      </c>
      <c r="AC96" s="33" t="str">
        <f t="shared" si="16"/>
        <v>·</v>
      </c>
      <c r="AD96" s="34">
        <f t="shared" si="17"/>
        <v>0.18480163423731297</v>
      </c>
      <c r="AE96" s="34">
        <f t="shared" si="18"/>
        <v>3.4224113662401301E-2</v>
      </c>
      <c r="AF96" s="34">
        <f t="shared" si="19"/>
        <v>0.15039603031299853</v>
      </c>
      <c r="AG96" s="35"/>
      <c r="AH96" s="34">
        <f t="shared" si="20"/>
        <v>0.26438171737649407</v>
      </c>
      <c r="AI96" s="36">
        <v>3389251</v>
      </c>
      <c r="AJ96" s="37">
        <v>896056</v>
      </c>
      <c r="AK96" s="37">
        <v>165944</v>
      </c>
      <c r="AL96" s="37">
        <v>729232</v>
      </c>
      <c r="AM96" s="38"/>
      <c r="AN96" s="39">
        <v>66.8257124</v>
      </c>
      <c r="AO96" s="39">
        <v>69.786220400000005</v>
      </c>
      <c r="AP96" s="39">
        <v>28.3175922</v>
      </c>
      <c r="AQ96" s="39">
        <v>40.281699099999997</v>
      </c>
      <c r="AR96" s="39">
        <v>41.864276799999999</v>
      </c>
      <c r="AS96" s="40"/>
      <c r="AT96" s="41">
        <v>7.9969999999999999</v>
      </c>
      <c r="AU96" s="41">
        <v>4.45</v>
      </c>
      <c r="AW96" s="42">
        <f t="shared" si="21"/>
        <v>2.2758894618260528E-4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>
        <f t="shared" si="12"/>
        <v>0.6051248312707721</v>
      </c>
      <c r="K97" s="19">
        <f t="shared" si="13"/>
        <v>0.15639840824790746</v>
      </c>
      <c r="L97" s="19">
        <f t="shared" si="14"/>
        <v>0.44856473169861477</v>
      </c>
      <c r="M97" s="20"/>
      <c r="N97" s="19">
        <f t="shared" si="15"/>
        <v>0.77885367320751386</v>
      </c>
      <c r="O97" s="21">
        <v>3767198</v>
      </c>
      <c r="P97" s="22">
        <v>2934096</v>
      </c>
      <c r="Q97" s="22">
        <v>758336</v>
      </c>
      <c r="R97" s="22">
        <v>2174976</v>
      </c>
      <c r="S97" s="23"/>
      <c r="T97" s="24">
        <v>69.440650500000004</v>
      </c>
      <c r="U97" s="24">
        <v>72.322246100000001</v>
      </c>
      <c r="V97" s="24">
        <v>30.0337435</v>
      </c>
      <c r="W97" s="24">
        <v>41.453780299999998</v>
      </c>
      <c r="X97" s="24">
        <v>42.722261699999997</v>
      </c>
      <c r="Y97" s="23"/>
      <c r="Z97" s="26">
        <v>14.135999999999999</v>
      </c>
      <c r="AA97" s="26">
        <v>6.1980000000000004</v>
      </c>
      <c r="AC97" s="18" t="str">
        <f t="shared" si="16"/>
        <v>·</v>
      </c>
      <c r="AD97" s="19">
        <f t="shared" si="17"/>
        <v>0.60525352436558322</v>
      </c>
      <c r="AE97" s="19">
        <f t="shared" si="18"/>
        <v>0.15859444041705636</v>
      </c>
      <c r="AF97" s="19">
        <f t="shared" si="19"/>
        <v>0.44856473169861477</v>
      </c>
      <c r="AG97" s="20"/>
      <c r="AH97" s="19">
        <f t="shared" si="20"/>
        <v>0.77901931355877763</v>
      </c>
      <c r="AI97" s="21">
        <v>3767198</v>
      </c>
      <c r="AJ97" s="22">
        <v>2934720</v>
      </c>
      <c r="AK97" s="22">
        <v>768984</v>
      </c>
      <c r="AL97" s="22">
        <v>2174976</v>
      </c>
      <c r="AM97" s="23"/>
      <c r="AN97" s="24">
        <v>69.440650500000004</v>
      </c>
      <c r="AO97" s="24">
        <v>72.322246100000001</v>
      </c>
      <c r="AP97" s="24">
        <v>30.0337435</v>
      </c>
      <c r="AQ97" s="24">
        <v>41.453780299999998</v>
      </c>
      <c r="AR97" s="24">
        <v>42.722261699999997</v>
      </c>
      <c r="AS97" s="25"/>
      <c r="AT97" s="26">
        <v>13.244999999999999</v>
      </c>
      <c r="AU97" s="26">
        <v>6.1680000000000001</v>
      </c>
      <c r="AW97" s="27">
        <f t="shared" si="21"/>
        <v>3.5733300563193793E-3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9"/>
      <c r="X98" s="39"/>
      <c r="Y98" s="38"/>
      <c r="Z98" s="41"/>
      <c r="AA98" s="41"/>
      <c r="AC98" s="33" t="str">
        <f t="shared" si="16"/>
        <v>·</v>
      </c>
      <c r="AD98" s="34" t="str">
        <f t="shared" si="17"/>
        <v>·</v>
      </c>
      <c r="AE98" s="34">
        <f t="shared" si="18"/>
        <v>0.28047670067202957</v>
      </c>
      <c r="AF98" s="34" t="str">
        <f t="shared" si="19"/>
        <v>·</v>
      </c>
      <c r="AG98" s="35"/>
      <c r="AH98" s="34" t="str">
        <f t="shared" si="20"/>
        <v>·</v>
      </c>
      <c r="AI98" s="36"/>
      <c r="AJ98" s="37"/>
      <c r="AK98" s="37">
        <v>1359960</v>
      </c>
      <c r="AL98" s="37"/>
      <c r="AM98" s="38"/>
      <c r="AN98" s="39"/>
      <c r="AO98" s="39"/>
      <c r="AP98" s="39"/>
      <c r="AQ98" s="39"/>
      <c r="AR98" s="39"/>
      <c r="AS98" s="40"/>
      <c r="AT98" s="41"/>
      <c r="AU98" s="41"/>
      <c r="AW98" s="42" t="e">
        <f t="shared" si="21"/>
        <v>#DIV/0!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16"/>
        <v>·</v>
      </c>
      <c r="AD99" s="19" t="str">
        <f t="shared" si="17"/>
        <v>·</v>
      </c>
      <c r="AE99" s="19">
        <f t="shared" si="18"/>
        <v>0</v>
      </c>
      <c r="AF99" s="19" t="str">
        <f t="shared" si="19"/>
        <v>·</v>
      </c>
      <c r="AG99" s="20"/>
      <c r="AH99" s="19" t="str">
        <f t="shared" si="20"/>
        <v>·</v>
      </c>
      <c r="AI99" s="21"/>
      <c r="AJ99" s="22"/>
      <c r="AK99" s="22">
        <v>0</v>
      </c>
      <c r="AL99" s="22"/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2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16"/>
        <v>·</v>
      </c>
      <c r="AD100" s="49" t="str">
        <f t="shared" si="17"/>
        <v>·</v>
      </c>
      <c r="AE100" s="49">
        <f t="shared" si="18"/>
        <v>0</v>
      </c>
      <c r="AF100" s="49" t="str">
        <f t="shared" si="19"/>
        <v>·</v>
      </c>
      <c r="AG100" s="50"/>
      <c r="AH100" s="49" t="str">
        <f t="shared" si="20"/>
        <v>·</v>
      </c>
      <c r="AI100" s="51"/>
      <c r="AJ100" s="52"/>
      <c r="AK100" s="52">
        <v>0</v>
      </c>
      <c r="AL100" s="52"/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2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>
        <f t="shared" si="12"/>
        <v>2.1095986225847761E-2</v>
      </c>
      <c r="K101" s="19">
        <f t="shared" si="13"/>
        <v>1.1130246202213502E-3</v>
      </c>
      <c r="L101" s="19">
        <f t="shared" si="14"/>
        <v>1.9952606388711283E-2</v>
      </c>
      <c r="M101" s="20"/>
      <c r="N101" s="19">
        <f t="shared" si="15"/>
        <v>0.11981235647218295</v>
      </c>
      <c r="O101" s="21">
        <v>12668276</v>
      </c>
      <c r="P101" s="22">
        <v>1517816</v>
      </c>
      <c r="Q101" s="22">
        <v>80080</v>
      </c>
      <c r="R101" s="22">
        <v>1435552</v>
      </c>
      <c r="S101" s="23"/>
      <c r="T101" s="24">
        <v>67.580679799999999</v>
      </c>
      <c r="U101" s="24">
        <v>73.013187099999996</v>
      </c>
      <c r="V101" s="24">
        <v>23.5097743</v>
      </c>
      <c r="W101" s="24">
        <v>37.414649799999999</v>
      </c>
      <c r="X101" s="24">
        <v>38.348139799999998</v>
      </c>
      <c r="Y101" s="23"/>
      <c r="Z101" s="26">
        <v>16.701000000000001</v>
      </c>
      <c r="AA101" s="26">
        <v>12.853</v>
      </c>
      <c r="AC101" s="18" t="str">
        <f t="shared" si="16"/>
        <v>·</v>
      </c>
      <c r="AD101" s="19">
        <f t="shared" si="17"/>
        <v>2.1105215101320126E-2</v>
      </c>
      <c r="AE101" s="19">
        <f t="shared" si="18"/>
        <v>1.0955675907133829E-3</v>
      </c>
      <c r="AF101" s="19">
        <f t="shared" si="19"/>
        <v>1.9952606388711283E-2</v>
      </c>
      <c r="AG101" s="20"/>
      <c r="AH101" s="19">
        <f t="shared" si="20"/>
        <v>0.11986477086542793</v>
      </c>
      <c r="AI101" s="21">
        <v>12668276</v>
      </c>
      <c r="AJ101" s="22">
        <v>1518480</v>
      </c>
      <c r="AK101" s="22">
        <v>78824</v>
      </c>
      <c r="AL101" s="22">
        <v>1435552</v>
      </c>
      <c r="AM101" s="23"/>
      <c r="AN101" s="24">
        <v>67.580679799999999</v>
      </c>
      <c r="AO101" s="24">
        <v>73.013187099999996</v>
      </c>
      <c r="AP101" s="24">
        <v>23.5097743</v>
      </c>
      <c r="AQ101" s="24">
        <v>37.414649799999999</v>
      </c>
      <c r="AR101" s="24">
        <v>38.348139799999998</v>
      </c>
      <c r="AS101" s="25"/>
      <c r="AT101" s="26">
        <v>16.152000000000001</v>
      </c>
      <c r="AU101" s="26">
        <v>12.384</v>
      </c>
      <c r="AW101" s="27">
        <f t="shared" si="21"/>
        <v>-8.5021380076074488E-4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-1.5369414107866075E-2</v>
      </c>
      <c r="BA101" s="28">
        <f>IF( OR(ISBLANK(Q101:Q106),ISBLANK(AK101:AK106), ISBLANK(U101:U106),ISBLANK(AO101:AO106)), "·", bdRateExtend( Q101:Q106,U101:U106, AK101:AK106,AO101:AO106))</f>
        <v>-1.4941991857995607E-2</v>
      </c>
      <c r="BB101" s="28">
        <f>IF( OR(ISBLANK(R101:R106),ISBLANK(AL101:AL106), ISBLANK(V101:V106),ISBLANK(AP101:AP106)), "·", bdRateExtend( R101:R106,V101:V106, AL101:AL106,AP101:AP106))</f>
        <v>0</v>
      </c>
      <c r="BC101" s="28">
        <f>IF( OR(ISBLANK(R101:R106),ISBLANK(AL101:AL106), ISBLANK(W101:W106),ISBLANK(AQ101:AQ106)), "·", bdRateExtend( R101:R106,W101:W106, AL101:AL106,AQ101:AQ106))</f>
        <v>0</v>
      </c>
      <c r="BD101" s="28">
        <f>IF( OR(ISBLANK(R101:R106),ISBLANK(AL101:AL106), ISBLANK(X101:X106),ISBLANK(AR101:AR106)), "·", bdRateExtend( R101:R106,X101:X106, AL101:AL106,AR101:AR106))</f>
        <v>0</v>
      </c>
      <c r="BE101" s="29"/>
      <c r="BG101" s="28">
        <f>IF( OR(ISBLANK(P101:P106),ISBLANK(AJ101:AJ106), ISBLANK(T101:T106),ISBLANK(AN101:AN106)), "·", bdRateExtend( P101:P106,T101:T106, AJ101:AJ106,AN101:AN106))</f>
        <v>2.552139420437527E-4</v>
      </c>
      <c r="BH101" s="28">
        <f>IF( OR(ISBLANK(P101:P106),ISBLANK(AJ101:AJ106), ISBLANK(U101:U106),ISBLANK(AO101:AO106)), "·", bdRateExtend( P101:P106,U101:U106, AJ101:AJ106,AO101:AO106))</f>
        <v>2.6521057893069688E-4</v>
      </c>
      <c r="BI101" s="28">
        <f>IF( OR(ISBLANK(P101:P106),ISBLANK(AJ101:AJ106), ISBLANK(V101:V106),ISBLANK(AP101:AP106)), "·", bdRateExtend( P101:P106,V101:V106, AJ101:AJ106,AP101:AP106))</f>
        <v>2.5084700993693865E-4</v>
      </c>
      <c r="BJ101" s="28">
        <f>IF( OR(ISBLANK(P101:P106),ISBLANK(AJ101:AJ106), ISBLANK(W101:W106),ISBLANK(AQ101:AQ106)), "·", bdRateExtend( P101:P106,W101:W106, AJ101:AJ106,AQ101:AQ106))</f>
        <v>2.1540353204385632E-4</v>
      </c>
      <c r="BK101" s="28">
        <f>IF( OR(ISBLANK(P101:P106),ISBLANK(AJ101:AJ106), ISBLANK(X101:X106),ISBLANK(AR101:AR106)), "·", bdRateExtend( P101:P106,X101:X106, AJ101:AJ106,AR101:AR106))</f>
        <v>2.1930183644780499E-4</v>
      </c>
      <c r="BL101" s="29"/>
    </row>
    <row r="102" spans="1:64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>
        <f t="shared" si="12"/>
        <v>7.5033537372094949E-2</v>
      </c>
      <c r="K102" s="34">
        <f t="shared" si="13"/>
        <v>3.4755055498759983E-3</v>
      </c>
      <c r="L102" s="34">
        <f t="shared" si="14"/>
        <v>7.1527676605303819E-2</v>
      </c>
      <c r="M102" s="35"/>
      <c r="N102" s="34">
        <f t="shared" si="15"/>
        <v>0.42043664190862029</v>
      </c>
      <c r="O102" s="36">
        <v>12840270</v>
      </c>
      <c r="P102" s="37">
        <v>5398520</v>
      </c>
      <c r="Q102" s="37">
        <v>250056</v>
      </c>
      <c r="R102" s="37">
        <v>5146280</v>
      </c>
      <c r="S102" s="38"/>
      <c r="T102" s="39">
        <v>73.007039700000007</v>
      </c>
      <c r="U102" s="39">
        <v>77.687377100000006</v>
      </c>
      <c r="V102" s="39">
        <v>25.125512100000002</v>
      </c>
      <c r="W102" s="39">
        <v>38.613780400000003</v>
      </c>
      <c r="X102" s="39">
        <v>39.767044900000002</v>
      </c>
      <c r="Y102" s="38"/>
      <c r="Z102" s="41">
        <v>18.497</v>
      </c>
      <c r="AA102" s="41">
        <v>14.356999999999999</v>
      </c>
      <c r="AC102" s="33" t="str">
        <f t="shared" si="16"/>
        <v>·</v>
      </c>
      <c r="AD102" s="34">
        <f t="shared" si="17"/>
        <v>7.5054886096079215E-2</v>
      </c>
      <c r="AE102" s="34">
        <f t="shared" si="18"/>
        <v>3.3805482046543166E-3</v>
      </c>
      <c r="AF102" s="34">
        <f t="shared" si="19"/>
        <v>7.1527676605303819E-2</v>
      </c>
      <c r="AG102" s="35"/>
      <c r="AH102" s="34">
        <f t="shared" si="20"/>
        <v>0.42055626556139397</v>
      </c>
      <c r="AI102" s="36">
        <v>12840270</v>
      </c>
      <c r="AJ102" s="37">
        <v>5400056</v>
      </c>
      <c r="AK102" s="37">
        <v>243224</v>
      </c>
      <c r="AL102" s="37">
        <v>5146280</v>
      </c>
      <c r="AM102" s="38"/>
      <c r="AN102" s="39">
        <v>73.007039700000007</v>
      </c>
      <c r="AO102" s="39">
        <v>77.687377100000006</v>
      </c>
      <c r="AP102" s="39">
        <v>25.125512100000002</v>
      </c>
      <c r="AQ102" s="39">
        <v>38.613780400000003</v>
      </c>
      <c r="AR102" s="39">
        <v>39.767044900000002</v>
      </c>
      <c r="AS102" s="40"/>
      <c r="AT102" s="41">
        <v>17.95</v>
      </c>
      <c r="AU102" s="41">
        <v>14.135999999999999</v>
      </c>
      <c r="AW102" s="42">
        <f t="shared" si="21"/>
        <v>-1.2783472133292562E-3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>
        <f t="shared" si="12"/>
        <v>0.23525026250174189</v>
      </c>
      <c r="K103" s="19">
        <f t="shared" si="13"/>
        <v>1.5211188221330784E-2</v>
      </c>
      <c r="L103" s="19">
        <f t="shared" si="14"/>
        <v>0.22000871906349598</v>
      </c>
      <c r="M103" s="20"/>
      <c r="N103" s="19">
        <f t="shared" si="15"/>
        <v>1.1811537475434222</v>
      </c>
      <c r="O103" s="21">
        <v>14329894</v>
      </c>
      <c r="P103" s="22">
        <v>16925808</v>
      </c>
      <c r="Q103" s="22">
        <v>1094416</v>
      </c>
      <c r="R103" s="22">
        <v>15829208</v>
      </c>
      <c r="S103" s="23"/>
      <c r="T103" s="24">
        <v>78.432446799999994</v>
      </c>
      <c r="U103" s="24">
        <v>80.752092300000001</v>
      </c>
      <c r="V103" s="24">
        <v>26.532442499999998</v>
      </c>
      <c r="W103" s="24">
        <v>40.101162100000003</v>
      </c>
      <c r="X103" s="24">
        <v>41.467589099999998</v>
      </c>
      <c r="Y103" s="23"/>
      <c r="Z103" s="26">
        <v>25.356000000000002</v>
      </c>
      <c r="AA103" s="26">
        <v>20.308</v>
      </c>
      <c r="AC103" s="18" t="str">
        <f t="shared" si="16"/>
        <v>·</v>
      </c>
      <c r="AD103" s="19">
        <f t="shared" si="17"/>
        <v>0.23528573251711157</v>
      </c>
      <c r="AE103" s="19">
        <f t="shared" si="18"/>
        <v>1.5113228711798814E-2</v>
      </c>
      <c r="AF103" s="19">
        <f t="shared" si="19"/>
        <v>0.22000871906349598</v>
      </c>
      <c r="AG103" s="20"/>
      <c r="AH103" s="19">
        <f t="shared" si="20"/>
        <v>1.1813318367881855</v>
      </c>
      <c r="AI103" s="21">
        <v>14329894</v>
      </c>
      <c r="AJ103" s="22">
        <v>16928360</v>
      </c>
      <c r="AK103" s="22">
        <v>1087368</v>
      </c>
      <c r="AL103" s="22">
        <v>15829208</v>
      </c>
      <c r="AM103" s="23"/>
      <c r="AN103" s="24">
        <v>78.432446799999994</v>
      </c>
      <c r="AO103" s="24">
        <v>80.752092300000001</v>
      </c>
      <c r="AP103" s="24">
        <v>26.532442499999998</v>
      </c>
      <c r="AQ103" s="24">
        <v>40.101162100000003</v>
      </c>
      <c r="AR103" s="24">
        <v>41.467589099999998</v>
      </c>
      <c r="AS103" s="25"/>
      <c r="AT103" s="26">
        <v>24.571999999999999</v>
      </c>
      <c r="AU103" s="26">
        <v>19.699000000000002</v>
      </c>
      <c r="AW103" s="27">
        <f t="shared" si="21"/>
        <v>-4.2609037750708512E-4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>
        <f t="shared" si="12"/>
        <v>0.54264864889958031</v>
      </c>
      <c r="K104" s="34">
        <f t="shared" si="13"/>
        <v>6.0103663065765159E-2</v>
      </c>
      <c r="L104" s="34">
        <f t="shared" si="14"/>
        <v>0.48251685444231501</v>
      </c>
      <c r="M104" s="35"/>
      <c r="N104" s="34">
        <f t="shared" si="15"/>
        <v>2.5704001959802842</v>
      </c>
      <c r="O104" s="36">
        <v>15189283</v>
      </c>
      <c r="P104" s="37">
        <v>39042536</v>
      </c>
      <c r="Q104" s="37">
        <v>4324344</v>
      </c>
      <c r="R104" s="37">
        <v>34716168</v>
      </c>
      <c r="S104" s="38"/>
      <c r="T104" s="39">
        <v>81.001439000000005</v>
      </c>
      <c r="U104" s="39">
        <v>82.862738699999994</v>
      </c>
      <c r="V104" s="39">
        <v>27.467974699999999</v>
      </c>
      <c r="W104" s="39">
        <v>41.642563699999997</v>
      </c>
      <c r="X104" s="39">
        <v>43.1392034</v>
      </c>
      <c r="Y104" s="38"/>
      <c r="Z104" s="41">
        <v>42.637999999999998</v>
      </c>
      <c r="AA104" s="41">
        <v>34.793999999999997</v>
      </c>
      <c r="AC104" s="33" t="str">
        <f t="shared" si="16"/>
        <v>·</v>
      </c>
      <c r="AD104" s="34">
        <f t="shared" si="17"/>
        <v>0.54268890013959226</v>
      </c>
      <c r="AE104" s="34">
        <f t="shared" si="18"/>
        <v>6.2615362680768172E-2</v>
      </c>
      <c r="AF104" s="34">
        <f t="shared" si="19"/>
        <v>0.48251685444231501</v>
      </c>
      <c r="AG104" s="35"/>
      <c r="AH104" s="34">
        <f t="shared" si="20"/>
        <v>2.5705908567244418</v>
      </c>
      <c r="AI104" s="36">
        <v>15189283</v>
      </c>
      <c r="AJ104" s="37">
        <v>39045432</v>
      </c>
      <c r="AK104" s="37">
        <v>4505056</v>
      </c>
      <c r="AL104" s="37">
        <v>34716168</v>
      </c>
      <c r="AM104" s="38"/>
      <c r="AN104" s="39">
        <v>81.001439000000005</v>
      </c>
      <c r="AO104" s="39">
        <v>82.862738699999994</v>
      </c>
      <c r="AP104" s="39">
        <v>27.467974699999999</v>
      </c>
      <c r="AQ104" s="39">
        <v>41.642563699999997</v>
      </c>
      <c r="AR104" s="39">
        <v>43.1392034</v>
      </c>
      <c r="AS104" s="40"/>
      <c r="AT104" s="41">
        <v>40.625</v>
      </c>
      <c r="AU104" s="41">
        <v>33.341999999999999</v>
      </c>
      <c r="AW104" s="42">
        <f t="shared" si="21"/>
        <v>4.6200344147951378E-3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16"/>
        <v>·</v>
      </c>
      <c r="AD105" s="19" t="str">
        <f t="shared" si="17"/>
        <v>·</v>
      </c>
      <c r="AE105" s="19">
        <f t="shared" si="18"/>
        <v>0</v>
      </c>
      <c r="AF105" s="19" t="str">
        <f t="shared" si="19"/>
        <v>·</v>
      </c>
      <c r="AG105" s="20"/>
      <c r="AH105" s="19" t="str">
        <f t="shared" si="20"/>
        <v>·</v>
      </c>
      <c r="AI105" s="21"/>
      <c r="AJ105" s="22"/>
      <c r="AK105" s="22">
        <v>0</v>
      </c>
      <c r="AL105" s="22"/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2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16"/>
        <v>·</v>
      </c>
      <c r="AD106" s="49" t="str">
        <f t="shared" si="17"/>
        <v>·</v>
      </c>
      <c r="AE106" s="49">
        <f t="shared" si="18"/>
        <v>0</v>
      </c>
      <c r="AF106" s="49" t="str">
        <f t="shared" si="19"/>
        <v>·</v>
      </c>
      <c r="AG106" s="50"/>
      <c r="AH106" s="49" t="str">
        <f t="shared" si="20"/>
        <v>·</v>
      </c>
      <c r="AI106" s="51"/>
      <c r="AJ106" s="52"/>
      <c r="AK106" s="52">
        <v>0</v>
      </c>
      <c r="AL106" s="52"/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2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>
        <f t="shared" si="12"/>
        <v>0.11823823479824115</v>
      </c>
      <c r="K107" s="19">
        <f t="shared" si="13"/>
        <v>8.7360898569242423E-3</v>
      </c>
      <c r="L107" s="19">
        <f t="shared" si="14"/>
        <v>0.10928768310809457</v>
      </c>
      <c r="M107" s="20"/>
      <c r="N107" s="19">
        <f t="shared" si="15"/>
        <v>0.13288423919889039</v>
      </c>
      <c r="O107" s="21">
        <v>2754879</v>
      </c>
      <c r="P107" s="22">
        <v>366080</v>
      </c>
      <c r="Q107" s="22">
        <v>27048</v>
      </c>
      <c r="R107" s="22">
        <v>338368</v>
      </c>
      <c r="S107" s="23"/>
      <c r="T107" s="24">
        <v>61.951214399999998</v>
      </c>
      <c r="U107" s="24">
        <v>62.310441500000003</v>
      </c>
      <c r="V107" s="24">
        <v>28.241082299999999</v>
      </c>
      <c r="W107" s="24">
        <v>35.032060899999998</v>
      </c>
      <c r="X107" s="24">
        <v>34.303719899999997</v>
      </c>
      <c r="Y107" s="23"/>
      <c r="Z107" s="26">
        <v>4.4039999999999999</v>
      </c>
      <c r="AA107" s="26">
        <v>3.3090000000000002</v>
      </c>
      <c r="AC107" s="18" t="str">
        <f t="shared" si="16"/>
        <v>·</v>
      </c>
      <c r="AD107" s="19">
        <f t="shared" si="17"/>
        <v>0.11823306704322376</v>
      </c>
      <c r="AE107" s="19">
        <f t="shared" si="18"/>
        <v>8.7800157745721915E-3</v>
      </c>
      <c r="AF107" s="19">
        <f t="shared" si="19"/>
        <v>0.10928768310809457</v>
      </c>
      <c r="AG107" s="20"/>
      <c r="AH107" s="19">
        <f t="shared" si="20"/>
        <v>0.13287843132130303</v>
      </c>
      <c r="AI107" s="21">
        <v>2754879</v>
      </c>
      <c r="AJ107" s="22">
        <v>366064</v>
      </c>
      <c r="AK107" s="22">
        <v>27184</v>
      </c>
      <c r="AL107" s="22">
        <v>338368</v>
      </c>
      <c r="AM107" s="23"/>
      <c r="AN107" s="24">
        <v>61.951214399999998</v>
      </c>
      <c r="AO107" s="24">
        <v>62.310441500000003</v>
      </c>
      <c r="AP107" s="24">
        <v>28.241082299999999</v>
      </c>
      <c r="AQ107" s="24">
        <v>35.032060899999998</v>
      </c>
      <c r="AR107" s="24">
        <v>34.303719899999997</v>
      </c>
      <c r="AS107" s="25"/>
      <c r="AT107" s="26">
        <v>4.3540000000000001</v>
      </c>
      <c r="AU107" s="26">
        <v>3.2770000000000001</v>
      </c>
      <c r="AW107" s="27">
        <f t="shared" si="21"/>
        <v>3.7474913630448914E-4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7.3534757492299541E-3</v>
      </c>
      <c r="BA107" s="28">
        <f>IF( OR(ISBLANK(Q107:Q112),ISBLANK(AK107:AK112), ISBLANK(U107:U112),ISBLANK(AO107:AO112)), "·", bdRateExtend( Q107:Q112,U107:U112, AK107:AK112,AO107:AO112))</f>
        <v>8.3555363227554302E-3</v>
      </c>
      <c r="BB107" s="28">
        <f>IF( OR(ISBLANK(R107:R112),ISBLANK(AL107:AL112), ISBLANK(V107:V112),ISBLANK(AP107:AP112)), "·", bdRateExtend( R107:R112,V107:V112, AL107:AL112,AP107:AP112))</f>
        <v>0</v>
      </c>
      <c r="BC107" s="28">
        <f>IF( OR(ISBLANK(R107:R112),ISBLANK(AL107:AL112), ISBLANK(W107:W112),ISBLANK(AQ107:AQ112)), "·", bdRateExtend( R107:R112,W107:W112, AL107:AL112,AQ107:AQ112))</f>
        <v>0</v>
      </c>
      <c r="BD107" s="28">
        <f>IF( OR(ISBLANK(R107:R112),ISBLANK(AL107:AL112), ISBLANK(X107:X112),ISBLANK(AR107:AR112)), "·", bdRateExtend( R107:R112,X107:X112, AL107:AL112,AR107:AR112))</f>
        <v>0</v>
      </c>
      <c r="BE107" s="29"/>
      <c r="BG107" s="28">
        <f>IF( OR(ISBLANK(P107:P112),ISBLANK(AJ107:AJ112), ISBLANK(T107:T112),ISBLANK(AN107:AN112)), "·", bdRateExtend( P107:P112,T107:T112, AJ107:AJ112,AN107:AN112))</f>
        <v>-8.4791453321519938E-5</v>
      </c>
      <c r="BH107" s="28">
        <f>IF( OR(ISBLANK(P107:P112),ISBLANK(AJ107:AJ112), ISBLANK(U107:U112),ISBLANK(AO107:AO112)), "·", bdRateExtend( P107:P112,U107:U112, AJ107:AJ112,AO107:AO112))</f>
        <v>-6.7061460157669117E-5</v>
      </c>
      <c r="BI107" s="28">
        <f>IF( OR(ISBLANK(P107:P112),ISBLANK(AJ107:AJ112), ISBLANK(V107:V112),ISBLANK(AP107:AP112)), "·", bdRateExtend( P107:P112,V107:V112, AJ107:AJ112,AP107:AP112))</f>
        <v>-2.4009450445561242E-6</v>
      </c>
      <c r="BJ107" s="28">
        <f>IF( OR(ISBLANK(P107:P112),ISBLANK(AJ107:AJ112), ISBLANK(W107:W112),ISBLANK(AQ107:AQ112)), "·", bdRateExtend( P107:P112,W107:W112, AJ107:AJ112,AQ107:AQ112))</f>
        <v>1.4616711977444297E-5</v>
      </c>
      <c r="BK107" s="28">
        <f>IF( OR(ISBLANK(P107:P112),ISBLANK(AJ107:AJ112), ISBLANK(X107:X112),ISBLANK(AR107:AR112)), "·", bdRateExtend( P107:P112,X107:X112, AJ107:AJ112,AR107:AR112))</f>
        <v>7.2963859136798703E-6</v>
      </c>
      <c r="BL107" s="29"/>
    </row>
    <row r="108" spans="1:64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>
        <f t="shared" si="12"/>
        <v>0.27451889815711394</v>
      </c>
      <c r="K108" s="34">
        <f t="shared" si="13"/>
        <v>2.7027358741031522E-2</v>
      </c>
      <c r="L108" s="34">
        <f t="shared" si="14"/>
        <v>0.24727707758286011</v>
      </c>
      <c r="M108" s="35"/>
      <c r="N108" s="34">
        <f t="shared" si="15"/>
        <v>0.32912719784326161</v>
      </c>
      <c r="O108" s="36">
        <v>2582418</v>
      </c>
      <c r="P108" s="37">
        <v>849944</v>
      </c>
      <c r="Q108" s="37">
        <v>83680</v>
      </c>
      <c r="R108" s="37">
        <v>765600</v>
      </c>
      <c r="S108" s="38"/>
      <c r="T108" s="39">
        <v>69.060725300000001</v>
      </c>
      <c r="U108" s="39">
        <v>70.044272399999997</v>
      </c>
      <c r="V108" s="39">
        <v>31.535787599999999</v>
      </c>
      <c r="W108" s="39">
        <v>38.116598099999997</v>
      </c>
      <c r="X108" s="39">
        <v>37.662373100000003</v>
      </c>
      <c r="Y108" s="38"/>
      <c r="Z108" s="41">
        <v>4.7309999999999999</v>
      </c>
      <c r="AA108" s="41">
        <v>3.105</v>
      </c>
      <c r="AC108" s="33" t="str">
        <f t="shared" si="16"/>
        <v>·</v>
      </c>
      <c r="AD108" s="34">
        <f t="shared" si="17"/>
        <v>0.27447755611697472</v>
      </c>
      <c r="AE108" s="34">
        <f t="shared" si="18"/>
        <v>2.7172055881518879E-2</v>
      </c>
      <c r="AF108" s="34">
        <f t="shared" si="19"/>
        <v>0.24727707758286011</v>
      </c>
      <c r="AG108" s="35"/>
      <c r="AH108" s="34">
        <f t="shared" si="20"/>
        <v>0.32907763189382971</v>
      </c>
      <c r="AI108" s="36">
        <v>2582418</v>
      </c>
      <c r="AJ108" s="37">
        <v>849816</v>
      </c>
      <c r="AK108" s="37">
        <v>84128</v>
      </c>
      <c r="AL108" s="37">
        <v>765600</v>
      </c>
      <c r="AM108" s="38"/>
      <c r="AN108" s="39">
        <v>69.060725300000001</v>
      </c>
      <c r="AO108" s="39">
        <v>70.044272399999997</v>
      </c>
      <c r="AP108" s="39">
        <v>31.535787599999999</v>
      </c>
      <c r="AQ108" s="39">
        <v>38.116598099999997</v>
      </c>
      <c r="AR108" s="39">
        <v>37.662373100000003</v>
      </c>
      <c r="AS108" s="40"/>
      <c r="AT108" s="41">
        <v>4.5119999999999996</v>
      </c>
      <c r="AU108" s="41">
        <v>3.2949999999999999</v>
      </c>
      <c r="AW108" s="42">
        <f t="shared" si="21"/>
        <v>5.4200209666842303E-4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>
        <f t="shared" si="12"/>
        <v>0.64975992548097261</v>
      </c>
      <c r="K109" s="19">
        <f t="shared" si="13"/>
        <v>8.6787277762310405E-2</v>
      </c>
      <c r="L109" s="19">
        <f t="shared" si="14"/>
        <v>0.56275818588543991</v>
      </c>
      <c r="M109" s="20"/>
      <c r="N109" s="19">
        <f t="shared" si="15"/>
        <v>0.75737397687447361</v>
      </c>
      <c r="O109" s="21">
        <v>2656199</v>
      </c>
      <c r="P109" s="22">
        <v>2011736</v>
      </c>
      <c r="Q109" s="22">
        <v>268704</v>
      </c>
      <c r="R109" s="22">
        <v>1742368</v>
      </c>
      <c r="S109" s="23"/>
      <c r="T109" s="24">
        <v>72.868675400000001</v>
      </c>
      <c r="U109" s="24">
        <v>75.248630800000001</v>
      </c>
      <c r="V109" s="24">
        <v>34.511847299999999</v>
      </c>
      <c r="W109" s="24">
        <v>41.232048200000001</v>
      </c>
      <c r="X109" s="24">
        <v>40.748398799999997</v>
      </c>
      <c r="Y109" s="23"/>
      <c r="Z109" s="26">
        <v>6.4820000000000002</v>
      </c>
      <c r="AA109" s="26">
        <v>4.6210000000000004</v>
      </c>
      <c r="AC109" s="18" t="str">
        <f t="shared" si="16"/>
        <v>·</v>
      </c>
      <c r="AD109" s="19">
        <f t="shared" si="17"/>
        <v>0.64985552894879461</v>
      </c>
      <c r="AE109" s="19">
        <f t="shared" si="18"/>
        <v>8.804304223153997E-2</v>
      </c>
      <c r="AF109" s="19">
        <f t="shared" si="19"/>
        <v>0.56275818588543991</v>
      </c>
      <c r="AG109" s="20"/>
      <c r="AH109" s="19">
        <f t="shared" si="20"/>
        <v>0.75748541430819005</v>
      </c>
      <c r="AI109" s="21">
        <v>2656199</v>
      </c>
      <c r="AJ109" s="22">
        <v>2012032</v>
      </c>
      <c r="AK109" s="22">
        <v>272592</v>
      </c>
      <c r="AL109" s="22">
        <v>1742368</v>
      </c>
      <c r="AM109" s="23"/>
      <c r="AN109" s="24">
        <v>72.868675400000001</v>
      </c>
      <c r="AO109" s="24">
        <v>75.248630800000001</v>
      </c>
      <c r="AP109" s="24">
        <v>34.511847299999999</v>
      </c>
      <c r="AQ109" s="24">
        <v>41.232048200000001</v>
      </c>
      <c r="AR109" s="24">
        <v>40.748398799999997</v>
      </c>
      <c r="AS109" s="25"/>
      <c r="AT109" s="26">
        <v>6.2629999999999999</v>
      </c>
      <c r="AU109" s="26">
        <v>4.2779999999999996</v>
      </c>
      <c r="AW109" s="27">
        <f t="shared" si="21"/>
        <v>1.9127249498935017E-3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>
        <f t="shared" si="12"/>
        <v>1.4446381634832219</v>
      </c>
      <c r="K110" s="34">
        <f t="shared" si="13"/>
        <v>0.26388107445378445</v>
      </c>
      <c r="L110" s="34">
        <f t="shared" si="14"/>
        <v>1.1805426271962152</v>
      </c>
      <c r="M110" s="35"/>
      <c r="N110" s="34">
        <f t="shared" si="15"/>
        <v>1.5269798731037685</v>
      </c>
      <c r="O110" s="36">
        <v>2929165</v>
      </c>
      <c r="P110" s="37">
        <v>4472776</v>
      </c>
      <c r="Q110" s="37">
        <v>817008</v>
      </c>
      <c r="R110" s="37">
        <v>3655104</v>
      </c>
      <c r="S110" s="38"/>
      <c r="T110" s="39">
        <v>73.7931521</v>
      </c>
      <c r="U110" s="39">
        <v>76.696902199999997</v>
      </c>
      <c r="V110" s="39">
        <v>36.774010199999999</v>
      </c>
      <c r="W110" s="39">
        <v>44.001534100000001</v>
      </c>
      <c r="X110" s="39">
        <v>43.428922700000001</v>
      </c>
      <c r="Y110" s="38"/>
      <c r="Z110" s="41">
        <v>10.981</v>
      </c>
      <c r="AA110" s="41">
        <v>7.84</v>
      </c>
      <c r="AC110" s="33" t="str">
        <f t="shared" si="16"/>
        <v>·</v>
      </c>
      <c r="AD110" s="34">
        <f t="shared" si="17"/>
        <v>1.4449740675593532</v>
      </c>
      <c r="AE110" s="34">
        <f t="shared" si="18"/>
        <v>0.28154962885829432</v>
      </c>
      <c r="AF110" s="34">
        <f t="shared" si="19"/>
        <v>1.1805426271962152</v>
      </c>
      <c r="AG110" s="35"/>
      <c r="AH110" s="34">
        <f t="shared" si="20"/>
        <v>1.5273349230924171</v>
      </c>
      <c r="AI110" s="36">
        <v>2929165</v>
      </c>
      <c r="AJ110" s="37">
        <v>4473816</v>
      </c>
      <c r="AK110" s="37">
        <v>871712</v>
      </c>
      <c r="AL110" s="37">
        <v>3655104</v>
      </c>
      <c r="AM110" s="38"/>
      <c r="AN110" s="39">
        <v>73.7931521</v>
      </c>
      <c r="AO110" s="39">
        <v>76.696902199999997</v>
      </c>
      <c r="AP110" s="39">
        <v>36.774010199999999</v>
      </c>
      <c r="AQ110" s="39">
        <v>44.001534100000001</v>
      </c>
      <c r="AR110" s="39">
        <v>43.428922700000001</v>
      </c>
      <c r="AS110" s="40"/>
      <c r="AT110" s="41">
        <v>10.262</v>
      </c>
      <c r="AU110" s="41">
        <v>7.34</v>
      </c>
      <c r="AW110" s="42">
        <f t="shared" si="21"/>
        <v>1.218513034593427E-2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16"/>
        <v>·</v>
      </c>
      <c r="AD111" s="19" t="str">
        <f t="shared" si="17"/>
        <v>·</v>
      </c>
      <c r="AE111" s="19">
        <f t="shared" si="18"/>
        <v>0</v>
      </c>
      <c r="AF111" s="19" t="str">
        <f t="shared" si="19"/>
        <v>·</v>
      </c>
      <c r="AG111" s="20"/>
      <c r="AH111" s="19" t="str">
        <f t="shared" si="20"/>
        <v>·</v>
      </c>
      <c r="AI111" s="21"/>
      <c r="AJ111" s="22"/>
      <c r="AK111" s="22">
        <v>0</v>
      </c>
      <c r="AL111" s="22"/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2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16"/>
        <v>·</v>
      </c>
      <c r="AD112" s="49" t="str">
        <f t="shared" si="17"/>
        <v>·</v>
      </c>
      <c r="AE112" s="49">
        <f t="shared" si="18"/>
        <v>0</v>
      </c>
      <c r="AF112" s="49" t="str">
        <f t="shared" si="19"/>
        <v>·</v>
      </c>
      <c r="AG112" s="50"/>
      <c r="AH112" s="49" t="str">
        <f t="shared" si="20"/>
        <v>·</v>
      </c>
      <c r="AI112" s="51"/>
      <c r="AJ112" s="52"/>
      <c r="AK112" s="52">
        <v>0</v>
      </c>
      <c r="AL112" s="52"/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2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>
        <f t="shared" si="12"/>
        <v>3.4385880021277404E-2</v>
      </c>
      <c r="K113" s="19">
        <f t="shared" si="13"/>
        <v>8.4764945969638267E-3</v>
      </c>
      <c r="L113" s="19">
        <f t="shared" si="14"/>
        <v>2.5662806132002777E-2</v>
      </c>
      <c r="M113" s="20"/>
      <c r="N113" s="19">
        <f t="shared" si="15"/>
        <v>3.2155867565629249E-2</v>
      </c>
      <c r="O113" s="21">
        <v>3226534</v>
      </c>
      <c r="P113" s="22">
        <v>103752</v>
      </c>
      <c r="Q113" s="22">
        <v>25576</v>
      </c>
      <c r="R113" s="22">
        <v>77432</v>
      </c>
      <c r="S113" s="23"/>
      <c r="T113" s="24">
        <v>63.970507900000001</v>
      </c>
      <c r="U113" s="24">
        <v>64.396385100000003</v>
      </c>
      <c r="V113" s="24">
        <v>34.764341199999997</v>
      </c>
      <c r="W113" s="24">
        <v>47.5489028</v>
      </c>
      <c r="X113" s="24">
        <v>47.271468200000001</v>
      </c>
      <c r="Y113" s="23"/>
      <c r="Z113" s="26">
        <v>4.6050000000000004</v>
      </c>
      <c r="AA113" s="26">
        <v>3.8380000000000001</v>
      </c>
      <c r="AC113" s="18" t="str">
        <f t="shared" si="16"/>
        <v>·</v>
      </c>
      <c r="AD113" s="19">
        <f t="shared" si="17"/>
        <v>3.4388531411517306E-2</v>
      </c>
      <c r="AE113" s="19">
        <f t="shared" si="18"/>
        <v>8.5215682310421457E-3</v>
      </c>
      <c r="AF113" s="19">
        <f t="shared" si="19"/>
        <v>2.5662806132002777E-2</v>
      </c>
      <c r="AG113" s="20"/>
      <c r="AH113" s="19">
        <f t="shared" si="20"/>
        <v>3.215834700641617E-2</v>
      </c>
      <c r="AI113" s="21">
        <v>3226534</v>
      </c>
      <c r="AJ113" s="22">
        <v>103760</v>
      </c>
      <c r="AK113" s="22">
        <v>25712</v>
      </c>
      <c r="AL113" s="22">
        <v>77432</v>
      </c>
      <c r="AM113" s="23"/>
      <c r="AN113" s="24">
        <v>63.970507900000001</v>
      </c>
      <c r="AO113" s="24">
        <v>64.396385100000003</v>
      </c>
      <c r="AP113" s="24">
        <v>34.764341199999997</v>
      </c>
      <c r="AQ113" s="24">
        <v>47.5489028</v>
      </c>
      <c r="AR113" s="24">
        <v>47.271468200000001</v>
      </c>
      <c r="AS113" s="25"/>
      <c r="AT113" s="26">
        <v>4.4320000000000004</v>
      </c>
      <c r="AU113" s="26">
        <v>3.7469999999999999</v>
      </c>
      <c r="AW113" s="27">
        <f t="shared" si="21"/>
        <v>1.2917108010306044E-3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8.4244611458981211E-3</v>
      </c>
      <c r="BA113" s="28">
        <f>IF( OR(ISBLANK(Q113:Q118),ISBLANK(AK113:AK118), ISBLANK(U113:U118),ISBLANK(AO113:AO118)), "·", bdRateExtend( Q113:Q118,U113:U118, AK113:AK118,AO113:AO118))</f>
        <v>9.4835448227077457E-3</v>
      </c>
      <c r="BB113" s="28">
        <f>IF( OR(ISBLANK(R113:R118),ISBLANK(AL113:AL118), ISBLANK(V113:V118),ISBLANK(AP113:AP118)), "·", bdRateExtend( R113:R118,V113:V118, AL113:AL118,AP113:AP118))</f>
        <v>0</v>
      </c>
      <c r="BC113" s="28">
        <f>IF( OR(ISBLANK(R113:R118),ISBLANK(AL113:AL118), ISBLANK(W113:W118),ISBLANK(AQ113:AQ118)), "·", bdRateExtend( R113:R118,W113:W118, AL113:AL118,AQ113:AQ118))</f>
        <v>0</v>
      </c>
      <c r="BD113" s="28">
        <f>IF( OR(ISBLANK(R113:R118),ISBLANK(AL113:AL118), ISBLANK(X113:X118),ISBLANK(AR113:AR118)), "·", bdRateExtend( R113:R118,X113:X118, AL113:AL118,AR113:AR118))</f>
        <v>0</v>
      </c>
      <c r="BE113" s="29"/>
      <c r="BG113" s="28">
        <f>IF( OR(ISBLANK(P113:P118),ISBLANK(AJ113:AJ118), ISBLANK(T113:T118),ISBLANK(AN113:AN118)), "·", bdRateExtend( P113:P118,T113:T118, AJ113:AJ118,AN113:AN118))</f>
        <v>3.0230110259932275E-5</v>
      </c>
      <c r="BH113" s="28">
        <f>IF( OR(ISBLANK(P113:P118),ISBLANK(AJ113:AJ118), ISBLANK(U113:U118),ISBLANK(AO113:AO118)), "·", bdRateExtend( P113:P118,U113:U118, AJ113:AJ118,AO113:AO118))</f>
        <v>7.7548938228977349E-5</v>
      </c>
      <c r="BI113" s="28">
        <f>IF( OR(ISBLANK(P113:P118),ISBLANK(AJ113:AJ118), ISBLANK(V113:V118),ISBLANK(AP113:AP118)), "·", bdRateExtend( P113:P118,V113:V118, AJ113:AJ118,AP113:AP118))</f>
        <v>2.5168916335371883E-4</v>
      </c>
      <c r="BJ113" s="28">
        <f>IF( OR(ISBLANK(P113:P118),ISBLANK(AJ113:AJ118), ISBLANK(W113:W118),ISBLANK(AQ113:AQ118)), "·", bdRateExtend( P113:P118,W113:W118, AJ113:AJ118,AQ113:AQ118))</f>
        <v>2.5651884529054314E-4</v>
      </c>
      <c r="BK113" s="28">
        <f>IF( OR(ISBLANK(P113:P118),ISBLANK(AJ113:AJ118), ISBLANK(X113:X118),ISBLANK(AR113:AR118)), "·", bdRateExtend( P113:P118,X113:X118, AJ113:AJ118,AR113:AR118))</f>
        <v>2.1596092666231748E-4</v>
      </c>
      <c r="BL113" s="29"/>
    </row>
    <row r="114" spans="1:64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>
        <f t="shared" si="12"/>
        <v>8.4841836286595404E-2</v>
      </c>
      <c r="K114" s="34">
        <f t="shared" si="13"/>
        <v>2.5519631059048118E-2</v>
      </c>
      <c r="L114" s="34">
        <f t="shared" si="14"/>
        <v>5.9075625935236478E-2</v>
      </c>
      <c r="M114" s="35"/>
      <c r="N114" s="34">
        <f t="shared" si="15"/>
        <v>8.4577001010660666E-2</v>
      </c>
      <c r="O114" s="36">
        <v>3026733</v>
      </c>
      <c r="P114" s="37">
        <v>255992</v>
      </c>
      <c r="Q114" s="37">
        <v>77000</v>
      </c>
      <c r="R114" s="37">
        <v>178248</v>
      </c>
      <c r="S114" s="38"/>
      <c r="T114" s="39">
        <v>69.989888800000003</v>
      </c>
      <c r="U114" s="39">
        <v>71.135042100000007</v>
      </c>
      <c r="V114" s="39">
        <v>38.221793099999999</v>
      </c>
      <c r="W114" s="39">
        <v>49.383747100000001</v>
      </c>
      <c r="X114" s="39">
        <v>49.592095100000002</v>
      </c>
      <c r="Y114" s="38"/>
      <c r="Z114" s="41">
        <v>4.5570000000000004</v>
      </c>
      <c r="AA114" s="41">
        <v>3.8250000000000002</v>
      </c>
      <c r="AC114" s="33" t="str">
        <f t="shared" si="16"/>
        <v>·</v>
      </c>
      <c r="AD114" s="34">
        <f t="shared" si="17"/>
        <v>8.4831230725635795E-2</v>
      </c>
      <c r="AE114" s="34">
        <f t="shared" si="18"/>
        <v>2.5686668644161886E-2</v>
      </c>
      <c r="AF114" s="34">
        <f t="shared" si="19"/>
        <v>5.9075625935236478E-2</v>
      </c>
      <c r="AG114" s="35"/>
      <c r="AH114" s="34">
        <f t="shared" si="20"/>
        <v>8.4566428555145096E-2</v>
      </c>
      <c r="AI114" s="36">
        <v>3026733</v>
      </c>
      <c r="AJ114" s="37">
        <v>255960</v>
      </c>
      <c r="AK114" s="37">
        <v>77504</v>
      </c>
      <c r="AL114" s="37">
        <v>178248</v>
      </c>
      <c r="AM114" s="38"/>
      <c r="AN114" s="39">
        <v>69.989888800000003</v>
      </c>
      <c r="AO114" s="39">
        <v>71.135042100000007</v>
      </c>
      <c r="AP114" s="39">
        <v>38.221793099999999</v>
      </c>
      <c r="AQ114" s="39">
        <v>49.383747100000001</v>
      </c>
      <c r="AR114" s="39">
        <v>49.592095100000002</v>
      </c>
      <c r="AS114" s="40"/>
      <c r="AT114" s="41">
        <v>4.51</v>
      </c>
      <c r="AU114" s="41">
        <v>3.8849999999999998</v>
      </c>
      <c r="AW114" s="42">
        <f t="shared" si="21"/>
        <v>2.0066623722090893E-3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>
        <f t="shared" si="12"/>
        <v>0.21358274077523337</v>
      </c>
      <c r="K115" s="19">
        <f t="shared" si="13"/>
        <v>8.314229514281879E-2</v>
      </c>
      <c r="L115" s="19">
        <f t="shared" si="14"/>
        <v>0.13019386634010377</v>
      </c>
      <c r="M115" s="20"/>
      <c r="N115" s="19">
        <f t="shared" si="15"/>
        <v>0.20742559422746326</v>
      </c>
      <c r="O115" s="21">
        <v>3106849</v>
      </c>
      <c r="P115" s="22">
        <v>644440</v>
      </c>
      <c r="Q115" s="22">
        <v>250864</v>
      </c>
      <c r="R115" s="22">
        <v>392832</v>
      </c>
      <c r="S115" s="23"/>
      <c r="T115" s="24">
        <v>73.096271900000005</v>
      </c>
      <c r="U115" s="24">
        <v>75.3220204</v>
      </c>
      <c r="V115" s="24">
        <v>41.397977599999997</v>
      </c>
      <c r="W115" s="24">
        <v>51.137068300000003</v>
      </c>
      <c r="X115" s="24">
        <v>51.451369399999997</v>
      </c>
      <c r="Y115" s="23"/>
      <c r="Z115" s="26">
        <v>6.1050000000000004</v>
      </c>
      <c r="AA115" s="26">
        <v>4.9649999999999999</v>
      </c>
      <c r="AC115" s="18" t="str">
        <f t="shared" si="16"/>
        <v>·</v>
      </c>
      <c r="AD115" s="19">
        <f t="shared" si="17"/>
        <v>0.21372326445794812</v>
      </c>
      <c r="AE115" s="19">
        <f t="shared" si="18"/>
        <v>8.4391099945812217E-2</v>
      </c>
      <c r="AF115" s="19">
        <f t="shared" si="19"/>
        <v>0.13019386634010377</v>
      </c>
      <c r="AG115" s="20"/>
      <c r="AH115" s="19">
        <f t="shared" si="20"/>
        <v>0.2075620669044424</v>
      </c>
      <c r="AI115" s="21">
        <v>3106849</v>
      </c>
      <c r="AJ115" s="22">
        <v>644864</v>
      </c>
      <c r="AK115" s="22">
        <v>254632</v>
      </c>
      <c r="AL115" s="22">
        <v>392832</v>
      </c>
      <c r="AM115" s="23"/>
      <c r="AN115" s="24">
        <v>73.096271900000005</v>
      </c>
      <c r="AO115" s="24">
        <v>75.3220204</v>
      </c>
      <c r="AP115" s="24">
        <v>41.397977599999997</v>
      </c>
      <c r="AQ115" s="24">
        <v>51.137068300000003</v>
      </c>
      <c r="AR115" s="24">
        <v>51.451369399999997</v>
      </c>
      <c r="AS115" s="25"/>
      <c r="AT115" s="26">
        <v>5.8070000000000004</v>
      </c>
      <c r="AU115" s="26">
        <v>4.9329999999999998</v>
      </c>
      <c r="AW115" s="27">
        <f t="shared" si="21"/>
        <v>5.5871434142291121E-3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>
        <f t="shared" si="12"/>
        <v>0.51341520605444957</v>
      </c>
      <c r="K116" s="34">
        <f t="shared" si="13"/>
        <v>0.25087454449944235</v>
      </c>
      <c r="L116" s="34">
        <f t="shared" si="14"/>
        <v>0.2622940822626964</v>
      </c>
      <c r="M116" s="35"/>
      <c r="N116" s="34">
        <f t="shared" si="15"/>
        <v>0.47804879855183108</v>
      </c>
      <c r="O116" s="36">
        <v>3240506</v>
      </c>
      <c r="P116" s="37">
        <v>1549120</v>
      </c>
      <c r="Q116" s="37">
        <v>756960</v>
      </c>
      <c r="R116" s="37">
        <v>791416</v>
      </c>
      <c r="S116" s="38"/>
      <c r="T116" s="39">
        <v>73.989896599999994</v>
      </c>
      <c r="U116" s="39">
        <v>76.767352799999998</v>
      </c>
      <c r="V116" s="39">
        <v>44.067083400000001</v>
      </c>
      <c r="W116" s="39">
        <v>52.596037600000002</v>
      </c>
      <c r="X116" s="39">
        <v>52.888587600000001</v>
      </c>
      <c r="Y116" s="38"/>
      <c r="Z116" s="41">
        <v>9.8230000000000004</v>
      </c>
      <c r="AA116" s="41">
        <v>8.3870000000000005</v>
      </c>
      <c r="AC116" s="33" t="str">
        <f t="shared" si="16"/>
        <v>·</v>
      </c>
      <c r="AD116" s="34">
        <f t="shared" si="17"/>
        <v>0.51376253817587669</v>
      </c>
      <c r="AE116" s="34">
        <f t="shared" si="18"/>
        <v>0.26666357337805346</v>
      </c>
      <c r="AF116" s="34">
        <f t="shared" si="19"/>
        <v>0.2622940822626964</v>
      </c>
      <c r="AG116" s="35"/>
      <c r="AH116" s="34">
        <f t="shared" si="20"/>
        <v>0.47837220483467707</v>
      </c>
      <c r="AI116" s="36">
        <v>3240506</v>
      </c>
      <c r="AJ116" s="37">
        <v>1550168</v>
      </c>
      <c r="AK116" s="37">
        <v>804600</v>
      </c>
      <c r="AL116" s="37">
        <v>791416</v>
      </c>
      <c r="AM116" s="38"/>
      <c r="AN116" s="39">
        <v>73.989896599999994</v>
      </c>
      <c r="AO116" s="39">
        <v>76.767352799999998</v>
      </c>
      <c r="AP116" s="39">
        <v>44.067083400000001</v>
      </c>
      <c r="AQ116" s="39">
        <v>52.596037600000002</v>
      </c>
      <c r="AR116" s="39">
        <v>52.888587600000001</v>
      </c>
      <c r="AS116" s="40"/>
      <c r="AT116" s="41">
        <v>9.4320000000000004</v>
      </c>
      <c r="AU116" s="41">
        <v>7.9630000000000001</v>
      </c>
      <c r="AW116" s="42">
        <f t="shared" si="21"/>
        <v>3.0401805888691735E-2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16"/>
        <v>·</v>
      </c>
      <c r="AD117" s="19" t="str">
        <f t="shared" si="17"/>
        <v>·</v>
      </c>
      <c r="AE117" s="19">
        <f t="shared" si="18"/>
        <v>0</v>
      </c>
      <c r="AF117" s="19" t="str">
        <f t="shared" si="19"/>
        <v>·</v>
      </c>
      <c r="AG117" s="20"/>
      <c r="AH117" s="19" t="str">
        <f t="shared" si="20"/>
        <v>·</v>
      </c>
      <c r="AI117" s="21"/>
      <c r="AJ117" s="22"/>
      <c r="AK117" s="22">
        <v>0</v>
      </c>
      <c r="AL117" s="22"/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2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16"/>
        <v>·</v>
      </c>
      <c r="AD118" s="49" t="str">
        <f t="shared" si="17"/>
        <v>·</v>
      </c>
      <c r="AE118" s="49">
        <f t="shared" si="18"/>
        <v>0</v>
      </c>
      <c r="AF118" s="49" t="str">
        <f t="shared" si="19"/>
        <v>·</v>
      </c>
      <c r="AG118" s="50"/>
      <c r="AH118" s="49" t="str">
        <f t="shared" si="20"/>
        <v>·</v>
      </c>
      <c r="AI118" s="51"/>
      <c r="AJ118" s="52"/>
      <c r="AK118" s="52">
        <v>0</v>
      </c>
      <c r="AL118" s="52"/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2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>
        <f t="shared" si="12"/>
        <v>4.9474349474313381E-2</v>
      </c>
      <c r="K119" s="19">
        <f t="shared" si="13"/>
        <v>8.6422743070281288E-3</v>
      </c>
      <c r="L119" s="19">
        <f t="shared" si="14"/>
        <v>4.0621287989065051E-2</v>
      </c>
      <c r="M119" s="20"/>
      <c r="N119" s="19">
        <f t="shared" si="15"/>
        <v>8.7098247957284547E-2</v>
      </c>
      <c r="O119" s="21">
        <v>1573763</v>
      </c>
      <c r="P119" s="22">
        <v>137072</v>
      </c>
      <c r="Q119" s="22">
        <v>23944</v>
      </c>
      <c r="R119" s="22">
        <v>112544</v>
      </c>
      <c r="S119" s="23"/>
      <c r="T119" s="24">
        <v>62.553283299999997</v>
      </c>
      <c r="U119" s="24">
        <v>63.156785900000003</v>
      </c>
      <c r="V119" s="24">
        <v>33.050106900000003</v>
      </c>
      <c r="W119" s="24">
        <v>40.509930400000002</v>
      </c>
      <c r="X119" s="24">
        <v>33.611184299999998</v>
      </c>
      <c r="Y119" s="23"/>
      <c r="Z119" s="26">
        <v>3.4820000000000002</v>
      </c>
      <c r="AA119" s="26">
        <v>1.8720000000000001</v>
      </c>
      <c r="AC119" s="18" t="str">
        <f t="shared" si="16"/>
        <v>·</v>
      </c>
      <c r="AD119" s="19">
        <f t="shared" si="17"/>
        <v>4.9471461978721321E-2</v>
      </c>
      <c r="AE119" s="19">
        <f t="shared" si="18"/>
        <v>8.674036758540761E-3</v>
      </c>
      <c r="AF119" s="19">
        <f t="shared" si="19"/>
        <v>4.0621287989065051E-2</v>
      </c>
      <c r="AG119" s="20"/>
      <c r="AH119" s="19">
        <f t="shared" si="20"/>
        <v>8.7093164599752318E-2</v>
      </c>
      <c r="AI119" s="21">
        <v>1573763</v>
      </c>
      <c r="AJ119" s="22">
        <v>137064</v>
      </c>
      <c r="AK119" s="22">
        <v>24032</v>
      </c>
      <c r="AL119" s="22">
        <v>112544</v>
      </c>
      <c r="AM119" s="23"/>
      <c r="AN119" s="24">
        <v>62.553283299999997</v>
      </c>
      <c r="AO119" s="24">
        <v>63.156785900000003</v>
      </c>
      <c r="AP119" s="24">
        <v>33.050106900000003</v>
      </c>
      <c r="AQ119" s="24">
        <v>40.509930400000002</v>
      </c>
      <c r="AR119" s="24">
        <v>33.611184299999998</v>
      </c>
      <c r="AS119" s="25"/>
      <c r="AT119" s="26">
        <v>3.4340000000000002</v>
      </c>
      <c r="AU119" s="26">
        <v>1.841</v>
      </c>
      <c r="AW119" s="27">
        <f t="shared" si="21"/>
        <v>6.5223147837459305E-4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7.1741080660432388E-3</v>
      </c>
      <c r="BA119" s="28">
        <f>IF( OR(ISBLANK(Q119:Q124),ISBLANK(AK119:AK124), ISBLANK(U119:U124),ISBLANK(AO119:AO124)), "·", bdRateExtend( Q119:Q124,U119:U124, AK119:AK124,AO119:AO124))</f>
        <v>8.0850739710243147E-3</v>
      </c>
      <c r="BB119" s="28">
        <f>IF( OR(ISBLANK(R119:R124),ISBLANK(AL119:AL124), ISBLANK(V119:V124),ISBLANK(AP119:AP124)), "·", bdRateExtend( R119:R124,V119:V124, AL119:AL124,AP119:AP124))</f>
        <v>0</v>
      </c>
      <c r="BC119" s="28">
        <f>IF( OR(ISBLANK(R119:R124),ISBLANK(AL119:AL124), ISBLANK(W119:W124),ISBLANK(AQ119:AQ124)), "·", bdRateExtend( R119:R124,W119:W124, AL119:AL124,AQ119:AQ124))</f>
        <v>0</v>
      </c>
      <c r="BD119" s="28">
        <f>IF( OR(ISBLANK(R119:R124),ISBLANK(AL119:AL124), ISBLANK(X119:X124),ISBLANK(AR119:AR124)), "·", bdRateExtend( R119:R124,X119:X124, AL119:AL124,AR119:AR124))</f>
        <v>0</v>
      </c>
      <c r="BE119" s="29"/>
      <c r="BG119" s="28">
        <f>IF( OR(ISBLANK(P119:P124),ISBLANK(AJ119:AJ124), ISBLANK(T119:T124),ISBLANK(AN119:AN124)), "·", bdRateExtend( P119:P124,T119:T124, AJ119:AJ124,AN119:AN124))</f>
        <v>-6.5743812783236599E-5</v>
      </c>
      <c r="BH119" s="28">
        <f>IF( OR(ISBLANK(P119:P124),ISBLANK(AJ119:AJ124), ISBLANK(U119:U124),ISBLANK(AO119:AO124)), "·", bdRateExtend( P119:P124,U119:U124, AJ119:AJ124,AO119:AO124))</f>
        <v>-1.6514743564122192E-5</v>
      </c>
      <c r="BI119" s="28">
        <f>IF( OR(ISBLANK(P119:P124),ISBLANK(AJ119:AJ124), ISBLANK(V119:V124),ISBLANK(AP119:AP124)), "·", bdRateExtend( P119:P124,V119:V124, AJ119:AJ124,AP119:AP124))</f>
        <v>1.0246625281729038E-4</v>
      </c>
      <c r="BJ119" s="28">
        <f>IF( OR(ISBLANK(P119:P124),ISBLANK(AJ119:AJ124), ISBLANK(W119:W124),ISBLANK(AQ119:AQ124)), "·", bdRateExtend( P119:P124,W119:W124, AJ119:AJ124,AQ119:AQ124))</f>
        <v>1.6068465135798959E-4</v>
      </c>
      <c r="BK119" s="28">
        <f>IF( OR(ISBLANK(P119:P124),ISBLANK(AJ119:AJ124), ISBLANK(X119:X124),ISBLANK(AR119:AR124)), "·", bdRateExtend( P119:P124,X119:X124, AJ119:AJ124,AR119:AR124))</f>
        <v>9.0319024344864829E-5</v>
      </c>
      <c r="BL119" s="29"/>
    </row>
    <row r="120" spans="1:64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>
        <f t="shared" si="12"/>
        <v>0.13685574108115775</v>
      </c>
      <c r="K120" s="34">
        <f t="shared" si="13"/>
        <v>2.8880730911759217E-2</v>
      </c>
      <c r="L120" s="34">
        <f t="shared" si="14"/>
        <v>0.10773534803525776</v>
      </c>
      <c r="M120" s="35"/>
      <c r="N120" s="34">
        <f t="shared" si="15"/>
        <v>0.167043191710575</v>
      </c>
      <c r="O120" s="36">
        <v>2269880</v>
      </c>
      <c r="P120" s="37">
        <v>379168</v>
      </c>
      <c r="Q120" s="37">
        <v>80016</v>
      </c>
      <c r="R120" s="37">
        <v>298488</v>
      </c>
      <c r="S120" s="38"/>
      <c r="T120" s="39">
        <v>68.995265700000004</v>
      </c>
      <c r="U120" s="39">
        <v>70.052807999999999</v>
      </c>
      <c r="V120" s="39">
        <v>36.430327200000001</v>
      </c>
      <c r="W120" s="39">
        <v>42.404850799999998</v>
      </c>
      <c r="X120" s="39">
        <v>37.676834999999997</v>
      </c>
      <c r="Y120" s="38"/>
      <c r="Z120" s="41">
        <v>4.3250000000000002</v>
      </c>
      <c r="AA120" s="41">
        <v>3.1539999999999999</v>
      </c>
      <c r="AC120" s="33" t="str">
        <f t="shared" si="16"/>
        <v>·</v>
      </c>
      <c r="AD120" s="34">
        <f t="shared" si="17"/>
        <v>0.13683264111642129</v>
      </c>
      <c r="AE120" s="34">
        <f t="shared" si="18"/>
        <v>2.9010668213401807E-2</v>
      </c>
      <c r="AF120" s="34">
        <f t="shared" si="19"/>
        <v>0.10773534803525776</v>
      </c>
      <c r="AG120" s="35"/>
      <c r="AH120" s="34">
        <f t="shared" si="20"/>
        <v>0.16701499638747422</v>
      </c>
      <c r="AI120" s="36">
        <v>2269880</v>
      </c>
      <c r="AJ120" s="37">
        <v>379104</v>
      </c>
      <c r="AK120" s="37">
        <v>80376</v>
      </c>
      <c r="AL120" s="37">
        <v>298488</v>
      </c>
      <c r="AM120" s="38"/>
      <c r="AN120" s="39">
        <v>68.995265700000004</v>
      </c>
      <c r="AO120" s="39">
        <v>70.052807999999999</v>
      </c>
      <c r="AP120" s="39">
        <v>36.430327200000001</v>
      </c>
      <c r="AQ120" s="39">
        <v>42.404850799999998</v>
      </c>
      <c r="AR120" s="39">
        <v>37.676834999999997</v>
      </c>
      <c r="AS120" s="40"/>
      <c r="AT120" s="41">
        <v>4.1539999999999999</v>
      </c>
      <c r="AU120" s="41">
        <v>2.9180000000000001</v>
      </c>
      <c r="AW120" s="42">
        <f t="shared" si="21"/>
        <v>9.8523347120893501E-4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>
        <f t="shared" si="12"/>
        <v>0.32256213258874444</v>
      </c>
      <c r="K121" s="19">
        <f t="shared" si="13"/>
        <v>9.546060427342129E-2</v>
      </c>
      <c r="L121" s="19">
        <f t="shared" si="14"/>
        <v>0.2268618661811824</v>
      </c>
      <c r="M121" s="20"/>
      <c r="N121" s="19">
        <f t="shared" si="15"/>
        <v>0.48290164623596299</v>
      </c>
      <c r="O121" s="21">
        <v>1850646</v>
      </c>
      <c r="P121" s="22">
        <v>893680</v>
      </c>
      <c r="Q121" s="22">
        <v>264480</v>
      </c>
      <c r="R121" s="22">
        <v>628536</v>
      </c>
      <c r="S121" s="23"/>
      <c r="T121" s="24">
        <v>71.8925141</v>
      </c>
      <c r="U121" s="24">
        <v>74.966686499999994</v>
      </c>
      <c r="V121" s="24">
        <v>38.727888399999998</v>
      </c>
      <c r="W121" s="24">
        <v>43.905866799999998</v>
      </c>
      <c r="X121" s="24">
        <v>40.468226000000001</v>
      </c>
      <c r="Y121" s="23"/>
      <c r="Z121" s="26">
        <v>5.6219999999999999</v>
      </c>
      <c r="AA121" s="26">
        <v>3.1680000000000001</v>
      </c>
      <c r="AC121" s="18" t="str">
        <f t="shared" si="16"/>
        <v>·</v>
      </c>
      <c r="AD121" s="19">
        <f t="shared" si="17"/>
        <v>0.32269784488157116</v>
      </c>
      <c r="AE121" s="19">
        <f t="shared" si="18"/>
        <v>9.6898577078265935E-2</v>
      </c>
      <c r="AF121" s="19">
        <f t="shared" si="19"/>
        <v>0.2268618661811824</v>
      </c>
      <c r="AG121" s="20"/>
      <c r="AH121" s="19">
        <f t="shared" si="20"/>
        <v>0.48310481853363635</v>
      </c>
      <c r="AI121" s="21">
        <v>1850646</v>
      </c>
      <c r="AJ121" s="22">
        <v>894056</v>
      </c>
      <c r="AK121" s="22">
        <v>268464</v>
      </c>
      <c r="AL121" s="22">
        <v>628536</v>
      </c>
      <c r="AM121" s="23"/>
      <c r="AN121" s="24">
        <v>71.8925141</v>
      </c>
      <c r="AO121" s="24">
        <v>74.966686499999994</v>
      </c>
      <c r="AP121" s="24">
        <v>38.727888399999998</v>
      </c>
      <c r="AQ121" s="24">
        <v>43.905866799999998</v>
      </c>
      <c r="AR121" s="24">
        <v>40.468226000000001</v>
      </c>
      <c r="AS121" s="25"/>
      <c r="AT121" s="26">
        <v>5.5910000000000002</v>
      </c>
      <c r="AU121" s="26">
        <v>3.121</v>
      </c>
      <c r="AW121" s="27">
        <f t="shared" si="21"/>
        <v>4.3316355280714758E-3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>
        <f t="shared" si="12"/>
        <v>0.83705898467714368</v>
      </c>
      <c r="K122" s="34">
        <f t="shared" si="13"/>
        <v>0.29182762950688435</v>
      </c>
      <c r="L122" s="34">
        <f t="shared" si="14"/>
        <v>0.54499169303611861</v>
      </c>
      <c r="M122" s="35"/>
      <c r="N122" s="34">
        <f t="shared" si="15"/>
        <v>1.0292368800621325</v>
      </c>
      <c r="O122" s="36">
        <v>2253250</v>
      </c>
      <c r="P122" s="37">
        <v>2319128</v>
      </c>
      <c r="Q122" s="37">
        <v>808528</v>
      </c>
      <c r="R122" s="37">
        <v>1509936</v>
      </c>
      <c r="S122" s="38"/>
      <c r="T122" s="39">
        <v>73.097823000000005</v>
      </c>
      <c r="U122" s="39">
        <v>76.559704100000005</v>
      </c>
      <c r="V122" s="39">
        <v>41.3550817</v>
      </c>
      <c r="W122" s="39">
        <v>46.0918226</v>
      </c>
      <c r="X122" s="39">
        <v>43.351576299999998</v>
      </c>
      <c r="Y122" s="38"/>
      <c r="Z122" s="41">
        <v>10.448</v>
      </c>
      <c r="AA122" s="41">
        <v>6.1680000000000001</v>
      </c>
      <c r="AC122" s="33" t="str">
        <f t="shared" si="16"/>
        <v>·</v>
      </c>
      <c r="AD122" s="34">
        <f t="shared" si="17"/>
        <v>0.83739970915700646</v>
      </c>
      <c r="AE122" s="34">
        <f t="shared" si="18"/>
        <v>0.30912950309449294</v>
      </c>
      <c r="AF122" s="34">
        <f t="shared" si="19"/>
        <v>0.54499169303611861</v>
      </c>
      <c r="AG122" s="35"/>
      <c r="AH122" s="34">
        <f t="shared" si="20"/>
        <v>1.0296558304671031</v>
      </c>
      <c r="AI122" s="36">
        <v>2253250</v>
      </c>
      <c r="AJ122" s="37">
        <v>2320072</v>
      </c>
      <c r="AK122" s="37">
        <v>856464</v>
      </c>
      <c r="AL122" s="37">
        <v>1509936</v>
      </c>
      <c r="AM122" s="38"/>
      <c r="AN122" s="39">
        <v>73.097823000000005</v>
      </c>
      <c r="AO122" s="39">
        <v>76.559704100000005</v>
      </c>
      <c r="AP122" s="39">
        <v>41.3550817</v>
      </c>
      <c r="AQ122" s="39">
        <v>46.0918226</v>
      </c>
      <c r="AR122" s="39">
        <v>43.351576299999998</v>
      </c>
      <c r="AS122" s="40"/>
      <c r="AT122" s="41">
        <v>9.9809999999999999</v>
      </c>
      <c r="AU122" s="41">
        <v>5.9020000000000001</v>
      </c>
      <c r="AW122" s="42">
        <f t="shared" si="21"/>
        <v>2.051957398067944E-2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16"/>
        <v>·</v>
      </c>
      <c r="AD123" s="19" t="str">
        <f t="shared" si="17"/>
        <v>·</v>
      </c>
      <c r="AE123" s="19">
        <f t="shared" si="18"/>
        <v>0</v>
      </c>
      <c r="AF123" s="19" t="str">
        <f t="shared" si="19"/>
        <v>·</v>
      </c>
      <c r="AG123" s="20"/>
      <c r="AH123" s="19" t="str">
        <f t="shared" si="20"/>
        <v>·</v>
      </c>
      <c r="AI123" s="21"/>
      <c r="AJ123" s="22"/>
      <c r="AK123" s="22">
        <v>0</v>
      </c>
      <c r="AL123" s="22"/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2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16"/>
        <v>·</v>
      </c>
      <c r="AD124" s="49" t="str">
        <f t="shared" si="17"/>
        <v>·</v>
      </c>
      <c r="AE124" s="49">
        <f t="shared" si="18"/>
        <v>0</v>
      </c>
      <c r="AF124" s="49" t="str">
        <f t="shared" si="19"/>
        <v>·</v>
      </c>
      <c r="AG124" s="50"/>
      <c r="AH124" s="49" t="str">
        <f t="shared" si="20"/>
        <v>·</v>
      </c>
      <c r="AI124" s="51"/>
      <c r="AJ124" s="52"/>
      <c r="AK124" s="52">
        <v>0</v>
      </c>
      <c r="AL124" s="52"/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2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>
        <f t="shared" si="12"/>
        <v>4.6721512616717573E-2</v>
      </c>
      <c r="K125" s="19">
        <f t="shared" si="13"/>
        <v>9.0360376974696604E-3</v>
      </c>
      <c r="L125" s="19">
        <f t="shared" si="14"/>
        <v>3.7479565210655125E-2</v>
      </c>
      <c r="M125" s="20"/>
      <c r="N125" s="19">
        <f t="shared" si="15"/>
        <v>6.2230586142704179E-2</v>
      </c>
      <c r="O125" s="21">
        <v>3004439</v>
      </c>
      <c r="P125" s="22">
        <v>186968</v>
      </c>
      <c r="Q125" s="22">
        <v>36160</v>
      </c>
      <c r="R125" s="22">
        <v>149984</v>
      </c>
      <c r="S125" s="23"/>
      <c r="T125" s="24">
        <v>63.204963900000003</v>
      </c>
      <c r="U125" s="24">
        <v>63.576480599999996</v>
      </c>
      <c r="V125" s="24">
        <v>30.7780247</v>
      </c>
      <c r="W125" s="24">
        <v>45.4485849</v>
      </c>
      <c r="X125" s="24">
        <v>46.043400900000002</v>
      </c>
      <c r="Y125" s="23"/>
      <c r="Z125" s="26">
        <v>5.6050000000000004</v>
      </c>
      <c r="AA125" s="26">
        <v>3.7759999999999998</v>
      </c>
      <c r="AC125" s="18" t="str">
        <f t="shared" si="16"/>
        <v>·</v>
      </c>
      <c r="AD125" s="19">
        <f t="shared" si="17"/>
        <v>4.6693524889336029E-2</v>
      </c>
      <c r="AE125" s="19">
        <f t="shared" si="18"/>
        <v>9.0900140288483495E-3</v>
      </c>
      <c r="AF125" s="19">
        <f t="shared" si="19"/>
        <v>3.7479565210655125E-2</v>
      </c>
      <c r="AG125" s="20"/>
      <c r="AH125" s="19">
        <f t="shared" si="20"/>
        <v>6.2193307968642399E-2</v>
      </c>
      <c r="AI125" s="21">
        <v>3004439</v>
      </c>
      <c r="AJ125" s="22">
        <v>186856</v>
      </c>
      <c r="AK125" s="22">
        <v>36376</v>
      </c>
      <c r="AL125" s="22">
        <v>149984</v>
      </c>
      <c r="AM125" s="23"/>
      <c r="AN125" s="24">
        <v>63.204963900000003</v>
      </c>
      <c r="AO125" s="24">
        <v>63.576480599999996</v>
      </c>
      <c r="AP125" s="24">
        <v>30.7780247</v>
      </c>
      <c r="AQ125" s="24">
        <v>45.4485849</v>
      </c>
      <c r="AR125" s="24">
        <v>46.043400900000002</v>
      </c>
      <c r="AS125" s="25"/>
      <c r="AT125" s="26">
        <v>5.2309999999999999</v>
      </c>
      <c r="AU125" s="26">
        <v>3.5110000000000001</v>
      </c>
      <c r="AW125" s="27">
        <f t="shared" si="21"/>
        <v>1.2718940408872337E-3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8.8775416214452729E-3</v>
      </c>
      <c r="BA125" s="28">
        <f>IF( OR(ISBLANK(Q125:Q130),ISBLANK(AK125:AK130), ISBLANK(U125:U130),ISBLANK(AO125:AO130)), "·", bdRateExtend( Q125:Q130,U125:U130, AK125:AK130,AO125:AO130))</f>
        <v>8.617227243320702E-3</v>
      </c>
      <c r="BB125" s="28">
        <f>IF( OR(ISBLANK(R125:R130),ISBLANK(AL125:AL130), ISBLANK(V125:V130),ISBLANK(AP125:AP130)), "·", bdRateExtend( R125:R130,V125:V130, AL125:AL130,AP125:AP130))</f>
        <v>0</v>
      </c>
      <c r="BC125" s="28">
        <f>IF( OR(ISBLANK(R125:R130),ISBLANK(AL125:AL130), ISBLANK(W125:W130),ISBLANK(AQ125:AQ130)), "·", bdRateExtend( R125:R130,W125:W130, AL125:AL130,AQ125:AQ130))</f>
        <v>0</v>
      </c>
      <c r="BD125" s="28">
        <f>IF( OR(ISBLANK(R125:R130),ISBLANK(AL125:AL130), ISBLANK(X125:X130),ISBLANK(AR125:AR130)), "·", bdRateExtend( R125:R130,X125:X130, AL125:AL130,AR125:AR130))</f>
        <v>0</v>
      </c>
      <c r="BE125" s="29"/>
      <c r="BG125" s="28">
        <f>IF( OR(ISBLANK(P125:P130),ISBLANK(AJ125:AJ130), ISBLANK(T125:T130),ISBLANK(AN125:AN130)), "·", bdRateExtend( P125:P130,T125:T130, AJ125:AJ130,AN125:AN130))</f>
        <v>-2.2498097966594521E-4</v>
      </c>
      <c r="BH125" s="28">
        <f>IF( OR(ISBLANK(P125:P130),ISBLANK(AJ125:AJ130), ISBLANK(U125:U130),ISBLANK(AO125:AO130)), "·", bdRateExtend( P125:P130,U125:U130, AJ125:AJ130,AO125:AO130))</f>
        <v>-1.702245916984646E-4</v>
      </c>
      <c r="BI125" s="28">
        <f>IF( OR(ISBLANK(P125:P130),ISBLANK(AJ125:AJ130), ISBLANK(V125:V130),ISBLANK(AP125:AP130)), "·", bdRateExtend( P125:P130,V125:V130, AJ125:AJ130,AP125:AP130))</f>
        <v>4.6797609725590661E-5</v>
      </c>
      <c r="BJ125" s="28">
        <f>IF( OR(ISBLANK(P125:P130),ISBLANK(AJ125:AJ130), ISBLANK(W125:W130),ISBLANK(AQ125:AQ130)), "·", bdRateExtend( P125:P130,W125:W130, AJ125:AJ130,AQ125:AQ130))</f>
        <v>1.1030614505691538E-4</v>
      </c>
      <c r="BK125" s="28">
        <f>IF( OR(ISBLANK(P125:P130),ISBLANK(AJ125:AJ130), ISBLANK(X125:X130),ISBLANK(AR125:AR130)), "·", bdRateExtend( P125:P130,X125:X130, AJ125:AJ130,AR125:AR130))</f>
        <v>8.7329054192952782E-5</v>
      </c>
      <c r="BL125" s="29"/>
    </row>
    <row r="126" spans="1:64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>
        <f t="shared" si="12"/>
        <v>0.11555732811162306</v>
      </c>
      <c r="K126" s="34">
        <f t="shared" si="13"/>
        <v>2.8105675661222553E-2</v>
      </c>
      <c r="L126" s="34">
        <f t="shared" si="14"/>
        <v>8.7245742741807714E-2</v>
      </c>
      <c r="M126" s="35"/>
      <c r="N126" s="34">
        <f t="shared" si="15"/>
        <v>0.16187787747420776</v>
      </c>
      <c r="O126" s="36">
        <v>2856672</v>
      </c>
      <c r="P126" s="37">
        <v>462432</v>
      </c>
      <c r="Q126" s="37">
        <v>112472</v>
      </c>
      <c r="R126" s="37">
        <v>349136</v>
      </c>
      <c r="S126" s="38"/>
      <c r="T126" s="39">
        <v>69.811497500000002</v>
      </c>
      <c r="U126" s="39">
        <v>70.903347800000006</v>
      </c>
      <c r="V126" s="39">
        <v>34.2211292</v>
      </c>
      <c r="W126" s="39">
        <v>46.976913000000003</v>
      </c>
      <c r="X126" s="39">
        <v>47.777142499999997</v>
      </c>
      <c r="Y126" s="38"/>
      <c r="Z126" s="41">
        <v>6.0250000000000004</v>
      </c>
      <c r="AA126" s="41">
        <v>3.8069999999999999</v>
      </c>
      <c r="AC126" s="33" t="str">
        <f t="shared" si="16"/>
        <v>·</v>
      </c>
      <c r="AD126" s="34">
        <f t="shared" si="17"/>
        <v>0.1155353377543947</v>
      </c>
      <c r="AE126" s="34">
        <f t="shared" si="18"/>
        <v>2.8243615174745874E-2</v>
      </c>
      <c r="AF126" s="34">
        <f t="shared" si="19"/>
        <v>8.7245742741807714E-2</v>
      </c>
      <c r="AG126" s="35"/>
      <c r="AH126" s="34">
        <f t="shared" si="20"/>
        <v>0.1618470723975311</v>
      </c>
      <c r="AI126" s="36">
        <v>2856672</v>
      </c>
      <c r="AJ126" s="37">
        <v>462344</v>
      </c>
      <c r="AK126" s="37">
        <v>113024</v>
      </c>
      <c r="AL126" s="37">
        <v>349136</v>
      </c>
      <c r="AM126" s="38"/>
      <c r="AN126" s="39">
        <v>69.811497500000002</v>
      </c>
      <c r="AO126" s="39">
        <v>70.903347800000006</v>
      </c>
      <c r="AP126" s="39">
        <v>34.2211292</v>
      </c>
      <c r="AQ126" s="39">
        <v>46.976913000000003</v>
      </c>
      <c r="AR126" s="39">
        <v>47.777142499999997</v>
      </c>
      <c r="AS126" s="40"/>
      <c r="AT126" s="41">
        <v>5.6040000000000001</v>
      </c>
      <c r="AU126" s="41">
        <v>3.6989999999999998</v>
      </c>
      <c r="AW126" s="42">
        <f t="shared" si="21"/>
        <v>1.2402090752563488E-3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>
        <f t="shared" si="12"/>
        <v>0.29241177743559449</v>
      </c>
      <c r="K127" s="19">
        <f t="shared" si="13"/>
        <v>8.9650688173236043E-2</v>
      </c>
      <c r="L127" s="19">
        <f t="shared" si="14"/>
        <v>0.20255517955376567</v>
      </c>
      <c r="M127" s="20"/>
      <c r="N127" s="19">
        <f t="shared" si="15"/>
        <v>0.38593171130054726</v>
      </c>
      <c r="O127" s="21">
        <v>3032039</v>
      </c>
      <c r="P127" s="22">
        <v>1170160</v>
      </c>
      <c r="Q127" s="22">
        <v>358760</v>
      </c>
      <c r="R127" s="22">
        <v>810576</v>
      </c>
      <c r="S127" s="23"/>
      <c r="T127" s="24">
        <v>72.529009599999995</v>
      </c>
      <c r="U127" s="24">
        <v>75.440055299999997</v>
      </c>
      <c r="V127" s="24">
        <v>37.461927099999997</v>
      </c>
      <c r="W127" s="24">
        <v>48.801230699999998</v>
      </c>
      <c r="X127" s="24">
        <v>49.692536699999998</v>
      </c>
      <c r="Y127" s="23"/>
      <c r="Z127" s="26">
        <v>7.7439999999999998</v>
      </c>
      <c r="AA127" s="26">
        <v>5.1360000000000001</v>
      </c>
      <c r="AC127" s="18" t="str">
        <f t="shared" si="16"/>
        <v>·</v>
      </c>
      <c r="AD127" s="19">
        <f t="shared" si="17"/>
        <v>0.29253572308542702</v>
      </c>
      <c r="AE127" s="19">
        <f t="shared" si="18"/>
        <v>9.1301964088747078E-2</v>
      </c>
      <c r="AF127" s="19">
        <f t="shared" si="19"/>
        <v>0.20255517955376567</v>
      </c>
      <c r="AG127" s="20"/>
      <c r="AH127" s="19">
        <f t="shared" si="20"/>
        <v>0.38609529758687139</v>
      </c>
      <c r="AI127" s="21">
        <v>3032039</v>
      </c>
      <c r="AJ127" s="22">
        <v>1170656</v>
      </c>
      <c r="AK127" s="22">
        <v>365368</v>
      </c>
      <c r="AL127" s="22">
        <v>810576</v>
      </c>
      <c r="AM127" s="23"/>
      <c r="AN127" s="24">
        <v>72.529009599999995</v>
      </c>
      <c r="AO127" s="24">
        <v>75.440055299999997</v>
      </c>
      <c r="AP127" s="24">
        <v>37.461927099999997</v>
      </c>
      <c r="AQ127" s="24">
        <v>48.801230699999998</v>
      </c>
      <c r="AR127" s="24">
        <v>49.692536699999998</v>
      </c>
      <c r="AS127" s="25"/>
      <c r="AT127" s="26">
        <v>7.7919999999999998</v>
      </c>
      <c r="AU127" s="26">
        <v>4.9160000000000004</v>
      </c>
      <c r="AW127" s="27">
        <f t="shared" si="21"/>
        <v>5.5147977598433151E-3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>
        <f t="shared" si="12"/>
        <v>0.71706156850221181</v>
      </c>
      <c r="K128" s="34">
        <f t="shared" si="13"/>
        <v>0.26705289730453197</v>
      </c>
      <c r="L128" s="34">
        <f t="shared" si="14"/>
        <v>0.44980276148908704</v>
      </c>
      <c r="M128" s="35"/>
      <c r="N128" s="34">
        <f t="shared" si="15"/>
        <v>0.81942235302247779</v>
      </c>
      <c r="O128" s="36">
        <v>3501862</v>
      </c>
      <c r="P128" s="37">
        <v>2869504</v>
      </c>
      <c r="Q128" s="37">
        <v>1068680</v>
      </c>
      <c r="R128" s="37">
        <v>1800000</v>
      </c>
      <c r="S128" s="38"/>
      <c r="T128" s="39">
        <v>73.493193000000005</v>
      </c>
      <c r="U128" s="39">
        <v>76.741933399999994</v>
      </c>
      <c r="V128" s="39">
        <v>40.388772000000003</v>
      </c>
      <c r="W128" s="39">
        <v>50.670550300000002</v>
      </c>
      <c r="X128" s="39">
        <v>51.544593300000003</v>
      </c>
      <c r="Y128" s="38"/>
      <c r="Z128" s="41">
        <v>14.385999999999999</v>
      </c>
      <c r="AA128" s="41">
        <v>9.4160000000000004</v>
      </c>
      <c r="AC128" s="33" t="str">
        <f t="shared" si="16"/>
        <v>·</v>
      </c>
      <c r="AD128" s="34">
        <f t="shared" si="17"/>
        <v>0.71741741246463431</v>
      </c>
      <c r="AE128" s="34">
        <f t="shared" si="18"/>
        <v>0.28361563454425237</v>
      </c>
      <c r="AF128" s="34">
        <f t="shared" si="19"/>
        <v>0.44980276148908704</v>
      </c>
      <c r="AG128" s="35"/>
      <c r="AH128" s="34">
        <f t="shared" si="20"/>
        <v>0.81982899383242402</v>
      </c>
      <c r="AI128" s="36">
        <v>3501862</v>
      </c>
      <c r="AJ128" s="37">
        <v>2870928</v>
      </c>
      <c r="AK128" s="37">
        <v>1134960</v>
      </c>
      <c r="AL128" s="37">
        <v>1800000</v>
      </c>
      <c r="AM128" s="38"/>
      <c r="AN128" s="39">
        <v>73.493193000000005</v>
      </c>
      <c r="AO128" s="39">
        <v>76.741933399999994</v>
      </c>
      <c r="AP128" s="39">
        <v>40.388772000000003</v>
      </c>
      <c r="AQ128" s="39">
        <v>50.670550300000002</v>
      </c>
      <c r="AR128" s="39">
        <v>51.544593300000003</v>
      </c>
      <c r="AS128" s="40"/>
      <c r="AT128" s="41">
        <v>13.571</v>
      </c>
      <c r="AU128" s="41">
        <v>9.1359999999999992</v>
      </c>
      <c r="AW128" s="42">
        <f t="shared" si="21"/>
        <v>2.2901885499125363E-2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16"/>
        <v>·</v>
      </c>
      <c r="AD129" s="19" t="str">
        <f t="shared" si="17"/>
        <v>·</v>
      </c>
      <c r="AE129" s="19">
        <f t="shared" si="18"/>
        <v>0</v>
      </c>
      <c r="AF129" s="19" t="str">
        <f t="shared" si="19"/>
        <v>·</v>
      </c>
      <c r="AG129" s="20"/>
      <c r="AH129" s="19" t="str">
        <f t="shared" si="20"/>
        <v>·</v>
      </c>
      <c r="AI129" s="21"/>
      <c r="AJ129" s="22"/>
      <c r="AK129" s="22">
        <v>0</v>
      </c>
      <c r="AL129" s="22"/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2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16"/>
        <v>·</v>
      </c>
      <c r="AD130" s="49" t="str">
        <f t="shared" si="17"/>
        <v>·</v>
      </c>
      <c r="AE130" s="49">
        <f t="shared" si="18"/>
        <v>0</v>
      </c>
      <c r="AF130" s="49" t="str">
        <f t="shared" si="19"/>
        <v>·</v>
      </c>
      <c r="AG130" s="50"/>
      <c r="AH130" s="49" t="str">
        <f t="shared" si="20"/>
        <v>·</v>
      </c>
      <c r="AI130" s="51"/>
      <c r="AJ130" s="52"/>
      <c r="AK130" s="52">
        <v>0</v>
      </c>
      <c r="AL130" s="52"/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2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>
        <f t="shared" si="12"/>
        <v>9.2274924312264042E-2</v>
      </c>
      <c r="K131" s="19">
        <f t="shared" si="13"/>
        <v>3.6497483374343513E-3</v>
      </c>
      <c r="L131" s="19">
        <f t="shared" si="14"/>
        <v>8.8312031886706624E-2</v>
      </c>
      <c r="M131" s="20"/>
      <c r="N131" s="19">
        <f t="shared" si="15"/>
        <v>0.27236653386454185</v>
      </c>
      <c r="O131" s="21">
        <v>502000</v>
      </c>
      <c r="P131" s="22">
        <v>136728</v>
      </c>
      <c r="Q131" s="22">
        <v>5408</v>
      </c>
      <c r="R131" s="22">
        <v>130856</v>
      </c>
      <c r="S131" s="23"/>
      <c r="T131" s="24">
        <v>46.070187799999999</v>
      </c>
      <c r="U131" s="24">
        <v>52.713215599999998</v>
      </c>
      <c r="V131" s="24">
        <v>18.6492726</v>
      </c>
      <c r="W131" s="24">
        <v>35.661831599999999</v>
      </c>
      <c r="X131" s="24">
        <v>35.493067099999998</v>
      </c>
      <c r="Y131" s="23"/>
      <c r="Z131" s="26">
        <v>0.73399999999999999</v>
      </c>
      <c r="AA131" s="26">
        <v>0.63900000000000001</v>
      </c>
      <c r="AC131" s="18" t="str">
        <f t="shared" si="16"/>
        <v>·</v>
      </c>
      <c r="AD131" s="19">
        <f t="shared" si="17"/>
        <v>9.2269525276261921E-2</v>
      </c>
      <c r="AE131" s="19">
        <f t="shared" si="18"/>
        <v>3.6821425534470822E-3</v>
      </c>
      <c r="AF131" s="19">
        <f t="shared" si="19"/>
        <v>8.8312031886706624E-2</v>
      </c>
      <c r="AG131" s="20"/>
      <c r="AH131" s="19">
        <f t="shared" si="20"/>
        <v>0.27235059760956176</v>
      </c>
      <c r="AI131" s="21">
        <v>502000</v>
      </c>
      <c r="AJ131" s="22">
        <v>136720</v>
      </c>
      <c r="AK131" s="22">
        <v>5456</v>
      </c>
      <c r="AL131" s="22">
        <v>130856</v>
      </c>
      <c r="AM131" s="23"/>
      <c r="AN131" s="24">
        <v>46.070187799999999</v>
      </c>
      <c r="AO131" s="24">
        <v>52.713215599999998</v>
      </c>
      <c r="AP131" s="24">
        <v>18.6492726</v>
      </c>
      <c r="AQ131" s="24">
        <v>35.661831599999999</v>
      </c>
      <c r="AR131" s="24">
        <v>35.493067099999998</v>
      </c>
      <c r="AS131" s="25"/>
      <c r="AT131" s="26">
        <v>0.71799999999999997</v>
      </c>
      <c r="AU131" s="26">
        <v>0.57799999999999996</v>
      </c>
      <c r="AW131" s="27">
        <f t="shared" si="21"/>
        <v>3.5339689766537147E-4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7.3815079617651769E-3</v>
      </c>
      <c r="BA131" s="28">
        <f>IF( OR(ISBLANK(Q131:Q136),ISBLANK(AK131:AK136), ISBLANK(U131:U136),ISBLANK(AO131:AO136)), "·", bdRateExtend( Q131:Q136,U131:U136, AK131:AK136,AO131:AO136))</f>
        <v>7.7111647058585309E-3</v>
      </c>
      <c r="BB131" s="28">
        <f>IF( OR(ISBLANK(R131:R136),ISBLANK(AL131:AL136), ISBLANK(V131:V136),ISBLANK(AP131:AP136)), "·", bdRateExtend( R131:R136,V131:V136, AL131:AL136,AP131:AP136))</f>
        <v>0</v>
      </c>
      <c r="BC131" s="28">
        <f>IF( OR(ISBLANK(R131:R136),ISBLANK(AL131:AL136), ISBLANK(W131:W136),ISBLANK(AQ131:AQ136)), "·", bdRateExtend( R131:R136,W131:W136, AL131:AL136,AQ131:AQ136))</f>
        <v>0</v>
      </c>
      <c r="BD131" s="28">
        <f>IF( OR(ISBLANK(R131:R136),ISBLANK(AL131:AL136), ISBLANK(X131:X136),ISBLANK(AR131:AR136)), "·", bdRateExtend( R131:R136,X131:X136, AL131:AL136,AR131:AR136))</f>
        <v>0</v>
      </c>
      <c r="BE131" s="29"/>
      <c r="BG131" s="28">
        <f>IF( OR(ISBLANK(P131:P136),ISBLANK(AJ131:AJ136), ISBLANK(T131:T136),ISBLANK(AN131:AN136)), "·", bdRateExtend( P131:P136,T131:T136, AJ131:AJ136,AN131:AN136))</f>
        <v>8.5542076637690201E-5</v>
      </c>
      <c r="BH131" s="28">
        <f>IF( OR(ISBLANK(P131:P136),ISBLANK(AJ131:AJ136), ISBLANK(U131:U136),ISBLANK(AO131:AO136)), "·", bdRateExtend( P131:P136,U131:U136, AJ131:AJ136,AO131:AO136))</f>
        <v>7.4750541781964941E-5</v>
      </c>
      <c r="BI131" s="28">
        <f>IF( OR(ISBLANK(P131:P136),ISBLANK(AJ131:AJ136), ISBLANK(V131:V136),ISBLANK(AP131:AP136)), "·", bdRateExtend( P131:P136,V131:V136, AJ131:AJ136,AP131:AP136))</f>
        <v>7.8785986057150481E-5</v>
      </c>
      <c r="BJ131" s="28">
        <f>IF( OR(ISBLANK(P131:P136),ISBLANK(AJ131:AJ136), ISBLANK(W131:W136),ISBLANK(AQ131:AQ136)), "·", bdRateExtend( P131:P136,W131:W136, AJ131:AJ136,AQ131:AQ136))</f>
        <v>7.3824152889256922E-5</v>
      </c>
      <c r="BK131" s="28">
        <f>IF( OR(ISBLANK(P131:P136),ISBLANK(AJ131:AJ136), ISBLANK(X131:X136),ISBLANK(AR131:AR136)), "·", bdRateExtend( P131:P136,X131:X136, AJ131:AJ136,AR131:AR136))</f>
        <v>7.468081314732089E-5</v>
      </c>
      <c r="BL131" s="29"/>
    </row>
    <row r="132" spans="1:64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>
        <f t="shared" si="12"/>
        <v>0.30722134562873799</v>
      </c>
      <c r="K132" s="34">
        <f t="shared" si="13"/>
        <v>1.4032094569514613E-2</v>
      </c>
      <c r="L132" s="34">
        <f t="shared" si="14"/>
        <v>0.29287610697110034</v>
      </c>
      <c r="M132" s="35"/>
      <c r="N132" s="34">
        <f t="shared" si="15"/>
        <v>0.85408200406005275</v>
      </c>
      <c r="O132" s="36">
        <v>532998</v>
      </c>
      <c r="P132" s="37">
        <v>455224</v>
      </c>
      <c r="Q132" s="37">
        <v>20792</v>
      </c>
      <c r="R132" s="37">
        <v>433968</v>
      </c>
      <c r="S132" s="38"/>
      <c r="T132" s="39">
        <v>51.536340099999997</v>
      </c>
      <c r="U132" s="39">
        <v>58.353620100000001</v>
      </c>
      <c r="V132" s="39">
        <v>19.7719342</v>
      </c>
      <c r="W132" s="39">
        <v>36.5429022</v>
      </c>
      <c r="X132" s="39">
        <v>36.299983400000002</v>
      </c>
      <c r="Y132" s="38"/>
      <c r="Z132" s="41">
        <v>0.90500000000000003</v>
      </c>
      <c r="AA132" s="41">
        <v>0.76500000000000001</v>
      </c>
      <c r="AC132" s="33" t="str">
        <f t="shared" si="16"/>
        <v>·</v>
      </c>
      <c r="AD132" s="34">
        <f t="shared" si="17"/>
        <v>0.30725913888075285</v>
      </c>
      <c r="AE132" s="34">
        <f t="shared" si="18"/>
        <v>1.411308010954644E-2</v>
      </c>
      <c r="AF132" s="34">
        <f t="shared" si="19"/>
        <v>0.29287610697110034</v>
      </c>
      <c r="AG132" s="35"/>
      <c r="AH132" s="34">
        <f t="shared" si="20"/>
        <v>0.85418707012033812</v>
      </c>
      <c r="AI132" s="36">
        <v>532998</v>
      </c>
      <c r="AJ132" s="37">
        <v>455280</v>
      </c>
      <c r="AK132" s="37">
        <v>20912</v>
      </c>
      <c r="AL132" s="37">
        <v>433968</v>
      </c>
      <c r="AM132" s="38"/>
      <c r="AN132" s="39">
        <v>51.536340099999997</v>
      </c>
      <c r="AO132" s="39">
        <v>58.353620100000001</v>
      </c>
      <c r="AP132" s="39">
        <v>19.7719342</v>
      </c>
      <c r="AQ132" s="39">
        <v>36.5429022</v>
      </c>
      <c r="AR132" s="39">
        <v>36.299983400000002</v>
      </c>
      <c r="AS132" s="40"/>
      <c r="AT132" s="41">
        <v>0.874</v>
      </c>
      <c r="AU132" s="41">
        <v>0.749</v>
      </c>
      <c r="AW132" s="42">
        <f t="shared" si="21"/>
        <v>2.5795607937626613E-4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>
        <f t="shared" ref="J133:J196" si="23">IF(ISBLANK(P133),"·",P133/D133)</f>
        <v>1.0076544832920082</v>
      </c>
      <c r="K133" s="19">
        <f t="shared" ref="K133:K196" si="24">IF(Q133="","·",Q133/D133)</f>
        <v>6.7271988586437889E-2</v>
      </c>
      <c r="L133" s="19">
        <f t="shared" ref="L133:L196" si="25">IF(ISBLANK(R133),"·",R133/D133)</f>
        <v>0.94006935061744723</v>
      </c>
      <c r="M133" s="20"/>
      <c r="N133" s="19">
        <f t="shared" ref="N133:N196" si="26">IF(ISBLANK(P133),"·",P133/O133)</f>
        <v>1.995248034936832</v>
      </c>
      <c r="O133" s="21">
        <v>748322</v>
      </c>
      <c r="P133" s="22">
        <v>1493088</v>
      </c>
      <c r="Q133" s="22">
        <v>99680</v>
      </c>
      <c r="R133" s="22">
        <v>1392944</v>
      </c>
      <c r="S133" s="23"/>
      <c r="T133" s="24">
        <v>58.046529100000001</v>
      </c>
      <c r="U133" s="24">
        <v>61.9193061</v>
      </c>
      <c r="V133" s="24">
        <v>20.825285999999998</v>
      </c>
      <c r="W133" s="24">
        <v>37.229344400000002</v>
      </c>
      <c r="X133" s="24">
        <v>36.992934499999997</v>
      </c>
      <c r="Y133" s="23"/>
      <c r="Z133" s="26">
        <v>1.484</v>
      </c>
      <c r="AA133" s="26">
        <v>1.25</v>
      </c>
      <c r="AC133" s="18" t="str">
        <f t="shared" ref="AC133:AC196" si="27">IF(OR(ISBLANK(AJ133),ISBLANK(G133)),"·",AJ133*G133/F133/1000000)</f>
        <v>·</v>
      </c>
      <c r="AD133" s="19">
        <f t="shared" ref="AD133:AD196" si="28">IF(ISBLANK(AJ133),"·",AJ133/D133)</f>
        <v>1.0077462669040442</v>
      </c>
      <c r="AE133" s="19">
        <f t="shared" ref="AE133:AE196" si="29">IF(AK133="","·",AK133/D133)</f>
        <v>6.7865882546671294E-2</v>
      </c>
      <c r="AF133" s="19">
        <f t="shared" ref="AF133:AF196" si="30">IF(ISBLANK(AL133),"·",AL133/D133)</f>
        <v>0.94006935061744723</v>
      </c>
      <c r="AG133" s="20"/>
      <c r="AH133" s="19">
        <f t="shared" ref="AH133:AH196" si="31">IF(ISBLANK(AJ133),"·",AJ133/AI133)</f>
        <v>1.995429774883005</v>
      </c>
      <c r="AI133" s="21">
        <v>748322</v>
      </c>
      <c r="AJ133" s="22">
        <v>1493224</v>
      </c>
      <c r="AK133" s="22">
        <v>100560</v>
      </c>
      <c r="AL133" s="22">
        <v>1392944</v>
      </c>
      <c r="AM133" s="23"/>
      <c r="AN133" s="24">
        <v>58.046529100000001</v>
      </c>
      <c r="AO133" s="24">
        <v>61.9193061</v>
      </c>
      <c r="AP133" s="24">
        <v>20.825285999999998</v>
      </c>
      <c r="AQ133" s="24">
        <v>37.229344400000002</v>
      </c>
      <c r="AR133" s="24">
        <v>36.992934499999997</v>
      </c>
      <c r="AS133" s="25"/>
      <c r="AT133" s="26">
        <v>1.4359999999999999</v>
      </c>
      <c r="AU133" s="26">
        <v>1.218</v>
      </c>
      <c r="AW133" s="27">
        <f t="shared" ref="AW133:AW196" si="32">(AK133/AJ133) - (Q133/P133)</f>
        <v>5.8324839968365572E-4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>
        <f t="shared" si="23"/>
        <v>2.4406720180111843</v>
      </c>
      <c r="K134" s="34">
        <f t="shared" si="24"/>
        <v>0.29309746744718729</v>
      </c>
      <c r="L134" s="34">
        <f t="shared" si="25"/>
        <v>2.1472614064758737</v>
      </c>
      <c r="M134" s="35"/>
      <c r="N134" s="34">
        <f t="shared" si="26"/>
        <v>3.6537461330337422</v>
      </c>
      <c r="O134" s="36">
        <v>989794</v>
      </c>
      <c r="P134" s="37">
        <v>3616456</v>
      </c>
      <c r="Q134" s="37">
        <v>434296</v>
      </c>
      <c r="R134" s="37">
        <v>3181696</v>
      </c>
      <c r="S134" s="38"/>
      <c r="T134" s="39">
        <v>59.622191800000003</v>
      </c>
      <c r="U134" s="39">
        <v>63.776589899999998</v>
      </c>
      <c r="V134" s="39">
        <v>21.556020499999999</v>
      </c>
      <c r="W134" s="39">
        <v>38.148183899999999</v>
      </c>
      <c r="X134" s="39">
        <v>37.917507100000002</v>
      </c>
      <c r="Y134" s="38"/>
      <c r="Z134" s="41">
        <v>3.03</v>
      </c>
      <c r="AA134" s="41">
        <v>2.5150000000000001</v>
      </c>
      <c r="AC134" s="33" t="str">
        <f t="shared" si="27"/>
        <v>·</v>
      </c>
      <c r="AD134" s="34">
        <f t="shared" si="28"/>
        <v>2.4407638016232203</v>
      </c>
      <c r="AE134" s="34">
        <f t="shared" si="29"/>
        <v>0.29837232562126031</v>
      </c>
      <c r="AF134" s="34">
        <f t="shared" si="30"/>
        <v>2.1472614064758737</v>
      </c>
      <c r="AG134" s="35"/>
      <c r="AH134" s="34">
        <f t="shared" si="31"/>
        <v>3.6538835353619037</v>
      </c>
      <c r="AI134" s="36">
        <v>989794</v>
      </c>
      <c r="AJ134" s="37">
        <v>3616592</v>
      </c>
      <c r="AK134" s="37">
        <v>442112</v>
      </c>
      <c r="AL134" s="37">
        <v>3181696</v>
      </c>
      <c r="AM134" s="38"/>
      <c r="AN134" s="39">
        <v>59.622191800000003</v>
      </c>
      <c r="AO134" s="39">
        <v>63.776589899999998</v>
      </c>
      <c r="AP134" s="39">
        <v>21.556020499999999</v>
      </c>
      <c r="AQ134" s="39">
        <v>38.148183899999999</v>
      </c>
      <c r="AR134" s="39">
        <v>37.917507100000002</v>
      </c>
      <c r="AS134" s="40"/>
      <c r="AT134" s="41">
        <v>2.9359999999999999</v>
      </c>
      <c r="AU134" s="41">
        <v>2.4830000000000001</v>
      </c>
      <c r="AW134" s="42">
        <f t="shared" si="32"/>
        <v>2.1566347318093398E-3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27"/>
        <v>·</v>
      </c>
      <c r="AD135" s="19" t="str">
        <f t="shared" si="28"/>
        <v>·</v>
      </c>
      <c r="AE135" s="19">
        <f t="shared" si="29"/>
        <v>0</v>
      </c>
      <c r="AF135" s="19" t="str">
        <f t="shared" si="30"/>
        <v>·</v>
      </c>
      <c r="AG135" s="20"/>
      <c r="AH135" s="19" t="str">
        <f t="shared" si="31"/>
        <v>·</v>
      </c>
      <c r="AI135" s="21"/>
      <c r="AJ135" s="22"/>
      <c r="AK135" s="22">
        <v>0</v>
      </c>
      <c r="AL135" s="22"/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32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27"/>
        <v>·</v>
      </c>
      <c r="AD136" s="49" t="str">
        <f t="shared" si="28"/>
        <v>·</v>
      </c>
      <c r="AE136" s="49">
        <f t="shared" si="29"/>
        <v>0</v>
      </c>
      <c r="AF136" s="49" t="str">
        <f t="shared" si="30"/>
        <v>·</v>
      </c>
      <c r="AG136" s="50"/>
      <c r="AH136" s="49" t="str">
        <f t="shared" si="31"/>
        <v>·</v>
      </c>
      <c r="AI136" s="51"/>
      <c r="AJ136" s="52"/>
      <c r="AK136" s="52">
        <v>0</v>
      </c>
      <c r="AL136" s="52"/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32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>
        <f t="shared" si="23"/>
        <v>0.10309369086561734</v>
      </c>
      <c r="K137" s="19">
        <f t="shared" si="24"/>
        <v>1.7544116999897316E-2</v>
      </c>
      <c r="L137" s="19">
        <f t="shared" si="25"/>
        <v>8.3847970544659756E-2</v>
      </c>
      <c r="M137" s="20"/>
      <c r="N137" s="19">
        <f t="shared" si="26"/>
        <v>4.7942098387718415E-2</v>
      </c>
      <c r="O137" s="21">
        <v>586374</v>
      </c>
      <c r="P137" s="22">
        <v>28112</v>
      </c>
      <c r="Q137" s="22">
        <v>4784</v>
      </c>
      <c r="R137" s="22">
        <v>22864</v>
      </c>
      <c r="S137" s="23"/>
      <c r="T137" s="24">
        <v>51.546671099999998</v>
      </c>
      <c r="U137" s="24">
        <v>53.888002200000003</v>
      </c>
      <c r="V137" s="24">
        <v>28.225167599999999</v>
      </c>
      <c r="W137" s="24">
        <v>40.141483899999997</v>
      </c>
      <c r="X137" s="24">
        <v>41.021787000000003</v>
      </c>
      <c r="Y137" s="23"/>
      <c r="Z137" s="26">
        <v>0.85799999999999998</v>
      </c>
      <c r="AA137" s="26">
        <v>0.70199999999999996</v>
      </c>
      <c r="AC137" s="18" t="str">
        <f t="shared" si="27"/>
        <v>·</v>
      </c>
      <c r="AD137" s="19">
        <f t="shared" si="28"/>
        <v>0.10312302885391149</v>
      </c>
      <c r="AE137" s="19">
        <f t="shared" si="29"/>
        <v>1.7544116999897316E-2</v>
      </c>
      <c r="AF137" s="19">
        <f t="shared" si="30"/>
        <v>8.3847970544659756E-2</v>
      </c>
      <c r="AG137" s="20"/>
      <c r="AH137" s="19">
        <f t="shared" si="31"/>
        <v>4.7955741557436038E-2</v>
      </c>
      <c r="AI137" s="21">
        <v>586374</v>
      </c>
      <c r="AJ137" s="22">
        <v>28120</v>
      </c>
      <c r="AK137" s="22">
        <v>4784</v>
      </c>
      <c r="AL137" s="22">
        <v>22864</v>
      </c>
      <c r="AM137" s="23"/>
      <c r="AN137" s="24">
        <v>51.546671099999998</v>
      </c>
      <c r="AO137" s="24">
        <v>53.888002200000003</v>
      </c>
      <c r="AP137" s="24">
        <v>28.225167599999999</v>
      </c>
      <c r="AQ137" s="24">
        <v>40.141483899999997</v>
      </c>
      <c r="AR137" s="24">
        <v>41.021787000000003</v>
      </c>
      <c r="AS137" s="25"/>
      <c r="AT137" s="26">
        <v>0.81200000000000006</v>
      </c>
      <c r="AU137" s="26">
        <v>0.73399999999999999</v>
      </c>
      <c r="AW137" s="27">
        <f t="shared" si="32"/>
        <v>-4.8414349106323806E-5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5.7593069437009703E-3</v>
      </c>
      <c r="BA137" s="28">
        <f>IF( OR(ISBLANK(Q137:Q142),ISBLANK(AK137:AK142), ISBLANK(U137:U142),ISBLANK(AO137:AO142)), "·", bdRateExtend( Q137:Q142,U137:U142, AK137:AK142,AO137:AO142))</f>
        <v>6.3221808180933259E-3</v>
      </c>
      <c r="BB137" s="28">
        <f>IF( OR(ISBLANK(R137:R142),ISBLANK(AL137:AL142), ISBLANK(V137:V142),ISBLANK(AP137:AP142)), "·", bdRateExtend( R137:R142,V137:V142, AL137:AL142,AP137:AP142))</f>
        <v>0</v>
      </c>
      <c r="BC137" s="28">
        <f>IF( OR(ISBLANK(R137:R142),ISBLANK(AL137:AL142), ISBLANK(W137:W142),ISBLANK(AQ137:AQ142)), "·", bdRateExtend( R137:R142,W137:W142, AL137:AL142,AQ137:AQ142))</f>
        <v>0</v>
      </c>
      <c r="BD137" s="28">
        <f>IF( OR(ISBLANK(R137:R142),ISBLANK(AL137:AL142), ISBLANK(X137:X142),ISBLANK(AR137:AR142)), "·", bdRateExtend( R137:R142,X137:X142, AL137:AL142,AR137:AR142))</f>
        <v>0</v>
      </c>
      <c r="BE137" s="29"/>
      <c r="BG137" s="28">
        <f>IF( OR(ISBLANK(P137:P142),ISBLANK(AJ137:AJ142), ISBLANK(T137:T142),ISBLANK(AN137:AN142)), "·", bdRateExtend( P137:P142,T137:T142, AJ137:AJ142,AN137:AN142))</f>
        <v>6.6225448082346539E-4</v>
      </c>
      <c r="BH137" s="28">
        <f>IF( OR(ISBLANK(P137:P142),ISBLANK(AJ137:AJ142), ISBLANK(U137:U142),ISBLANK(AO137:AO142)), "·", bdRateExtend( P137:P142,U137:U142, AJ137:AJ142,AO137:AO142))</f>
        <v>7.0554298048364217E-4</v>
      </c>
      <c r="BI137" s="28">
        <f>IF( OR(ISBLANK(P137:P142),ISBLANK(AJ137:AJ142), ISBLANK(V137:V142),ISBLANK(AP137:AP142)), "·", bdRateExtend( P137:P142,V137:V142, AJ137:AJ142,AP137:AP142))</f>
        <v>7.1605610783365137E-4</v>
      </c>
      <c r="BJ137" s="28">
        <f>IF( OR(ISBLANK(P137:P142),ISBLANK(AJ137:AJ142), ISBLANK(W137:W142),ISBLANK(AQ137:AQ142)), "·", bdRateExtend( P137:P142,W137:W142, AJ137:AJ142,AQ137:AQ142))</f>
        <v>6.1643774200992318E-4</v>
      </c>
      <c r="BK137" s="28">
        <f>IF( OR(ISBLANK(P137:P142),ISBLANK(AJ137:AJ142), ISBLANK(X137:X142),ISBLANK(AR137:AR142)), "·", bdRateExtend( P137:P142,X137:X142, AJ137:AJ142,AR137:AR142))</f>
        <v>5.8998417952182969E-4</v>
      </c>
      <c r="BL137" s="29"/>
    </row>
    <row r="138" spans="1:64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>
        <f t="shared" si="23"/>
        <v>0.28798169309530447</v>
      </c>
      <c r="K138" s="34">
        <f t="shared" si="24"/>
        <v>5.7443781079931353E-2</v>
      </c>
      <c r="L138" s="34">
        <f t="shared" si="25"/>
        <v>0.22883630869431282</v>
      </c>
      <c r="M138" s="35"/>
      <c r="N138" s="34">
        <f t="shared" si="26"/>
        <v>0.13593426243441564</v>
      </c>
      <c r="O138" s="36">
        <v>577691</v>
      </c>
      <c r="P138" s="37">
        <v>78528</v>
      </c>
      <c r="Q138" s="37">
        <v>15664</v>
      </c>
      <c r="R138" s="37">
        <v>62400</v>
      </c>
      <c r="S138" s="38"/>
      <c r="T138" s="39">
        <v>56.839413700000001</v>
      </c>
      <c r="U138" s="39">
        <v>59.153519600000003</v>
      </c>
      <c r="V138" s="39">
        <v>30.930051599999999</v>
      </c>
      <c r="W138" s="39">
        <v>41.486353700000002</v>
      </c>
      <c r="X138" s="39">
        <v>42.4633021</v>
      </c>
      <c r="Y138" s="38"/>
      <c r="Z138" s="41">
        <v>0.96799999999999997</v>
      </c>
      <c r="AA138" s="41">
        <v>0.79600000000000004</v>
      </c>
      <c r="AC138" s="33" t="str">
        <f t="shared" si="27"/>
        <v>·</v>
      </c>
      <c r="AD138" s="34">
        <f t="shared" si="28"/>
        <v>0.28830441096654003</v>
      </c>
      <c r="AE138" s="34">
        <f t="shared" si="29"/>
        <v>5.7971864869225918E-2</v>
      </c>
      <c r="AF138" s="34">
        <f t="shared" si="30"/>
        <v>0.22883630869431282</v>
      </c>
      <c r="AG138" s="35"/>
      <c r="AH138" s="34">
        <f t="shared" si="31"/>
        <v>0.13608659300560333</v>
      </c>
      <c r="AI138" s="36">
        <v>577691</v>
      </c>
      <c r="AJ138" s="37">
        <v>78616</v>
      </c>
      <c r="AK138" s="37">
        <v>15808</v>
      </c>
      <c r="AL138" s="37">
        <v>62400</v>
      </c>
      <c r="AM138" s="38"/>
      <c r="AN138" s="39">
        <v>56.839413700000001</v>
      </c>
      <c r="AO138" s="39">
        <v>59.153519600000003</v>
      </c>
      <c r="AP138" s="39">
        <v>30.930051599999999</v>
      </c>
      <c r="AQ138" s="39">
        <v>41.486353700000002</v>
      </c>
      <c r="AR138" s="39">
        <v>42.4633021</v>
      </c>
      <c r="AS138" s="40"/>
      <c r="AT138" s="41">
        <v>0.88900000000000001</v>
      </c>
      <c r="AU138" s="41">
        <v>0.73399999999999999</v>
      </c>
      <c r="AW138" s="42">
        <f t="shared" si="32"/>
        <v>1.6084081836637842E-3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>
        <f t="shared" si="23"/>
        <v>0.92391192735914096</v>
      </c>
      <c r="K139" s="19">
        <f t="shared" si="24"/>
        <v>0.24362265479456074</v>
      </c>
      <c r="L139" s="19">
        <f t="shared" si="25"/>
        <v>0.67858766924351999</v>
      </c>
      <c r="M139" s="20"/>
      <c r="N139" s="19">
        <f t="shared" si="26"/>
        <v>0.35948335397558318</v>
      </c>
      <c r="O139" s="21">
        <v>700828</v>
      </c>
      <c r="P139" s="22">
        <v>251936</v>
      </c>
      <c r="Q139" s="22">
        <v>66432</v>
      </c>
      <c r="R139" s="22">
        <v>185040</v>
      </c>
      <c r="S139" s="23"/>
      <c r="T139" s="24">
        <v>58.269922899999997</v>
      </c>
      <c r="U139" s="24">
        <v>61.257719299999998</v>
      </c>
      <c r="V139" s="24">
        <v>32.9085599</v>
      </c>
      <c r="W139" s="24">
        <v>43.825595100000001</v>
      </c>
      <c r="X139" s="24">
        <v>44.375182500000001</v>
      </c>
      <c r="Y139" s="23"/>
      <c r="Z139" s="26">
        <v>1.468</v>
      </c>
      <c r="AA139" s="26">
        <v>1.234</v>
      </c>
      <c r="AC139" s="18" t="str">
        <f t="shared" si="27"/>
        <v>·</v>
      </c>
      <c r="AD139" s="19">
        <f t="shared" si="28"/>
        <v>0.92417596925378831</v>
      </c>
      <c r="AE139" s="19">
        <f t="shared" si="29"/>
        <v>0.24799401505038798</v>
      </c>
      <c r="AF139" s="19">
        <f t="shared" si="30"/>
        <v>0.67858766924351999</v>
      </c>
      <c r="AG139" s="20"/>
      <c r="AH139" s="19">
        <f t="shared" si="31"/>
        <v>0.35958608959687682</v>
      </c>
      <c r="AI139" s="21">
        <v>700828</v>
      </c>
      <c r="AJ139" s="22">
        <v>252008</v>
      </c>
      <c r="AK139" s="22">
        <v>67624</v>
      </c>
      <c r="AL139" s="22">
        <v>185040</v>
      </c>
      <c r="AM139" s="23"/>
      <c r="AN139" s="24">
        <v>58.269922899999997</v>
      </c>
      <c r="AO139" s="24">
        <v>61.257719299999998</v>
      </c>
      <c r="AP139" s="24">
        <v>32.9085599</v>
      </c>
      <c r="AQ139" s="24">
        <v>43.825595100000001</v>
      </c>
      <c r="AR139" s="24">
        <v>44.375182500000001</v>
      </c>
      <c r="AS139" s="25"/>
      <c r="AT139" s="26">
        <v>1.343</v>
      </c>
      <c r="AU139" s="26">
        <v>1.171</v>
      </c>
      <c r="AW139" s="27">
        <f t="shared" si="32"/>
        <v>4.6546721012201697E-3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>
        <f t="shared" si="23"/>
        <v>2.779187631104135</v>
      </c>
      <c r="K140" s="34">
        <f t="shared" si="24"/>
        <v>1.0433762156928899</v>
      </c>
      <c r="L140" s="34">
        <f t="shared" si="25"/>
        <v>1.734109812090185</v>
      </c>
      <c r="M140" s="35"/>
      <c r="N140" s="34">
        <f t="shared" si="26"/>
        <v>0.83599186335376319</v>
      </c>
      <c r="O140" s="36">
        <v>906516</v>
      </c>
      <c r="P140" s="37">
        <v>757840</v>
      </c>
      <c r="Q140" s="37">
        <v>284512</v>
      </c>
      <c r="R140" s="37">
        <v>472864</v>
      </c>
      <c r="S140" s="38"/>
      <c r="T140" s="39">
        <v>58.527166000000001</v>
      </c>
      <c r="U140" s="39">
        <v>61.445379699999997</v>
      </c>
      <c r="V140" s="39">
        <v>33.893015499999997</v>
      </c>
      <c r="W140" s="39">
        <v>45.291564200000003</v>
      </c>
      <c r="X140" s="39">
        <v>46.041190200000003</v>
      </c>
      <c r="Y140" s="38"/>
      <c r="Z140" s="41">
        <v>2.4049999999999998</v>
      </c>
      <c r="AA140" s="41">
        <v>2.0779999999999998</v>
      </c>
      <c r="AC140" s="33" t="str">
        <f t="shared" si="27"/>
        <v>·</v>
      </c>
      <c r="AD140" s="34">
        <f t="shared" si="28"/>
        <v>2.7798917428231946</v>
      </c>
      <c r="AE140" s="34">
        <f t="shared" si="29"/>
        <v>1.0657024247847324</v>
      </c>
      <c r="AF140" s="34">
        <f t="shared" si="30"/>
        <v>1.734109812090185</v>
      </c>
      <c r="AG140" s="35"/>
      <c r="AH140" s="34">
        <f t="shared" si="31"/>
        <v>0.83620366325580575</v>
      </c>
      <c r="AI140" s="36">
        <v>906516</v>
      </c>
      <c r="AJ140" s="37">
        <v>758032</v>
      </c>
      <c r="AK140" s="37">
        <v>290600</v>
      </c>
      <c r="AL140" s="37">
        <v>472864</v>
      </c>
      <c r="AM140" s="38"/>
      <c r="AN140" s="39">
        <v>58.527166000000001</v>
      </c>
      <c r="AO140" s="39">
        <v>61.445379699999997</v>
      </c>
      <c r="AP140" s="39">
        <v>33.893015499999997</v>
      </c>
      <c r="AQ140" s="39">
        <v>45.291564200000003</v>
      </c>
      <c r="AR140" s="39">
        <v>46.041190200000003</v>
      </c>
      <c r="AS140" s="40"/>
      <c r="AT140" s="41">
        <v>2.3580000000000001</v>
      </c>
      <c r="AU140" s="41">
        <v>2.0459999999999998</v>
      </c>
      <c r="AW140" s="42">
        <f t="shared" si="32"/>
        <v>7.9362327985821324E-3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27"/>
        <v>·</v>
      </c>
      <c r="AD141" s="19" t="str">
        <f t="shared" si="28"/>
        <v>·</v>
      </c>
      <c r="AE141" s="19">
        <f t="shared" si="29"/>
        <v>0</v>
      </c>
      <c r="AF141" s="19" t="str">
        <f t="shared" si="30"/>
        <v>·</v>
      </c>
      <c r="AG141" s="20"/>
      <c r="AH141" s="19" t="str">
        <f t="shared" si="31"/>
        <v>·</v>
      </c>
      <c r="AI141" s="21"/>
      <c r="AJ141" s="22"/>
      <c r="AK141" s="22">
        <v>0</v>
      </c>
      <c r="AL141" s="22"/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32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27"/>
        <v>·</v>
      </c>
      <c r="AD142" s="49" t="str">
        <f t="shared" si="28"/>
        <v>·</v>
      </c>
      <c r="AE142" s="49">
        <f t="shared" si="29"/>
        <v>0</v>
      </c>
      <c r="AF142" s="49" t="str">
        <f t="shared" si="30"/>
        <v>·</v>
      </c>
      <c r="AG142" s="50"/>
      <c r="AH142" s="49" t="str">
        <f t="shared" si="31"/>
        <v>·</v>
      </c>
      <c r="AI142" s="51"/>
      <c r="AJ142" s="52"/>
      <c r="AK142" s="52">
        <v>0</v>
      </c>
      <c r="AL142" s="52"/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32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>
        <f t="shared" si="23"/>
        <v>5.0803396890911581E-2</v>
      </c>
      <c r="K143" s="19">
        <f t="shared" si="24"/>
        <v>7.3550587759940429E-4</v>
      </c>
      <c r="L143" s="19">
        <f t="shared" si="25"/>
        <v>4.9955177125576164E-2</v>
      </c>
      <c r="M143" s="20"/>
      <c r="N143" s="19">
        <f t="shared" si="26"/>
        <v>0.51929437437603587</v>
      </c>
      <c r="O143" s="21">
        <v>409679</v>
      </c>
      <c r="P143" s="22">
        <v>212744</v>
      </c>
      <c r="Q143" s="22">
        <v>3080</v>
      </c>
      <c r="R143" s="22">
        <v>209192</v>
      </c>
      <c r="S143" s="23"/>
      <c r="T143" s="24">
        <v>50.357228999999997</v>
      </c>
      <c r="U143" s="24">
        <v>55.418549800000001</v>
      </c>
      <c r="V143" s="24">
        <v>15.7245857</v>
      </c>
      <c r="W143" s="24">
        <v>35.070901399999997</v>
      </c>
      <c r="X143" s="24">
        <v>32.112271200000002</v>
      </c>
      <c r="Y143" s="23"/>
      <c r="Z143" s="26">
        <v>0.59299999999999997</v>
      </c>
      <c r="AA143" s="26">
        <v>0.499</v>
      </c>
      <c r="AC143" s="18" t="str">
        <f t="shared" si="27"/>
        <v>·</v>
      </c>
      <c r="AD143" s="19">
        <f t="shared" si="28"/>
        <v>5.0807217700665347E-2</v>
      </c>
      <c r="AE143" s="19">
        <f t="shared" si="29"/>
        <v>7.4123709223004907E-4</v>
      </c>
      <c r="AF143" s="19">
        <f t="shared" si="30"/>
        <v>4.9955177125576164E-2</v>
      </c>
      <c r="AG143" s="20"/>
      <c r="AH143" s="19">
        <f t="shared" si="31"/>
        <v>0.51933342934346161</v>
      </c>
      <c r="AI143" s="21">
        <v>409679</v>
      </c>
      <c r="AJ143" s="22">
        <v>212760</v>
      </c>
      <c r="AK143" s="22">
        <v>3104</v>
      </c>
      <c r="AL143" s="22">
        <v>209192</v>
      </c>
      <c r="AM143" s="23"/>
      <c r="AN143" s="24">
        <v>50.357228999999997</v>
      </c>
      <c r="AO143" s="24">
        <v>55.418549800000001</v>
      </c>
      <c r="AP143" s="24">
        <v>15.7245857</v>
      </c>
      <c r="AQ143" s="24">
        <v>35.070901399999997</v>
      </c>
      <c r="AR143" s="24">
        <v>32.112271200000002</v>
      </c>
      <c r="AS143" s="25"/>
      <c r="AT143" s="26">
        <v>0.59299999999999997</v>
      </c>
      <c r="AU143" s="26">
        <v>0.45200000000000001</v>
      </c>
      <c r="AW143" s="27">
        <f t="shared" si="32"/>
        <v>1.1171442044915179E-4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3.8877449435026357E-3</v>
      </c>
      <c r="BA143" s="28">
        <f>IF( OR(ISBLANK(Q143:Q148),ISBLANK(AK143:AK148), ISBLANK(U143:U148),ISBLANK(AO143:AO148)), "·", bdRateExtend( Q143:Q148,U143:U148, AK143:AK148,AO143:AO148))</f>
        <v>4.1678632749870825E-3</v>
      </c>
      <c r="BB143" s="28">
        <f>IF( OR(ISBLANK(R143:R148),ISBLANK(AL143:AL148), ISBLANK(V143:V148),ISBLANK(AP143:AP148)), "·", bdRateExtend( R143:R148,V143:V148, AL143:AL148,AP143:AP148))</f>
        <v>0</v>
      </c>
      <c r="BC143" s="28">
        <f>IF( OR(ISBLANK(R143:R148),ISBLANK(AL143:AL148), ISBLANK(W143:W148),ISBLANK(AQ143:AQ148)), "·", bdRateExtend( R143:R148,W143:W148, AL143:AL148,AQ143:AQ148))</f>
        <v>0</v>
      </c>
      <c r="BD143" s="28">
        <f>IF( OR(ISBLANK(R143:R148),ISBLANK(AL143:AL148), ISBLANK(X143:X148),ISBLANK(AR143:AR148)), "·", bdRateExtend( R143:R148,X143:X148, AL143:AL148,AR143:AR148))</f>
        <v>0</v>
      </c>
      <c r="BE143" s="29"/>
      <c r="BG143" s="28">
        <f>IF( OR(ISBLANK(P143:P148),ISBLANK(AJ143:AJ148), ISBLANK(T143:T148),ISBLANK(AN143:AN148)), "·", bdRateExtend( P143:P148,T143:T148, AJ143:AJ148,AN143:AN148))</f>
        <v>4.8750847517320395E-5</v>
      </c>
      <c r="BH143" s="28">
        <f>IF( OR(ISBLANK(P143:P148),ISBLANK(AJ143:AJ148), ISBLANK(U143:U148),ISBLANK(AO143:AO148)), "·", bdRateExtend( P143:P148,U143:U148, AJ143:AJ148,AO143:AO148))</f>
        <v>4.7647649628501654E-5</v>
      </c>
      <c r="BI143" s="28">
        <f>IF( OR(ISBLANK(P143:P148),ISBLANK(AJ143:AJ148), ISBLANK(V143:V148),ISBLANK(AP143:AP148)), "·", bdRateExtend( P143:P148,V143:V148, AJ143:AJ148,AP143:AP148))</f>
        <v>4.6515633678856361E-5</v>
      </c>
      <c r="BJ143" s="28">
        <f>IF( OR(ISBLANK(P143:P148),ISBLANK(AJ143:AJ148), ISBLANK(W143:W148),ISBLANK(AQ143:AQ148)), "·", bdRateExtend( P143:P148,W143:W148, AJ143:AJ148,AQ143:AQ148))</f>
        <v>4.4186832043102697E-5</v>
      </c>
      <c r="BK143" s="28">
        <f>IF( OR(ISBLANK(P143:P148),ISBLANK(AJ143:AJ148), ISBLANK(X143:X148),ISBLANK(AR143:AR148)), "·", bdRateExtend( P143:P148,X143:X148, AJ143:AJ148,AR143:AR148))</f>
        <v>4.4858408872361366E-5</v>
      </c>
      <c r="BL143" s="29"/>
    </row>
    <row r="144" spans="1:64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>
        <f t="shared" si="23"/>
        <v>0.17646218807267372</v>
      </c>
      <c r="K144" s="34">
        <f t="shared" si="24"/>
        <v>3.2763443638518922E-3</v>
      </c>
      <c r="L144" s="34">
        <f t="shared" si="25"/>
        <v>0.1730731298210858</v>
      </c>
      <c r="M144" s="35"/>
      <c r="N144" s="34">
        <f t="shared" si="26"/>
        <v>1.4851664640090041</v>
      </c>
      <c r="O144" s="36">
        <v>497555</v>
      </c>
      <c r="P144" s="37">
        <v>738952</v>
      </c>
      <c r="Q144" s="37">
        <v>13720</v>
      </c>
      <c r="R144" s="37">
        <v>724760</v>
      </c>
      <c r="S144" s="38"/>
      <c r="T144" s="39">
        <v>55.099859100000003</v>
      </c>
      <c r="U144" s="39">
        <v>59.152903500000001</v>
      </c>
      <c r="V144" s="39">
        <v>16.394961200000001</v>
      </c>
      <c r="W144" s="39">
        <v>35.586485600000003</v>
      </c>
      <c r="X144" s="39">
        <v>32.837544700000002</v>
      </c>
      <c r="Y144" s="38"/>
      <c r="Z144" s="41">
        <v>0.84299999999999997</v>
      </c>
      <c r="AA144" s="41">
        <v>0.71799999999999997</v>
      </c>
      <c r="AC144" s="33" t="str">
        <f t="shared" si="27"/>
        <v>·</v>
      </c>
      <c r="AD144" s="34">
        <f t="shared" si="28"/>
        <v>0.17646982969218125</v>
      </c>
      <c r="AE144" s="34">
        <f t="shared" si="29"/>
        <v>3.2839859833594183E-3</v>
      </c>
      <c r="AF144" s="34">
        <f t="shared" si="30"/>
        <v>0.1730731298210858</v>
      </c>
      <c r="AG144" s="35"/>
      <c r="AH144" s="34">
        <f t="shared" si="31"/>
        <v>1.4852307785068988</v>
      </c>
      <c r="AI144" s="36">
        <v>497555</v>
      </c>
      <c r="AJ144" s="37">
        <v>738984</v>
      </c>
      <c r="AK144" s="37">
        <v>13752</v>
      </c>
      <c r="AL144" s="37">
        <v>724760</v>
      </c>
      <c r="AM144" s="38"/>
      <c r="AN144" s="39">
        <v>55.099859100000003</v>
      </c>
      <c r="AO144" s="39">
        <v>59.152903500000001</v>
      </c>
      <c r="AP144" s="39">
        <v>16.394961200000001</v>
      </c>
      <c r="AQ144" s="39">
        <v>35.586485600000003</v>
      </c>
      <c r="AR144" s="39">
        <v>32.837544700000002</v>
      </c>
      <c r="AS144" s="40"/>
      <c r="AT144" s="41">
        <v>0.85799999999999998</v>
      </c>
      <c r="AU144" s="41">
        <v>0.65600000000000003</v>
      </c>
      <c r="AW144" s="42">
        <f t="shared" si="32"/>
        <v>4.2498702642824321E-5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>
        <f t="shared" si="23"/>
        <v>0.47817625108833378</v>
      </c>
      <c r="K145" s="19">
        <f t="shared" si="24"/>
        <v>1.70408115017836E-2</v>
      </c>
      <c r="L145" s="19">
        <f t="shared" si="25"/>
        <v>0.46102272569881414</v>
      </c>
      <c r="M145" s="20"/>
      <c r="N145" s="19">
        <f t="shared" si="26"/>
        <v>2.8886398028854545</v>
      </c>
      <c r="O145" s="21">
        <v>693201</v>
      </c>
      <c r="P145" s="22">
        <v>2002408</v>
      </c>
      <c r="Q145" s="22">
        <v>71360</v>
      </c>
      <c r="R145" s="22">
        <v>1930576</v>
      </c>
      <c r="S145" s="23"/>
      <c r="T145" s="24">
        <v>58.075631100000003</v>
      </c>
      <c r="U145" s="24">
        <v>61.283169200000003</v>
      </c>
      <c r="V145" s="24">
        <v>16.911838299999999</v>
      </c>
      <c r="W145" s="24">
        <v>36.405222799999997</v>
      </c>
      <c r="X145" s="24">
        <v>33.8066508</v>
      </c>
      <c r="Y145" s="23"/>
      <c r="Z145" s="26">
        <v>1.327</v>
      </c>
      <c r="AA145" s="26">
        <v>1.109</v>
      </c>
      <c r="AC145" s="18" t="str">
        <f t="shared" si="27"/>
        <v>·</v>
      </c>
      <c r="AD145" s="19">
        <f t="shared" si="28"/>
        <v>0.47819917594685635</v>
      </c>
      <c r="AE145" s="19">
        <f t="shared" si="29"/>
        <v>1.7061825955429297E-2</v>
      </c>
      <c r="AF145" s="19">
        <f t="shared" si="30"/>
        <v>0.46102272569881414</v>
      </c>
      <c r="AG145" s="20"/>
      <c r="AH145" s="19">
        <f t="shared" si="31"/>
        <v>2.8887782908564761</v>
      </c>
      <c r="AI145" s="21">
        <v>693201</v>
      </c>
      <c r="AJ145" s="22">
        <v>2002504</v>
      </c>
      <c r="AK145" s="22">
        <v>71448</v>
      </c>
      <c r="AL145" s="22">
        <v>1930576</v>
      </c>
      <c r="AM145" s="23"/>
      <c r="AN145" s="24">
        <v>58.075631100000003</v>
      </c>
      <c r="AO145" s="24">
        <v>61.283169200000003</v>
      </c>
      <c r="AP145" s="24">
        <v>16.911838299999999</v>
      </c>
      <c r="AQ145" s="24">
        <v>36.405222799999997</v>
      </c>
      <c r="AR145" s="24">
        <v>33.8066508</v>
      </c>
      <c r="AS145" s="25"/>
      <c r="AT145" s="26">
        <v>1.3109999999999999</v>
      </c>
      <c r="AU145" s="26">
        <v>1.1240000000000001</v>
      </c>
      <c r="AW145" s="27">
        <f t="shared" si="32"/>
        <v>4.2236539391560246E-5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>
        <f t="shared" si="23"/>
        <v>1.035080287152957</v>
      </c>
      <c r="K146" s="34">
        <f t="shared" si="24"/>
        <v>7.635315171432569E-2</v>
      </c>
      <c r="L146" s="34">
        <f t="shared" si="25"/>
        <v>0.95861442155089538</v>
      </c>
      <c r="M146" s="35"/>
      <c r="N146" s="34">
        <f t="shared" si="26"/>
        <v>4.8404109076574491</v>
      </c>
      <c r="O146" s="36">
        <v>895481</v>
      </c>
      <c r="P146" s="37">
        <v>4334496</v>
      </c>
      <c r="Q146" s="37">
        <v>319736</v>
      </c>
      <c r="R146" s="37">
        <v>4014288</v>
      </c>
      <c r="S146" s="38"/>
      <c r="T146" s="39">
        <v>60.468224999999997</v>
      </c>
      <c r="U146" s="39">
        <v>64.084509499999996</v>
      </c>
      <c r="V146" s="39">
        <v>17.6079975</v>
      </c>
      <c r="W146" s="39">
        <v>37.608032700000003</v>
      </c>
      <c r="X146" s="39">
        <v>35.120506499999998</v>
      </c>
      <c r="Y146" s="38"/>
      <c r="Z146" s="41">
        <v>2.577</v>
      </c>
      <c r="AA146" s="41">
        <v>2.2330000000000001</v>
      </c>
      <c r="AC146" s="33" t="str">
        <f t="shared" si="27"/>
        <v>·</v>
      </c>
      <c r="AD146" s="34">
        <f t="shared" si="28"/>
        <v>1.0351051224163565</v>
      </c>
      <c r="AE146" s="34">
        <f t="shared" si="29"/>
        <v>7.7251042006460033E-2</v>
      </c>
      <c r="AF146" s="34">
        <f t="shared" si="30"/>
        <v>0.95861442155089538</v>
      </c>
      <c r="AG146" s="35"/>
      <c r="AH146" s="34">
        <f t="shared" si="31"/>
        <v>4.8405270463583259</v>
      </c>
      <c r="AI146" s="36">
        <v>895481</v>
      </c>
      <c r="AJ146" s="37">
        <v>4334600</v>
      </c>
      <c r="AK146" s="37">
        <v>323496</v>
      </c>
      <c r="AL146" s="37">
        <v>4014288</v>
      </c>
      <c r="AM146" s="38"/>
      <c r="AN146" s="39">
        <v>60.468224999999997</v>
      </c>
      <c r="AO146" s="39">
        <v>64.084509499999996</v>
      </c>
      <c r="AP146" s="39">
        <v>17.6079975</v>
      </c>
      <c r="AQ146" s="39">
        <v>37.608032700000003</v>
      </c>
      <c r="AR146" s="39">
        <v>35.120506499999998</v>
      </c>
      <c r="AS146" s="40"/>
      <c r="AT146" s="41">
        <v>2.4990000000000001</v>
      </c>
      <c r="AU146" s="41">
        <v>2.2799999999999998</v>
      </c>
      <c r="AW146" s="42">
        <f t="shared" si="32"/>
        <v>8.6566889548073123E-4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27"/>
        <v>·</v>
      </c>
      <c r="AD147" s="19" t="str">
        <f t="shared" si="28"/>
        <v>·</v>
      </c>
      <c r="AE147" s="19">
        <f t="shared" si="29"/>
        <v>0</v>
      </c>
      <c r="AF147" s="19" t="str">
        <f t="shared" si="30"/>
        <v>·</v>
      </c>
      <c r="AG147" s="20"/>
      <c r="AH147" s="19" t="str">
        <f t="shared" si="31"/>
        <v>·</v>
      </c>
      <c r="AI147" s="21"/>
      <c r="AJ147" s="22"/>
      <c r="AK147" s="22">
        <v>0</v>
      </c>
      <c r="AL147" s="22"/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32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27"/>
        <v>·</v>
      </c>
      <c r="AD148" s="49" t="str">
        <f t="shared" si="28"/>
        <v>·</v>
      </c>
      <c r="AE148" s="49">
        <f t="shared" si="29"/>
        <v>0</v>
      </c>
      <c r="AF148" s="49" t="str">
        <f t="shared" si="30"/>
        <v>·</v>
      </c>
      <c r="AG148" s="50"/>
      <c r="AH148" s="49" t="str">
        <f t="shared" si="31"/>
        <v>·</v>
      </c>
      <c r="AI148" s="51"/>
      <c r="AJ148" s="52"/>
      <c r="AK148" s="52">
        <v>0</v>
      </c>
      <c r="AL148" s="52"/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32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15">
      <c r="A149" s="15"/>
      <c r="B149" s="15" t="s">
        <v>1044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>
        <f t="shared" si="23"/>
        <v>0.15109222579404874</v>
      </c>
      <c r="K149" s="19">
        <f t="shared" si="24"/>
        <v>9.7350990752448647E-3</v>
      </c>
      <c r="L149" s="19">
        <f t="shared" si="25"/>
        <v>0.14089732562241611</v>
      </c>
      <c r="M149" s="20"/>
      <c r="N149" s="19">
        <f t="shared" si="26"/>
        <v>0.31817631665713703</v>
      </c>
      <c r="O149" s="21">
        <v>479206</v>
      </c>
      <c r="P149" s="22">
        <v>152472</v>
      </c>
      <c r="Q149" s="22">
        <v>9824</v>
      </c>
      <c r="R149" s="22">
        <v>142184</v>
      </c>
      <c r="S149" s="23"/>
      <c r="T149" s="24">
        <v>52.196788900000001</v>
      </c>
      <c r="U149" s="24">
        <v>56.682779699999998</v>
      </c>
      <c r="V149" s="24">
        <v>19.2699532</v>
      </c>
      <c r="W149" s="24">
        <v>31.0747447</v>
      </c>
      <c r="X149" s="24">
        <v>33.518898900000003</v>
      </c>
      <c r="Y149" s="23"/>
      <c r="Z149" s="26">
        <v>1.28</v>
      </c>
      <c r="AA149" s="26">
        <v>0.64</v>
      </c>
      <c r="AC149" s="18" t="str">
        <f t="shared" si="27"/>
        <v>·</v>
      </c>
      <c r="AD149" s="19">
        <f t="shared" si="28"/>
        <v>0.15110015339915889</v>
      </c>
      <c r="AE149" s="19">
        <f t="shared" si="29"/>
        <v>9.7826647059056689E-3</v>
      </c>
      <c r="AF149" s="19">
        <f t="shared" si="30"/>
        <v>0.14089732562241611</v>
      </c>
      <c r="AG149" s="20"/>
      <c r="AH149" s="19">
        <f t="shared" si="31"/>
        <v>0.31819301093892816</v>
      </c>
      <c r="AI149" s="21">
        <v>479206</v>
      </c>
      <c r="AJ149" s="22">
        <v>152480</v>
      </c>
      <c r="AK149" s="22">
        <v>9872</v>
      </c>
      <c r="AL149" s="22">
        <v>142184</v>
      </c>
      <c r="AM149" s="23"/>
      <c r="AN149" s="24">
        <v>52.196788900000001</v>
      </c>
      <c r="AO149" s="24">
        <v>56.682779699999998</v>
      </c>
      <c r="AP149" s="24">
        <v>19.2699532</v>
      </c>
      <c r="AQ149" s="24">
        <v>31.0747447</v>
      </c>
      <c r="AR149" s="24">
        <v>33.518898900000003</v>
      </c>
      <c r="AS149" s="25"/>
      <c r="AT149" s="26">
        <v>1.1870000000000001</v>
      </c>
      <c r="AU149" s="26">
        <v>0.624</v>
      </c>
      <c r="AW149" s="27">
        <f t="shared" si="32"/>
        <v>3.1141492643350921E-4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1.2492442560949613E-2</v>
      </c>
      <c r="BA149" s="28">
        <f>IF( OR(ISBLANK(Q149:Q154),ISBLANK(AK149:AK154), ISBLANK(U149:U154),ISBLANK(AO149:AO154)), "·", bdRateExtend( Q149:Q154,U149:U154, AK149:AK154,AO149:AO154))</f>
        <v>1.253247473901431E-2</v>
      </c>
      <c r="BB149" s="28">
        <f>IF( OR(ISBLANK(R149:R154),ISBLANK(AL149:AL154), ISBLANK(V149:V154),ISBLANK(AP149:AP154)), "·", bdRateExtend( R149:R154,V149:V154, AL149:AL154,AP149:AP154))</f>
        <v>0</v>
      </c>
      <c r="BC149" s="28">
        <f>IF( OR(ISBLANK(R149:R154),ISBLANK(AL149:AL154), ISBLANK(W149:W154),ISBLANK(AQ149:AQ154)), "·", bdRateExtend( R149:R154,W149:W154, AL149:AL154,AQ149:AQ154))</f>
        <v>0</v>
      </c>
      <c r="BD149" s="28">
        <f>IF( OR(ISBLANK(R149:R154),ISBLANK(AL149:AL154), ISBLANK(X149:X154),ISBLANK(AR149:AR154)), "·", bdRateExtend( R149:R154,X149:X154, AL149:AL154,AR149:AR154))</f>
        <v>0</v>
      </c>
      <c r="BE149" s="29"/>
      <c r="BG149" s="28">
        <f>IF( OR(ISBLANK(P149:P154),ISBLANK(AJ149:AJ154), ISBLANK(T149:T154),ISBLANK(AN149:AN154)), "·", bdRateExtend( P149:P154,T149:T154, AJ149:AJ154,AN149:AN154))</f>
        <v>8.1680560273023062E-5</v>
      </c>
      <c r="BH149" s="28">
        <f>IF( OR(ISBLANK(P149:P154),ISBLANK(AJ149:AJ154), ISBLANK(U149:U154),ISBLANK(AO149:AO154)), "·", bdRateExtend( P149:P154,U149:U154, AJ149:AJ154,AO149:AO154))</f>
        <v>8.1550752127901305E-5</v>
      </c>
      <c r="BI149" s="28">
        <f>IF( OR(ISBLANK(P149:P154),ISBLANK(AJ149:AJ154), ISBLANK(V149:V154),ISBLANK(AP149:AP154)), "·", bdRateExtend( P149:P154,V149:V154, AJ149:AJ154,AP149:AP154))</f>
        <v>7.9628696271871746E-5</v>
      </c>
      <c r="BJ149" s="28">
        <f>IF( OR(ISBLANK(P149:P154),ISBLANK(AJ149:AJ154), ISBLANK(W149:W154),ISBLANK(AQ149:AQ154)), "·", bdRateExtend( P149:P154,W149:W154, AJ149:AJ154,AQ149:AQ154))</f>
        <v>7.9223217054114059E-5</v>
      </c>
      <c r="BK149" s="28">
        <f>IF( OR(ISBLANK(P149:P154),ISBLANK(AJ149:AJ154), ISBLANK(X149:X154),ISBLANK(AR149:AR154)), "·", bdRateExtend( P149:P154,X149:X154, AJ149:AJ154,AR149:AR154))</f>
        <v>7.859009219646218E-5</v>
      </c>
      <c r="BL149" s="29"/>
    </row>
    <row r="150" spans="1:64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>
        <f t="shared" si="23"/>
        <v>0.54968428312648887</v>
      </c>
      <c r="K150" s="34">
        <f t="shared" si="24"/>
        <v>3.8995889536750393E-2</v>
      </c>
      <c r="L150" s="34">
        <f t="shared" si="25"/>
        <v>0.51022859249335073</v>
      </c>
      <c r="M150" s="35"/>
      <c r="N150" s="34">
        <f t="shared" si="26"/>
        <v>0.94947631119045706</v>
      </c>
      <c r="O150" s="36">
        <v>584221</v>
      </c>
      <c r="P150" s="37">
        <v>554704</v>
      </c>
      <c r="Q150" s="37">
        <v>39352</v>
      </c>
      <c r="R150" s="37">
        <v>514888</v>
      </c>
      <c r="S150" s="38"/>
      <c r="T150" s="39">
        <v>58.261846300000002</v>
      </c>
      <c r="U150" s="39">
        <v>61.798276600000001</v>
      </c>
      <c r="V150" s="39">
        <v>21.624494800000001</v>
      </c>
      <c r="W150" s="39">
        <v>33.135749799999999</v>
      </c>
      <c r="X150" s="39">
        <v>34.945938499999997</v>
      </c>
      <c r="Y150" s="38"/>
      <c r="Z150" s="41">
        <v>1.5920000000000001</v>
      </c>
      <c r="AA150" s="41">
        <v>0.749</v>
      </c>
      <c r="AC150" s="33" t="str">
        <f t="shared" si="27"/>
        <v>·</v>
      </c>
      <c r="AD150" s="34">
        <f t="shared" si="28"/>
        <v>0.54973977636225979</v>
      </c>
      <c r="AE150" s="34">
        <f t="shared" si="29"/>
        <v>3.9542894289349657E-2</v>
      </c>
      <c r="AF150" s="34">
        <f t="shared" si="30"/>
        <v>0.51022859249335073</v>
      </c>
      <c r="AG150" s="35"/>
      <c r="AH150" s="34">
        <f t="shared" si="31"/>
        <v>0.94957216532784683</v>
      </c>
      <c r="AI150" s="36">
        <v>584221</v>
      </c>
      <c r="AJ150" s="37">
        <v>554760</v>
      </c>
      <c r="AK150" s="37">
        <v>39904</v>
      </c>
      <c r="AL150" s="37">
        <v>514888</v>
      </c>
      <c r="AM150" s="38"/>
      <c r="AN150" s="39">
        <v>58.261846300000002</v>
      </c>
      <c r="AO150" s="39">
        <v>61.798276600000001</v>
      </c>
      <c r="AP150" s="39">
        <v>21.624494800000001</v>
      </c>
      <c r="AQ150" s="39">
        <v>33.135749799999999</v>
      </c>
      <c r="AR150" s="39">
        <v>34.945938499999997</v>
      </c>
      <c r="AS150" s="40"/>
      <c r="AT150" s="41">
        <v>1.546</v>
      </c>
      <c r="AU150" s="41">
        <v>0.79600000000000004</v>
      </c>
      <c r="AW150" s="42">
        <f t="shared" si="32"/>
        <v>9.8786363280790879E-4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>
        <f t="shared" si="23"/>
        <v>1.925536005200509</v>
      </c>
      <c r="K151" s="19">
        <f t="shared" si="24"/>
        <v>0.19161814311705505</v>
      </c>
      <c r="L151" s="19">
        <f t="shared" si="25"/>
        <v>1.733458060987066</v>
      </c>
      <c r="M151" s="20"/>
      <c r="N151" s="19">
        <f t="shared" si="26"/>
        <v>2.0237650119616601</v>
      </c>
      <c r="O151" s="21">
        <v>960151</v>
      </c>
      <c r="P151" s="22">
        <v>1943120</v>
      </c>
      <c r="Q151" s="22">
        <v>193368</v>
      </c>
      <c r="R151" s="22">
        <v>1749288</v>
      </c>
      <c r="S151" s="23"/>
      <c r="T151" s="24">
        <v>62.916471399999999</v>
      </c>
      <c r="U151" s="24">
        <v>65.801755400000005</v>
      </c>
      <c r="V151" s="24">
        <v>24.286937399999999</v>
      </c>
      <c r="W151" s="24">
        <v>35.748130699999997</v>
      </c>
      <c r="X151" s="24">
        <v>37.385680499999999</v>
      </c>
      <c r="Y151" s="23"/>
      <c r="Z151" s="26">
        <v>3.28</v>
      </c>
      <c r="AA151" s="26">
        <v>1.5149999999999999</v>
      </c>
      <c r="AC151" s="18" t="str">
        <f t="shared" si="27"/>
        <v>·</v>
      </c>
      <c r="AD151" s="19">
        <f t="shared" si="28"/>
        <v>1.9255835708311697</v>
      </c>
      <c r="AE151" s="19">
        <f t="shared" si="29"/>
        <v>0.19493188205309117</v>
      </c>
      <c r="AF151" s="19">
        <f t="shared" si="30"/>
        <v>1.733458060987066</v>
      </c>
      <c r="AG151" s="20"/>
      <c r="AH151" s="19">
        <f t="shared" si="31"/>
        <v>2.0238150040983136</v>
      </c>
      <c r="AI151" s="21">
        <v>960151</v>
      </c>
      <c r="AJ151" s="22">
        <v>1943168</v>
      </c>
      <c r="AK151" s="22">
        <v>196712</v>
      </c>
      <c r="AL151" s="22">
        <v>1749288</v>
      </c>
      <c r="AM151" s="23"/>
      <c r="AN151" s="24">
        <v>62.916471399999999</v>
      </c>
      <c r="AO151" s="24">
        <v>65.801755400000005</v>
      </c>
      <c r="AP151" s="24">
        <v>24.286937399999999</v>
      </c>
      <c r="AQ151" s="24">
        <v>35.748130699999997</v>
      </c>
      <c r="AR151" s="24">
        <v>37.385680499999999</v>
      </c>
      <c r="AS151" s="25"/>
      <c r="AT151" s="26">
        <v>3.1549999999999998</v>
      </c>
      <c r="AU151" s="26">
        <v>1.577</v>
      </c>
      <c r="AW151" s="27">
        <f t="shared" si="32"/>
        <v>1.7184429340118823E-3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9"/>
      <c r="X152" s="39"/>
      <c r="Y152" s="38"/>
      <c r="Z152" s="41"/>
      <c r="AA152" s="41"/>
      <c r="AC152" s="33" t="str">
        <f t="shared" si="27"/>
        <v>·</v>
      </c>
      <c r="AD152" s="34" t="str">
        <f t="shared" si="28"/>
        <v>·</v>
      </c>
      <c r="AE152" s="34">
        <f t="shared" si="29"/>
        <v>0.84142807878453962</v>
      </c>
      <c r="AF152" s="34" t="str">
        <f t="shared" si="30"/>
        <v>·</v>
      </c>
      <c r="AG152" s="35"/>
      <c r="AH152" s="34" t="str">
        <f t="shared" si="31"/>
        <v>·</v>
      </c>
      <c r="AI152" s="36"/>
      <c r="AJ152" s="37"/>
      <c r="AK152" s="37">
        <v>849112</v>
      </c>
      <c r="AL152" s="37"/>
      <c r="AM152" s="38"/>
      <c r="AN152" s="39"/>
      <c r="AO152" s="39"/>
      <c r="AP152" s="39"/>
      <c r="AQ152" s="39"/>
      <c r="AR152" s="39"/>
      <c r="AS152" s="40"/>
      <c r="AT152" s="41"/>
      <c r="AU152" s="41"/>
      <c r="AW152" s="42" t="e">
        <f t="shared" si="32"/>
        <v>#DIV/0!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27"/>
        <v>·</v>
      </c>
      <c r="AD153" s="19" t="str">
        <f t="shared" si="28"/>
        <v>·</v>
      </c>
      <c r="AE153" s="19">
        <f t="shared" si="29"/>
        <v>0</v>
      </c>
      <c r="AF153" s="19" t="str">
        <f t="shared" si="30"/>
        <v>·</v>
      </c>
      <c r="AG153" s="20"/>
      <c r="AH153" s="19" t="str">
        <f t="shared" si="31"/>
        <v>·</v>
      </c>
      <c r="AI153" s="21"/>
      <c r="AJ153" s="22"/>
      <c r="AK153" s="22">
        <v>0</v>
      </c>
      <c r="AL153" s="22"/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32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27"/>
        <v>·</v>
      </c>
      <c r="AD154" s="49" t="str">
        <f t="shared" si="28"/>
        <v>·</v>
      </c>
      <c r="AE154" s="49">
        <f t="shared" si="29"/>
        <v>0</v>
      </c>
      <c r="AF154" s="49" t="str">
        <f t="shared" si="30"/>
        <v>·</v>
      </c>
      <c r="AG154" s="50"/>
      <c r="AH154" s="49" t="str">
        <f t="shared" si="31"/>
        <v>·</v>
      </c>
      <c r="AI154" s="51"/>
      <c r="AJ154" s="52"/>
      <c r="AK154" s="52">
        <v>0</v>
      </c>
      <c r="AL154" s="52"/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32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>
        <f t="shared" si="23"/>
        <v>8.3193400909719051E-2</v>
      </c>
      <c r="K155" s="19">
        <f t="shared" si="24"/>
        <v>3.2843481669139361E-3</v>
      </c>
      <c r="L155" s="19">
        <f t="shared" si="25"/>
        <v>7.9854826405387519E-2</v>
      </c>
      <c r="M155" s="20"/>
      <c r="N155" s="19">
        <f t="shared" si="26"/>
        <v>0.19503863114368888</v>
      </c>
      <c r="O155" s="21">
        <v>20074218</v>
      </c>
      <c r="P155" s="22">
        <v>3915248</v>
      </c>
      <c r="Q155" s="22">
        <v>154568</v>
      </c>
      <c r="R155" s="22">
        <v>3758128</v>
      </c>
      <c r="S155" s="23"/>
      <c r="T155" s="24">
        <v>64.925865900000005</v>
      </c>
      <c r="U155" s="24">
        <v>67.087963400000007</v>
      </c>
      <c r="V155" s="24">
        <v>22.0120304</v>
      </c>
      <c r="W155" s="24">
        <v>35.414503799999999</v>
      </c>
      <c r="X155" s="24">
        <v>38.434853199999999</v>
      </c>
      <c r="Y155" s="23"/>
      <c r="Z155" s="26">
        <v>28.832999999999998</v>
      </c>
      <c r="AA155" s="26">
        <v>20.866</v>
      </c>
      <c r="AC155" s="18" t="str">
        <f t="shared" si="27"/>
        <v>·</v>
      </c>
      <c r="AD155" s="19">
        <f t="shared" si="28"/>
        <v>8.3196970668608622E-2</v>
      </c>
      <c r="AE155" s="19">
        <f t="shared" si="29"/>
        <v>3.2756787524678616E-3</v>
      </c>
      <c r="AF155" s="19">
        <f t="shared" si="30"/>
        <v>7.9854826405387519E-2</v>
      </c>
      <c r="AG155" s="20"/>
      <c r="AH155" s="19">
        <f t="shared" si="31"/>
        <v>0.19504700008737574</v>
      </c>
      <c r="AI155" s="21">
        <v>20074218</v>
      </c>
      <c r="AJ155" s="22">
        <v>3915416</v>
      </c>
      <c r="AK155" s="22">
        <v>154160</v>
      </c>
      <c r="AL155" s="22">
        <v>3758128</v>
      </c>
      <c r="AM155" s="23"/>
      <c r="AN155" s="24">
        <v>64.925865900000005</v>
      </c>
      <c r="AO155" s="24">
        <v>67.087963400000007</v>
      </c>
      <c r="AP155" s="24">
        <v>22.0120304</v>
      </c>
      <c r="AQ155" s="24">
        <v>35.414503799999999</v>
      </c>
      <c r="AR155" s="24">
        <v>38.434853199999999</v>
      </c>
      <c r="AS155" s="25"/>
      <c r="AT155" s="26">
        <v>27.460999999999999</v>
      </c>
      <c r="AU155" s="26">
        <v>21.039000000000001</v>
      </c>
      <c r="AW155" s="27">
        <f t="shared" si="32"/>
        <v>-1.0589740219928145E-4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-2.45968948348817E-2</v>
      </c>
      <c r="BA155" s="28">
        <f>IF( OR(ISBLANK(Q155:Q160),ISBLANK(AK155:AK160), ISBLANK(U155:U160),ISBLANK(AO155:AO160)), "·", bdRateExtend( Q155:Q160,U155:U160, AK155:AK160,AO155:AO160))</f>
        <v>-2.3677346510370789E-2</v>
      </c>
      <c r="BB155" s="28">
        <f>IF( OR(ISBLANK(R155:R160),ISBLANK(AL155:AL160), ISBLANK(V155:V160),ISBLANK(AP155:AP160)), "·", bdRateExtend( R155:R160,V155:V160, AL155:AL160,AP155:AP160))</f>
        <v>0</v>
      </c>
      <c r="BC155" s="28">
        <f>IF( OR(ISBLANK(R155:R160),ISBLANK(AL155:AL160), ISBLANK(W155:W160),ISBLANK(AQ155:AQ160)), "·", bdRateExtend( R155:R160,W155:W160, AL155:AL160,AQ155:AQ160))</f>
        <v>0</v>
      </c>
      <c r="BD155" s="28">
        <f>IF( OR(ISBLANK(R155:R160),ISBLANK(AL155:AL160), ISBLANK(X155:X160),ISBLANK(AR155:AR160)), "·", bdRateExtend( R155:R160,X155:X160, AL155:AL160,AR155:AR160))</f>
        <v>0</v>
      </c>
      <c r="BE155" s="29"/>
      <c r="BG155" s="28">
        <f>IF( OR(ISBLANK(P155:P160),ISBLANK(AJ155:AJ160), ISBLANK(T155:T160),ISBLANK(AN155:AN160)), "·", bdRateExtend( P155:P160,T155:T160, AJ155:AJ160,AN155:AN160))</f>
        <v>9.3006332456679885E-5</v>
      </c>
      <c r="BH155" s="28">
        <f>IF( OR(ISBLANK(P155:P160),ISBLANK(AJ155:AJ160), ISBLANK(U155:U160),ISBLANK(AO155:AO160)), "·", bdRateExtend( P155:P160,U155:U160, AJ155:AJ160,AO155:AO160))</f>
        <v>9.4453466797261854E-5</v>
      </c>
      <c r="BI155" s="28">
        <f>IF( OR(ISBLANK(P155:P160),ISBLANK(AJ155:AJ160), ISBLANK(V155:V160),ISBLANK(AP155:AP160)), "·", bdRateExtend( P155:P160,V155:V160, AJ155:AJ160,AP155:AP160))</f>
        <v>9.4489640917849727E-5</v>
      </c>
      <c r="BJ155" s="28">
        <f>IF( OR(ISBLANK(P155:P160),ISBLANK(AJ155:AJ160), ISBLANK(W155:W160),ISBLANK(AQ155:AQ160)), "·", bdRateExtend( P155:P160,W155:W160, AJ155:AJ160,AQ155:AQ160))</f>
        <v>9.9739955002009495E-5</v>
      </c>
      <c r="BK155" s="28">
        <f>IF( OR(ISBLANK(P155:P160),ISBLANK(AJ155:AJ160), ISBLANK(X155:X160),ISBLANK(AR155:AR160)), "·", bdRateExtend( P155:P160,X155:X160, AJ155:AJ160,AR155:AR160))</f>
        <v>9.9573401261876526E-5</v>
      </c>
      <c r="BL155" s="29"/>
    </row>
    <row r="156" spans="1:64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>
        <f t="shared" si="23"/>
        <v>0.18012391398053998</v>
      </c>
      <c r="K156" s="34">
        <f t="shared" si="24"/>
        <v>1.0617482868663344E-2</v>
      </c>
      <c r="L156" s="34">
        <f t="shared" si="25"/>
        <v>0.16945730443001553</v>
      </c>
      <c r="M156" s="35"/>
      <c r="N156" s="34">
        <f t="shared" si="26"/>
        <v>0.48419587623742949</v>
      </c>
      <c r="O156" s="36">
        <v>17507361</v>
      </c>
      <c r="P156" s="37">
        <v>8476992</v>
      </c>
      <c r="Q156" s="37">
        <v>499680</v>
      </c>
      <c r="R156" s="37">
        <v>7975000</v>
      </c>
      <c r="S156" s="38"/>
      <c r="T156" s="39">
        <v>71.361110100000005</v>
      </c>
      <c r="U156" s="39">
        <v>73.949040100000005</v>
      </c>
      <c r="V156" s="39">
        <v>24.554171799999999</v>
      </c>
      <c r="W156" s="39">
        <v>37.515614399999997</v>
      </c>
      <c r="X156" s="39">
        <v>40.280416799999998</v>
      </c>
      <c r="Y156" s="38"/>
      <c r="Z156" s="41">
        <v>29.102</v>
      </c>
      <c r="AA156" s="41">
        <v>20.367000000000001</v>
      </c>
      <c r="AC156" s="33" t="str">
        <f t="shared" si="27"/>
        <v>·</v>
      </c>
      <c r="AD156" s="34">
        <f t="shared" si="28"/>
        <v>0.18014006288980228</v>
      </c>
      <c r="AE156" s="34">
        <f t="shared" si="29"/>
        <v>1.0309973638605514E-2</v>
      </c>
      <c r="AF156" s="34">
        <f t="shared" si="30"/>
        <v>0.16945730443001553</v>
      </c>
      <c r="AG156" s="35"/>
      <c r="AH156" s="34">
        <f t="shared" si="31"/>
        <v>0.48423928654924064</v>
      </c>
      <c r="AI156" s="36">
        <v>17507361</v>
      </c>
      <c r="AJ156" s="37">
        <v>8477752</v>
      </c>
      <c r="AK156" s="37">
        <v>485208</v>
      </c>
      <c r="AL156" s="37">
        <v>7975000</v>
      </c>
      <c r="AM156" s="38"/>
      <c r="AN156" s="39">
        <v>71.361110100000005</v>
      </c>
      <c r="AO156" s="39">
        <v>73.949040100000005</v>
      </c>
      <c r="AP156" s="39">
        <v>24.554171799999999</v>
      </c>
      <c r="AQ156" s="39">
        <v>37.515614399999997</v>
      </c>
      <c r="AR156" s="39">
        <v>40.280416799999998</v>
      </c>
      <c r="AS156" s="40"/>
      <c r="AT156" s="41">
        <v>28.434000000000001</v>
      </c>
      <c r="AU156" s="41">
        <v>20.087</v>
      </c>
      <c r="AW156" s="42">
        <f t="shared" si="32"/>
        <v>-1.7123405511637463E-3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>
        <f t="shared" si="23"/>
        <v>0.39318174352208818</v>
      </c>
      <c r="K157" s="19">
        <f t="shared" si="24"/>
        <v>3.4833707244328452E-2</v>
      </c>
      <c r="L157" s="19">
        <f t="shared" si="25"/>
        <v>0.35830060948108411</v>
      </c>
      <c r="M157" s="20"/>
      <c r="N157" s="19">
        <f t="shared" si="26"/>
        <v>1.1137411234075523</v>
      </c>
      <c r="O157" s="21">
        <v>16614202</v>
      </c>
      <c r="P157" s="22">
        <v>18503920</v>
      </c>
      <c r="Q157" s="22">
        <v>1639344</v>
      </c>
      <c r="R157" s="22">
        <v>16862344</v>
      </c>
      <c r="S157" s="23"/>
      <c r="T157" s="24">
        <v>77.161113599999993</v>
      </c>
      <c r="U157" s="24">
        <v>79.303161900000006</v>
      </c>
      <c r="V157" s="24">
        <v>26.931345199999999</v>
      </c>
      <c r="W157" s="24">
        <v>40.232241000000002</v>
      </c>
      <c r="X157" s="24">
        <v>42.6244899</v>
      </c>
      <c r="Y157" s="23"/>
      <c r="Z157" s="26">
        <v>35.933999999999997</v>
      </c>
      <c r="AA157" s="26">
        <v>23.728000000000002</v>
      </c>
      <c r="AC157" s="18" t="str">
        <f t="shared" si="27"/>
        <v>·</v>
      </c>
      <c r="AD157" s="19">
        <f t="shared" si="28"/>
        <v>0.39322900033024522</v>
      </c>
      <c r="AE157" s="19">
        <f t="shared" si="29"/>
        <v>3.3596870783355118E-2</v>
      </c>
      <c r="AF157" s="19">
        <f t="shared" si="30"/>
        <v>0.35830060948108411</v>
      </c>
      <c r="AG157" s="20"/>
      <c r="AH157" s="19">
        <f t="shared" si="31"/>
        <v>1.1138749847871117</v>
      </c>
      <c r="AI157" s="21">
        <v>16614202</v>
      </c>
      <c r="AJ157" s="22">
        <v>18506144</v>
      </c>
      <c r="AK157" s="22">
        <v>1581136</v>
      </c>
      <c r="AL157" s="22">
        <v>16862344</v>
      </c>
      <c r="AM157" s="23"/>
      <c r="AN157" s="24">
        <v>77.161113599999993</v>
      </c>
      <c r="AO157" s="24">
        <v>79.303161900000006</v>
      </c>
      <c r="AP157" s="24">
        <v>26.931345199999999</v>
      </c>
      <c r="AQ157" s="24">
        <v>40.232241000000002</v>
      </c>
      <c r="AR157" s="24">
        <v>42.6244899</v>
      </c>
      <c r="AS157" s="25"/>
      <c r="AT157" s="26">
        <v>34.418999999999997</v>
      </c>
      <c r="AU157" s="26">
        <v>22.571000000000002</v>
      </c>
      <c r="AW157" s="27">
        <f t="shared" si="32"/>
        <v>-3.1559807371461801E-3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>
        <f t="shared" si="23"/>
        <v>0.77364426613215476</v>
      </c>
      <c r="K158" s="34">
        <f t="shared" si="24"/>
        <v>0.10321974828015179</v>
      </c>
      <c r="L158" s="34">
        <f t="shared" si="25"/>
        <v>0.67037539117014189</v>
      </c>
      <c r="M158" s="35"/>
      <c r="N158" s="34">
        <f t="shared" si="26"/>
        <v>2.0699301780677017</v>
      </c>
      <c r="O158" s="36">
        <v>17589602</v>
      </c>
      <c r="P158" s="37">
        <v>36409248</v>
      </c>
      <c r="Q158" s="37">
        <v>4857728</v>
      </c>
      <c r="R158" s="37">
        <v>31549208</v>
      </c>
      <c r="S158" s="38"/>
      <c r="T158" s="39">
        <v>80.546323900000004</v>
      </c>
      <c r="U158" s="39">
        <v>84.281968800000001</v>
      </c>
      <c r="V158" s="39">
        <v>28.559000000000001</v>
      </c>
      <c r="W158" s="39">
        <v>42.568083600000001</v>
      </c>
      <c r="X158" s="39">
        <v>44.645530899999997</v>
      </c>
      <c r="Y158" s="38"/>
      <c r="Z158" s="41">
        <v>62.152000000000001</v>
      </c>
      <c r="AA158" s="41">
        <v>42.540999999999997</v>
      </c>
      <c r="AC158" s="33" t="str">
        <f t="shared" si="27"/>
        <v>·</v>
      </c>
      <c r="AD158" s="34">
        <f t="shared" si="28"/>
        <v>0.77373096027661548</v>
      </c>
      <c r="AE158" s="34">
        <f t="shared" si="29"/>
        <v>0.10346776152871695</v>
      </c>
      <c r="AF158" s="34">
        <f t="shared" si="30"/>
        <v>0.67037539117014189</v>
      </c>
      <c r="AG158" s="35"/>
      <c r="AH158" s="34">
        <f t="shared" si="31"/>
        <v>2.0701621332876092</v>
      </c>
      <c r="AI158" s="36">
        <v>17589602</v>
      </c>
      <c r="AJ158" s="37">
        <v>36413328</v>
      </c>
      <c r="AK158" s="37">
        <v>4869400</v>
      </c>
      <c r="AL158" s="37">
        <v>31549208</v>
      </c>
      <c r="AM158" s="38"/>
      <c r="AN158" s="39">
        <v>80.546323900000004</v>
      </c>
      <c r="AO158" s="39">
        <v>84.281968800000001</v>
      </c>
      <c r="AP158" s="39">
        <v>28.559000000000001</v>
      </c>
      <c r="AQ158" s="39">
        <v>42.568083600000001</v>
      </c>
      <c r="AR158" s="39">
        <v>44.645530899999997</v>
      </c>
      <c r="AS158" s="40"/>
      <c r="AT158" s="41">
        <v>59.621000000000002</v>
      </c>
      <c r="AU158" s="41">
        <v>38.463999999999999</v>
      </c>
      <c r="AW158" s="42">
        <f t="shared" si="32"/>
        <v>3.0559265862406537E-4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27"/>
        <v>·</v>
      </c>
      <c r="AD159" s="19" t="str">
        <f t="shared" si="28"/>
        <v>·</v>
      </c>
      <c r="AE159" s="19">
        <f t="shared" si="29"/>
        <v>0</v>
      </c>
      <c r="AF159" s="19" t="str">
        <f t="shared" si="30"/>
        <v>·</v>
      </c>
      <c r="AG159" s="20"/>
      <c r="AH159" s="19" t="str">
        <f t="shared" si="31"/>
        <v>·</v>
      </c>
      <c r="AI159" s="21"/>
      <c r="AJ159" s="22"/>
      <c r="AK159" s="22">
        <v>0</v>
      </c>
      <c r="AL159" s="22"/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32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27"/>
        <v>·</v>
      </c>
      <c r="AD160" s="49" t="str">
        <f t="shared" si="28"/>
        <v>·</v>
      </c>
      <c r="AE160" s="49">
        <f t="shared" si="29"/>
        <v>0</v>
      </c>
      <c r="AF160" s="49" t="str">
        <f t="shared" si="30"/>
        <v>·</v>
      </c>
      <c r="AG160" s="50"/>
      <c r="AH160" s="49" t="str">
        <f t="shared" si="31"/>
        <v>·</v>
      </c>
      <c r="AI160" s="51"/>
      <c r="AJ160" s="52"/>
      <c r="AK160" s="52">
        <v>0</v>
      </c>
      <c r="AL160" s="52"/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32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>
        <f t="shared" si="23"/>
        <v>9.0450506880264445E-2</v>
      </c>
      <c r="K161" s="19">
        <f t="shared" si="24"/>
        <v>4.6717907545032389E-3</v>
      </c>
      <c r="L161" s="19">
        <f t="shared" si="25"/>
        <v>8.5714383148594156E-2</v>
      </c>
      <c r="M161" s="20"/>
      <c r="N161" s="19">
        <f t="shared" si="26"/>
        <v>0.20966744080129424</v>
      </c>
      <c r="O161" s="21">
        <v>18722411</v>
      </c>
      <c r="P161" s="22">
        <v>3925480</v>
      </c>
      <c r="Q161" s="22">
        <v>202752</v>
      </c>
      <c r="R161" s="22">
        <v>3719936</v>
      </c>
      <c r="S161" s="23"/>
      <c r="T161" s="24">
        <v>65.336080699999997</v>
      </c>
      <c r="U161" s="24">
        <v>66.964672899999997</v>
      </c>
      <c r="V161" s="24">
        <v>22.325229100000001</v>
      </c>
      <c r="W161" s="24">
        <v>34.768139499999997</v>
      </c>
      <c r="X161" s="24">
        <v>36.233914800000001</v>
      </c>
      <c r="Y161" s="23"/>
      <c r="Z161" s="26">
        <v>33.927999999999997</v>
      </c>
      <c r="AA161" s="26">
        <v>20.960999999999999</v>
      </c>
      <c r="AC161" s="18" t="str">
        <f t="shared" si="27"/>
        <v>·</v>
      </c>
      <c r="AD161" s="19">
        <f t="shared" si="28"/>
        <v>9.0459354968814631E-2</v>
      </c>
      <c r="AE161" s="19">
        <f t="shared" si="29"/>
        <v>4.6115131512550322E-3</v>
      </c>
      <c r="AF161" s="19">
        <f t="shared" si="30"/>
        <v>8.5714383148594156E-2</v>
      </c>
      <c r="AG161" s="20"/>
      <c r="AH161" s="19">
        <f t="shared" si="31"/>
        <v>0.20968795098024501</v>
      </c>
      <c r="AI161" s="21">
        <v>18722411</v>
      </c>
      <c r="AJ161" s="22">
        <v>3925864</v>
      </c>
      <c r="AK161" s="22">
        <v>200136</v>
      </c>
      <c r="AL161" s="22">
        <v>3719936</v>
      </c>
      <c r="AM161" s="23"/>
      <c r="AN161" s="24">
        <v>65.336080699999997</v>
      </c>
      <c r="AO161" s="24">
        <v>66.964672899999997</v>
      </c>
      <c r="AP161" s="24">
        <v>22.325229100000001</v>
      </c>
      <c r="AQ161" s="24">
        <v>34.768139499999997</v>
      </c>
      <c r="AR161" s="24">
        <v>36.233914800000001</v>
      </c>
      <c r="AS161" s="25"/>
      <c r="AT161" s="26">
        <v>32.35</v>
      </c>
      <c r="AU161" s="26">
        <v>20.678000000000001</v>
      </c>
      <c r="AW161" s="27">
        <f t="shared" si="32"/>
        <v>-6.714021916484833E-4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-2.8719737900800513E-2</v>
      </c>
      <c r="BA161" s="28">
        <f>IF( OR(ISBLANK(Q161:Q166),ISBLANK(AK161:AK166), ISBLANK(U161:U166),ISBLANK(AO161:AO166)), "·", bdRateExtend( Q161:Q166,U161:U166, AK161:AK166,AO161:AO166))</f>
        <v>-2.7743899443941289E-2</v>
      </c>
      <c r="BB161" s="28">
        <f>IF( OR(ISBLANK(R161:R166),ISBLANK(AL161:AL166), ISBLANK(V161:V166),ISBLANK(AP161:AP166)), "·", bdRateExtend( R161:R166,V161:V166, AL161:AL166,AP161:AP166))</f>
        <v>0</v>
      </c>
      <c r="BC161" s="28">
        <f>IF( OR(ISBLANK(R161:R166),ISBLANK(AL161:AL166), ISBLANK(W161:W166),ISBLANK(AQ161:AQ166)), "·", bdRateExtend( R161:R166,W161:W166, AL161:AL166,AQ161:AQ166))</f>
        <v>0</v>
      </c>
      <c r="BD161" s="28">
        <f>IF( OR(ISBLANK(R161:R166),ISBLANK(AL161:AL166), ISBLANK(X161:X166),ISBLANK(AR161:AR166)), "·", bdRateExtend( R161:R166,X161:X166, AL161:AL166,AR161:AR166))</f>
        <v>0</v>
      </c>
      <c r="BE161" s="29"/>
      <c r="BG161" s="28">
        <f>IF( OR(ISBLANK(P161:P166),ISBLANK(AJ161:AJ166), ISBLANK(T161:T166),ISBLANK(AN161:AN166)), "·", bdRateExtend( P161:P166,T161:T166, AJ161:AJ166,AN161:AN166))</f>
        <v>1.3154989316310761E-4</v>
      </c>
      <c r="BH161" s="28">
        <f>IF( OR(ISBLANK(P161:P166),ISBLANK(AJ161:AJ166), ISBLANK(U161:U166),ISBLANK(AO161:AO166)), "·", bdRateExtend( P161:P166,U161:U166, AJ161:AJ166,AO161:AO166))</f>
        <v>1.3203025715968764E-4</v>
      </c>
      <c r="BI161" s="28">
        <f>IF( OR(ISBLANK(P161:P166),ISBLANK(AJ161:AJ166), ISBLANK(V161:V166),ISBLANK(AP161:AP166)), "·", bdRateExtend( P161:P166,V161:V166, AJ161:AJ166,AP161:AP166))</f>
        <v>1.3368410982184109E-4</v>
      </c>
      <c r="BJ161" s="28">
        <f>IF( OR(ISBLANK(P161:P166),ISBLANK(AJ161:AJ166), ISBLANK(W161:W166),ISBLANK(AQ161:AQ166)), "·", bdRateExtend( P161:P166,W161:W166, AJ161:AJ166,AQ161:AQ166))</f>
        <v>1.3617054954262464E-4</v>
      </c>
      <c r="BK161" s="28">
        <f>IF( OR(ISBLANK(P161:P166),ISBLANK(AJ161:AJ166), ISBLANK(X161:X166),ISBLANK(AR161:AR166)), "·", bdRateExtend( P161:P166,X161:X166, AJ161:AJ166,AR161:AR166))</f>
        <v>1.359927100625935E-4</v>
      </c>
      <c r="BL161" s="29"/>
    </row>
    <row r="162" spans="1:64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>
        <f t="shared" si="23"/>
        <v>0.21377977347234295</v>
      </c>
      <c r="K162" s="34">
        <f t="shared" si="24"/>
        <v>1.4526349377283509E-2</v>
      </c>
      <c r="L162" s="34">
        <f t="shared" si="25"/>
        <v>0.1991890911178924</v>
      </c>
      <c r="M162" s="35"/>
      <c r="N162" s="34">
        <f t="shared" si="26"/>
        <v>0.5169761127328828</v>
      </c>
      <c r="O162" s="36">
        <v>17946423</v>
      </c>
      <c r="P162" s="37">
        <v>9277872</v>
      </c>
      <c r="Q162" s="37">
        <v>630432</v>
      </c>
      <c r="R162" s="37">
        <v>8644648</v>
      </c>
      <c r="S162" s="38"/>
      <c r="T162" s="39">
        <v>71.507615599999994</v>
      </c>
      <c r="U162" s="39">
        <v>74.038822100000004</v>
      </c>
      <c r="V162" s="39">
        <v>24.722241400000001</v>
      </c>
      <c r="W162" s="39">
        <v>37.092237699999998</v>
      </c>
      <c r="X162" s="39">
        <v>38.541046700000003</v>
      </c>
      <c r="Y162" s="38"/>
      <c r="Z162" s="41">
        <v>36.771000000000001</v>
      </c>
      <c r="AA162" s="41">
        <v>21.239000000000001</v>
      </c>
      <c r="AC162" s="33" t="str">
        <f t="shared" si="27"/>
        <v>·</v>
      </c>
      <c r="AD162" s="34">
        <f t="shared" si="28"/>
        <v>0.21380650207317167</v>
      </c>
      <c r="AE162" s="34">
        <f t="shared" si="29"/>
        <v>1.395730668239906E-2</v>
      </c>
      <c r="AF162" s="34">
        <f t="shared" si="30"/>
        <v>0.1991890911178924</v>
      </c>
      <c r="AG162" s="35"/>
      <c r="AH162" s="34">
        <f t="shared" si="31"/>
        <v>0.51704074956886947</v>
      </c>
      <c r="AI162" s="36">
        <v>17946423</v>
      </c>
      <c r="AJ162" s="37">
        <v>9279032</v>
      </c>
      <c r="AK162" s="37">
        <v>605736</v>
      </c>
      <c r="AL162" s="37">
        <v>8644648</v>
      </c>
      <c r="AM162" s="38"/>
      <c r="AN162" s="39">
        <v>71.507615599999994</v>
      </c>
      <c r="AO162" s="39">
        <v>74.038822100000004</v>
      </c>
      <c r="AP162" s="39">
        <v>24.722241400000001</v>
      </c>
      <c r="AQ162" s="39">
        <v>37.092237699999998</v>
      </c>
      <c r="AR162" s="39">
        <v>38.541046700000003</v>
      </c>
      <c r="AS162" s="40"/>
      <c r="AT162" s="41">
        <v>35.445</v>
      </c>
      <c r="AU162" s="41">
        <v>20.675999999999998</v>
      </c>
      <c r="AW162" s="42">
        <f t="shared" si="32"/>
        <v>-2.6699791610501206E-3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>
        <f t="shared" si="23"/>
        <v>0.49067462158983377</v>
      </c>
      <c r="K163" s="19">
        <f t="shared" si="24"/>
        <v>4.986764273372387E-2</v>
      </c>
      <c r="L163" s="19">
        <f t="shared" si="25"/>
        <v>0.44074264587894285</v>
      </c>
      <c r="M163" s="20"/>
      <c r="N163" s="19">
        <f t="shared" si="26"/>
        <v>1.1432785471228932</v>
      </c>
      <c r="O163" s="21">
        <v>18626159</v>
      </c>
      <c r="P163" s="22">
        <v>21294888</v>
      </c>
      <c r="Q163" s="22">
        <v>2164216</v>
      </c>
      <c r="R163" s="22">
        <v>19127880</v>
      </c>
      <c r="S163" s="23"/>
      <c r="T163" s="24">
        <v>76.711945900000003</v>
      </c>
      <c r="U163" s="24">
        <v>79.501562800000002</v>
      </c>
      <c r="V163" s="24">
        <v>27.027702600000001</v>
      </c>
      <c r="W163" s="24">
        <v>39.814194999999998</v>
      </c>
      <c r="X163" s="24">
        <v>41.220239800000002</v>
      </c>
      <c r="Y163" s="23"/>
      <c r="Z163" s="26">
        <v>49.345999999999997</v>
      </c>
      <c r="AA163" s="26">
        <v>28.273</v>
      </c>
      <c r="AC163" s="18" t="str">
        <f t="shared" si="27"/>
        <v>·</v>
      </c>
      <c r="AD163" s="19">
        <f t="shared" si="28"/>
        <v>0.49075609773856682</v>
      </c>
      <c r="AE163" s="19">
        <f t="shared" si="29"/>
        <v>4.8553701584019837E-2</v>
      </c>
      <c r="AF163" s="19">
        <f t="shared" si="30"/>
        <v>0.44074264587894285</v>
      </c>
      <c r="AG163" s="20"/>
      <c r="AH163" s="19">
        <f t="shared" si="31"/>
        <v>1.1434683876584539</v>
      </c>
      <c r="AI163" s="21">
        <v>18626159</v>
      </c>
      <c r="AJ163" s="22">
        <v>21298424</v>
      </c>
      <c r="AK163" s="22">
        <v>2107192</v>
      </c>
      <c r="AL163" s="22">
        <v>19127880</v>
      </c>
      <c r="AM163" s="23"/>
      <c r="AN163" s="24">
        <v>76.711945900000003</v>
      </c>
      <c r="AO163" s="24">
        <v>79.501562800000002</v>
      </c>
      <c r="AP163" s="24">
        <v>27.027702600000001</v>
      </c>
      <c r="AQ163" s="24">
        <v>39.814194999999998</v>
      </c>
      <c r="AR163" s="24">
        <v>41.220239800000002</v>
      </c>
      <c r="AS163" s="25"/>
      <c r="AT163" s="26">
        <v>47.243000000000002</v>
      </c>
      <c r="AU163" s="26">
        <v>26.928000000000001</v>
      </c>
      <c r="AW163" s="27">
        <f t="shared" si="32"/>
        <v>-2.6942541112534441E-3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>
        <f t="shared" si="23"/>
        <v>1.0928963581912701</v>
      </c>
      <c r="K164" s="34">
        <f t="shared" si="24"/>
        <v>0.15667255095277785</v>
      </c>
      <c r="L164" s="34">
        <f t="shared" si="25"/>
        <v>0.93615947426132518</v>
      </c>
      <c r="M164" s="35"/>
      <c r="N164" s="34">
        <f t="shared" si="26"/>
        <v>2.0455503246795952</v>
      </c>
      <c r="O164" s="36">
        <v>23187321</v>
      </c>
      <c r="P164" s="37">
        <v>47430832</v>
      </c>
      <c r="Q164" s="37">
        <v>6799464</v>
      </c>
      <c r="R164" s="37">
        <v>40628576</v>
      </c>
      <c r="S164" s="38"/>
      <c r="T164" s="39">
        <v>80.135772700000004</v>
      </c>
      <c r="U164" s="39">
        <v>84.514688500000005</v>
      </c>
      <c r="V164" s="39">
        <v>28.8223536</v>
      </c>
      <c r="W164" s="39">
        <v>42.2158406</v>
      </c>
      <c r="X164" s="39">
        <v>43.528897000000001</v>
      </c>
      <c r="Y164" s="38"/>
      <c r="Z164" s="41">
        <v>90.43</v>
      </c>
      <c r="AA164" s="41">
        <v>54.976999999999997</v>
      </c>
      <c r="AC164" s="33" t="str">
        <f t="shared" si="27"/>
        <v>·</v>
      </c>
      <c r="AD164" s="34">
        <f t="shared" si="28"/>
        <v>1.0930170977329445</v>
      </c>
      <c r="AE164" s="34">
        <f t="shared" si="29"/>
        <v>0.15547492530047324</v>
      </c>
      <c r="AF164" s="34">
        <f t="shared" si="30"/>
        <v>0.93615947426132518</v>
      </c>
      <c r="AG164" s="35"/>
      <c r="AH164" s="34">
        <f t="shared" si="31"/>
        <v>2.045776310251624</v>
      </c>
      <c r="AI164" s="36">
        <v>23187321</v>
      </c>
      <c r="AJ164" s="37">
        <v>47436072</v>
      </c>
      <c r="AK164" s="37">
        <v>6747488</v>
      </c>
      <c r="AL164" s="37">
        <v>40628576</v>
      </c>
      <c r="AM164" s="38"/>
      <c r="AN164" s="39">
        <v>80.135772700000004</v>
      </c>
      <c r="AO164" s="39">
        <v>84.514688500000005</v>
      </c>
      <c r="AP164" s="39">
        <v>28.8223536</v>
      </c>
      <c r="AQ164" s="39">
        <v>42.2158406</v>
      </c>
      <c r="AR164" s="39">
        <v>43.528897000000001</v>
      </c>
      <c r="AS164" s="40"/>
      <c r="AT164" s="41">
        <v>91.864999999999995</v>
      </c>
      <c r="AU164" s="41">
        <v>52.552</v>
      </c>
      <c r="AW164" s="42">
        <f t="shared" si="32"/>
        <v>-1.1115419102743218E-3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27"/>
        <v>·</v>
      </c>
      <c r="AD165" s="19" t="str">
        <f t="shared" si="28"/>
        <v>·</v>
      </c>
      <c r="AE165" s="19">
        <f t="shared" si="29"/>
        <v>0</v>
      </c>
      <c r="AF165" s="19" t="str">
        <f t="shared" si="30"/>
        <v>·</v>
      </c>
      <c r="AG165" s="20"/>
      <c r="AH165" s="19" t="str">
        <f t="shared" si="31"/>
        <v>·</v>
      </c>
      <c r="AI165" s="21"/>
      <c r="AJ165" s="22"/>
      <c r="AK165" s="22">
        <v>0</v>
      </c>
      <c r="AL165" s="22"/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32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27"/>
        <v>·</v>
      </c>
      <c r="AD166" s="49" t="str">
        <f t="shared" si="28"/>
        <v>·</v>
      </c>
      <c r="AE166" s="49">
        <f t="shared" si="29"/>
        <v>0</v>
      </c>
      <c r="AF166" s="49" t="str">
        <f t="shared" si="30"/>
        <v>·</v>
      </c>
      <c r="AG166" s="50"/>
      <c r="AH166" s="49" t="str">
        <f t="shared" si="31"/>
        <v>·</v>
      </c>
      <c r="AI166" s="51"/>
      <c r="AJ166" s="52"/>
      <c r="AK166" s="52">
        <v>0</v>
      </c>
      <c r="AL166" s="52"/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32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>
        <f t="shared" si="23"/>
        <v>0.10018012248328864</v>
      </c>
      <c r="K167" s="19">
        <f t="shared" si="24"/>
        <v>3.3462754673177762E-3</v>
      </c>
      <c r="L167" s="19">
        <f t="shared" si="25"/>
        <v>9.5905215546571665E-2</v>
      </c>
      <c r="M167" s="20"/>
      <c r="N167" s="19">
        <f t="shared" si="26"/>
        <v>0.27731548680901041</v>
      </c>
      <c r="O167" s="21">
        <v>180502</v>
      </c>
      <c r="P167" s="22">
        <v>50056</v>
      </c>
      <c r="Q167" s="22">
        <v>1672</v>
      </c>
      <c r="R167" s="22">
        <v>47920</v>
      </c>
      <c r="S167" s="23"/>
      <c r="T167" s="24">
        <v>46.952732900000001</v>
      </c>
      <c r="U167" s="24">
        <v>50.1928348</v>
      </c>
      <c r="V167" s="24">
        <v>20.656767899999998</v>
      </c>
      <c r="W167" s="24">
        <v>29.5377191</v>
      </c>
      <c r="X167" s="24">
        <v>32.1020726</v>
      </c>
      <c r="Y167" s="23"/>
      <c r="Z167" s="26">
        <v>0.26400000000000001</v>
      </c>
      <c r="AA167" s="26">
        <v>0.217</v>
      </c>
      <c r="AC167" s="18" t="str">
        <f t="shared" si="27"/>
        <v>·</v>
      </c>
      <c r="AD167" s="19">
        <f t="shared" si="28"/>
        <v>0.10013208982107834</v>
      </c>
      <c r="AE167" s="19">
        <f t="shared" si="29"/>
        <v>3.3782972421246447E-3</v>
      </c>
      <c r="AF167" s="19">
        <f t="shared" si="30"/>
        <v>9.5905215546571665E-2</v>
      </c>
      <c r="AG167" s="20"/>
      <c r="AH167" s="19">
        <f t="shared" si="31"/>
        <v>0.27718252429335966</v>
      </c>
      <c r="AI167" s="21">
        <v>180502</v>
      </c>
      <c r="AJ167" s="22">
        <v>50032</v>
      </c>
      <c r="AK167" s="22">
        <v>1688</v>
      </c>
      <c r="AL167" s="22">
        <v>47920</v>
      </c>
      <c r="AM167" s="23"/>
      <c r="AN167" s="24">
        <v>46.952732900000001</v>
      </c>
      <c r="AO167" s="24">
        <v>50.1928348</v>
      </c>
      <c r="AP167" s="24">
        <v>20.656767899999998</v>
      </c>
      <c r="AQ167" s="24">
        <v>29.5377191</v>
      </c>
      <c r="AR167" s="24">
        <v>32.1020726</v>
      </c>
      <c r="AS167" s="25"/>
      <c r="AT167" s="26">
        <v>0.23300000000000001</v>
      </c>
      <c r="AU167" s="26">
        <v>0.20200000000000001</v>
      </c>
      <c r="AW167" s="27">
        <f t="shared" si="32"/>
        <v>3.3581831904391096E-4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3.4322129954666991E-3</v>
      </c>
      <c r="BA167" s="28">
        <f>IF( OR(ISBLANK(Q167:Q172),ISBLANK(AK167:AK172), ISBLANK(U167:U172),ISBLANK(AO167:AO172)), "·", bdRateExtend( Q167:Q172,U167:U172, AK167:AK172,AO167:AO172))</f>
        <v>3.7602532310372361E-3</v>
      </c>
      <c r="BB167" s="28">
        <f>IF( OR(ISBLANK(R167:R172),ISBLANK(AL167:AL172), ISBLANK(V167:V172),ISBLANK(AP167:AP172)), "·", bdRateExtend( R167:R172,V167:V172, AL167:AL172,AP167:AP172))</f>
        <v>0</v>
      </c>
      <c r="BC167" s="28">
        <f>IF( OR(ISBLANK(R167:R172),ISBLANK(AL167:AL172), ISBLANK(W167:W172),ISBLANK(AQ167:AQ172)), "·", bdRateExtend( R167:R172,W167:W172, AL167:AL172,AQ167:AQ172))</f>
        <v>0</v>
      </c>
      <c r="BD167" s="28">
        <f>IF( OR(ISBLANK(R167:R172),ISBLANK(AL167:AL172), ISBLANK(X167:X172),ISBLANK(AR167:AR172)), "·", bdRateExtend( R167:R172,X167:X172, AL167:AL172,AR167:AR172))</f>
        <v>0</v>
      </c>
      <c r="BE167" s="29"/>
      <c r="BG167" s="28">
        <f>IF( OR(ISBLANK(P167:P172),ISBLANK(AJ167:AJ172), ISBLANK(T167:T172),ISBLANK(AN167:AN172)), "·", bdRateExtend( P167:P172,T167:T172, AJ167:AJ172,AN167:AN172))</f>
        <v>-8.7526675147664434E-6</v>
      </c>
      <c r="BH167" s="28">
        <f>IF( OR(ISBLANK(P167:P172),ISBLANK(AJ167:AJ172), ISBLANK(U167:U172),ISBLANK(AO167:AO172)), "·", bdRateExtend( P167:P172,U167:U172, AJ167:AJ172,AO167:AO172))</f>
        <v>6.3635209075485477E-6</v>
      </c>
      <c r="BI167" s="28">
        <f>IF( OR(ISBLANK(P167:P172),ISBLANK(AJ167:AJ172), ISBLANK(V167:V172),ISBLANK(AP167:AP172)), "·", bdRateExtend( P167:P172,V167:V172, AJ167:AJ172,AP167:AP172))</f>
        <v>4.510970184057328E-5</v>
      </c>
      <c r="BJ167" s="28">
        <f>IF( OR(ISBLANK(P167:P172),ISBLANK(AJ167:AJ172), ISBLANK(W167:W172),ISBLANK(AQ167:AQ172)), "·", bdRateExtend( P167:P172,W167:W172, AJ167:AJ172,AQ167:AQ172))</f>
        <v>6.4208351837402589E-5</v>
      </c>
      <c r="BK167" s="28">
        <f>IF( OR(ISBLANK(P167:P172),ISBLANK(AJ167:AJ172), ISBLANK(X167:X172),ISBLANK(AR167:AR172)), "·", bdRateExtend( P167:P172,X167:X172, AJ167:AJ172,AR167:AR172))</f>
        <v>8.7372942088270733E-5</v>
      </c>
      <c r="BL167" s="29"/>
    </row>
    <row r="168" spans="1:64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>
        <f t="shared" si="23"/>
        <v>0.30199735820357843</v>
      </c>
      <c r="K168" s="34">
        <f t="shared" si="24"/>
        <v>1.1944122002962014E-2</v>
      </c>
      <c r="L168" s="34">
        <f t="shared" si="25"/>
        <v>0.28912460473121721</v>
      </c>
      <c r="M168" s="35"/>
      <c r="N168" s="34">
        <f t="shared" si="26"/>
        <v>0.80242488699813874</v>
      </c>
      <c r="O168" s="36">
        <v>188050</v>
      </c>
      <c r="P168" s="37">
        <v>150896</v>
      </c>
      <c r="Q168" s="37">
        <v>5968</v>
      </c>
      <c r="R168" s="37">
        <v>144464</v>
      </c>
      <c r="S168" s="38"/>
      <c r="T168" s="39">
        <v>55.3890916</v>
      </c>
      <c r="U168" s="39">
        <v>57.8094094</v>
      </c>
      <c r="V168" s="39">
        <v>23.536251100000001</v>
      </c>
      <c r="W168" s="39">
        <v>32.516852</v>
      </c>
      <c r="X168" s="39">
        <v>34.263508700000003</v>
      </c>
      <c r="Y168" s="38"/>
      <c r="Z168" s="41">
        <v>0.28100000000000003</v>
      </c>
      <c r="AA168" s="41">
        <v>0.249</v>
      </c>
      <c r="AC168" s="33" t="str">
        <f t="shared" si="27"/>
        <v>·</v>
      </c>
      <c r="AD168" s="34">
        <f t="shared" si="28"/>
        <v>0.3020293799783853</v>
      </c>
      <c r="AE168" s="34">
        <f t="shared" si="29"/>
        <v>1.192811111555858E-2</v>
      </c>
      <c r="AF168" s="34">
        <f t="shared" si="30"/>
        <v>0.28912460473121721</v>
      </c>
      <c r="AG168" s="35"/>
      <c r="AH168" s="34">
        <f t="shared" si="31"/>
        <v>0.80250997075245945</v>
      </c>
      <c r="AI168" s="36">
        <v>188050</v>
      </c>
      <c r="AJ168" s="37">
        <v>150912</v>
      </c>
      <c r="AK168" s="37">
        <v>5960</v>
      </c>
      <c r="AL168" s="37">
        <v>144464</v>
      </c>
      <c r="AM168" s="38"/>
      <c r="AN168" s="39">
        <v>55.3890916</v>
      </c>
      <c r="AO168" s="39">
        <v>57.8094094</v>
      </c>
      <c r="AP168" s="39">
        <v>23.536251100000001</v>
      </c>
      <c r="AQ168" s="39">
        <v>32.516852</v>
      </c>
      <c r="AR168" s="39">
        <v>34.263508700000003</v>
      </c>
      <c r="AS168" s="40"/>
      <c r="AT168" s="41">
        <v>0.311</v>
      </c>
      <c r="AU168" s="41">
        <v>0.249</v>
      </c>
      <c r="AW168" s="42">
        <f t="shared" si="32"/>
        <v>-5.7204242878659828E-5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>
        <f t="shared" si="23"/>
        <v>0.83961093543609655</v>
      </c>
      <c r="K169" s="19">
        <f t="shared" si="24"/>
        <v>4.8689108593843816E-2</v>
      </c>
      <c r="L169" s="19">
        <f t="shared" si="25"/>
        <v>0.78999319537285351</v>
      </c>
      <c r="M169" s="20"/>
      <c r="N169" s="19">
        <f t="shared" si="26"/>
        <v>1.8933287600754587</v>
      </c>
      <c r="O169" s="21">
        <v>221578</v>
      </c>
      <c r="P169" s="22">
        <v>419520</v>
      </c>
      <c r="Q169" s="22">
        <v>24328</v>
      </c>
      <c r="R169" s="22">
        <v>394728</v>
      </c>
      <c r="S169" s="23"/>
      <c r="T169" s="24">
        <v>60.194295099999998</v>
      </c>
      <c r="U169" s="24">
        <v>62.679119100000001</v>
      </c>
      <c r="V169" s="24">
        <v>25.7198703</v>
      </c>
      <c r="W169" s="24">
        <v>35.088448900000003</v>
      </c>
      <c r="X169" s="24">
        <v>36.517071299999998</v>
      </c>
      <c r="Y169" s="23"/>
      <c r="Z169" s="26">
        <v>0.436</v>
      </c>
      <c r="AA169" s="26">
        <v>0.29599999999999999</v>
      </c>
      <c r="AC169" s="18" t="str">
        <f t="shared" si="27"/>
        <v>·</v>
      </c>
      <c r="AD169" s="19">
        <f t="shared" si="28"/>
        <v>0.83981907697234115</v>
      </c>
      <c r="AE169" s="19">
        <f t="shared" si="29"/>
        <v>4.9201456990753713E-2</v>
      </c>
      <c r="AF169" s="19">
        <f t="shared" si="30"/>
        <v>0.78999319537285351</v>
      </c>
      <c r="AG169" s="20"/>
      <c r="AH169" s="19">
        <f t="shared" si="31"/>
        <v>1.8937981207520602</v>
      </c>
      <c r="AI169" s="21">
        <v>221578</v>
      </c>
      <c r="AJ169" s="22">
        <v>419624</v>
      </c>
      <c r="AK169" s="22">
        <v>24584</v>
      </c>
      <c r="AL169" s="22">
        <v>394728</v>
      </c>
      <c r="AM169" s="23"/>
      <c r="AN169" s="24">
        <v>60.194295099999998</v>
      </c>
      <c r="AO169" s="24">
        <v>62.679119100000001</v>
      </c>
      <c r="AP169" s="24">
        <v>25.7198703</v>
      </c>
      <c r="AQ169" s="24">
        <v>35.088448900000003</v>
      </c>
      <c r="AR169" s="24">
        <v>36.517071299999998</v>
      </c>
      <c r="AS169" s="25"/>
      <c r="AT169" s="26">
        <v>0.437</v>
      </c>
      <c r="AU169" s="26">
        <v>0.39</v>
      </c>
      <c r="AW169" s="27">
        <f t="shared" si="32"/>
        <v>5.9569765140658759E-4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>
        <f t="shared" si="23"/>
        <v>2.0116239042548933</v>
      </c>
      <c r="K170" s="34">
        <f t="shared" si="24"/>
        <v>0.20031221230436697</v>
      </c>
      <c r="L170" s="34">
        <f t="shared" si="25"/>
        <v>1.8103830604811271</v>
      </c>
      <c r="M170" s="35"/>
      <c r="N170" s="34">
        <f t="shared" si="26"/>
        <v>3.5988685595617458</v>
      </c>
      <c r="O170" s="36">
        <v>279290</v>
      </c>
      <c r="P170" s="37">
        <v>1005128</v>
      </c>
      <c r="Q170" s="37">
        <v>100088</v>
      </c>
      <c r="R170" s="37">
        <v>904576</v>
      </c>
      <c r="S170" s="38"/>
      <c r="T170" s="39">
        <v>61.732668099999998</v>
      </c>
      <c r="U170" s="39">
        <v>64.405444000000003</v>
      </c>
      <c r="V170" s="39">
        <v>27.225823999999999</v>
      </c>
      <c r="W170" s="39">
        <v>37.186356199999999</v>
      </c>
      <c r="X170" s="39">
        <v>38.664604099999998</v>
      </c>
      <c r="Y170" s="38"/>
      <c r="Z170" s="41">
        <v>0.79600000000000004</v>
      </c>
      <c r="AA170" s="41">
        <v>0.73399999999999999</v>
      </c>
      <c r="AC170" s="33" t="str">
        <f t="shared" si="27"/>
        <v>·</v>
      </c>
      <c r="AD170" s="34">
        <f t="shared" si="28"/>
        <v>2.0118320457911381</v>
      </c>
      <c r="AE170" s="34">
        <f t="shared" si="29"/>
        <v>0.20380258575831564</v>
      </c>
      <c r="AF170" s="34">
        <f t="shared" si="30"/>
        <v>1.8103830604811271</v>
      </c>
      <c r="AG170" s="35"/>
      <c r="AH170" s="34">
        <f t="shared" si="31"/>
        <v>3.5992409323642094</v>
      </c>
      <c r="AI170" s="36">
        <v>279290</v>
      </c>
      <c r="AJ170" s="37">
        <v>1005232</v>
      </c>
      <c r="AK170" s="37">
        <v>101832</v>
      </c>
      <c r="AL170" s="37">
        <v>904576</v>
      </c>
      <c r="AM170" s="38"/>
      <c r="AN170" s="39">
        <v>61.732668099999998</v>
      </c>
      <c r="AO170" s="39">
        <v>64.405444000000003</v>
      </c>
      <c r="AP170" s="39">
        <v>27.225823999999999</v>
      </c>
      <c r="AQ170" s="39">
        <v>37.186356199999999</v>
      </c>
      <c r="AR170" s="39">
        <v>38.664604099999998</v>
      </c>
      <c r="AS170" s="40"/>
      <c r="AT170" s="41">
        <v>0.78</v>
      </c>
      <c r="AU170" s="41">
        <v>0.65500000000000003</v>
      </c>
      <c r="AW170" s="42">
        <f t="shared" si="32"/>
        <v>1.7246207381031303E-3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27"/>
        <v>·</v>
      </c>
      <c r="AD171" s="19" t="str">
        <f t="shared" si="28"/>
        <v>·</v>
      </c>
      <c r="AE171" s="19">
        <f t="shared" si="29"/>
        <v>0</v>
      </c>
      <c r="AF171" s="19" t="str">
        <f t="shared" si="30"/>
        <v>·</v>
      </c>
      <c r="AG171" s="20"/>
      <c r="AH171" s="19" t="str">
        <f t="shared" si="31"/>
        <v>·</v>
      </c>
      <c r="AI171" s="21"/>
      <c r="AJ171" s="22"/>
      <c r="AK171" s="22">
        <v>0</v>
      </c>
      <c r="AL171" s="22"/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32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27"/>
        <v>·</v>
      </c>
      <c r="AD172" s="49" t="str">
        <f t="shared" si="28"/>
        <v>·</v>
      </c>
      <c r="AE172" s="49">
        <f t="shared" si="29"/>
        <v>0</v>
      </c>
      <c r="AF172" s="49" t="str">
        <f t="shared" si="30"/>
        <v>·</v>
      </c>
      <c r="AG172" s="50"/>
      <c r="AH172" s="49" t="str">
        <f t="shared" si="31"/>
        <v>·</v>
      </c>
      <c r="AI172" s="51"/>
      <c r="AJ172" s="52"/>
      <c r="AK172" s="52">
        <v>0</v>
      </c>
      <c r="AL172" s="52"/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32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>
        <f t="shared" si="23"/>
        <v>3.0105137684616232E-2</v>
      </c>
      <c r="K173" s="19">
        <f t="shared" si="24"/>
        <v>4.0400633237566352E-3</v>
      </c>
      <c r="L173" s="19">
        <f t="shared" si="25"/>
        <v>2.6026445872245774E-2</v>
      </c>
      <c r="M173" s="20"/>
      <c r="N173" s="19">
        <f t="shared" si="26"/>
        <v>0.11056999062787588</v>
      </c>
      <c r="O173" s="21">
        <v>17367461</v>
      </c>
      <c r="P173" s="22">
        <v>1920320</v>
      </c>
      <c r="Q173" s="22">
        <v>257704</v>
      </c>
      <c r="R173" s="22">
        <v>1660152</v>
      </c>
      <c r="S173" s="23"/>
      <c r="T173" s="24">
        <v>67.247053699999995</v>
      </c>
      <c r="U173" s="24">
        <v>70.906901700000006</v>
      </c>
      <c r="V173" s="24">
        <v>27.1325593</v>
      </c>
      <c r="W173" s="24">
        <v>39.0182176</v>
      </c>
      <c r="X173" s="24">
        <v>37.436148099999997</v>
      </c>
      <c r="Y173" s="23"/>
      <c r="Z173" s="26">
        <v>32.146999999999998</v>
      </c>
      <c r="AA173" s="26">
        <v>19.774999999999999</v>
      </c>
      <c r="AC173" s="18" t="str">
        <f t="shared" si="27"/>
        <v>·</v>
      </c>
      <c r="AD173" s="19">
        <f t="shared" si="28"/>
        <v>3.0108774782570132E-2</v>
      </c>
      <c r="AE173" s="19">
        <f t="shared" si="29"/>
        <v>4.0400633237566352E-3</v>
      </c>
      <c r="AF173" s="19">
        <f t="shared" si="30"/>
        <v>2.6026445872245774E-2</v>
      </c>
      <c r="AG173" s="20"/>
      <c r="AH173" s="19">
        <f t="shared" si="31"/>
        <v>0.1105833489420244</v>
      </c>
      <c r="AI173" s="21">
        <v>17367461</v>
      </c>
      <c r="AJ173" s="22">
        <v>1920552</v>
      </c>
      <c r="AK173" s="22">
        <v>257704</v>
      </c>
      <c r="AL173" s="22">
        <v>1660152</v>
      </c>
      <c r="AM173" s="23"/>
      <c r="AN173" s="24">
        <v>67.247053699999995</v>
      </c>
      <c r="AO173" s="24">
        <v>70.906901700000006</v>
      </c>
      <c r="AP173" s="24">
        <v>27.1325593</v>
      </c>
      <c r="AQ173" s="24">
        <v>39.0182176</v>
      </c>
      <c r="AR173" s="24">
        <v>37.436148099999997</v>
      </c>
      <c r="AS173" s="25"/>
      <c r="AT173" s="26">
        <v>31.231000000000002</v>
      </c>
      <c r="AU173" s="26">
        <v>18.481000000000002</v>
      </c>
      <c r="AW173" s="27">
        <f t="shared" si="32"/>
        <v>-1.621098742754512E-5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5.3832769222912358E-3</v>
      </c>
      <c r="BA173" s="28">
        <f>IF( OR(ISBLANK(Q173:Q178),ISBLANK(AK173:AK178), ISBLANK(U173:U178),ISBLANK(AO173:AO178)), "·", bdRateExtend( Q173:Q178,U173:U178, AK173:AK178,AO173:AO178))</f>
        <v>5.5406353914169149E-3</v>
      </c>
      <c r="BB173" s="28">
        <f>IF( OR(ISBLANK(R173:R178),ISBLANK(AL173:AL178), ISBLANK(V173:V178),ISBLANK(AP173:AP178)), "·", bdRateExtend( R173:R178,V173:V178, AL173:AL178,AP173:AP178))</f>
        <v>0</v>
      </c>
      <c r="BC173" s="28">
        <f>IF( OR(ISBLANK(R173:R178),ISBLANK(AL173:AL178), ISBLANK(W173:W178),ISBLANK(AQ173:AQ178)), "·", bdRateExtend( R173:R178,W173:W178, AL173:AL178,AQ173:AQ178))</f>
        <v>0</v>
      </c>
      <c r="BD173" s="28">
        <f>IF( OR(ISBLANK(R173:R178),ISBLANK(AL173:AL178), ISBLANK(X173:X178),ISBLANK(AR173:AR178)), "·", bdRateExtend( R173:R178,X173:X178, AL173:AL178,AR173:AR178))</f>
        <v>0</v>
      </c>
      <c r="BE173" s="29"/>
      <c r="BG173" s="28">
        <f>IF( OR(ISBLANK(P173:P178),ISBLANK(AJ173:AJ178), ISBLANK(T173:T178),ISBLANK(AN173:AN178)), "·", bdRateExtend( P173:P178,T173:T178, AJ173:AJ178,AN173:AN178))</f>
        <v>2.208532191729784E-4</v>
      </c>
      <c r="BH173" s="28">
        <f>IF( OR(ISBLANK(P173:P178),ISBLANK(AJ173:AJ178), ISBLANK(U173:U178),ISBLANK(AO173:AO178)), "·", bdRateExtend( P173:P178,U173:U178, AJ173:AJ178,AO173:AO178))</f>
        <v>2.1883519374021887E-4</v>
      </c>
      <c r="BI173" s="28">
        <f>IF( OR(ISBLANK(P173:P178),ISBLANK(AJ173:AJ178), ISBLANK(V173:V178),ISBLANK(AP173:AP178)), "·", bdRateExtend( P173:P178,V173:V178, AJ173:AJ178,AP173:AP178))</f>
        <v>2.256866507701627E-4</v>
      </c>
      <c r="BJ173" s="28">
        <f>IF( OR(ISBLANK(P173:P178),ISBLANK(AJ173:AJ178), ISBLANK(W173:W178),ISBLANK(AQ173:AQ178)), "·", bdRateExtend( P173:P178,W173:W178, AJ173:AJ178,AQ173:AQ178))</f>
        <v>2.2763596501751415E-4</v>
      </c>
      <c r="BK173" s="28">
        <f>IF( OR(ISBLANK(P173:P178),ISBLANK(AJ173:AJ178), ISBLANK(X173:X178),ISBLANK(AR173:AR178)), "·", bdRateExtend( P173:P178,X173:X178, AJ173:AJ178,AR173:AR178))</f>
        <v>2.2943149722087774E-4</v>
      </c>
      <c r="BL173" s="29"/>
    </row>
    <row r="174" spans="1:64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>
        <f t="shared" si="23"/>
        <v>6.999883471771158E-2</v>
      </c>
      <c r="K174" s="34">
        <f t="shared" si="24"/>
        <v>1.1760242691004747E-2</v>
      </c>
      <c r="L174" s="34">
        <f t="shared" si="25"/>
        <v>5.8199963538093015E-2</v>
      </c>
      <c r="M174" s="35"/>
      <c r="N174" s="34">
        <f t="shared" si="26"/>
        <v>0.29761896112544023</v>
      </c>
      <c r="O174" s="36">
        <v>15002485</v>
      </c>
      <c r="P174" s="37">
        <v>4465024</v>
      </c>
      <c r="Q174" s="37">
        <v>750152</v>
      </c>
      <c r="R174" s="37">
        <v>3712408</v>
      </c>
      <c r="S174" s="38"/>
      <c r="T174" s="39">
        <v>72.218742899999995</v>
      </c>
      <c r="U174" s="39">
        <v>76.5990793</v>
      </c>
      <c r="V174" s="39">
        <v>29.675697100000001</v>
      </c>
      <c r="W174" s="39">
        <v>41.787510300000001</v>
      </c>
      <c r="X174" s="39">
        <v>39.984704399999998</v>
      </c>
      <c r="Y174" s="38"/>
      <c r="Z174" s="41">
        <v>33.21</v>
      </c>
      <c r="AA174" s="41">
        <v>17.817</v>
      </c>
      <c r="AC174" s="33" t="str">
        <f t="shared" si="27"/>
        <v>·</v>
      </c>
      <c r="AD174" s="34">
        <f t="shared" si="28"/>
        <v>7.0014511864064599E-2</v>
      </c>
      <c r="AE174" s="34">
        <f t="shared" si="29"/>
        <v>1.1745192630505856E-2</v>
      </c>
      <c r="AF174" s="34">
        <f t="shared" si="30"/>
        <v>5.8199963538093015E-2</v>
      </c>
      <c r="AG174" s="35"/>
      <c r="AH174" s="34">
        <f t="shared" si="31"/>
        <v>0.29768561674949184</v>
      </c>
      <c r="AI174" s="36">
        <v>15002485</v>
      </c>
      <c r="AJ174" s="37">
        <v>4466024</v>
      </c>
      <c r="AK174" s="37">
        <v>749192</v>
      </c>
      <c r="AL174" s="37">
        <v>3712408</v>
      </c>
      <c r="AM174" s="38"/>
      <c r="AN174" s="39">
        <v>72.218742899999995</v>
      </c>
      <c r="AO174" s="39">
        <v>76.5990793</v>
      </c>
      <c r="AP174" s="39">
        <v>29.675697100000001</v>
      </c>
      <c r="AQ174" s="39">
        <v>41.787510300000001</v>
      </c>
      <c r="AR174" s="39">
        <v>39.984704399999998</v>
      </c>
      <c r="AS174" s="40"/>
      <c r="AT174" s="41">
        <v>31.79</v>
      </c>
      <c r="AU174" s="41">
        <v>17.382000000000001</v>
      </c>
      <c r="AW174" s="42">
        <f t="shared" si="32"/>
        <v>-2.5257505642517497E-4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>
        <f t="shared" si="23"/>
        <v>0.19337433941796306</v>
      </c>
      <c r="K175" s="19">
        <f t="shared" si="24"/>
        <v>4.6823497389810002E-2</v>
      </c>
      <c r="L175" s="19">
        <f t="shared" si="25"/>
        <v>0.14651095936783098</v>
      </c>
      <c r="M175" s="20"/>
      <c r="N175" s="19">
        <f t="shared" si="26"/>
        <v>0.72882036529199035</v>
      </c>
      <c r="O175" s="21">
        <v>16924324</v>
      </c>
      <c r="P175" s="22">
        <v>12334792</v>
      </c>
      <c r="Q175" s="22">
        <v>2986736</v>
      </c>
      <c r="R175" s="22">
        <v>9345512</v>
      </c>
      <c r="S175" s="23"/>
      <c r="T175" s="24">
        <v>76.594478499999994</v>
      </c>
      <c r="U175" s="24">
        <v>80.964476000000005</v>
      </c>
      <c r="V175" s="24">
        <v>32.184052100000002</v>
      </c>
      <c r="W175" s="24">
        <v>44.766317200000003</v>
      </c>
      <c r="X175" s="24">
        <v>42.9199068</v>
      </c>
      <c r="Y175" s="23"/>
      <c r="Z175" s="26">
        <v>50.774000000000001</v>
      </c>
      <c r="AA175" s="26">
        <v>25.956</v>
      </c>
      <c r="AC175" s="18" t="str">
        <f t="shared" si="27"/>
        <v>·</v>
      </c>
      <c r="AD175" s="19">
        <f t="shared" si="28"/>
        <v>0.19342714004688</v>
      </c>
      <c r="AE175" s="19">
        <f t="shared" si="29"/>
        <v>4.7289296762250702E-2</v>
      </c>
      <c r="AF175" s="19">
        <f t="shared" si="30"/>
        <v>0.14651095936783098</v>
      </c>
      <c r="AG175" s="20"/>
      <c r="AH175" s="19">
        <f t="shared" si="31"/>
        <v>0.72901936880905849</v>
      </c>
      <c r="AI175" s="21">
        <v>16924324</v>
      </c>
      <c r="AJ175" s="22">
        <v>12338160</v>
      </c>
      <c r="AK175" s="22">
        <v>3016448</v>
      </c>
      <c r="AL175" s="22">
        <v>9345512</v>
      </c>
      <c r="AM175" s="23"/>
      <c r="AN175" s="24">
        <v>76.594478499999994</v>
      </c>
      <c r="AO175" s="24">
        <v>80.964476000000005</v>
      </c>
      <c r="AP175" s="24">
        <v>32.184052100000002</v>
      </c>
      <c r="AQ175" s="24">
        <v>44.766317200000003</v>
      </c>
      <c r="AR175" s="24">
        <v>42.9199068</v>
      </c>
      <c r="AS175" s="25"/>
      <c r="AT175" s="26">
        <v>50.587000000000003</v>
      </c>
      <c r="AU175" s="26">
        <v>25.959</v>
      </c>
      <c r="AW175" s="27">
        <f t="shared" si="32"/>
        <v>2.3420409004694387E-3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>
        <f t="shared" si="23"/>
        <v>0.49692139254635409</v>
      </c>
      <c r="K176" s="34">
        <f t="shared" si="24"/>
        <v>0.16163463974599637</v>
      </c>
      <c r="L176" s="34">
        <f t="shared" si="25"/>
        <v>0.33524812431174389</v>
      </c>
      <c r="M176" s="35"/>
      <c r="N176" s="34">
        <f t="shared" si="26"/>
        <v>1.551374184465087</v>
      </c>
      <c r="O176" s="36">
        <v>20431682</v>
      </c>
      <c r="P176" s="37">
        <v>31697184</v>
      </c>
      <c r="Q176" s="37">
        <v>10310208</v>
      </c>
      <c r="R176" s="37">
        <v>21384512</v>
      </c>
      <c r="S176" s="38"/>
      <c r="T176" s="39">
        <v>79.276860299999996</v>
      </c>
      <c r="U176" s="39">
        <v>84.051683600000004</v>
      </c>
      <c r="V176" s="39">
        <v>34.306908499999999</v>
      </c>
      <c r="W176" s="39">
        <v>47.363387799999998</v>
      </c>
      <c r="X176" s="39">
        <v>45.6515567</v>
      </c>
      <c r="Y176" s="38"/>
      <c r="Z176" s="41">
        <v>96.537000000000006</v>
      </c>
      <c r="AA176" s="41">
        <v>53.040999999999997</v>
      </c>
      <c r="AC176" s="33" t="str">
        <f t="shared" si="27"/>
        <v>·</v>
      </c>
      <c r="AD176" s="34">
        <f t="shared" si="28"/>
        <v>0.49702410920925899</v>
      </c>
      <c r="AE176" s="34">
        <f t="shared" si="29"/>
        <v>0.16830608073081338</v>
      </c>
      <c r="AF176" s="34">
        <f t="shared" si="30"/>
        <v>0.33524812431174389</v>
      </c>
      <c r="AG176" s="35"/>
      <c r="AH176" s="34">
        <f t="shared" si="31"/>
        <v>1.5516948629094756</v>
      </c>
      <c r="AI176" s="36">
        <v>20431682</v>
      </c>
      <c r="AJ176" s="37">
        <v>31703736</v>
      </c>
      <c r="AK176" s="37">
        <v>10735760</v>
      </c>
      <c r="AL176" s="37">
        <v>21384512</v>
      </c>
      <c r="AM176" s="38"/>
      <c r="AN176" s="39">
        <v>79.276860299999996</v>
      </c>
      <c r="AO176" s="39">
        <v>84.051683600000004</v>
      </c>
      <c r="AP176" s="39">
        <v>34.306908499999999</v>
      </c>
      <c r="AQ176" s="39">
        <v>47.363387799999998</v>
      </c>
      <c r="AR176" s="39">
        <v>45.6515567</v>
      </c>
      <c r="AS176" s="40"/>
      <c r="AT176" s="41">
        <v>91.492999999999995</v>
      </c>
      <c r="AU176" s="41">
        <v>50.134999999999998</v>
      </c>
      <c r="AW176" s="42">
        <f t="shared" si="32"/>
        <v>1.3355549564641522E-2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27"/>
        <v>·</v>
      </c>
      <c r="AD177" s="19" t="str">
        <f t="shared" si="28"/>
        <v>·</v>
      </c>
      <c r="AE177" s="19">
        <f t="shared" si="29"/>
        <v>0</v>
      </c>
      <c r="AF177" s="19" t="str">
        <f t="shared" si="30"/>
        <v>·</v>
      </c>
      <c r="AG177" s="20"/>
      <c r="AH177" s="19" t="str">
        <f t="shared" si="31"/>
        <v>·</v>
      </c>
      <c r="AI177" s="21"/>
      <c r="AJ177" s="22"/>
      <c r="AK177" s="22">
        <v>0</v>
      </c>
      <c r="AL177" s="22"/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32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27"/>
        <v>·</v>
      </c>
      <c r="AD178" s="49" t="str">
        <f t="shared" si="28"/>
        <v>·</v>
      </c>
      <c r="AE178" s="49">
        <f t="shared" si="29"/>
        <v>0</v>
      </c>
      <c r="AF178" s="49" t="str">
        <f t="shared" si="30"/>
        <v>·</v>
      </c>
      <c r="AG178" s="50"/>
      <c r="AH178" s="49" t="str">
        <f t="shared" si="31"/>
        <v>·</v>
      </c>
      <c r="AI178" s="51"/>
      <c r="AJ178" s="52"/>
      <c r="AK178" s="52">
        <v>0</v>
      </c>
      <c r="AL178" s="52"/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32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>
        <f t="shared" si="23"/>
        <v>0.24672950783108769</v>
      </c>
      <c r="K179" s="19">
        <f t="shared" si="24"/>
        <v>3.5778064133272586E-2</v>
      </c>
      <c r="L179" s="19">
        <f t="shared" si="25"/>
        <v>0.21622813678303157</v>
      </c>
      <c r="M179" s="20"/>
      <c r="N179" s="19">
        <f t="shared" si="26"/>
        <v>0.30462621295839631</v>
      </c>
      <c r="O179" s="21">
        <v>1615987</v>
      </c>
      <c r="P179" s="22">
        <v>492272</v>
      </c>
      <c r="Q179" s="22">
        <v>71384</v>
      </c>
      <c r="R179" s="22">
        <v>431416</v>
      </c>
      <c r="S179" s="23"/>
      <c r="T179" s="24">
        <v>60.264397799999998</v>
      </c>
      <c r="U179" s="24">
        <v>61.162666999999999</v>
      </c>
      <c r="V179" s="24">
        <v>25.040660800000001</v>
      </c>
      <c r="W179" s="24">
        <v>36.147135300000002</v>
      </c>
      <c r="X179" s="24">
        <v>35.053662000000003</v>
      </c>
      <c r="Y179" s="23"/>
      <c r="Z179" s="26">
        <v>9.7949999999999999</v>
      </c>
      <c r="AA179" s="26">
        <v>2.06</v>
      </c>
      <c r="AC179" s="18" t="str">
        <f t="shared" si="27"/>
        <v>·</v>
      </c>
      <c r="AD179" s="19">
        <f t="shared" si="28"/>
        <v>0.24682573931592447</v>
      </c>
      <c r="AE179" s="19">
        <f t="shared" si="29"/>
        <v>3.6479752043540738E-2</v>
      </c>
      <c r="AF179" s="19">
        <f t="shared" si="30"/>
        <v>0.21622813678303157</v>
      </c>
      <c r="AG179" s="20"/>
      <c r="AH179" s="19">
        <f t="shared" si="31"/>
        <v>0.30474502579538076</v>
      </c>
      <c r="AI179" s="21">
        <v>1615987</v>
      </c>
      <c r="AJ179" s="22">
        <v>492464</v>
      </c>
      <c r="AK179" s="22">
        <v>72784</v>
      </c>
      <c r="AL179" s="22">
        <v>431416</v>
      </c>
      <c r="AM179" s="23"/>
      <c r="AN179" s="24">
        <v>60.264397799999998</v>
      </c>
      <c r="AO179" s="24">
        <v>61.162666999999999</v>
      </c>
      <c r="AP179" s="24">
        <v>25.040660800000001</v>
      </c>
      <c r="AQ179" s="24">
        <v>36.147135300000002</v>
      </c>
      <c r="AR179" s="24">
        <v>35.053662000000003</v>
      </c>
      <c r="AS179" s="25"/>
      <c r="AT179" s="26">
        <v>9.8569999999999993</v>
      </c>
      <c r="AU179" s="26">
        <v>2.0609999999999999</v>
      </c>
      <c r="AW179" s="27">
        <f t="shared" si="32"/>
        <v>2.7863117333877252E-3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1.9955633841599596E-2</v>
      </c>
      <c r="BA179" s="28">
        <f>IF( OR(ISBLANK(Q179:Q184),ISBLANK(AK179:AK184), ISBLANK(U179:U184),ISBLANK(AO179:AO184)), "·", bdRateExtend( Q179:Q184,U179:U184, AK179:AK184,AO179:AO184))</f>
        <v>1.9955633841602038E-2</v>
      </c>
      <c r="BB179" s="28">
        <f>IF( OR(ISBLANK(R179:R184),ISBLANK(AL179:AL184), ISBLANK(V179:V184),ISBLANK(AP179:AP184)), "·", bdRateExtend( R179:R184,V179:V184, AL179:AL184,AP179:AP184))</f>
        <v>0</v>
      </c>
      <c r="BC179" s="28">
        <f>IF( OR(ISBLANK(R179:R184),ISBLANK(AL179:AL184), ISBLANK(W179:W184),ISBLANK(AQ179:AQ184)), "·", bdRateExtend( R179:R184,W179:W184, AL179:AL184,AQ179:AQ184))</f>
        <v>0</v>
      </c>
      <c r="BD179" s="28">
        <f>IF( OR(ISBLANK(R179:R184),ISBLANK(AL179:AL184), ISBLANK(X179:X184),ISBLANK(AR179:AR184)), "·", bdRateExtend( R179:R184,X179:X184, AL179:AL184,AR179:AR184))</f>
        <v>0</v>
      </c>
      <c r="BE179" s="29"/>
      <c r="BG179" s="28">
        <f>IF( OR(ISBLANK(P179:P184),ISBLANK(AJ179:AJ184), ISBLANK(T179:T184),ISBLANK(AN179:AN184)), "·", bdRateExtend( P179:P184,T179:T184, AJ179:AJ184,AN179:AN184))</f>
        <v>3.608998655149076E-4</v>
      </c>
      <c r="BH179" s="28">
        <f>IF( OR(ISBLANK(P179:P184),ISBLANK(AJ179:AJ184), ISBLANK(U179:U184),ISBLANK(AO179:AO184)), "·", bdRateExtend( P179:P184,U179:U184, AJ179:AJ184,AO179:AO184))</f>
        <v>3.6089986551557374E-4</v>
      </c>
      <c r="BI179" s="28">
        <f>IF( OR(ISBLANK(P179:P184),ISBLANK(AJ179:AJ184), ISBLANK(V179:V184),ISBLANK(AP179:AP184)), "·", bdRateExtend( P179:P184,V179:V184, AJ179:AJ184,AP179:AP184))</f>
        <v>3.6089986551601783E-4</v>
      </c>
      <c r="BJ179" s="28">
        <f>IF( OR(ISBLANK(P179:P184),ISBLANK(AJ179:AJ184), ISBLANK(W179:W184),ISBLANK(AQ179:AQ184)), "·", bdRateExtend( P179:P184,W179:W184, AJ179:AJ184,AQ179:AQ184))</f>
        <v>3.6089986551401942E-4</v>
      </c>
      <c r="BK179" s="28">
        <f>IF( OR(ISBLANK(P179:P184),ISBLANK(AJ179:AJ184), ISBLANK(X179:X184),ISBLANK(AR179:AR184)), "·", bdRateExtend( P179:P184,X179:X184, AJ179:AJ184,AR179:AR184))</f>
        <v>3.6089986551579578E-4</v>
      </c>
      <c r="BL179" s="29"/>
    </row>
    <row r="180" spans="1:64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>
        <f t="shared" si="23"/>
        <v>0.62844773101696128</v>
      </c>
      <c r="K180" s="34">
        <f t="shared" si="24"/>
        <v>0.14261506052810036</v>
      </c>
      <c r="L180" s="34">
        <f t="shared" si="25"/>
        <v>0.50659060369719355</v>
      </c>
      <c r="M180" s="35"/>
      <c r="N180" s="34">
        <f t="shared" si="26"/>
        <v>0.76132603260070997</v>
      </c>
      <c r="O180" s="36">
        <v>1646958</v>
      </c>
      <c r="P180" s="37">
        <v>1253872</v>
      </c>
      <c r="Q180" s="37">
        <v>284544</v>
      </c>
      <c r="R180" s="37">
        <v>1010744</v>
      </c>
      <c r="S180" s="38"/>
      <c r="T180" s="39">
        <v>65.1920231</v>
      </c>
      <c r="U180" s="39">
        <v>68.421084500000006</v>
      </c>
      <c r="V180" s="39">
        <v>27.5533769</v>
      </c>
      <c r="W180" s="39">
        <v>38.860568299999997</v>
      </c>
      <c r="X180" s="39">
        <v>37.696316699999997</v>
      </c>
      <c r="Y180" s="38"/>
      <c r="Z180" s="41">
        <v>13.092000000000001</v>
      </c>
      <c r="AA180" s="41">
        <v>2.827</v>
      </c>
      <c r="AC180" s="33" t="str">
        <f t="shared" si="27"/>
        <v>·</v>
      </c>
      <c r="AD180" s="34">
        <f t="shared" si="28"/>
        <v>0.62865623256744096</v>
      </c>
      <c r="AE180" s="34">
        <f t="shared" si="29"/>
        <v>0.14551002436360666</v>
      </c>
      <c r="AF180" s="34">
        <f t="shared" si="30"/>
        <v>0.50659060369719355</v>
      </c>
      <c r="AG180" s="35"/>
      <c r="AH180" s="34">
        <f t="shared" si="31"/>
        <v>0.76157861949120742</v>
      </c>
      <c r="AI180" s="36">
        <v>1646958</v>
      </c>
      <c r="AJ180" s="37">
        <v>1254288</v>
      </c>
      <c r="AK180" s="37">
        <v>290320</v>
      </c>
      <c r="AL180" s="37">
        <v>1010744</v>
      </c>
      <c r="AM180" s="38"/>
      <c r="AN180" s="39">
        <v>65.1920231</v>
      </c>
      <c r="AO180" s="39">
        <v>68.421084500000006</v>
      </c>
      <c r="AP180" s="39">
        <v>27.5533769</v>
      </c>
      <c r="AQ180" s="39">
        <v>38.860568299999997</v>
      </c>
      <c r="AR180" s="39">
        <v>37.696316699999997</v>
      </c>
      <c r="AS180" s="40"/>
      <c r="AT180" s="41">
        <v>12.497999999999999</v>
      </c>
      <c r="AU180" s="41">
        <v>2.7330000000000001</v>
      </c>
      <c r="AW180" s="42">
        <f t="shared" si="32"/>
        <v>4.5297381319652497E-3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4"/>
      <c r="X181" s="24"/>
      <c r="Y181" s="23"/>
      <c r="Z181" s="26"/>
      <c r="AA181" s="26"/>
      <c r="AC181" s="18" t="str">
        <f t="shared" si="27"/>
        <v>·</v>
      </c>
      <c r="AD181" s="19" t="str">
        <f t="shared" si="28"/>
        <v>·</v>
      </c>
      <c r="AE181" s="19">
        <f t="shared" si="29"/>
        <v>0.25601183647263492</v>
      </c>
      <c r="AF181" s="19" t="str">
        <f t="shared" si="30"/>
        <v>·</v>
      </c>
      <c r="AG181" s="20"/>
      <c r="AH181" s="19" t="str">
        <f t="shared" si="31"/>
        <v>·</v>
      </c>
      <c r="AI181" s="21"/>
      <c r="AJ181" s="22"/>
      <c r="AK181" s="22">
        <v>510792</v>
      </c>
      <c r="AL181" s="22"/>
      <c r="AM181" s="23"/>
      <c r="AN181" s="24"/>
      <c r="AO181" s="24"/>
      <c r="AP181" s="24"/>
      <c r="AQ181" s="24"/>
      <c r="AR181" s="24"/>
      <c r="AS181" s="25"/>
      <c r="AT181" s="26"/>
      <c r="AU181" s="26"/>
      <c r="AW181" s="27" t="e">
        <f t="shared" si="32"/>
        <v>#DIV/0!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9"/>
      <c r="X182" s="39"/>
      <c r="Y182" s="38"/>
      <c r="Z182" s="41"/>
      <c r="AA182" s="41"/>
      <c r="AC182" s="33" t="str">
        <f t="shared" si="27"/>
        <v>·</v>
      </c>
      <c r="AD182" s="34" t="str">
        <f t="shared" si="28"/>
        <v>·</v>
      </c>
      <c r="AE182" s="34">
        <f t="shared" si="29"/>
        <v>1.5293267956068322</v>
      </c>
      <c r="AF182" s="34" t="str">
        <f t="shared" si="30"/>
        <v>·</v>
      </c>
      <c r="AG182" s="35"/>
      <c r="AH182" s="34" t="str">
        <f t="shared" si="31"/>
        <v>·</v>
      </c>
      <c r="AI182" s="36"/>
      <c r="AJ182" s="37"/>
      <c r="AK182" s="37">
        <v>3051296</v>
      </c>
      <c r="AL182" s="37"/>
      <c r="AM182" s="38"/>
      <c r="AN182" s="39"/>
      <c r="AO182" s="39"/>
      <c r="AP182" s="39"/>
      <c r="AQ182" s="39"/>
      <c r="AR182" s="39"/>
      <c r="AS182" s="40"/>
      <c r="AT182" s="41"/>
      <c r="AU182" s="41"/>
      <c r="AW182" s="42" t="e">
        <f t="shared" si="32"/>
        <v>#DIV/0!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27"/>
        <v>·</v>
      </c>
      <c r="AD183" s="19" t="str">
        <f t="shared" si="28"/>
        <v>·</v>
      </c>
      <c r="AE183" s="19">
        <f t="shared" si="29"/>
        <v>0</v>
      </c>
      <c r="AF183" s="19" t="str">
        <f t="shared" si="30"/>
        <v>·</v>
      </c>
      <c r="AG183" s="20"/>
      <c r="AH183" s="19" t="str">
        <f t="shared" si="31"/>
        <v>·</v>
      </c>
      <c r="AI183" s="21"/>
      <c r="AJ183" s="22"/>
      <c r="AK183" s="22">
        <v>0</v>
      </c>
      <c r="AL183" s="22"/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32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27"/>
        <v>·</v>
      </c>
      <c r="AD184" s="49" t="str">
        <f t="shared" si="28"/>
        <v>·</v>
      </c>
      <c r="AE184" s="49">
        <f t="shared" si="29"/>
        <v>0</v>
      </c>
      <c r="AF184" s="49" t="str">
        <f t="shared" si="30"/>
        <v>·</v>
      </c>
      <c r="AG184" s="50"/>
      <c r="AH184" s="49" t="str">
        <f t="shared" si="31"/>
        <v>·</v>
      </c>
      <c r="AI184" s="51"/>
      <c r="AJ184" s="52"/>
      <c r="AK184" s="52">
        <v>0</v>
      </c>
      <c r="AL184" s="52"/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32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>
        <f t="shared" si="23"/>
        <v>8.9750625917969465E-2</v>
      </c>
      <c r="K185" s="19">
        <f t="shared" si="24"/>
        <v>3.5595001019240119E-3</v>
      </c>
      <c r="L185" s="19">
        <f t="shared" si="25"/>
        <v>8.5877513472263606E-2</v>
      </c>
      <c r="M185" s="20"/>
      <c r="N185" s="19">
        <f t="shared" si="26"/>
        <v>0.27309904432829618</v>
      </c>
      <c r="O185" s="21">
        <v>502997</v>
      </c>
      <c r="P185" s="22">
        <v>137368</v>
      </c>
      <c r="Q185" s="22">
        <v>5448</v>
      </c>
      <c r="R185" s="22">
        <v>131440</v>
      </c>
      <c r="S185" s="23"/>
      <c r="T185" s="24">
        <v>46.175350600000002</v>
      </c>
      <c r="U185" s="24">
        <v>52.802708899999999</v>
      </c>
      <c r="V185" s="24">
        <v>18.6367358</v>
      </c>
      <c r="W185" s="24">
        <v>35.657435</v>
      </c>
      <c r="X185" s="24">
        <v>35.4534576</v>
      </c>
      <c r="Y185" s="23"/>
      <c r="Z185" s="26">
        <v>0.81200000000000006</v>
      </c>
      <c r="AA185" s="26">
        <v>0.67100000000000004</v>
      </c>
      <c r="AC185" s="18" t="str">
        <f t="shared" si="27"/>
        <v>·</v>
      </c>
      <c r="AD185" s="19">
        <f t="shared" si="28"/>
        <v>8.974017217317673E-2</v>
      </c>
      <c r="AE185" s="19">
        <f t="shared" si="29"/>
        <v>3.5804075915094684E-3</v>
      </c>
      <c r="AF185" s="19">
        <f t="shared" si="30"/>
        <v>8.5877513472263606E-2</v>
      </c>
      <c r="AG185" s="20"/>
      <c r="AH185" s="19">
        <f t="shared" si="31"/>
        <v>0.27306723499344926</v>
      </c>
      <c r="AI185" s="21">
        <v>502997</v>
      </c>
      <c r="AJ185" s="22">
        <v>137352</v>
      </c>
      <c r="AK185" s="22">
        <v>5480</v>
      </c>
      <c r="AL185" s="22">
        <v>131440</v>
      </c>
      <c r="AM185" s="23"/>
      <c r="AN185" s="24">
        <v>46.175350600000002</v>
      </c>
      <c r="AO185" s="24">
        <v>52.802708899999999</v>
      </c>
      <c r="AP185" s="24">
        <v>18.6367358</v>
      </c>
      <c r="AQ185" s="24">
        <v>35.657435</v>
      </c>
      <c r="AR185" s="24">
        <v>35.4534576</v>
      </c>
      <c r="AS185" s="25"/>
      <c r="AT185" s="26">
        <v>0.76400000000000001</v>
      </c>
      <c r="AU185" s="26">
        <v>0.624</v>
      </c>
      <c r="AW185" s="27">
        <f t="shared" si="32"/>
        <v>2.3759798377049474E-4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7.1032172623848311E-3</v>
      </c>
      <c r="BA185" s="28">
        <f>IF( OR(ISBLANK(Q185:Q190),ISBLANK(AK185:AK190), ISBLANK(U185:U190),ISBLANK(AO185:AO190)), "·", bdRateExtend( Q185:Q190,U185:U190, AK185:AK190,AO185:AO190))</f>
        <v>7.3204464935625602E-3</v>
      </c>
      <c r="BB185" s="28">
        <f>IF( OR(ISBLANK(R185:R190),ISBLANK(AL185:AL190), ISBLANK(V185:V190),ISBLANK(AP185:AP190)), "·", bdRateExtend( R185:R190,V185:V190, AL185:AL190,AP185:AP190))</f>
        <v>0</v>
      </c>
      <c r="BC185" s="28">
        <f>IF( OR(ISBLANK(R185:R190),ISBLANK(AL185:AL190), ISBLANK(W185:W190),ISBLANK(AQ185:AQ190)), "·", bdRateExtend( R185:R190,W185:W190, AL185:AL190,AQ185:AQ190))</f>
        <v>0</v>
      </c>
      <c r="BD185" s="28">
        <f>IF( OR(ISBLANK(R185:R190),ISBLANK(AL185:AL190), ISBLANK(X185:X190),ISBLANK(AR185:AR190)), "·", bdRateExtend( R185:R190,X185:X190, AL185:AL190,AR185:AR190))</f>
        <v>0</v>
      </c>
      <c r="BE185" s="29"/>
      <c r="BG185" s="28">
        <f>IF( OR(ISBLANK(P185:P190),ISBLANK(AJ185:AJ190), ISBLANK(T185:T190),ISBLANK(AN185:AN190)), "·", bdRateExtend( P185:P190,T185:T190, AJ185:AJ190,AN185:AN190))</f>
        <v>4.9775184866263089E-5</v>
      </c>
      <c r="BH185" s="28">
        <f>IF( OR(ISBLANK(P185:P190),ISBLANK(AJ185:AJ190), ISBLANK(U185:U190),ISBLANK(AO185:AO190)), "·", bdRateExtend( P185:P190,U185:U190, AJ185:AJ190,AO185:AO190))</f>
        <v>3.7259101605124911E-5</v>
      </c>
      <c r="BI185" s="28">
        <f>IF( OR(ISBLANK(P185:P190),ISBLANK(AJ185:AJ190), ISBLANK(V185:V190),ISBLANK(AP185:AP190)), "·", bdRateExtend( P185:P190,V185:V190, AJ185:AJ190,AP185:AP190))</f>
        <v>4.3170168050332691E-5</v>
      </c>
      <c r="BJ185" s="28">
        <f>IF( OR(ISBLANK(P185:P190),ISBLANK(AJ185:AJ190), ISBLANK(W185:W190),ISBLANK(AQ185:AQ190)), "·", bdRateExtend( P185:P190,W185:W190, AJ185:AJ190,AQ185:AQ190))</f>
        <v>4.1810850442303149E-5</v>
      </c>
      <c r="BK185" s="28">
        <f>IF( OR(ISBLANK(P185:P190),ISBLANK(AJ185:AJ190), ISBLANK(X185:X190),ISBLANK(AR185:AR190)), "·", bdRateExtend( P185:P190,X185:X190, AJ185:AJ190,AR185:AR190))</f>
        <v>4.3123785457899189E-5</v>
      </c>
      <c r="BL185" s="29"/>
    </row>
    <row r="186" spans="1:64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>
        <f t="shared" si="23"/>
        <v>0.29900846230640971</v>
      </c>
      <c r="K186" s="34">
        <f t="shared" si="24"/>
        <v>1.3610775720132345E-2</v>
      </c>
      <c r="L186" s="34">
        <f t="shared" si="25"/>
        <v>0.28508407424249554</v>
      </c>
      <c r="M186" s="35"/>
      <c r="N186" s="34">
        <f t="shared" si="26"/>
        <v>0.85828847921081752</v>
      </c>
      <c r="O186" s="36">
        <v>533210</v>
      </c>
      <c r="P186" s="37">
        <v>457648</v>
      </c>
      <c r="Q186" s="37">
        <v>20832</v>
      </c>
      <c r="R186" s="37">
        <v>436336</v>
      </c>
      <c r="S186" s="38"/>
      <c r="T186" s="39">
        <v>51.570795199999999</v>
      </c>
      <c r="U186" s="39">
        <v>58.444485299999997</v>
      </c>
      <c r="V186" s="39">
        <v>19.795380300000001</v>
      </c>
      <c r="W186" s="39">
        <v>36.515972900000001</v>
      </c>
      <c r="X186" s="39">
        <v>36.264542400000003</v>
      </c>
      <c r="Y186" s="38"/>
      <c r="Z186" s="41">
        <v>0.875</v>
      </c>
      <c r="AA186" s="41">
        <v>0.73399999999999999</v>
      </c>
      <c r="AC186" s="33" t="str">
        <f t="shared" si="27"/>
        <v>·</v>
      </c>
      <c r="AD186" s="34">
        <f t="shared" si="28"/>
        <v>0.29903459666839155</v>
      </c>
      <c r="AE186" s="34">
        <f t="shared" si="29"/>
        <v>1.3699632550870535E-2</v>
      </c>
      <c r="AF186" s="34">
        <f t="shared" si="30"/>
        <v>0.28508407424249554</v>
      </c>
      <c r="AG186" s="35"/>
      <c r="AH186" s="34">
        <f t="shared" si="31"/>
        <v>0.85836349655857913</v>
      </c>
      <c r="AI186" s="36">
        <v>533210</v>
      </c>
      <c r="AJ186" s="37">
        <v>457688</v>
      </c>
      <c r="AK186" s="37">
        <v>20968</v>
      </c>
      <c r="AL186" s="37">
        <v>436336</v>
      </c>
      <c r="AM186" s="38"/>
      <c r="AN186" s="39">
        <v>51.570795199999999</v>
      </c>
      <c r="AO186" s="39">
        <v>58.444485299999997</v>
      </c>
      <c r="AP186" s="39">
        <v>19.795380300000001</v>
      </c>
      <c r="AQ186" s="39">
        <v>36.515972900000001</v>
      </c>
      <c r="AR186" s="39">
        <v>36.264542400000003</v>
      </c>
      <c r="AS186" s="40"/>
      <c r="AT186" s="41">
        <v>0.84299999999999997</v>
      </c>
      <c r="AU186" s="41">
        <v>0.76500000000000001</v>
      </c>
      <c r="AW186" s="42">
        <f t="shared" si="32"/>
        <v>2.9316742403290297E-4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>
        <f t="shared" si="23"/>
        <v>0.97779624606024496</v>
      </c>
      <c r="K187" s="19">
        <f t="shared" si="24"/>
        <v>6.5200006272246869E-2</v>
      </c>
      <c r="L187" s="19">
        <f t="shared" si="25"/>
        <v>0.91228262744421618</v>
      </c>
      <c r="M187" s="20"/>
      <c r="N187" s="19">
        <f t="shared" si="26"/>
        <v>1.9983015542381029</v>
      </c>
      <c r="O187" s="21">
        <v>748920</v>
      </c>
      <c r="P187" s="22">
        <v>1496568</v>
      </c>
      <c r="Q187" s="22">
        <v>99792</v>
      </c>
      <c r="R187" s="22">
        <v>1396296</v>
      </c>
      <c r="S187" s="23"/>
      <c r="T187" s="24">
        <v>58.0573525</v>
      </c>
      <c r="U187" s="24">
        <v>61.929893900000003</v>
      </c>
      <c r="V187" s="24">
        <v>20.779879099999999</v>
      </c>
      <c r="W187" s="24">
        <v>37.182440100000001</v>
      </c>
      <c r="X187" s="24">
        <v>36.9551874</v>
      </c>
      <c r="Y187" s="23"/>
      <c r="Z187" s="26">
        <v>1.468</v>
      </c>
      <c r="AA187" s="26">
        <v>1.327</v>
      </c>
      <c r="AC187" s="18" t="str">
        <f t="shared" si="27"/>
        <v>·</v>
      </c>
      <c r="AD187" s="19">
        <f t="shared" si="28"/>
        <v>0.97785896852900134</v>
      </c>
      <c r="AE187" s="19">
        <f t="shared" si="29"/>
        <v>6.5707012894694203E-2</v>
      </c>
      <c r="AF187" s="19">
        <f t="shared" si="30"/>
        <v>0.91228262744421618</v>
      </c>
      <c r="AG187" s="20"/>
      <c r="AH187" s="19">
        <f t="shared" si="31"/>
        <v>1.9984297388239065</v>
      </c>
      <c r="AI187" s="21">
        <v>748920</v>
      </c>
      <c r="AJ187" s="22">
        <v>1496664</v>
      </c>
      <c r="AK187" s="22">
        <v>100568</v>
      </c>
      <c r="AL187" s="22">
        <v>1396296</v>
      </c>
      <c r="AM187" s="23"/>
      <c r="AN187" s="24">
        <v>58.0573525</v>
      </c>
      <c r="AO187" s="24">
        <v>61.929893900000003</v>
      </c>
      <c r="AP187" s="24">
        <v>20.779879099999999</v>
      </c>
      <c r="AQ187" s="24">
        <v>37.182440100000001</v>
      </c>
      <c r="AR187" s="24">
        <v>36.9551874</v>
      </c>
      <c r="AS187" s="25"/>
      <c r="AT187" s="26">
        <v>1.421</v>
      </c>
      <c r="AU187" s="26">
        <v>1.2030000000000001</v>
      </c>
      <c r="AW187" s="27">
        <f t="shared" si="32"/>
        <v>5.1420937882332152E-4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>
        <f t="shared" si="23"/>
        <v>2.3723937507513631</v>
      </c>
      <c r="K188" s="34">
        <f t="shared" si="24"/>
        <v>0.28365713807828807</v>
      </c>
      <c r="L188" s="34">
        <f t="shared" si="25"/>
        <v>2.0884230003292932</v>
      </c>
      <c r="M188" s="35"/>
      <c r="N188" s="34">
        <f t="shared" si="26"/>
        <v>3.6670901595470715</v>
      </c>
      <c r="O188" s="36">
        <v>990178</v>
      </c>
      <c r="P188" s="37">
        <v>3631072</v>
      </c>
      <c r="Q188" s="37">
        <v>434152</v>
      </c>
      <c r="R188" s="37">
        <v>3196440</v>
      </c>
      <c r="S188" s="38"/>
      <c r="T188" s="39">
        <v>59.6374773</v>
      </c>
      <c r="U188" s="39">
        <v>63.799919299999999</v>
      </c>
      <c r="V188" s="39">
        <v>21.521552100000001</v>
      </c>
      <c r="W188" s="39">
        <v>38.105282199999998</v>
      </c>
      <c r="X188" s="39">
        <v>37.858203699999997</v>
      </c>
      <c r="Y188" s="38"/>
      <c r="Z188" s="41">
        <v>2.8889999999999998</v>
      </c>
      <c r="AA188" s="41">
        <v>2.3889999999999998</v>
      </c>
      <c r="AC188" s="33" t="str">
        <f t="shared" si="27"/>
        <v>·</v>
      </c>
      <c r="AD188" s="34">
        <f t="shared" si="28"/>
        <v>2.3724564732201192</v>
      </c>
      <c r="AE188" s="34">
        <f t="shared" si="29"/>
        <v>0.28897809417778686</v>
      </c>
      <c r="AF188" s="34">
        <f t="shared" si="30"/>
        <v>2.0884230003292932</v>
      </c>
      <c r="AG188" s="35"/>
      <c r="AH188" s="34">
        <f t="shared" si="31"/>
        <v>3.6671871118122197</v>
      </c>
      <c r="AI188" s="36">
        <v>990178</v>
      </c>
      <c r="AJ188" s="37">
        <v>3631168</v>
      </c>
      <c r="AK188" s="37">
        <v>442296</v>
      </c>
      <c r="AL188" s="37">
        <v>3196440</v>
      </c>
      <c r="AM188" s="38"/>
      <c r="AN188" s="39">
        <v>59.6374773</v>
      </c>
      <c r="AO188" s="39">
        <v>63.799919299999999</v>
      </c>
      <c r="AP188" s="39">
        <v>21.521552100000001</v>
      </c>
      <c r="AQ188" s="39">
        <v>38.105282199999998</v>
      </c>
      <c r="AR188" s="39">
        <v>37.858203699999997</v>
      </c>
      <c r="AS188" s="40"/>
      <c r="AT188" s="41">
        <v>2.734</v>
      </c>
      <c r="AU188" s="41">
        <v>2.3109999999999999</v>
      </c>
      <c r="AW188" s="42">
        <f t="shared" si="32"/>
        <v>2.2396434656712233E-3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27"/>
        <v>·</v>
      </c>
      <c r="AD189" s="19" t="str">
        <f t="shared" si="28"/>
        <v>·</v>
      </c>
      <c r="AE189" s="19">
        <f t="shared" si="29"/>
        <v>0</v>
      </c>
      <c r="AF189" s="19" t="str">
        <f t="shared" si="30"/>
        <v>·</v>
      </c>
      <c r="AG189" s="20"/>
      <c r="AH189" s="19" t="str">
        <f t="shared" si="31"/>
        <v>·</v>
      </c>
      <c r="AI189" s="21"/>
      <c r="AJ189" s="22"/>
      <c r="AK189" s="22">
        <v>0</v>
      </c>
      <c r="AL189" s="22"/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32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27"/>
        <v>·</v>
      </c>
      <c r="AD190" s="49" t="str">
        <f t="shared" si="28"/>
        <v>·</v>
      </c>
      <c r="AE190" s="49">
        <f t="shared" si="29"/>
        <v>0</v>
      </c>
      <c r="AF190" s="49" t="str">
        <f t="shared" si="30"/>
        <v>·</v>
      </c>
      <c r="AG190" s="50"/>
      <c r="AH190" s="49" t="str">
        <f t="shared" si="31"/>
        <v>·</v>
      </c>
      <c r="AI190" s="51"/>
      <c r="AJ190" s="52"/>
      <c r="AK190" s="52">
        <v>0</v>
      </c>
      <c r="AL190" s="52"/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32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>
        <f t="shared" si="23"/>
        <v>0.10288643839685503</v>
      </c>
      <c r="K191" s="19">
        <f t="shared" si="24"/>
        <v>1.754379531260887E-2</v>
      </c>
      <c r="L191" s="19">
        <f t="shared" si="25"/>
        <v>8.3582396062914163E-2</v>
      </c>
      <c r="M191" s="20"/>
      <c r="N191" s="19">
        <f t="shared" si="26"/>
        <v>4.7757332289308389E-2</v>
      </c>
      <c r="O191" s="21">
        <v>587470</v>
      </c>
      <c r="P191" s="22">
        <v>28056</v>
      </c>
      <c r="Q191" s="22">
        <v>4784</v>
      </c>
      <c r="R191" s="22">
        <v>22792</v>
      </c>
      <c r="S191" s="23"/>
      <c r="T191" s="24">
        <v>51.559840899999998</v>
      </c>
      <c r="U191" s="24">
        <v>53.870537599999999</v>
      </c>
      <c r="V191" s="24">
        <v>28.324244700000001</v>
      </c>
      <c r="W191" s="24">
        <v>40.092090900000002</v>
      </c>
      <c r="X191" s="24">
        <v>41.075045000000003</v>
      </c>
      <c r="Y191" s="23"/>
      <c r="Z191" s="26">
        <v>0.84299999999999997</v>
      </c>
      <c r="AA191" s="26">
        <v>0.624</v>
      </c>
      <c r="AC191" s="18" t="str">
        <f t="shared" si="27"/>
        <v>·</v>
      </c>
      <c r="AD191" s="19">
        <f t="shared" si="28"/>
        <v>0.10294511329756609</v>
      </c>
      <c r="AE191" s="19">
        <f t="shared" si="29"/>
        <v>1.754379531260887E-2</v>
      </c>
      <c r="AF191" s="19">
        <f t="shared" si="30"/>
        <v>8.3582396062914163E-2</v>
      </c>
      <c r="AG191" s="20"/>
      <c r="AH191" s="19">
        <f t="shared" si="31"/>
        <v>4.7784567722607113E-2</v>
      </c>
      <c r="AI191" s="21">
        <v>587470</v>
      </c>
      <c r="AJ191" s="22">
        <v>28072</v>
      </c>
      <c r="AK191" s="22">
        <v>4784</v>
      </c>
      <c r="AL191" s="22">
        <v>22792</v>
      </c>
      <c r="AM191" s="23"/>
      <c r="AN191" s="24">
        <v>51.559840899999998</v>
      </c>
      <c r="AO191" s="24">
        <v>53.870537599999999</v>
      </c>
      <c r="AP191" s="24">
        <v>28.324244700000001</v>
      </c>
      <c r="AQ191" s="24">
        <v>40.092090900000002</v>
      </c>
      <c r="AR191" s="24">
        <v>41.075045000000003</v>
      </c>
      <c r="AS191" s="25"/>
      <c r="AT191" s="26">
        <v>0.81200000000000006</v>
      </c>
      <c r="AU191" s="26">
        <v>0.68700000000000006</v>
      </c>
      <c r="AW191" s="27">
        <f t="shared" si="32"/>
        <v>-9.7187865851167121E-5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5.5636595628685281E-3</v>
      </c>
      <c r="BA191" s="28">
        <f>IF( OR(ISBLANK(Q191:Q196),ISBLANK(AK191:AK196), ISBLANK(U191:U196),ISBLANK(AO191:AO196)), "·", bdRateExtend( Q191:Q196,U191:U196, AK191:AK196,AO191:AO196))</f>
        <v>6.2246421595286705E-3</v>
      </c>
      <c r="BB191" s="28">
        <f>IF( OR(ISBLANK(R191:R196),ISBLANK(AL191:AL196), ISBLANK(V191:V196),ISBLANK(AP191:AP196)), "·", bdRateExtend( R191:R196,V191:V196, AL191:AL196,AP191:AP196))</f>
        <v>0</v>
      </c>
      <c r="BC191" s="28">
        <f>IF( OR(ISBLANK(R191:R196),ISBLANK(AL191:AL196), ISBLANK(W191:W196),ISBLANK(AQ191:AQ196)), "·", bdRateExtend( R191:R196,W191:W196, AL191:AL196,AQ191:AQ196))</f>
        <v>0</v>
      </c>
      <c r="BD191" s="28">
        <f>IF( OR(ISBLANK(R191:R196),ISBLANK(AL191:AL196), ISBLANK(X191:X196),ISBLANK(AR191:AR196)), "·", bdRateExtend( R191:R196,X191:X196, AL191:AL196,AR191:AR196))</f>
        <v>0</v>
      </c>
      <c r="BE191" s="29"/>
      <c r="BG191" s="28">
        <f>IF( OR(ISBLANK(P191:P196),ISBLANK(AJ191:AJ196), ISBLANK(T191:T196),ISBLANK(AN191:AN196)), "·", bdRateExtend( P191:P196,T191:T196, AJ191:AJ196,AN191:AN196))</f>
        <v>6.7650146046993598E-4</v>
      </c>
      <c r="BH191" s="28">
        <f>IF( OR(ISBLANK(P191:P196),ISBLANK(AJ191:AJ196), ISBLANK(U191:U196),ISBLANK(AO191:AO196)), "·", bdRateExtend( P191:P196,U191:U196, AJ191:AJ196,AO191:AO196))</f>
        <v>6.9190367133242781E-4</v>
      </c>
      <c r="BI191" s="28">
        <f>IF( OR(ISBLANK(P191:P196),ISBLANK(AJ191:AJ196), ISBLANK(V191:V196),ISBLANK(AP191:AP196)), "·", bdRateExtend( P191:P196,V191:V196, AJ191:AJ196,AP191:AP196))</f>
        <v>6.8346461389934277E-4</v>
      </c>
      <c r="BJ191" s="28">
        <f>IF( OR(ISBLANK(P191:P196),ISBLANK(AJ191:AJ196), ISBLANK(W191:W196),ISBLANK(AQ191:AQ196)), "·", bdRateExtend( P191:P196,W191:W196, AJ191:AJ196,AQ191:AQ196))</f>
        <v>6.4920409579993787E-4</v>
      </c>
      <c r="BK191" s="28">
        <f>IF( OR(ISBLANK(P191:P196),ISBLANK(AJ191:AJ196), ISBLANK(X191:X196),ISBLANK(AR191:AR196)), "·", bdRateExtend( P191:P196,X191:X196, AJ191:AJ196,AR191:AR196))</f>
        <v>6.328497490888374E-4</v>
      </c>
      <c r="BL191" s="29"/>
    </row>
    <row r="192" spans="1:64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>
        <f t="shared" si="23"/>
        <v>0.29070479557297874</v>
      </c>
      <c r="K192" s="34">
        <f t="shared" si="24"/>
        <v>5.7472065246489588E-2</v>
      </c>
      <c r="L192" s="34">
        <f t="shared" si="25"/>
        <v>0.23147248330515716</v>
      </c>
      <c r="M192" s="35"/>
      <c r="N192" s="34">
        <f t="shared" si="26"/>
        <v>0.13688851129081556</v>
      </c>
      <c r="O192" s="36">
        <v>579099</v>
      </c>
      <c r="P192" s="37">
        <v>79272</v>
      </c>
      <c r="Q192" s="37">
        <v>15672</v>
      </c>
      <c r="R192" s="37">
        <v>63120</v>
      </c>
      <c r="S192" s="38"/>
      <c r="T192" s="39">
        <v>56.909023699999999</v>
      </c>
      <c r="U192" s="39">
        <v>59.142528499999997</v>
      </c>
      <c r="V192" s="39">
        <v>31.0464208</v>
      </c>
      <c r="W192" s="39">
        <v>41.498446800000004</v>
      </c>
      <c r="X192" s="39">
        <v>42.446362299999997</v>
      </c>
      <c r="Y192" s="38"/>
      <c r="Z192" s="41">
        <v>0.92100000000000004</v>
      </c>
      <c r="AA192" s="41">
        <v>0.78100000000000003</v>
      </c>
      <c r="AC192" s="33" t="str">
        <f t="shared" si="27"/>
        <v>·</v>
      </c>
      <c r="AD192" s="34">
        <f t="shared" si="28"/>
        <v>0.29093949517582302</v>
      </c>
      <c r="AE192" s="34">
        <f t="shared" si="29"/>
        <v>5.8000139352889189E-2</v>
      </c>
      <c r="AF192" s="34">
        <f t="shared" si="30"/>
        <v>0.23147248330515716</v>
      </c>
      <c r="AG192" s="35"/>
      <c r="AH192" s="34">
        <f t="shared" si="31"/>
        <v>0.13699902780008255</v>
      </c>
      <c r="AI192" s="36">
        <v>579099</v>
      </c>
      <c r="AJ192" s="37">
        <v>79336</v>
      </c>
      <c r="AK192" s="37">
        <v>15816</v>
      </c>
      <c r="AL192" s="37">
        <v>63120</v>
      </c>
      <c r="AM192" s="38"/>
      <c r="AN192" s="39">
        <v>56.909023699999999</v>
      </c>
      <c r="AO192" s="39">
        <v>59.142528499999997</v>
      </c>
      <c r="AP192" s="39">
        <v>31.0464208</v>
      </c>
      <c r="AQ192" s="39">
        <v>41.498446800000004</v>
      </c>
      <c r="AR192" s="39">
        <v>42.446362299999997</v>
      </c>
      <c r="AS192" s="40"/>
      <c r="AT192" s="41">
        <v>0.89</v>
      </c>
      <c r="AU192" s="41">
        <v>0.749</v>
      </c>
      <c r="AW192" s="42">
        <f t="shared" si="32"/>
        <v>1.6555820821141376E-3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>
        <f t="shared" si="23"/>
        <v>0.92542053401494007</v>
      </c>
      <c r="K193" s="19">
        <f t="shared" si="24"/>
        <v>0.24364752520270344</v>
      </c>
      <c r="L193" s="19">
        <f t="shared" si="25"/>
        <v>0.68001276179090464</v>
      </c>
      <c r="M193" s="20"/>
      <c r="N193" s="19">
        <f t="shared" si="26"/>
        <v>0.35981099200679834</v>
      </c>
      <c r="O193" s="21">
        <v>701346</v>
      </c>
      <c r="P193" s="22">
        <v>252352</v>
      </c>
      <c r="Q193" s="22">
        <v>66440</v>
      </c>
      <c r="R193" s="22">
        <v>185432</v>
      </c>
      <c r="S193" s="23"/>
      <c r="T193" s="24">
        <v>58.282253799999999</v>
      </c>
      <c r="U193" s="24">
        <v>61.267094100000001</v>
      </c>
      <c r="V193" s="24">
        <v>32.921902799999998</v>
      </c>
      <c r="W193" s="24">
        <v>43.809116799999998</v>
      </c>
      <c r="X193" s="24">
        <v>44.356135600000002</v>
      </c>
      <c r="Y193" s="23"/>
      <c r="Z193" s="26">
        <v>1.296</v>
      </c>
      <c r="AA193" s="26">
        <v>1.202</v>
      </c>
      <c r="AC193" s="18" t="str">
        <f t="shared" si="27"/>
        <v>·</v>
      </c>
      <c r="AD193" s="19">
        <f t="shared" si="28"/>
        <v>0.92597794557169522</v>
      </c>
      <c r="AE193" s="19">
        <f t="shared" si="29"/>
        <v>0.24763741845105597</v>
      </c>
      <c r="AF193" s="19">
        <f t="shared" si="30"/>
        <v>0.68001276179090464</v>
      </c>
      <c r="AG193" s="20"/>
      <c r="AH193" s="19">
        <f t="shared" si="31"/>
        <v>0.36002771813056611</v>
      </c>
      <c r="AI193" s="21">
        <v>701346</v>
      </c>
      <c r="AJ193" s="22">
        <v>252504</v>
      </c>
      <c r="AK193" s="22">
        <v>67528</v>
      </c>
      <c r="AL193" s="22">
        <v>185432</v>
      </c>
      <c r="AM193" s="23"/>
      <c r="AN193" s="24">
        <v>58.282253799999999</v>
      </c>
      <c r="AO193" s="24">
        <v>61.267094100000001</v>
      </c>
      <c r="AP193" s="24">
        <v>32.921902799999998</v>
      </c>
      <c r="AQ193" s="24">
        <v>43.809116799999998</v>
      </c>
      <c r="AR193" s="24">
        <v>44.356135600000002</v>
      </c>
      <c r="AS193" s="25"/>
      <c r="AT193" s="26">
        <v>1.2809999999999999</v>
      </c>
      <c r="AU193" s="26">
        <v>1.093</v>
      </c>
      <c r="AW193" s="27">
        <f t="shared" si="32"/>
        <v>4.1503539704322856E-3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>
        <f t="shared" si="23"/>
        <v>2.7861483228146349</v>
      </c>
      <c r="K194" s="34">
        <f t="shared" si="24"/>
        <v>1.0448239569619604</v>
      </c>
      <c r="L194" s="34">
        <f t="shared" si="25"/>
        <v>1.7395641188313427</v>
      </c>
      <c r="M194" s="35"/>
      <c r="N194" s="34">
        <f t="shared" si="26"/>
        <v>0.83732699696039248</v>
      </c>
      <c r="O194" s="36">
        <v>907354</v>
      </c>
      <c r="P194" s="37">
        <v>759752</v>
      </c>
      <c r="Q194" s="37">
        <v>284912</v>
      </c>
      <c r="R194" s="37">
        <v>474360</v>
      </c>
      <c r="S194" s="38"/>
      <c r="T194" s="39">
        <v>58.552582299999997</v>
      </c>
      <c r="U194" s="39">
        <v>61.472007499999997</v>
      </c>
      <c r="V194" s="39">
        <v>33.912701400000003</v>
      </c>
      <c r="W194" s="39">
        <v>45.301363600000002</v>
      </c>
      <c r="X194" s="39">
        <v>46.0348063</v>
      </c>
      <c r="Y194" s="38"/>
      <c r="Z194" s="41">
        <v>2.2799999999999998</v>
      </c>
      <c r="AA194" s="41">
        <v>2.0459999999999998</v>
      </c>
      <c r="AC194" s="33" t="str">
        <f t="shared" si="27"/>
        <v>·</v>
      </c>
      <c r="AD194" s="34">
        <f t="shared" si="28"/>
        <v>2.786911096523879</v>
      </c>
      <c r="AE194" s="34">
        <f t="shared" si="29"/>
        <v>1.0668857196293213</v>
      </c>
      <c r="AF194" s="34">
        <f t="shared" si="30"/>
        <v>1.7395641188313427</v>
      </c>
      <c r="AG194" s="35"/>
      <c r="AH194" s="34">
        <f t="shared" si="31"/>
        <v>0.8375562349424811</v>
      </c>
      <c r="AI194" s="36">
        <v>907354</v>
      </c>
      <c r="AJ194" s="37">
        <v>759960</v>
      </c>
      <c r="AK194" s="37">
        <v>290928</v>
      </c>
      <c r="AL194" s="37">
        <v>474360</v>
      </c>
      <c r="AM194" s="38"/>
      <c r="AN194" s="39">
        <v>58.552582299999997</v>
      </c>
      <c r="AO194" s="39">
        <v>61.472007499999997</v>
      </c>
      <c r="AP194" s="39">
        <v>33.912701400000003</v>
      </c>
      <c r="AQ194" s="39">
        <v>45.301363600000002</v>
      </c>
      <c r="AR194" s="39">
        <v>46.0348063</v>
      </c>
      <c r="AS194" s="40"/>
      <c r="AT194" s="41">
        <v>2.218</v>
      </c>
      <c r="AU194" s="41">
        <v>2.1240000000000001</v>
      </c>
      <c r="AW194" s="42">
        <f t="shared" si="32"/>
        <v>7.8135673339810863E-3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27"/>
        <v>·</v>
      </c>
      <c r="AD195" s="19" t="str">
        <f t="shared" si="28"/>
        <v>·</v>
      </c>
      <c r="AE195" s="19">
        <f t="shared" si="29"/>
        <v>0</v>
      </c>
      <c r="AF195" s="19" t="str">
        <f t="shared" si="30"/>
        <v>·</v>
      </c>
      <c r="AG195" s="20"/>
      <c r="AH195" s="19" t="str">
        <f t="shared" si="31"/>
        <v>·</v>
      </c>
      <c r="AI195" s="21"/>
      <c r="AJ195" s="22"/>
      <c r="AK195" s="22">
        <v>0</v>
      </c>
      <c r="AL195" s="22"/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32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27"/>
        <v>·</v>
      </c>
      <c r="AD196" s="49" t="str">
        <f t="shared" si="28"/>
        <v>·</v>
      </c>
      <c r="AE196" s="49">
        <f t="shared" si="29"/>
        <v>0</v>
      </c>
      <c r="AF196" s="49" t="str">
        <f t="shared" si="30"/>
        <v>·</v>
      </c>
      <c r="AG196" s="50"/>
      <c r="AH196" s="49" t="str">
        <f t="shared" si="31"/>
        <v>·</v>
      </c>
      <c r="AI196" s="51"/>
      <c r="AJ196" s="52"/>
      <c r="AK196" s="52">
        <v>0</v>
      </c>
      <c r="AL196" s="52"/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32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>
        <f t="shared" ref="J197:J260" si="34">IF(ISBLANK(P197),"·",P197/D197)</f>
        <v>0.19236551694021797</v>
      </c>
      <c r="K197" s="19">
        <f t="shared" ref="K197:K260" si="35">IF(Q197="","·",Q197/D197)</f>
        <v>2.0067498861502567E-2</v>
      </c>
      <c r="L197" s="19">
        <f t="shared" ref="L197:L260" si="36">IF(ISBLANK(R197),"·",R197/D197)</f>
        <v>0.17194867092121599</v>
      </c>
      <c r="M197" s="20"/>
      <c r="N197" s="19">
        <f t="shared" ref="N197:N260" si="37">IF(ISBLANK(P197),"·",P197/O197)</f>
        <v>0.26291108632855531</v>
      </c>
      <c r="O197" s="21">
        <v>1172868</v>
      </c>
      <c r="P197" s="22">
        <v>308360</v>
      </c>
      <c r="Q197" s="22">
        <v>32168</v>
      </c>
      <c r="R197" s="22">
        <v>275632</v>
      </c>
      <c r="S197" s="23"/>
      <c r="T197" s="24">
        <v>58.678854800000003</v>
      </c>
      <c r="U197" s="24">
        <v>61.502268899999997</v>
      </c>
      <c r="V197" s="24">
        <v>22.755656999999999</v>
      </c>
      <c r="W197" s="24">
        <v>38.078338100000003</v>
      </c>
      <c r="X197" s="24">
        <v>37.100834999999996</v>
      </c>
      <c r="Y197" s="23"/>
      <c r="Z197" s="26">
        <v>3.4670000000000001</v>
      </c>
      <c r="AA197" s="26">
        <v>1.4510000000000001</v>
      </c>
      <c r="AC197" s="18" t="str">
        <f t="shared" ref="AC197:AC260" si="38">IF(OR(ISBLANK(AJ197),ISBLANK(G197)),"·",AJ197*G197/F197/1000000)</f>
        <v>·</v>
      </c>
      <c r="AD197" s="19">
        <f t="shared" ref="AD197:AD260" si="39">IF(ISBLANK(AJ197),"·",AJ197/D197)</f>
        <v>0.19241043300332503</v>
      </c>
      <c r="AE197" s="19">
        <f t="shared" ref="AE197:AE260" si="40">IF(AK197="","·",AK197/D197)</f>
        <v>2.0207237724502336E-2</v>
      </c>
      <c r="AF197" s="19">
        <f t="shared" ref="AF197:AF260" si="41">IF(ISBLANK(AL197),"·",AL197/D197)</f>
        <v>0.17194867092121599</v>
      </c>
      <c r="AG197" s="20"/>
      <c r="AH197" s="19">
        <f t="shared" ref="AH197:AH260" si="42">IF(ISBLANK(AJ197),"·",AJ197/AI197)</f>
        <v>0.26297247431083465</v>
      </c>
      <c r="AI197" s="21">
        <v>1172868</v>
      </c>
      <c r="AJ197" s="22">
        <v>308432</v>
      </c>
      <c r="AK197" s="22">
        <v>32392</v>
      </c>
      <c r="AL197" s="22">
        <v>275632</v>
      </c>
      <c r="AM197" s="23"/>
      <c r="AN197" s="24">
        <v>58.678854800000003</v>
      </c>
      <c r="AO197" s="24">
        <v>61.502268899999997</v>
      </c>
      <c r="AP197" s="24">
        <v>22.755656999999999</v>
      </c>
      <c r="AQ197" s="24">
        <v>38.078338100000003</v>
      </c>
      <c r="AR197" s="24">
        <v>37.100834999999996</v>
      </c>
      <c r="AS197" s="25"/>
      <c r="AT197" s="26">
        <v>3.544</v>
      </c>
      <c r="AU197" s="26">
        <v>1.4359999999999999</v>
      </c>
      <c r="AW197" s="27">
        <f t="shared" ref="AW197:AW260" si="43">(AK197/AJ197) - (Q197/P197)</f>
        <v>7.0190183540758122E-4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1.1122885638083835E-2</v>
      </c>
      <c r="BA197" s="28">
        <f>IF( OR(ISBLANK(Q197:Q202),ISBLANK(AK197:AK202), ISBLANK(U197:U202),ISBLANK(AO197:AO202)), "·", bdRateExtend( Q197:Q202,U197:U202, AK197:AK202,AO197:AO202))</f>
        <v>1.0755149544371179E-2</v>
      </c>
      <c r="BB197" s="28">
        <f>IF( OR(ISBLANK(R197:R202),ISBLANK(AL197:AL202), ISBLANK(V197:V202),ISBLANK(AP197:AP202)), "·", bdRateExtend( R197:R202,V197:V202, AL197:AL202,AP197:AP202))</f>
        <v>0</v>
      </c>
      <c r="BC197" s="28">
        <f>IF( OR(ISBLANK(R197:R202),ISBLANK(AL197:AL202), ISBLANK(W197:W202),ISBLANK(AQ197:AQ202)), "·", bdRateExtend( R197:R202,W197:W202, AL197:AL202,AQ197:AQ202))</f>
        <v>0</v>
      </c>
      <c r="BD197" s="28">
        <f>IF( OR(ISBLANK(R197:R202),ISBLANK(AL197:AL202), ISBLANK(X197:X202),ISBLANK(AR197:AR202)), "·", bdRateExtend( R197:R202,X197:X202, AL197:AL202,AR197:AR202))</f>
        <v>0</v>
      </c>
      <c r="BE197" s="29"/>
      <c r="BG197" s="28">
        <f>IF( OR(ISBLANK(P197:P202),ISBLANK(AJ197:AJ202), ISBLANK(T197:T202),ISBLANK(AN197:AN202)), "·", bdRateExtend( P197:P202,T197:T202, AJ197:AJ202,AN197:AN202))</f>
        <v>1.3194398027804866E-4</v>
      </c>
      <c r="BH197" s="28">
        <f>IF( OR(ISBLANK(P197:P202),ISBLANK(AJ197:AJ202), ISBLANK(U197:U202),ISBLANK(AO197:AO202)), "·", bdRateExtend( P197:P202,U197:U202, AJ197:AJ202,AO197:AO202))</f>
        <v>1.3694539716424536E-4</v>
      </c>
      <c r="BI197" s="28">
        <f>IF( OR(ISBLANK(P197:P202),ISBLANK(AJ197:AJ202), ISBLANK(V197:V202),ISBLANK(AP197:AP202)), "·", bdRateExtend( P197:P202,V197:V202, AJ197:AJ202,AP197:AP202))</f>
        <v>1.2638374340667724E-4</v>
      </c>
      <c r="BJ197" s="28">
        <f>IF( OR(ISBLANK(P197:P202),ISBLANK(AJ197:AJ202), ISBLANK(W197:W202),ISBLANK(AQ197:AQ202)), "·", bdRateExtend( P197:P202,W197:W202, AJ197:AJ202,AQ197:AQ202))</f>
        <v>1.1419164839066021E-4</v>
      </c>
      <c r="BK197" s="28">
        <f>IF( OR(ISBLANK(P197:P202),ISBLANK(AJ197:AJ202), ISBLANK(X197:X202),ISBLANK(AR197:AR202)), "·", bdRateExtend( P197:P202,X197:X202, AJ197:AJ202,AR197:AR202))</f>
        <v>1.1537921038495824E-4</v>
      </c>
      <c r="BL197" s="29"/>
    </row>
    <row r="198" spans="1:64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>
        <f t="shared" si="34"/>
        <v>0.52887666173837644</v>
      </c>
      <c r="K198" s="34">
        <f t="shared" si="35"/>
        <v>7.9052271068440857E-2</v>
      </c>
      <c r="L198" s="34">
        <f t="shared" si="36"/>
        <v>0.44947504351243611</v>
      </c>
      <c r="M198" s="35"/>
      <c r="N198" s="34">
        <f t="shared" si="37"/>
        <v>0.66458356523906803</v>
      </c>
      <c r="O198" s="36">
        <v>1275662</v>
      </c>
      <c r="P198" s="37">
        <v>847784</v>
      </c>
      <c r="Q198" s="37">
        <v>126720</v>
      </c>
      <c r="R198" s="37">
        <v>720504</v>
      </c>
      <c r="S198" s="38"/>
      <c r="T198" s="39">
        <v>64.116185400000006</v>
      </c>
      <c r="U198" s="39">
        <v>67.757212499999994</v>
      </c>
      <c r="V198" s="39">
        <v>26.0882112</v>
      </c>
      <c r="W198" s="39">
        <v>39.7447497</v>
      </c>
      <c r="X198" s="39">
        <v>38.427130200000001</v>
      </c>
      <c r="Y198" s="38"/>
      <c r="Z198" s="41">
        <v>4.4509999999999996</v>
      </c>
      <c r="AA198" s="41">
        <v>1.794</v>
      </c>
      <c r="AC198" s="33" t="str">
        <f t="shared" si="38"/>
        <v>·</v>
      </c>
      <c r="AD198" s="34">
        <f t="shared" si="39"/>
        <v>0.52893654982251914</v>
      </c>
      <c r="AE198" s="34">
        <f t="shared" si="40"/>
        <v>7.9925638962189405E-2</v>
      </c>
      <c r="AF198" s="34">
        <f t="shared" si="41"/>
        <v>0.44947504351243611</v>
      </c>
      <c r="AG198" s="35"/>
      <c r="AH198" s="34">
        <f t="shared" si="42"/>
        <v>0.66465882028311574</v>
      </c>
      <c r="AI198" s="36">
        <v>1275662</v>
      </c>
      <c r="AJ198" s="37">
        <v>847880</v>
      </c>
      <c r="AK198" s="37">
        <v>128120</v>
      </c>
      <c r="AL198" s="37">
        <v>720504</v>
      </c>
      <c r="AM198" s="38"/>
      <c r="AN198" s="39">
        <v>64.116185400000006</v>
      </c>
      <c r="AO198" s="39">
        <v>67.757212499999994</v>
      </c>
      <c r="AP198" s="39">
        <v>26.0882112</v>
      </c>
      <c r="AQ198" s="39">
        <v>39.7447497</v>
      </c>
      <c r="AR198" s="39">
        <v>38.427130200000001</v>
      </c>
      <c r="AS198" s="40"/>
      <c r="AT198" s="41">
        <v>4.3419999999999996</v>
      </c>
      <c r="AU198" s="41">
        <v>1.7949999999999999</v>
      </c>
      <c r="AW198" s="42">
        <f t="shared" si="43"/>
        <v>1.6342532959951195E-3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>
        <f t="shared" si="34"/>
        <v>1.4437420071241867</v>
      </c>
      <c r="K199" s="19">
        <f t="shared" si="35"/>
        <v>0.33555792612555285</v>
      </c>
      <c r="L199" s="19">
        <f t="shared" si="36"/>
        <v>1.1078347338411343</v>
      </c>
      <c r="M199" s="20"/>
      <c r="N199" s="19">
        <f t="shared" si="37"/>
        <v>1.4360537413159324</v>
      </c>
      <c r="O199" s="21">
        <v>1611572</v>
      </c>
      <c r="P199" s="22">
        <v>2314304</v>
      </c>
      <c r="Q199" s="22">
        <v>537896</v>
      </c>
      <c r="R199" s="22">
        <v>1775848</v>
      </c>
      <c r="S199" s="23"/>
      <c r="T199" s="24">
        <v>68.331003999999993</v>
      </c>
      <c r="U199" s="24">
        <v>71.807965600000003</v>
      </c>
      <c r="V199" s="24">
        <v>29.237416400000001</v>
      </c>
      <c r="W199" s="24">
        <v>42.131515999999998</v>
      </c>
      <c r="X199" s="24">
        <v>40.254207600000001</v>
      </c>
      <c r="Y199" s="23"/>
      <c r="Z199" s="26">
        <v>7.8579999999999997</v>
      </c>
      <c r="AA199" s="26">
        <v>3.0760000000000001</v>
      </c>
      <c r="AC199" s="18" t="str">
        <f t="shared" si="38"/>
        <v>·</v>
      </c>
      <c r="AD199" s="19">
        <f t="shared" si="39"/>
        <v>1.4438318392504008</v>
      </c>
      <c r="AE199" s="19">
        <f t="shared" si="40"/>
        <v>0.341806249571114</v>
      </c>
      <c r="AF199" s="19">
        <f t="shared" si="41"/>
        <v>1.1078347338411343</v>
      </c>
      <c r="AG199" s="20"/>
      <c r="AH199" s="19">
        <f t="shared" si="42"/>
        <v>1.4361430950649428</v>
      </c>
      <c r="AI199" s="21">
        <v>1611572</v>
      </c>
      <c r="AJ199" s="22">
        <v>2314448</v>
      </c>
      <c r="AK199" s="22">
        <v>547912</v>
      </c>
      <c r="AL199" s="22">
        <v>1775848</v>
      </c>
      <c r="AM199" s="23"/>
      <c r="AN199" s="24">
        <v>68.331003999999993</v>
      </c>
      <c r="AO199" s="24">
        <v>71.807965600000003</v>
      </c>
      <c r="AP199" s="24">
        <v>29.237416400000001</v>
      </c>
      <c r="AQ199" s="24">
        <v>42.131515999999998</v>
      </c>
      <c r="AR199" s="24">
        <v>40.254207600000001</v>
      </c>
      <c r="AS199" s="25"/>
      <c r="AT199" s="26">
        <v>8.0289999999999999</v>
      </c>
      <c r="AU199" s="26">
        <v>3.1850000000000001</v>
      </c>
      <c r="AW199" s="27">
        <f t="shared" si="43"/>
        <v>4.3131369466933578E-3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9"/>
      <c r="X200" s="39"/>
      <c r="Y200" s="38"/>
      <c r="Z200" s="41"/>
      <c r="AA200" s="41"/>
      <c r="AC200" s="33" t="str">
        <f t="shared" si="38"/>
        <v>·</v>
      </c>
      <c r="AD200" s="34" t="str">
        <f t="shared" si="39"/>
        <v>·</v>
      </c>
      <c r="AE200" s="34">
        <f t="shared" si="40"/>
        <v>1.3662967329802431</v>
      </c>
      <c r="AF200" s="34" t="str">
        <f t="shared" si="41"/>
        <v>·</v>
      </c>
      <c r="AG200" s="35"/>
      <c r="AH200" s="34" t="str">
        <f t="shared" si="42"/>
        <v>·</v>
      </c>
      <c r="AI200" s="36"/>
      <c r="AJ200" s="37"/>
      <c r="AK200" s="37">
        <v>2190160</v>
      </c>
      <c r="AL200" s="37"/>
      <c r="AM200" s="38"/>
      <c r="AN200" s="39"/>
      <c r="AO200" s="39"/>
      <c r="AP200" s="39"/>
      <c r="AQ200" s="39"/>
      <c r="AR200" s="39"/>
      <c r="AS200" s="40"/>
      <c r="AT200" s="41"/>
      <c r="AU200" s="41"/>
      <c r="AW200" s="42" t="e">
        <f t="shared" si="43"/>
        <v>#DIV/0!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38"/>
        <v>·</v>
      </c>
      <c r="AD201" s="19" t="str">
        <f t="shared" si="39"/>
        <v>·</v>
      </c>
      <c r="AE201" s="19">
        <f t="shared" si="40"/>
        <v>0</v>
      </c>
      <c r="AF201" s="19" t="str">
        <f t="shared" si="41"/>
        <v>·</v>
      </c>
      <c r="AG201" s="20"/>
      <c r="AH201" s="19" t="str">
        <f t="shared" si="42"/>
        <v>·</v>
      </c>
      <c r="AI201" s="21"/>
      <c r="AJ201" s="22"/>
      <c r="AK201" s="22">
        <v>0</v>
      </c>
      <c r="AL201" s="22"/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4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38"/>
        <v>·</v>
      </c>
      <c r="AD202" s="49" t="str">
        <f t="shared" si="39"/>
        <v>·</v>
      </c>
      <c r="AE202" s="49">
        <f t="shared" si="40"/>
        <v>0</v>
      </c>
      <c r="AF202" s="49" t="str">
        <f t="shared" si="41"/>
        <v>·</v>
      </c>
      <c r="AG202" s="50"/>
      <c r="AH202" s="49" t="str">
        <f t="shared" si="42"/>
        <v>·</v>
      </c>
      <c r="AI202" s="51"/>
      <c r="AJ202" s="52"/>
      <c r="AK202" s="52">
        <v>0</v>
      </c>
      <c r="AL202" s="52"/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4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>
        <f t="shared" si="34"/>
        <v>9.2284343681169403E-2</v>
      </c>
      <c r="K203" s="19">
        <f t="shared" si="35"/>
        <v>8.998455910119366E-3</v>
      </c>
      <c r="L203" s="19">
        <f t="shared" si="36"/>
        <v>8.3160461264935273E-2</v>
      </c>
      <c r="M203" s="20"/>
      <c r="N203" s="19">
        <f t="shared" si="37"/>
        <v>0.1090190749248825</v>
      </c>
      <c r="O203" s="21">
        <v>7558824</v>
      </c>
      <c r="P203" s="22">
        <v>824056</v>
      </c>
      <c r="Q203" s="22">
        <v>80352</v>
      </c>
      <c r="R203" s="22">
        <v>742584</v>
      </c>
      <c r="S203" s="23"/>
      <c r="T203" s="24">
        <v>63.885455</v>
      </c>
      <c r="U203" s="24">
        <v>70.563334299999994</v>
      </c>
      <c r="V203" s="24">
        <v>23.802108100000002</v>
      </c>
      <c r="W203" s="24">
        <v>39.028995899999998</v>
      </c>
      <c r="X203" s="24">
        <v>40.371978300000002</v>
      </c>
      <c r="Y203" s="23"/>
      <c r="Z203" s="26">
        <v>11.617000000000001</v>
      </c>
      <c r="AA203" s="26">
        <v>9.4280000000000008</v>
      </c>
      <c r="AC203" s="18" t="str">
        <f t="shared" si="38"/>
        <v>·</v>
      </c>
      <c r="AD203" s="19">
        <f t="shared" si="39"/>
        <v>9.2301365849856404E-2</v>
      </c>
      <c r="AE203" s="19">
        <f t="shared" si="40"/>
        <v>9.0531060306407989E-3</v>
      </c>
      <c r="AF203" s="19">
        <f t="shared" si="41"/>
        <v>8.3160461264935273E-2</v>
      </c>
      <c r="AG203" s="20"/>
      <c r="AH203" s="19">
        <f t="shared" si="42"/>
        <v>0.10903918387304692</v>
      </c>
      <c r="AI203" s="21">
        <v>7558824</v>
      </c>
      <c r="AJ203" s="22">
        <v>824208</v>
      </c>
      <c r="AK203" s="22">
        <v>80840</v>
      </c>
      <c r="AL203" s="22">
        <v>742584</v>
      </c>
      <c r="AM203" s="23"/>
      <c r="AN203" s="24">
        <v>63.885455</v>
      </c>
      <c r="AO203" s="24">
        <v>70.563334299999994</v>
      </c>
      <c r="AP203" s="24">
        <v>23.802108100000002</v>
      </c>
      <c r="AQ203" s="24">
        <v>39.028995899999998</v>
      </c>
      <c r="AR203" s="24">
        <v>40.371978300000002</v>
      </c>
      <c r="AS203" s="25"/>
      <c r="AT203" s="26">
        <v>11.257</v>
      </c>
      <c r="AU203" s="26">
        <v>9.0239999999999991</v>
      </c>
      <c r="AW203" s="27">
        <f t="shared" si="43"/>
        <v>5.7410119008091676E-4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8.3537819083776554E-3</v>
      </c>
      <c r="BA203" s="28">
        <f>IF( OR(ISBLANK(Q203:Q208),ISBLANK(AK203:AK208), ISBLANK(U203:U208),ISBLANK(AO203:AO208)), "·", bdRateExtend( Q203:Q208,U203:U208, AK203:AK208,AO203:AO208))</f>
        <v>8.5014215729406484E-3</v>
      </c>
      <c r="BB203" s="28">
        <f>IF( OR(ISBLANK(R203:R208),ISBLANK(AL203:AL208), ISBLANK(V203:V208),ISBLANK(AP203:AP208)), "·", bdRateExtend( R203:R208,V203:V208, AL203:AL208,AP203:AP208))</f>
        <v>0</v>
      </c>
      <c r="BC203" s="28">
        <f>IF( OR(ISBLANK(R203:R208),ISBLANK(AL203:AL208), ISBLANK(W203:W208),ISBLANK(AQ203:AQ208)), "·", bdRateExtend( R203:R208,W203:W208, AL203:AL208,AQ203:AQ208))</f>
        <v>0</v>
      </c>
      <c r="BD203" s="28">
        <f>IF( OR(ISBLANK(R203:R208),ISBLANK(AL203:AL208), ISBLANK(X203:X208),ISBLANK(AR203:AR208)), "·", bdRateExtend( R203:R208,X203:X208, AL203:AL208,AR203:AR208))</f>
        <v>0</v>
      </c>
      <c r="BE203" s="29"/>
      <c r="BG203" s="28">
        <f>IF( OR(ISBLANK(P203:P208),ISBLANK(AJ203:AJ208), ISBLANK(T203:T208),ISBLANK(AN203:AN208)), "·", bdRateExtend( P203:P208,T203:T208, AJ203:AJ208,AN203:AN208))</f>
        <v>1.5655839878081501E-4</v>
      </c>
      <c r="BH203" s="28">
        <f>IF( OR(ISBLANK(P203:P208),ISBLANK(AJ203:AJ208), ISBLANK(U203:U208),ISBLANK(AO203:AO208)), "·", bdRateExtend( P203:P208,U203:U208, AJ203:AJ208,AO203:AO208))</f>
        <v>1.6250453830490841E-4</v>
      </c>
      <c r="BI203" s="28">
        <f>IF( OR(ISBLANK(P203:P208),ISBLANK(AJ203:AJ208), ISBLANK(V203:V208),ISBLANK(AP203:AP208)), "·", bdRateExtend( P203:P208,V203:V208, AJ203:AJ208,AP203:AP208))</f>
        <v>1.4866042078964803E-4</v>
      </c>
      <c r="BJ203" s="28">
        <f>IF( OR(ISBLANK(P203:P208),ISBLANK(AJ203:AJ208), ISBLANK(W203:W208),ISBLANK(AQ203:AQ208)), "·", bdRateExtend( P203:P208,W203:W208, AJ203:AJ208,AQ203:AQ208))</f>
        <v>1.4009295800643251E-4</v>
      </c>
      <c r="BK203" s="28">
        <f>IF( OR(ISBLANK(P203:P208),ISBLANK(AJ203:AJ208), ISBLANK(X203:X208),ISBLANK(AR203:AR208)), "·", bdRateExtend( P203:P208,X203:X208, AJ203:AJ208,AR203:AR208))</f>
        <v>1.3925244551327154E-4</v>
      </c>
      <c r="BL203" s="29"/>
    </row>
    <row r="204" spans="1:64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>
        <f t="shared" si="34"/>
        <v>0.28244615731261169</v>
      </c>
      <c r="K204" s="34">
        <f t="shared" si="35"/>
        <v>3.2570575927159451E-2</v>
      </c>
      <c r="L204" s="34">
        <f t="shared" si="36"/>
        <v>0.24975015487933747</v>
      </c>
      <c r="M204" s="35"/>
      <c r="N204" s="34">
        <f t="shared" si="37"/>
        <v>0.35177278216900831</v>
      </c>
      <c r="O204" s="36">
        <v>7169719</v>
      </c>
      <c r="P204" s="37">
        <v>2522112</v>
      </c>
      <c r="Q204" s="37">
        <v>290840</v>
      </c>
      <c r="R204" s="37">
        <v>2230152</v>
      </c>
      <c r="S204" s="38"/>
      <c r="T204" s="39">
        <v>69.570697300000006</v>
      </c>
      <c r="U204" s="39">
        <v>75.933896799999999</v>
      </c>
      <c r="V204" s="39">
        <v>26.1536884</v>
      </c>
      <c r="W204" s="39">
        <v>40.584500800000001</v>
      </c>
      <c r="X204" s="39">
        <v>41.771036100000003</v>
      </c>
      <c r="Y204" s="38"/>
      <c r="Z204" s="41">
        <v>12.647</v>
      </c>
      <c r="AA204" s="41">
        <v>9.4909999999999997</v>
      </c>
      <c r="AC204" s="33" t="str">
        <f t="shared" si="38"/>
        <v>·</v>
      </c>
      <c r="AD204" s="34">
        <f t="shared" si="39"/>
        <v>0.28249991152951803</v>
      </c>
      <c r="AE204" s="34">
        <f t="shared" si="40"/>
        <v>3.2819637132158776E-2</v>
      </c>
      <c r="AF204" s="34">
        <f t="shared" si="41"/>
        <v>0.24975015487933747</v>
      </c>
      <c r="AG204" s="35"/>
      <c r="AH204" s="34">
        <f t="shared" si="42"/>
        <v>0.35183973039947591</v>
      </c>
      <c r="AI204" s="36">
        <v>7169719</v>
      </c>
      <c r="AJ204" s="37">
        <v>2522592</v>
      </c>
      <c r="AK204" s="37">
        <v>293064</v>
      </c>
      <c r="AL204" s="37">
        <v>2230152</v>
      </c>
      <c r="AM204" s="38"/>
      <c r="AN204" s="39">
        <v>69.570697300000006</v>
      </c>
      <c r="AO204" s="39">
        <v>75.933896799999999</v>
      </c>
      <c r="AP204" s="39">
        <v>26.1536884</v>
      </c>
      <c r="AQ204" s="39">
        <v>40.584500800000001</v>
      </c>
      <c r="AR204" s="39">
        <v>41.771036100000003</v>
      </c>
      <c r="AS204" s="40"/>
      <c r="AT204" s="41">
        <v>12.555</v>
      </c>
      <c r="AU204" s="41">
        <v>9.1950000000000003</v>
      </c>
      <c r="AW204" s="42">
        <f t="shared" si="43"/>
        <v>8.596904670919725E-4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>
        <f t="shared" si="34"/>
        <v>0.83477163192875059</v>
      </c>
      <c r="K205" s="19">
        <f t="shared" si="35"/>
        <v>0.14703749311834036</v>
      </c>
      <c r="L205" s="19">
        <f t="shared" si="36"/>
        <v>0.68760871230429543</v>
      </c>
      <c r="M205" s="20"/>
      <c r="N205" s="19">
        <f t="shared" si="37"/>
        <v>1.0729400357947991</v>
      </c>
      <c r="O205" s="21">
        <v>6947378</v>
      </c>
      <c r="P205" s="22">
        <v>7454120</v>
      </c>
      <c r="Q205" s="22">
        <v>1312976</v>
      </c>
      <c r="R205" s="22">
        <v>6140024</v>
      </c>
      <c r="S205" s="23"/>
      <c r="T205" s="24">
        <v>75.388840000000002</v>
      </c>
      <c r="U205" s="24">
        <v>78.850034800000003</v>
      </c>
      <c r="V205" s="24">
        <v>28.5549629</v>
      </c>
      <c r="W205" s="24">
        <v>42.256046499999997</v>
      </c>
      <c r="X205" s="24">
        <v>43.190521699999998</v>
      </c>
      <c r="Y205" s="23"/>
      <c r="Z205" s="26">
        <v>18.882999999999999</v>
      </c>
      <c r="AA205" s="26">
        <v>11.398</v>
      </c>
      <c r="AC205" s="18" t="str">
        <f t="shared" si="38"/>
        <v>·</v>
      </c>
      <c r="AD205" s="19">
        <f t="shared" si="39"/>
        <v>0.83484599192880438</v>
      </c>
      <c r="AE205" s="19">
        <f t="shared" si="40"/>
        <v>0.14832849022770733</v>
      </c>
      <c r="AF205" s="19">
        <f t="shared" si="41"/>
        <v>0.68760871230429543</v>
      </c>
      <c r="AG205" s="20"/>
      <c r="AH205" s="19">
        <f t="shared" si="42"/>
        <v>1.0730356114205963</v>
      </c>
      <c r="AI205" s="21">
        <v>6947378</v>
      </c>
      <c r="AJ205" s="22">
        <v>7454784</v>
      </c>
      <c r="AK205" s="22">
        <v>1324504</v>
      </c>
      <c r="AL205" s="22">
        <v>6140024</v>
      </c>
      <c r="AM205" s="23"/>
      <c r="AN205" s="24">
        <v>75.388840000000002</v>
      </c>
      <c r="AO205" s="24">
        <v>78.850034800000003</v>
      </c>
      <c r="AP205" s="24">
        <v>28.5549629</v>
      </c>
      <c r="AQ205" s="24">
        <v>42.256046499999997</v>
      </c>
      <c r="AR205" s="24">
        <v>43.190521699999998</v>
      </c>
      <c r="AS205" s="25"/>
      <c r="AT205" s="26">
        <v>18.663</v>
      </c>
      <c r="AU205" s="26">
        <v>11.275</v>
      </c>
      <c r="AW205" s="27">
        <f t="shared" si="43"/>
        <v>1.5307006064083917E-3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>
        <f t="shared" si="34"/>
        <v>2.177589598200667</v>
      </c>
      <c r="K206" s="34">
        <f t="shared" si="35"/>
        <v>0.60033605344602603</v>
      </c>
      <c r="L206" s="34">
        <f t="shared" si="36"/>
        <v>1.5771281182485264</v>
      </c>
      <c r="M206" s="35"/>
      <c r="N206" s="34">
        <f t="shared" si="37"/>
        <v>2.4158686910665619</v>
      </c>
      <c r="O206" s="36">
        <v>8048805</v>
      </c>
      <c r="P206" s="37">
        <v>19444856</v>
      </c>
      <c r="Q206" s="37">
        <v>5360720</v>
      </c>
      <c r="R206" s="37">
        <v>14083016</v>
      </c>
      <c r="S206" s="38"/>
      <c r="T206" s="39">
        <v>77.587080499999999</v>
      </c>
      <c r="U206" s="39">
        <v>80.922107100000005</v>
      </c>
      <c r="V206" s="39">
        <v>30.0829229</v>
      </c>
      <c r="W206" s="39">
        <v>43.832329600000001</v>
      </c>
      <c r="X206" s="39">
        <v>44.667456999999999</v>
      </c>
      <c r="Y206" s="38"/>
      <c r="Z206" s="41">
        <v>39.475999999999999</v>
      </c>
      <c r="AA206" s="41">
        <v>20.056000000000001</v>
      </c>
      <c r="AC206" s="33" t="str">
        <f t="shared" si="38"/>
        <v>·</v>
      </c>
      <c r="AD206" s="34">
        <f t="shared" si="39"/>
        <v>2.177809094586368</v>
      </c>
      <c r="AE206" s="34">
        <f t="shared" si="40"/>
        <v>0.61325498357584696</v>
      </c>
      <c r="AF206" s="34">
        <f t="shared" si="41"/>
        <v>1.5771281182485264</v>
      </c>
      <c r="AG206" s="35"/>
      <c r="AH206" s="34">
        <f t="shared" si="42"/>
        <v>2.4161122054764652</v>
      </c>
      <c r="AI206" s="36">
        <v>8048805</v>
      </c>
      <c r="AJ206" s="37">
        <v>19446816</v>
      </c>
      <c r="AK206" s="37">
        <v>5476080</v>
      </c>
      <c r="AL206" s="37">
        <v>14083016</v>
      </c>
      <c r="AM206" s="38"/>
      <c r="AN206" s="39">
        <v>77.587080499999999</v>
      </c>
      <c r="AO206" s="39">
        <v>80.922107100000005</v>
      </c>
      <c r="AP206" s="39">
        <v>30.0829229</v>
      </c>
      <c r="AQ206" s="39">
        <v>43.832329600000001</v>
      </c>
      <c r="AR206" s="39">
        <v>44.667456999999999</v>
      </c>
      <c r="AS206" s="40"/>
      <c r="AT206" s="41">
        <v>37.929000000000002</v>
      </c>
      <c r="AU206" s="41">
        <v>19.29</v>
      </c>
      <c r="AW206" s="42">
        <f t="shared" si="43"/>
        <v>5.9042904946946528E-3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38"/>
        <v>·</v>
      </c>
      <c r="AD207" s="19" t="str">
        <f t="shared" si="39"/>
        <v>·</v>
      </c>
      <c r="AE207" s="19">
        <f t="shared" si="40"/>
        <v>0</v>
      </c>
      <c r="AF207" s="19" t="str">
        <f t="shared" si="41"/>
        <v>·</v>
      </c>
      <c r="AG207" s="20"/>
      <c r="AH207" s="19" t="str">
        <f t="shared" si="42"/>
        <v>·</v>
      </c>
      <c r="AI207" s="21"/>
      <c r="AJ207" s="22"/>
      <c r="AK207" s="22">
        <v>0</v>
      </c>
      <c r="AL207" s="22"/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4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38"/>
        <v>·</v>
      </c>
      <c r="AD208" s="49" t="str">
        <f t="shared" si="39"/>
        <v>·</v>
      </c>
      <c r="AE208" s="49">
        <f t="shared" si="40"/>
        <v>0</v>
      </c>
      <c r="AF208" s="49" t="str">
        <f t="shared" si="41"/>
        <v>·</v>
      </c>
      <c r="AG208" s="50"/>
      <c r="AH208" s="49" t="str">
        <f t="shared" si="42"/>
        <v>·</v>
      </c>
      <c r="AI208" s="51"/>
      <c r="AJ208" s="52"/>
      <c r="AK208" s="52">
        <v>0</v>
      </c>
      <c r="AL208" s="52"/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4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>
        <f t="shared" si="34"/>
        <v>2.3419360313602654E-2</v>
      </c>
      <c r="K209" s="19">
        <f t="shared" si="35"/>
        <v>5.0196227380185547E-3</v>
      </c>
      <c r="L209" s="19">
        <f t="shared" si="36"/>
        <v>1.8314521668148055E-2</v>
      </c>
      <c r="M209" s="20"/>
      <c r="N209" s="19">
        <f t="shared" si="37"/>
        <v>4.4101278276463998E-2</v>
      </c>
      <c r="O209" s="21">
        <v>10469175</v>
      </c>
      <c r="P209" s="22">
        <v>461704</v>
      </c>
      <c r="Q209" s="22">
        <v>98960</v>
      </c>
      <c r="R209" s="22">
        <v>361064</v>
      </c>
      <c r="S209" s="23"/>
      <c r="T209" s="24">
        <v>68.088440500000004</v>
      </c>
      <c r="U209" s="24">
        <v>70.939423599999998</v>
      </c>
      <c r="V209" s="24">
        <v>28.966238400000002</v>
      </c>
      <c r="W209" s="24">
        <v>42.446032700000004</v>
      </c>
      <c r="X209" s="24">
        <v>44.321969899999999</v>
      </c>
      <c r="Y209" s="23"/>
      <c r="Z209" s="26">
        <v>15.893000000000001</v>
      </c>
      <c r="AA209" s="26">
        <v>11.109</v>
      </c>
      <c r="AC209" s="18" t="str">
        <f t="shared" si="38"/>
        <v>·</v>
      </c>
      <c r="AD209" s="19">
        <f t="shared" si="39"/>
        <v>2.3435186124983635E-2</v>
      </c>
      <c r="AE209" s="19">
        <f t="shared" si="40"/>
        <v>5.0261153785851106E-3</v>
      </c>
      <c r="AF209" s="19">
        <f t="shared" si="41"/>
        <v>1.8314521668148055E-2</v>
      </c>
      <c r="AG209" s="20"/>
      <c r="AH209" s="19">
        <f t="shared" si="42"/>
        <v>4.4131080051675514E-2</v>
      </c>
      <c r="AI209" s="21">
        <v>10469175</v>
      </c>
      <c r="AJ209" s="22">
        <v>462016</v>
      </c>
      <c r="AK209" s="22">
        <v>99088</v>
      </c>
      <c r="AL209" s="22">
        <v>361064</v>
      </c>
      <c r="AM209" s="23"/>
      <c r="AN209" s="24">
        <v>68.088440500000004</v>
      </c>
      <c r="AO209" s="24">
        <v>70.939423599999998</v>
      </c>
      <c r="AP209" s="24">
        <v>28.966238400000002</v>
      </c>
      <c r="AQ209" s="24">
        <v>42.446032700000004</v>
      </c>
      <c r="AR209" s="24">
        <v>44.321969899999999</v>
      </c>
      <c r="AS209" s="25"/>
      <c r="AT209" s="26">
        <v>15.89</v>
      </c>
      <c r="AU209" s="26">
        <v>10.738</v>
      </c>
      <c r="AW209" s="27">
        <f t="shared" si="43"/>
        <v>1.3230499616245783E-4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5.58992261841329E-3</v>
      </c>
      <c r="BA209" s="28">
        <f>IF( OR(ISBLANK(Q209:Q214),ISBLANK(AK209:AK214), ISBLANK(U209:U214),ISBLANK(AO209:AO214)), "·", bdRateExtend( Q209:Q214,U209:U214, AK209:AK214,AO209:AO214))</f>
        <v>6.7063246645213681E-3</v>
      </c>
      <c r="BB209" s="28">
        <f>IF( OR(ISBLANK(R209:R214),ISBLANK(AL209:AL214), ISBLANK(V209:V214),ISBLANK(AP209:AP214)), "·", bdRateExtend( R209:R214,V209:V214, AL209:AL214,AP209:AP214))</f>
        <v>0</v>
      </c>
      <c r="BC209" s="28">
        <f>IF( OR(ISBLANK(R209:R214),ISBLANK(AL209:AL214), ISBLANK(W209:W214),ISBLANK(AQ209:AQ214)), "·", bdRateExtend( R209:R214,W209:W214, AL209:AL214,AQ209:AQ214))</f>
        <v>0</v>
      </c>
      <c r="BD209" s="28">
        <f>IF( OR(ISBLANK(R209:R214),ISBLANK(AL209:AL214), ISBLANK(X209:X214),ISBLANK(AR209:AR214)), "·", bdRateExtend( R209:R214,X209:X214, AL209:AL214,AR209:AR214))</f>
        <v>0</v>
      </c>
      <c r="BE209" s="29"/>
      <c r="BG209" s="28">
        <f>IF( OR(ISBLANK(P209:P214),ISBLANK(AJ209:AJ214), ISBLANK(T209:T214),ISBLANK(AN209:AN214)), "·", bdRateExtend( P209:P214,T209:T214, AJ209:AJ214,AN209:AN214))</f>
        <v>4.169645119631582E-4</v>
      </c>
      <c r="BH209" s="28">
        <f>IF( OR(ISBLANK(P209:P214),ISBLANK(AJ209:AJ214), ISBLANK(U209:U214),ISBLANK(AO209:AO214)), "·", bdRateExtend( P209:P214,U209:U214, AJ209:AJ214,AO209:AO214))</f>
        <v>4.0924269279596359E-4</v>
      </c>
      <c r="BI209" s="28">
        <f>IF( OR(ISBLANK(P209:P214),ISBLANK(AJ209:AJ214), ISBLANK(V209:V214),ISBLANK(AP209:AP214)), "·", bdRateExtend( P209:P214,V209:V214, AJ209:AJ214,AP209:AP214))</f>
        <v>3.4655292757035383E-4</v>
      </c>
      <c r="BJ209" s="28">
        <f>IF( OR(ISBLANK(P209:P214),ISBLANK(AJ209:AJ214), ISBLANK(W209:W214),ISBLANK(AQ209:AQ214)), "·", bdRateExtend( P209:P214,W209:W214, AJ209:AJ214,AQ209:AQ214))</f>
        <v>3.4566284522985491E-4</v>
      </c>
      <c r="BK209" s="28">
        <f>IF( OR(ISBLANK(P209:P214),ISBLANK(AJ209:AJ214), ISBLANK(X209:X214),ISBLANK(AR209:AR214)), "·", bdRateExtend( P209:P214,X209:X214, AJ209:AJ214,AR209:AR214))</f>
        <v>3.530745035202898E-4</v>
      </c>
      <c r="BL209" s="29"/>
    </row>
    <row r="210" spans="1:64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>
        <f t="shared" si="34"/>
        <v>8.2795369874827468E-2</v>
      </c>
      <c r="K210" s="34">
        <f t="shared" si="35"/>
        <v>1.704155832706768E-2</v>
      </c>
      <c r="L210" s="34">
        <f t="shared" si="36"/>
        <v>6.5668595640323735E-2</v>
      </c>
      <c r="M210" s="35"/>
      <c r="N210" s="34">
        <f t="shared" si="37"/>
        <v>0.14756760886103587</v>
      </c>
      <c r="O210" s="36">
        <v>11061235</v>
      </c>
      <c r="P210" s="37">
        <v>1632280</v>
      </c>
      <c r="Q210" s="37">
        <v>335968</v>
      </c>
      <c r="R210" s="37">
        <v>1294632</v>
      </c>
      <c r="S210" s="38"/>
      <c r="T210" s="39">
        <v>74.167904199999995</v>
      </c>
      <c r="U210" s="39">
        <v>76.876211600000005</v>
      </c>
      <c r="V210" s="39">
        <v>30.760033</v>
      </c>
      <c r="W210" s="39">
        <v>43.418811900000001</v>
      </c>
      <c r="X210" s="39">
        <v>45.271216600000002</v>
      </c>
      <c r="Y210" s="38"/>
      <c r="Z210" s="41">
        <v>18.471</v>
      </c>
      <c r="AA210" s="41">
        <v>12.904999999999999</v>
      </c>
      <c r="AC210" s="33" t="str">
        <f t="shared" si="38"/>
        <v>·</v>
      </c>
      <c r="AD210" s="34">
        <f t="shared" si="39"/>
        <v>8.2828238867695664E-2</v>
      </c>
      <c r="AE210" s="34">
        <f t="shared" si="40"/>
        <v>1.7053326238094565E-2</v>
      </c>
      <c r="AF210" s="34">
        <f t="shared" si="41"/>
        <v>6.5668595640323735E-2</v>
      </c>
      <c r="AG210" s="35"/>
      <c r="AH210" s="34">
        <f t="shared" si="42"/>
        <v>0.14762619183120149</v>
      </c>
      <c r="AI210" s="36">
        <v>11061235</v>
      </c>
      <c r="AJ210" s="37">
        <v>1632928</v>
      </c>
      <c r="AK210" s="37">
        <v>336200</v>
      </c>
      <c r="AL210" s="37">
        <v>1294632</v>
      </c>
      <c r="AM210" s="38"/>
      <c r="AN210" s="39">
        <v>74.167904199999995</v>
      </c>
      <c r="AO210" s="39">
        <v>76.876211600000005</v>
      </c>
      <c r="AP210" s="39">
        <v>30.760033</v>
      </c>
      <c r="AQ210" s="39">
        <v>43.418811900000001</v>
      </c>
      <c r="AR210" s="39">
        <v>45.271216600000002</v>
      </c>
      <c r="AS210" s="40"/>
      <c r="AT210" s="41">
        <v>18.298999999999999</v>
      </c>
      <c r="AU210" s="41">
        <v>13.202</v>
      </c>
      <c r="AW210" s="42">
        <f t="shared" si="43"/>
        <v>6.0396921569033646E-5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>
        <f t="shared" si="34"/>
        <v>0.29622997216939767</v>
      </c>
      <c r="K211" s="19">
        <f t="shared" si="35"/>
        <v>6.5891374369763694E-2</v>
      </c>
      <c r="L211" s="19">
        <f t="shared" si="36"/>
        <v>0.23025338189219793</v>
      </c>
      <c r="M211" s="20"/>
      <c r="N211" s="19">
        <f t="shared" si="37"/>
        <v>0.50831185217060704</v>
      </c>
      <c r="O211" s="21">
        <v>11489136</v>
      </c>
      <c r="P211" s="22">
        <v>5840064</v>
      </c>
      <c r="Q211" s="22">
        <v>1299024</v>
      </c>
      <c r="R211" s="22">
        <v>4539360</v>
      </c>
      <c r="S211" s="23"/>
      <c r="T211" s="24">
        <v>78.595939200000004</v>
      </c>
      <c r="U211" s="24">
        <v>81.030003899999997</v>
      </c>
      <c r="V211" s="24">
        <v>32.837046899999997</v>
      </c>
      <c r="W211" s="24">
        <v>44.445515</v>
      </c>
      <c r="X211" s="24">
        <v>46.198992199999999</v>
      </c>
      <c r="Y211" s="23"/>
      <c r="Z211" s="26">
        <v>26.283999999999999</v>
      </c>
      <c r="AA211" s="26">
        <v>18.234999999999999</v>
      </c>
      <c r="AC211" s="18" t="str">
        <f t="shared" si="38"/>
        <v>·</v>
      </c>
      <c r="AD211" s="19">
        <f t="shared" si="39"/>
        <v>0.2963119417565504</v>
      </c>
      <c r="AE211" s="19">
        <f t="shared" si="40"/>
        <v>6.6813329330214638E-2</v>
      </c>
      <c r="AF211" s="19">
        <f t="shared" si="41"/>
        <v>0.23025338189219793</v>
      </c>
      <c r="AG211" s="20"/>
      <c r="AH211" s="19">
        <f t="shared" si="42"/>
        <v>0.50845250678554066</v>
      </c>
      <c r="AI211" s="21">
        <v>11489136</v>
      </c>
      <c r="AJ211" s="22">
        <v>5841680</v>
      </c>
      <c r="AK211" s="22">
        <v>1317200</v>
      </c>
      <c r="AL211" s="22">
        <v>4539360</v>
      </c>
      <c r="AM211" s="23"/>
      <c r="AN211" s="24">
        <v>78.595939200000004</v>
      </c>
      <c r="AO211" s="24">
        <v>81.030003899999997</v>
      </c>
      <c r="AP211" s="24">
        <v>32.837046899999997</v>
      </c>
      <c r="AQ211" s="24">
        <v>44.445515</v>
      </c>
      <c r="AR211" s="24">
        <v>46.198992199999999</v>
      </c>
      <c r="AS211" s="25"/>
      <c r="AT211" s="26">
        <v>25.192</v>
      </c>
      <c r="AU211" s="26">
        <v>17.672999999999998</v>
      </c>
      <c r="AW211" s="27">
        <f t="shared" si="43"/>
        <v>3.0499013953239063E-3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>
        <f t="shared" si="34"/>
        <v>0.89061457864614135</v>
      </c>
      <c r="K212" s="34">
        <f t="shared" si="35"/>
        <v>0.23761928261495563</v>
      </c>
      <c r="L212" s="34">
        <f t="shared" si="36"/>
        <v>0.65291413802410381</v>
      </c>
      <c r="M212" s="35"/>
      <c r="N212" s="34">
        <f t="shared" si="37"/>
        <v>1.4663395502653347</v>
      </c>
      <c r="O212" s="36">
        <v>11974127</v>
      </c>
      <c r="P212" s="37">
        <v>17558136</v>
      </c>
      <c r="Q212" s="37">
        <v>4684576</v>
      </c>
      <c r="R212" s="37">
        <v>12871960</v>
      </c>
      <c r="S212" s="38"/>
      <c r="T212" s="39">
        <v>80.267802099999997</v>
      </c>
      <c r="U212" s="39">
        <v>83.192602100000002</v>
      </c>
      <c r="V212" s="39">
        <v>34.986443999999999</v>
      </c>
      <c r="W212" s="39">
        <v>45.641981399999999</v>
      </c>
      <c r="X212" s="39">
        <v>47.2264518</v>
      </c>
      <c r="Y212" s="38"/>
      <c r="Z212" s="41">
        <v>47.438000000000002</v>
      </c>
      <c r="AA212" s="41">
        <v>30.879000000000001</v>
      </c>
      <c r="AC212" s="33" t="str">
        <f t="shared" si="38"/>
        <v>·</v>
      </c>
      <c r="AD212" s="34">
        <f t="shared" si="39"/>
        <v>0.89075660515853483</v>
      </c>
      <c r="AE212" s="34">
        <f t="shared" si="40"/>
        <v>0.24984573638185126</v>
      </c>
      <c r="AF212" s="34">
        <f t="shared" si="41"/>
        <v>0.65291413802410381</v>
      </c>
      <c r="AG212" s="35"/>
      <c r="AH212" s="34">
        <f t="shared" si="42"/>
        <v>1.4665733877718183</v>
      </c>
      <c r="AI212" s="36">
        <v>11974127</v>
      </c>
      <c r="AJ212" s="37">
        <v>17560936</v>
      </c>
      <c r="AK212" s="37">
        <v>4925616</v>
      </c>
      <c r="AL212" s="37">
        <v>12871960</v>
      </c>
      <c r="AM212" s="38"/>
      <c r="AN212" s="39">
        <v>80.267802099999997</v>
      </c>
      <c r="AO212" s="39">
        <v>83.192602100000002</v>
      </c>
      <c r="AP212" s="39">
        <v>34.986443999999999</v>
      </c>
      <c r="AQ212" s="39">
        <v>45.641981399999999</v>
      </c>
      <c r="AR212" s="39">
        <v>47.2264518</v>
      </c>
      <c r="AS212" s="40"/>
      <c r="AT212" s="41">
        <v>45.094000000000001</v>
      </c>
      <c r="AU212" s="41">
        <v>29.097000000000001</v>
      </c>
      <c r="AW212" s="42">
        <f t="shared" si="43"/>
        <v>1.368337938160985E-2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38"/>
        <v>·</v>
      </c>
      <c r="AD213" s="19" t="str">
        <f t="shared" si="39"/>
        <v>·</v>
      </c>
      <c r="AE213" s="19">
        <f t="shared" si="40"/>
        <v>0</v>
      </c>
      <c r="AF213" s="19" t="str">
        <f t="shared" si="41"/>
        <v>·</v>
      </c>
      <c r="AG213" s="20"/>
      <c r="AH213" s="19" t="str">
        <f t="shared" si="42"/>
        <v>·</v>
      </c>
      <c r="AI213" s="21"/>
      <c r="AJ213" s="22"/>
      <c r="AK213" s="22">
        <v>0</v>
      </c>
      <c r="AL213" s="22"/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4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38"/>
        <v>·</v>
      </c>
      <c r="AD214" s="49" t="str">
        <f t="shared" si="39"/>
        <v>·</v>
      </c>
      <c r="AE214" s="49">
        <f t="shared" si="40"/>
        <v>0</v>
      </c>
      <c r="AF214" s="49" t="str">
        <f t="shared" si="41"/>
        <v>·</v>
      </c>
      <c r="AG214" s="50"/>
      <c r="AH214" s="49" t="str">
        <f t="shared" si="42"/>
        <v>·</v>
      </c>
      <c r="AI214" s="51"/>
      <c r="AJ214" s="52"/>
      <c r="AK214" s="52">
        <v>0</v>
      </c>
      <c r="AL214" s="52"/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4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15">
      <c r="A215" s="15"/>
      <c r="B215" s="15" t="s">
        <v>1045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>
        <f t="shared" si="34"/>
        <v>4.9838786837558768E-2</v>
      </c>
      <c r="K215" s="19">
        <f t="shared" si="35"/>
        <v>1.5041971606543489E-2</v>
      </c>
      <c r="L215" s="19">
        <f t="shared" si="36"/>
        <v>3.4576484608391238E-2</v>
      </c>
      <c r="M215" s="20"/>
      <c r="N215" s="19">
        <f t="shared" si="37"/>
        <v>6.1011442679891205E-2</v>
      </c>
      <c r="O215" s="21">
        <v>2966001</v>
      </c>
      <c r="P215" s="22">
        <v>180960</v>
      </c>
      <c r="Q215" s="22">
        <v>54616</v>
      </c>
      <c r="R215" s="22">
        <v>125544</v>
      </c>
      <c r="S215" s="23"/>
      <c r="T215" s="24">
        <v>60.2619057</v>
      </c>
      <c r="U215" s="24">
        <v>64.108186200000006</v>
      </c>
      <c r="V215" s="24">
        <v>28.129732300000001</v>
      </c>
      <c r="W215" s="24">
        <v>43.1284037</v>
      </c>
      <c r="X215" s="24">
        <v>46.572836799999997</v>
      </c>
      <c r="Y215" s="23"/>
      <c r="Z215" s="26">
        <v>6.59</v>
      </c>
      <c r="AA215" s="26">
        <v>3.839</v>
      </c>
      <c r="AC215" s="18" t="str">
        <f t="shared" si="38"/>
        <v>·</v>
      </c>
      <c r="AD215" s="19">
        <f t="shared" si="39"/>
        <v>4.9863023206047415E-2</v>
      </c>
      <c r="AE215" s="19">
        <f t="shared" si="40"/>
        <v>1.5110274099556942E-2</v>
      </c>
      <c r="AF215" s="19">
        <f t="shared" si="41"/>
        <v>3.4576484608391238E-2</v>
      </c>
      <c r="AG215" s="20"/>
      <c r="AH215" s="19">
        <f t="shared" si="42"/>
        <v>6.1041112258559592E-2</v>
      </c>
      <c r="AI215" s="21">
        <v>2966001</v>
      </c>
      <c r="AJ215" s="22">
        <v>181048</v>
      </c>
      <c r="AK215" s="22">
        <v>54864</v>
      </c>
      <c r="AL215" s="22">
        <v>125544</v>
      </c>
      <c r="AM215" s="23"/>
      <c r="AN215" s="24">
        <v>60.2619057</v>
      </c>
      <c r="AO215" s="24">
        <v>64.108186200000006</v>
      </c>
      <c r="AP215" s="24">
        <v>28.129732300000001</v>
      </c>
      <c r="AQ215" s="24">
        <v>43.1284037</v>
      </c>
      <c r="AR215" s="24">
        <v>46.572836799999997</v>
      </c>
      <c r="AS215" s="25"/>
      <c r="AT215" s="26">
        <v>6.1829999999999998</v>
      </c>
      <c r="AU215" s="26">
        <v>3.6669999999999998</v>
      </c>
      <c r="AW215" s="27">
        <f t="shared" si="43"/>
        <v>1.2231037909120612E-3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9.7901916677847201E-3</v>
      </c>
      <c r="BA215" s="28">
        <f>IF( OR(ISBLANK(Q215:Q220),ISBLANK(AK215:AK220), ISBLANK(U215:U220),ISBLANK(AO215:AO220)), "·", bdRateExtend( Q215:Q220,U215:U220, AK215:AK220,AO215:AO220))</f>
        <v>8.4634646817629555E-3</v>
      </c>
      <c r="BB215" s="28">
        <f>IF( OR(ISBLANK(R215:R220),ISBLANK(AL215:AL220), ISBLANK(V215:V220),ISBLANK(AP215:AP220)), "·", bdRateExtend( R215:R220,V215:V220, AL215:AL220,AP215:AP220))</f>
        <v>0</v>
      </c>
      <c r="BC215" s="28">
        <f>IF( OR(ISBLANK(R215:R220),ISBLANK(AL215:AL220), ISBLANK(W215:W220),ISBLANK(AQ215:AQ220)), "·", bdRateExtend( R215:R220,W215:W220, AL215:AL220,AQ215:AQ220))</f>
        <v>0</v>
      </c>
      <c r="BD215" s="28">
        <f>IF( OR(ISBLANK(R215:R220),ISBLANK(AL215:AL220), ISBLANK(X215:X220),ISBLANK(AR215:AR220)), "·", bdRateExtend( R215:R220,X215:X220, AL215:AL220,AR215:AR220))</f>
        <v>0</v>
      </c>
      <c r="BE215" s="29"/>
      <c r="BG215" s="28">
        <f>IF( OR(ISBLANK(P215:P220),ISBLANK(AJ215:AJ220), ISBLANK(T215:T220),ISBLANK(AN215:AN220)), "·", bdRateExtend( P215:P220,T215:T220, AJ215:AJ220,AN215:AN220))</f>
        <v>3.3614963624239991E-4</v>
      </c>
      <c r="BH215" s="28">
        <f>IF( OR(ISBLANK(P215:P220),ISBLANK(AJ215:AJ220), ISBLANK(U215:U220),ISBLANK(AO215:AO220)), "·", bdRateExtend( P215:P220,U215:U220, AJ215:AJ220,AO215:AO220))</f>
        <v>3.7417731902622542E-4</v>
      </c>
      <c r="BI215" s="28">
        <f>IF( OR(ISBLANK(P215:P220),ISBLANK(AJ215:AJ220), ISBLANK(V215:V220),ISBLANK(AP215:AP220)), "·", bdRateExtend( P215:P220,V215:V220, AJ215:AJ220,AP215:AP220))</f>
        <v>3.0806746036438071E-4</v>
      </c>
      <c r="BJ215" s="28">
        <f>IF( OR(ISBLANK(P215:P220),ISBLANK(AJ215:AJ220), ISBLANK(W215:W220),ISBLANK(AQ215:AQ220)), "·", bdRateExtend( P215:P220,W215:W220, AJ215:AJ220,AQ215:AQ220))</f>
        <v>3.1524010601136077E-4</v>
      </c>
      <c r="BK215" s="28">
        <f>IF( OR(ISBLANK(P215:P220),ISBLANK(AJ215:AJ220), ISBLANK(X215:X220),ISBLANK(AR215:AR220)), "·", bdRateExtend( P215:P220,X215:X220, AJ215:AJ220,AR215:AR220))</f>
        <v>3.0712138053523574E-4</v>
      </c>
      <c r="BL215" s="29"/>
    </row>
    <row r="216" spans="1:64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>
        <f t="shared" si="34"/>
        <v>0.15951937077980791</v>
      </c>
      <c r="K216" s="34">
        <f t="shared" si="35"/>
        <v>4.8831875892166886E-2</v>
      </c>
      <c r="L216" s="34">
        <f t="shared" si="36"/>
        <v>0.11046716426501697</v>
      </c>
      <c r="M216" s="35"/>
      <c r="N216" s="34">
        <f t="shared" si="37"/>
        <v>0.18626261742713182</v>
      </c>
      <c r="O216" s="36">
        <v>3109588</v>
      </c>
      <c r="P216" s="37">
        <v>579200</v>
      </c>
      <c r="Q216" s="37">
        <v>177304</v>
      </c>
      <c r="R216" s="37">
        <v>401096</v>
      </c>
      <c r="S216" s="38"/>
      <c r="T216" s="39">
        <v>66.021077399999996</v>
      </c>
      <c r="U216" s="39">
        <v>70.589765600000007</v>
      </c>
      <c r="V216" s="39">
        <v>30.098733800000002</v>
      </c>
      <c r="W216" s="39">
        <v>44.279817700000002</v>
      </c>
      <c r="X216" s="39">
        <v>47.231478500000001</v>
      </c>
      <c r="Y216" s="38"/>
      <c r="Z216" s="41">
        <v>7.5119999999999996</v>
      </c>
      <c r="AA216" s="41">
        <v>4.3860000000000001</v>
      </c>
      <c r="AC216" s="33" t="str">
        <f t="shared" si="38"/>
        <v>·</v>
      </c>
      <c r="AD216" s="34">
        <f t="shared" si="39"/>
        <v>0.15956784351678521</v>
      </c>
      <c r="AE216" s="34">
        <f t="shared" si="40"/>
        <v>4.9354059467785871E-2</v>
      </c>
      <c r="AF216" s="34">
        <f t="shared" si="41"/>
        <v>0.11046716426501697</v>
      </c>
      <c r="AG216" s="35"/>
      <c r="AH216" s="34">
        <f t="shared" si="42"/>
        <v>0.18631921656502404</v>
      </c>
      <c r="AI216" s="36">
        <v>3109588</v>
      </c>
      <c r="AJ216" s="37">
        <v>579376</v>
      </c>
      <c r="AK216" s="37">
        <v>179200</v>
      </c>
      <c r="AL216" s="37">
        <v>401096</v>
      </c>
      <c r="AM216" s="38"/>
      <c r="AN216" s="39">
        <v>66.021077399999996</v>
      </c>
      <c r="AO216" s="39">
        <v>70.589765600000007</v>
      </c>
      <c r="AP216" s="39">
        <v>30.098733800000002</v>
      </c>
      <c r="AQ216" s="39">
        <v>44.279817700000002</v>
      </c>
      <c r="AR216" s="39">
        <v>47.231478500000001</v>
      </c>
      <c r="AS216" s="40"/>
      <c r="AT216" s="41">
        <v>7.59</v>
      </c>
      <c r="AU216" s="41">
        <v>4.3079999999999998</v>
      </c>
      <c r="AW216" s="42">
        <f t="shared" si="43"/>
        <v>3.179494997933352E-3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>
        <f t="shared" si="34"/>
        <v>0.60848928380704881</v>
      </c>
      <c r="K217" s="19">
        <f t="shared" si="35"/>
        <v>0.19751098003887183</v>
      </c>
      <c r="L217" s="19">
        <f t="shared" si="36"/>
        <v>0.4107579731455529</v>
      </c>
      <c r="M217" s="20"/>
      <c r="N217" s="19">
        <f t="shared" si="37"/>
        <v>0.51310403640411373</v>
      </c>
      <c r="O217" s="21">
        <v>4305887</v>
      </c>
      <c r="P217" s="22">
        <v>2209368</v>
      </c>
      <c r="Q217" s="22">
        <v>717144</v>
      </c>
      <c r="R217" s="22">
        <v>1491424</v>
      </c>
      <c r="S217" s="23"/>
      <c r="T217" s="24">
        <v>70.0934065</v>
      </c>
      <c r="U217" s="24">
        <v>72.997808000000006</v>
      </c>
      <c r="V217" s="24">
        <v>32.720010799999997</v>
      </c>
      <c r="W217" s="24">
        <v>45.5907506</v>
      </c>
      <c r="X217" s="24">
        <v>48.126238499999999</v>
      </c>
      <c r="Y217" s="23"/>
      <c r="Z217" s="26">
        <v>13.01</v>
      </c>
      <c r="AA217" s="26">
        <v>7.4649999999999999</v>
      </c>
      <c r="AC217" s="18" t="str">
        <f t="shared" si="38"/>
        <v>·</v>
      </c>
      <c r="AD217" s="19">
        <f t="shared" si="39"/>
        <v>0.60862588879307566</v>
      </c>
      <c r="AE217" s="19">
        <f t="shared" si="40"/>
        <v>0.2005052732003326</v>
      </c>
      <c r="AF217" s="19">
        <f t="shared" si="41"/>
        <v>0.4107579731455529</v>
      </c>
      <c r="AG217" s="20"/>
      <c r="AH217" s="19">
        <f t="shared" si="42"/>
        <v>0.51321922753662597</v>
      </c>
      <c r="AI217" s="21">
        <v>4305887</v>
      </c>
      <c r="AJ217" s="22">
        <v>2209864</v>
      </c>
      <c r="AK217" s="22">
        <v>728016</v>
      </c>
      <c r="AL217" s="22">
        <v>1491424</v>
      </c>
      <c r="AM217" s="23"/>
      <c r="AN217" s="24">
        <v>70.0934065</v>
      </c>
      <c r="AO217" s="24">
        <v>72.997808000000006</v>
      </c>
      <c r="AP217" s="24">
        <v>32.720010799999997</v>
      </c>
      <c r="AQ217" s="24">
        <v>45.5907506</v>
      </c>
      <c r="AR217" s="24">
        <v>48.126238499999999</v>
      </c>
      <c r="AS217" s="25"/>
      <c r="AT217" s="26">
        <v>12.355</v>
      </c>
      <c r="AU217" s="26">
        <v>7.3079999999999998</v>
      </c>
      <c r="AW217" s="27">
        <f t="shared" si="43"/>
        <v>4.8469055939324157E-3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9"/>
      <c r="X218" s="39"/>
      <c r="Y218" s="38"/>
      <c r="Z218" s="41"/>
      <c r="AA218" s="41"/>
      <c r="AC218" s="33" t="str">
        <f t="shared" si="38"/>
        <v>·</v>
      </c>
      <c r="AD218" s="34" t="str">
        <f t="shared" si="39"/>
        <v>·</v>
      </c>
      <c r="AE218" s="34">
        <f t="shared" si="40"/>
        <v>0.44590511406654038</v>
      </c>
      <c r="AF218" s="34" t="str">
        <f t="shared" si="41"/>
        <v>·</v>
      </c>
      <c r="AG218" s="35"/>
      <c r="AH218" s="34" t="str">
        <f t="shared" si="42"/>
        <v>·</v>
      </c>
      <c r="AI218" s="36"/>
      <c r="AJ218" s="37"/>
      <c r="AK218" s="37">
        <v>1619040</v>
      </c>
      <c r="AL218" s="37"/>
      <c r="AM218" s="38"/>
      <c r="AN218" s="39"/>
      <c r="AO218" s="39"/>
      <c r="AP218" s="39"/>
      <c r="AQ218" s="39"/>
      <c r="AR218" s="39"/>
      <c r="AS218" s="40"/>
      <c r="AT218" s="41"/>
      <c r="AU218" s="41"/>
      <c r="AW218" s="42" t="e">
        <f t="shared" si="43"/>
        <v>#DIV/0!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38"/>
        <v>·</v>
      </c>
      <c r="AD219" s="19" t="str">
        <f t="shared" si="39"/>
        <v>·</v>
      </c>
      <c r="AE219" s="19">
        <f t="shared" si="40"/>
        <v>0</v>
      </c>
      <c r="AF219" s="19" t="str">
        <f t="shared" si="41"/>
        <v>·</v>
      </c>
      <c r="AG219" s="20"/>
      <c r="AH219" s="19" t="str">
        <f t="shared" si="42"/>
        <v>·</v>
      </c>
      <c r="AI219" s="21"/>
      <c r="AJ219" s="22"/>
      <c r="AK219" s="22">
        <v>0</v>
      </c>
      <c r="AL219" s="22"/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4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38"/>
        <v>·</v>
      </c>
      <c r="AD220" s="49" t="str">
        <f t="shared" si="39"/>
        <v>·</v>
      </c>
      <c r="AE220" s="49">
        <f t="shared" si="40"/>
        <v>0</v>
      </c>
      <c r="AF220" s="49" t="str">
        <f t="shared" si="41"/>
        <v>·</v>
      </c>
      <c r="AG220" s="50"/>
      <c r="AH220" s="49" t="str">
        <f t="shared" si="42"/>
        <v>·</v>
      </c>
      <c r="AI220" s="51"/>
      <c r="AJ220" s="52"/>
      <c r="AK220" s="52">
        <v>0</v>
      </c>
      <c r="AL220" s="52"/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4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>
        <f t="shared" si="34"/>
        <v>8.6393921334030246E-2</v>
      </c>
      <c r="K221" s="19">
        <f t="shared" si="35"/>
        <v>2.6319097309091471E-2</v>
      </c>
      <c r="L221" s="19">
        <f t="shared" si="36"/>
        <v>5.9955043983872761E-2</v>
      </c>
      <c r="M221" s="20"/>
      <c r="N221" s="19">
        <f t="shared" si="37"/>
        <v>0.10576102471594098</v>
      </c>
      <c r="O221" s="21">
        <v>11457302</v>
      </c>
      <c r="P221" s="22">
        <v>1211736</v>
      </c>
      <c r="Q221" s="22">
        <v>369144</v>
      </c>
      <c r="R221" s="22">
        <v>840912</v>
      </c>
      <c r="S221" s="23"/>
      <c r="T221" s="24">
        <v>67.644423399999994</v>
      </c>
      <c r="U221" s="24">
        <v>70.735707500000004</v>
      </c>
      <c r="V221" s="24">
        <v>26.181012200000001</v>
      </c>
      <c r="W221" s="24">
        <v>39.668319099999998</v>
      </c>
      <c r="X221" s="24">
        <v>44.117538799999998</v>
      </c>
      <c r="Y221" s="23"/>
      <c r="Z221" s="26">
        <v>37.814</v>
      </c>
      <c r="AA221" s="26">
        <v>13.891999999999999</v>
      </c>
      <c r="AC221" s="18" t="str">
        <f t="shared" si="38"/>
        <v>·</v>
      </c>
      <c r="AD221" s="19">
        <f t="shared" si="39"/>
        <v>8.6427573821758322E-2</v>
      </c>
      <c r="AE221" s="19">
        <f t="shared" si="40"/>
        <v>2.6550101674004501E-2</v>
      </c>
      <c r="AF221" s="19">
        <f t="shared" si="41"/>
        <v>5.9955043983872761E-2</v>
      </c>
      <c r="AG221" s="20"/>
      <c r="AH221" s="19">
        <f t="shared" si="42"/>
        <v>0.10580222115119249</v>
      </c>
      <c r="AI221" s="21">
        <v>11457302</v>
      </c>
      <c r="AJ221" s="22">
        <v>1212208</v>
      </c>
      <c r="AK221" s="22">
        <v>372384</v>
      </c>
      <c r="AL221" s="22">
        <v>840912</v>
      </c>
      <c r="AM221" s="23"/>
      <c r="AN221" s="24">
        <v>67.644423399999994</v>
      </c>
      <c r="AO221" s="24">
        <v>70.735707500000004</v>
      </c>
      <c r="AP221" s="24">
        <v>26.181012200000001</v>
      </c>
      <c r="AQ221" s="24">
        <v>39.668319099999998</v>
      </c>
      <c r="AR221" s="24">
        <v>44.117538799999998</v>
      </c>
      <c r="AS221" s="25"/>
      <c r="AT221" s="26">
        <v>37.122999999999998</v>
      </c>
      <c r="AU221" s="26">
        <v>13.422000000000001</v>
      </c>
      <c r="AW221" s="27">
        <f t="shared" si="43"/>
        <v>2.5541900645931759E-3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1.2218896597045781E-2</v>
      </c>
      <c r="BA221" s="28">
        <f>IF( OR(ISBLANK(Q221:Q226),ISBLANK(AK221:AK226), ISBLANK(U221:U226),ISBLANK(AO221:AO226)), "·", bdRateExtend( Q221:Q226,U221:U226, AK221:AK226,AO221:AO226))</f>
        <v>1.1957329458811339E-2</v>
      </c>
      <c r="BB221" s="28">
        <f>IF( OR(ISBLANK(R221:R226),ISBLANK(AL221:AL226), ISBLANK(V221:V226),ISBLANK(AP221:AP226)), "·", bdRateExtend( R221:R226,V221:V226, AL221:AL226,AP221:AP226))</f>
        <v>0</v>
      </c>
      <c r="BC221" s="28">
        <f>IF( OR(ISBLANK(R221:R226),ISBLANK(AL221:AL226), ISBLANK(W221:W226),ISBLANK(AQ221:AQ226)), "·", bdRateExtend( R221:R226,W221:W226, AL221:AL226,AQ221:AQ226))</f>
        <v>0</v>
      </c>
      <c r="BD221" s="28">
        <f>IF( OR(ISBLANK(R221:R226),ISBLANK(AL221:AL226), ISBLANK(X221:X226),ISBLANK(AR221:AR226)), "·", bdRateExtend( R221:R226,X221:X226, AL221:AL226,AR221:AR226))</f>
        <v>0</v>
      </c>
      <c r="BE221" s="29"/>
      <c r="BG221" s="28">
        <f>IF( OR(ISBLANK(P221:P226),ISBLANK(AJ221:AJ226), ISBLANK(T221:T226),ISBLANK(AN221:AN226)), "·", bdRateExtend( P221:P226,T221:T226, AJ221:AJ226,AN221:AN226))</f>
        <v>2.7668154394522304E-4</v>
      </c>
      <c r="BH221" s="28">
        <f>IF( OR(ISBLANK(P221:P226),ISBLANK(AJ221:AJ226), ISBLANK(U221:U226),ISBLANK(AO221:AO226)), "·", bdRateExtend( P221:P226,U221:U226, AJ221:AJ226,AO221:AO226))</f>
        <v>2.8090471466213351E-4</v>
      </c>
      <c r="BI221" s="28">
        <f>IF( OR(ISBLANK(P221:P226),ISBLANK(AJ221:AJ226), ISBLANK(V221:V226),ISBLANK(AP221:AP226)), "·", bdRateExtend( P221:P226,V221:V226, AJ221:AJ226,AP221:AP226))</f>
        <v>2.513658903697813E-4</v>
      </c>
      <c r="BJ221" s="28">
        <f>IF( OR(ISBLANK(P221:P226),ISBLANK(AJ221:AJ226), ISBLANK(W221:W226),ISBLANK(AQ221:AQ226)), "·", bdRateExtend( P221:P226,W221:W226, AJ221:AJ226,AQ221:AQ226))</f>
        <v>2.4432950970609824E-4</v>
      </c>
      <c r="BK221" s="28">
        <f>IF( OR(ISBLANK(P221:P226),ISBLANK(AJ221:AJ226), ISBLANK(X221:X226),ISBLANK(AR221:AR226)), "·", bdRateExtend( P221:P226,X221:X226, AJ221:AJ226,AR221:AR226))</f>
        <v>2.4726580484135674E-4</v>
      </c>
      <c r="BL221" s="29"/>
    </row>
    <row r="222" spans="1:64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>
        <f t="shared" si="34"/>
        <v>0.32309981620180483</v>
      </c>
      <c r="K222" s="34">
        <f t="shared" si="35"/>
        <v>9.2211809042951051E-2</v>
      </c>
      <c r="L222" s="34">
        <f t="shared" si="36"/>
        <v>0.23076822711778777</v>
      </c>
      <c r="M222" s="35"/>
      <c r="N222" s="34">
        <f t="shared" si="37"/>
        <v>0.35672408604539146</v>
      </c>
      <c r="O222" s="36">
        <v>12703667</v>
      </c>
      <c r="P222" s="37">
        <v>4531704</v>
      </c>
      <c r="Q222" s="37">
        <v>1293336</v>
      </c>
      <c r="R222" s="37">
        <v>3236688</v>
      </c>
      <c r="S222" s="38"/>
      <c r="T222" s="39">
        <v>71.407872699999999</v>
      </c>
      <c r="U222" s="39">
        <v>75.626333700000004</v>
      </c>
      <c r="V222" s="39">
        <v>28.281639299999998</v>
      </c>
      <c r="W222" s="39">
        <v>41.253201699999998</v>
      </c>
      <c r="X222" s="39">
        <v>45.491869600000001</v>
      </c>
      <c r="Y222" s="38"/>
      <c r="Z222" s="41">
        <v>47.201000000000001</v>
      </c>
      <c r="AA222" s="41">
        <v>17.719000000000001</v>
      </c>
      <c r="AC222" s="33" t="str">
        <f t="shared" si="38"/>
        <v>·</v>
      </c>
      <c r="AD222" s="34">
        <f t="shared" si="39"/>
        <v>0.32317852880021963</v>
      </c>
      <c r="AE222" s="34">
        <f t="shared" si="40"/>
        <v>9.3391357256877347E-2</v>
      </c>
      <c r="AF222" s="34">
        <f t="shared" si="41"/>
        <v>0.23076822711778777</v>
      </c>
      <c r="AG222" s="35"/>
      <c r="AH222" s="34">
        <f t="shared" si="42"/>
        <v>0.3568109900865632</v>
      </c>
      <c r="AI222" s="36">
        <v>12703667</v>
      </c>
      <c r="AJ222" s="37">
        <v>4532808</v>
      </c>
      <c r="AK222" s="37">
        <v>1309880</v>
      </c>
      <c r="AL222" s="37">
        <v>3236688</v>
      </c>
      <c r="AM222" s="38"/>
      <c r="AN222" s="39">
        <v>71.407872699999999</v>
      </c>
      <c r="AO222" s="39">
        <v>75.626333700000004</v>
      </c>
      <c r="AP222" s="39">
        <v>28.281639299999998</v>
      </c>
      <c r="AQ222" s="39">
        <v>41.253201699999998</v>
      </c>
      <c r="AR222" s="39">
        <v>45.491869600000001</v>
      </c>
      <c r="AS222" s="40"/>
      <c r="AT222" s="41">
        <v>45.783999999999999</v>
      </c>
      <c r="AU222" s="41">
        <v>17.425000000000001</v>
      </c>
      <c r="AW222" s="42">
        <f t="shared" si="43"/>
        <v>3.5803240291119587E-3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>
        <f t="shared" si="34"/>
        <v>1.0905356727421052</v>
      </c>
      <c r="K223" s="19">
        <f t="shared" si="35"/>
        <v>0.36960070966822428</v>
      </c>
      <c r="L223" s="19">
        <f t="shared" si="36"/>
        <v>0.72082088684429424</v>
      </c>
      <c r="M223" s="20"/>
      <c r="N223" s="19">
        <f t="shared" si="37"/>
        <v>1.0508747787967214</v>
      </c>
      <c r="O223" s="21">
        <v>14555051</v>
      </c>
      <c r="P223" s="22">
        <v>15295536</v>
      </c>
      <c r="Q223" s="22">
        <v>5183912</v>
      </c>
      <c r="R223" s="22">
        <v>10110024</v>
      </c>
      <c r="S223" s="23"/>
      <c r="T223" s="24">
        <v>73.446510599999996</v>
      </c>
      <c r="U223" s="24">
        <v>78.018283400000001</v>
      </c>
      <c r="V223" s="24">
        <v>30.425154500000001</v>
      </c>
      <c r="W223" s="24">
        <v>43.1786745</v>
      </c>
      <c r="X223" s="24">
        <v>47.044965900000001</v>
      </c>
      <c r="Y223" s="23"/>
      <c r="Z223" s="26">
        <v>90.143000000000001</v>
      </c>
      <c r="AA223" s="26">
        <v>29.140999999999998</v>
      </c>
      <c r="AC223" s="18" t="str">
        <f t="shared" si="38"/>
        <v>·</v>
      </c>
      <c r="AD223" s="19">
        <f t="shared" si="39"/>
        <v>1.0906982313692664</v>
      </c>
      <c r="AE223" s="19">
        <f t="shared" si="40"/>
        <v>0.37769156625165973</v>
      </c>
      <c r="AF223" s="19">
        <f t="shared" si="41"/>
        <v>0.72082088684429424</v>
      </c>
      <c r="AG223" s="20"/>
      <c r="AH223" s="19">
        <f t="shared" si="42"/>
        <v>1.0510314254481141</v>
      </c>
      <c r="AI223" s="21">
        <v>14555051</v>
      </c>
      <c r="AJ223" s="22">
        <v>15297816</v>
      </c>
      <c r="AK223" s="22">
        <v>5297392</v>
      </c>
      <c r="AL223" s="22">
        <v>10110024</v>
      </c>
      <c r="AM223" s="23"/>
      <c r="AN223" s="24">
        <v>73.446510599999996</v>
      </c>
      <c r="AO223" s="24">
        <v>78.018283400000001</v>
      </c>
      <c r="AP223" s="24">
        <v>30.425154500000001</v>
      </c>
      <c r="AQ223" s="24">
        <v>43.1786745</v>
      </c>
      <c r="AR223" s="24">
        <v>47.044965900000001</v>
      </c>
      <c r="AS223" s="25"/>
      <c r="AT223" s="26">
        <v>87.641999999999996</v>
      </c>
      <c r="AU223" s="26">
        <v>27.219000000000001</v>
      </c>
      <c r="AW223" s="27">
        <f t="shared" si="43"/>
        <v>7.3675399162422273E-3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9"/>
      <c r="X224" s="39"/>
      <c r="Y224" s="38"/>
      <c r="Z224" s="41"/>
      <c r="AA224" s="41"/>
      <c r="AC224" s="33" t="str">
        <f t="shared" si="38"/>
        <v>·</v>
      </c>
      <c r="AD224" s="34" t="str">
        <f t="shared" si="39"/>
        <v>·</v>
      </c>
      <c r="AE224" s="34">
        <f t="shared" si="40"/>
        <v>0.14955792965617637</v>
      </c>
      <c r="AF224" s="34" t="str">
        <f t="shared" si="41"/>
        <v>·</v>
      </c>
      <c r="AG224" s="35"/>
      <c r="AH224" s="34" t="str">
        <f t="shared" si="42"/>
        <v>·</v>
      </c>
      <c r="AI224" s="36"/>
      <c r="AJ224" s="37"/>
      <c r="AK224" s="37">
        <v>2097656</v>
      </c>
      <c r="AL224" s="37"/>
      <c r="AM224" s="38"/>
      <c r="AN224" s="39"/>
      <c r="AO224" s="39"/>
      <c r="AP224" s="39"/>
      <c r="AQ224" s="39"/>
      <c r="AR224" s="39"/>
      <c r="AS224" s="40"/>
      <c r="AT224" s="41"/>
      <c r="AU224" s="41"/>
      <c r="AW224" s="42" t="e">
        <f t="shared" si="43"/>
        <v>#DIV/0!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38"/>
        <v>·</v>
      </c>
      <c r="AD225" s="19" t="str">
        <f t="shared" si="39"/>
        <v>·</v>
      </c>
      <c r="AE225" s="19">
        <f t="shared" si="40"/>
        <v>0</v>
      </c>
      <c r="AF225" s="19" t="str">
        <f t="shared" si="41"/>
        <v>·</v>
      </c>
      <c r="AG225" s="20"/>
      <c r="AH225" s="19" t="str">
        <f t="shared" si="42"/>
        <v>·</v>
      </c>
      <c r="AI225" s="21"/>
      <c r="AJ225" s="22"/>
      <c r="AK225" s="22">
        <v>0</v>
      </c>
      <c r="AL225" s="22"/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4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38"/>
        <v>·</v>
      </c>
      <c r="AD226" s="49" t="str">
        <f t="shared" si="39"/>
        <v>·</v>
      </c>
      <c r="AE226" s="49">
        <f t="shared" si="40"/>
        <v>0</v>
      </c>
      <c r="AF226" s="49" t="str">
        <f t="shared" si="41"/>
        <v>·</v>
      </c>
      <c r="AG226" s="50"/>
      <c r="AH226" s="49" t="str">
        <f t="shared" si="42"/>
        <v>·</v>
      </c>
      <c r="AI226" s="51"/>
      <c r="AJ226" s="52"/>
      <c r="AK226" s="52">
        <v>0</v>
      </c>
      <c r="AL226" s="52"/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4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>
        <f t="shared" si="34"/>
        <v>5.3594855668089095E-2</v>
      </c>
      <c r="K227" s="19">
        <f t="shared" si="35"/>
        <v>9.1292335630905105E-3</v>
      </c>
      <c r="L227" s="19">
        <f t="shared" si="36"/>
        <v>4.4305656561576638E-2</v>
      </c>
      <c r="M227" s="20"/>
      <c r="N227" s="19">
        <f t="shared" si="37"/>
        <v>9.1523135344849071E-2</v>
      </c>
      <c r="O227" s="21">
        <v>2928571</v>
      </c>
      <c r="P227" s="22">
        <v>268032</v>
      </c>
      <c r="Q227" s="22">
        <v>45656</v>
      </c>
      <c r="R227" s="22">
        <v>221576</v>
      </c>
      <c r="S227" s="23"/>
      <c r="T227" s="24">
        <v>61.587062500000002</v>
      </c>
      <c r="U227" s="24">
        <v>65.001511399999998</v>
      </c>
      <c r="V227" s="24">
        <v>25.919647300000001</v>
      </c>
      <c r="W227" s="24">
        <v>39.056271600000002</v>
      </c>
      <c r="X227" s="24">
        <v>40.992395999999999</v>
      </c>
      <c r="Y227" s="23"/>
      <c r="Z227" s="26">
        <v>5.6360000000000001</v>
      </c>
      <c r="AA227" s="26">
        <v>3.0579999999999998</v>
      </c>
      <c r="AC227" s="18" t="str">
        <f t="shared" si="38"/>
        <v>·</v>
      </c>
      <c r="AD227" s="19">
        <f t="shared" si="39"/>
        <v>5.3626848776773484E-2</v>
      </c>
      <c r="AE227" s="19">
        <f t="shared" si="40"/>
        <v>9.113237008748316E-3</v>
      </c>
      <c r="AF227" s="19">
        <f t="shared" si="41"/>
        <v>4.4305656561576638E-2</v>
      </c>
      <c r="AG227" s="20"/>
      <c r="AH227" s="19">
        <f t="shared" si="42"/>
        <v>9.1577769499185779E-2</v>
      </c>
      <c r="AI227" s="21">
        <v>2928571</v>
      </c>
      <c r="AJ227" s="22">
        <v>268192</v>
      </c>
      <c r="AK227" s="22">
        <v>45576</v>
      </c>
      <c r="AL227" s="22">
        <v>221576</v>
      </c>
      <c r="AM227" s="23"/>
      <c r="AN227" s="24">
        <v>61.587062500000002</v>
      </c>
      <c r="AO227" s="24">
        <v>65.001511399999998</v>
      </c>
      <c r="AP227" s="24">
        <v>25.919647300000001</v>
      </c>
      <c r="AQ227" s="24">
        <v>39.056271600000002</v>
      </c>
      <c r="AR227" s="24">
        <v>40.992395999999999</v>
      </c>
      <c r="AS227" s="25"/>
      <c r="AT227" s="26">
        <v>5.7140000000000004</v>
      </c>
      <c r="AU227" s="26">
        <v>3.0739999999999998</v>
      </c>
      <c r="AW227" s="27">
        <f t="shared" si="43"/>
        <v>-3.9991520707854944E-4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2.0578524943042353E-3</v>
      </c>
      <c r="BA227" s="28">
        <f>IF( OR(ISBLANK(Q227:Q232),ISBLANK(AK227:AK232), ISBLANK(U227:U232),ISBLANK(AO227:AO232)), "·", bdRateExtend( Q227:Q232,U227:U232, AK227:AK232,AO227:AO232))</f>
        <v>1.9986152339888097E-3</v>
      </c>
      <c r="BB227" s="28">
        <f>IF( OR(ISBLANK(R227:R232),ISBLANK(AL227:AL232), ISBLANK(V227:V232),ISBLANK(AP227:AP232)), "·", bdRateExtend( R227:R232,V227:V232, AL227:AL232,AP227:AP232))</f>
        <v>0</v>
      </c>
      <c r="BC227" s="28">
        <f>IF( OR(ISBLANK(R227:R232),ISBLANK(AL227:AL232), ISBLANK(W227:W232),ISBLANK(AQ227:AQ232)), "·", bdRateExtend( R227:R232,W227:W232, AL227:AL232,AQ227:AQ232))</f>
        <v>0</v>
      </c>
      <c r="BD227" s="28">
        <f>IF( OR(ISBLANK(R227:R232),ISBLANK(AL227:AL232), ISBLANK(X227:X232),ISBLANK(AR227:AR232)), "·", bdRateExtend( R227:R232,X227:X232, AL227:AL232,AR227:AR232))</f>
        <v>0</v>
      </c>
      <c r="BE227" s="29"/>
      <c r="BG227" s="28">
        <f>IF( OR(ISBLANK(P227:P232),ISBLANK(AJ227:AJ232), ISBLANK(T227:T232),ISBLANK(AN227:AN232)), "·", bdRateExtend( P227:P232,T227:T232, AJ227:AJ232,AN227:AN232))</f>
        <v>4.3587180963533534E-4</v>
      </c>
      <c r="BH227" s="28">
        <f>IF( OR(ISBLANK(P227:P232),ISBLANK(AJ227:AJ232), ISBLANK(U227:U232),ISBLANK(AO227:AO232)), "·", bdRateExtend( P227:P232,U227:U232, AJ227:AJ232,AO227:AO232))</f>
        <v>4.2419208598154512E-4</v>
      </c>
      <c r="BI227" s="28">
        <f>IF( OR(ISBLANK(P227:P232),ISBLANK(AJ227:AJ232), ISBLANK(V227:V232),ISBLANK(AP227:AP232)), "·", bdRateExtend( P227:P232,V227:V232, AJ227:AJ232,AP227:AP232))</f>
        <v>3.9690888500376609E-4</v>
      </c>
      <c r="BJ227" s="28">
        <f>IF( OR(ISBLANK(P227:P232),ISBLANK(AJ227:AJ232), ISBLANK(W227:W232),ISBLANK(AQ227:AQ232)), "·", bdRateExtend( P227:P232,W227:W232, AJ227:AJ232,AQ227:AQ232))</f>
        <v>3.8412689898992269E-4</v>
      </c>
      <c r="BK227" s="28">
        <f>IF( OR(ISBLANK(P227:P232),ISBLANK(AJ227:AJ232), ISBLANK(X227:X232),ISBLANK(AR227:AR232)), "·", bdRateExtend( P227:P232,X227:X232, AJ227:AJ232,AR227:AR232))</f>
        <v>3.8024192397356771E-4</v>
      </c>
      <c r="BL227" s="29"/>
    </row>
    <row r="228" spans="1:64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>
        <f t="shared" si="34"/>
        <v>0.18196400495333306</v>
      </c>
      <c r="K228" s="34">
        <f t="shared" si="35"/>
        <v>3.3119266110079891E-2</v>
      </c>
      <c r="L228" s="34">
        <f t="shared" si="36"/>
        <v>0.14868477329983121</v>
      </c>
      <c r="M228" s="35"/>
      <c r="N228" s="34">
        <f t="shared" si="37"/>
        <v>0.2687911228418815</v>
      </c>
      <c r="O228" s="36">
        <v>3385588</v>
      </c>
      <c r="P228" s="37">
        <v>910016</v>
      </c>
      <c r="Q228" s="37">
        <v>165632</v>
      </c>
      <c r="R228" s="37">
        <v>743584</v>
      </c>
      <c r="S228" s="38"/>
      <c r="T228" s="39">
        <v>67.040953500000001</v>
      </c>
      <c r="U228" s="39">
        <v>69.787085200000007</v>
      </c>
      <c r="V228" s="39">
        <v>28.162225800000002</v>
      </c>
      <c r="W228" s="39">
        <v>40.224779900000001</v>
      </c>
      <c r="X228" s="39">
        <v>41.780496200000002</v>
      </c>
      <c r="Y228" s="38"/>
      <c r="Z228" s="41">
        <v>7.7759999999999998</v>
      </c>
      <c r="AA228" s="41">
        <v>4.2770000000000001</v>
      </c>
      <c r="AC228" s="33" t="str">
        <f t="shared" si="38"/>
        <v>·</v>
      </c>
      <c r="AD228" s="34">
        <f t="shared" si="39"/>
        <v>0.18203279013700449</v>
      </c>
      <c r="AE228" s="34">
        <f t="shared" si="40"/>
        <v>3.3199248881790863E-2</v>
      </c>
      <c r="AF228" s="34">
        <f t="shared" si="41"/>
        <v>0.14868477329983121</v>
      </c>
      <c r="AG228" s="35"/>
      <c r="AH228" s="34">
        <f t="shared" si="42"/>
        <v>0.26889273000731334</v>
      </c>
      <c r="AI228" s="36">
        <v>3385588</v>
      </c>
      <c r="AJ228" s="37">
        <v>910360</v>
      </c>
      <c r="AK228" s="37">
        <v>166032</v>
      </c>
      <c r="AL228" s="37">
        <v>743584</v>
      </c>
      <c r="AM228" s="38"/>
      <c r="AN228" s="39">
        <v>67.040953500000001</v>
      </c>
      <c r="AO228" s="39">
        <v>69.787085200000007</v>
      </c>
      <c r="AP228" s="39">
        <v>28.162225800000002</v>
      </c>
      <c r="AQ228" s="39">
        <v>40.224779900000001</v>
      </c>
      <c r="AR228" s="39">
        <v>41.780496200000002</v>
      </c>
      <c r="AS228" s="40"/>
      <c r="AT228" s="41">
        <v>7.6829999999999998</v>
      </c>
      <c r="AU228" s="41">
        <v>4.1980000000000004</v>
      </c>
      <c r="AW228" s="42">
        <f t="shared" si="43"/>
        <v>3.7061004942734455E-4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>
        <f t="shared" si="34"/>
        <v>0.59590844132173926</v>
      </c>
      <c r="K229" s="19">
        <f t="shared" si="35"/>
        <v>0.15186808761392795</v>
      </c>
      <c r="L229" s="19">
        <f t="shared" si="36"/>
        <v>0.44388038816438941</v>
      </c>
      <c r="M229" s="20"/>
      <c r="N229" s="19">
        <f t="shared" si="37"/>
        <v>0.79097033062376365</v>
      </c>
      <c r="O229" s="21">
        <v>3767757</v>
      </c>
      <c r="P229" s="22">
        <v>2980184</v>
      </c>
      <c r="Q229" s="22">
        <v>759504</v>
      </c>
      <c r="R229" s="22">
        <v>2219880</v>
      </c>
      <c r="S229" s="23"/>
      <c r="T229" s="24">
        <v>69.597974600000001</v>
      </c>
      <c r="U229" s="24">
        <v>72.418960900000002</v>
      </c>
      <c r="V229" s="24">
        <v>29.9857926</v>
      </c>
      <c r="W229" s="24">
        <v>41.370947999999999</v>
      </c>
      <c r="X229" s="24">
        <v>42.5988708</v>
      </c>
      <c r="Y229" s="23"/>
      <c r="Z229" s="26">
        <v>12.901999999999999</v>
      </c>
      <c r="AA229" s="26">
        <v>6.0119999999999996</v>
      </c>
      <c r="AC229" s="18" t="str">
        <f t="shared" si="38"/>
        <v>·</v>
      </c>
      <c r="AD229" s="19">
        <f t="shared" si="39"/>
        <v>0.59602041720213461</v>
      </c>
      <c r="AE229" s="19">
        <f t="shared" si="40"/>
        <v>0.15401962417295315</v>
      </c>
      <c r="AF229" s="19">
        <f t="shared" si="41"/>
        <v>0.44388038816438941</v>
      </c>
      <c r="AG229" s="20"/>
      <c r="AH229" s="19">
        <f t="shared" si="42"/>
        <v>0.79111896016648631</v>
      </c>
      <c r="AI229" s="21">
        <v>3767757</v>
      </c>
      <c r="AJ229" s="22">
        <v>2980744</v>
      </c>
      <c r="AK229" s="22">
        <v>770264</v>
      </c>
      <c r="AL229" s="22">
        <v>2219880</v>
      </c>
      <c r="AM229" s="23"/>
      <c r="AN229" s="24">
        <v>69.597974600000001</v>
      </c>
      <c r="AO229" s="24">
        <v>72.418960900000002</v>
      </c>
      <c r="AP229" s="24">
        <v>29.9857926</v>
      </c>
      <c r="AQ229" s="24">
        <v>41.370947999999999</v>
      </c>
      <c r="AR229" s="24">
        <v>42.5988708</v>
      </c>
      <c r="AS229" s="25"/>
      <c r="AT229" s="26">
        <v>12.683</v>
      </c>
      <c r="AU229" s="26">
        <v>5.9169999999999998</v>
      </c>
      <c r="AW229" s="27">
        <f t="shared" si="43"/>
        <v>3.561957426786666E-3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9"/>
      <c r="X230" s="39"/>
      <c r="Y230" s="38"/>
      <c r="Z230" s="41"/>
      <c r="AA230" s="41"/>
      <c r="AC230" s="33" t="str">
        <f t="shared" si="38"/>
        <v>·</v>
      </c>
      <c r="AD230" s="34" t="str">
        <f t="shared" si="39"/>
        <v>·</v>
      </c>
      <c r="AE230" s="34">
        <f t="shared" si="40"/>
        <v>0.2727844422311434</v>
      </c>
      <c r="AF230" s="34" t="str">
        <f t="shared" si="41"/>
        <v>·</v>
      </c>
      <c r="AG230" s="35"/>
      <c r="AH230" s="34" t="str">
        <f t="shared" si="42"/>
        <v>·</v>
      </c>
      <c r="AI230" s="36"/>
      <c r="AJ230" s="37"/>
      <c r="AK230" s="37">
        <v>1364216</v>
      </c>
      <c r="AL230" s="37"/>
      <c r="AM230" s="38"/>
      <c r="AN230" s="39"/>
      <c r="AO230" s="39"/>
      <c r="AP230" s="39"/>
      <c r="AQ230" s="39"/>
      <c r="AR230" s="39"/>
      <c r="AS230" s="40"/>
      <c r="AT230" s="41"/>
      <c r="AU230" s="41"/>
      <c r="AW230" s="42" t="e">
        <f t="shared" si="43"/>
        <v>#DIV/0!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38"/>
        <v>·</v>
      </c>
      <c r="AD231" s="19" t="str">
        <f t="shared" si="39"/>
        <v>·</v>
      </c>
      <c r="AE231" s="19">
        <f t="shared" si="40"/>
        <v>0</v>
      </c>
      <c r="AF231" s="19" t="str">
        <f t="shared" si="41"/>
        <v>·</v>
      </c>
      <c r="AG231" s="20"/>
      <c r="AH231" s="19" t="str">
        <f t="shared" si="42"/>
        <v>·</v>
      </c>
      <c r="AI231" s="21"/>
      <c r="AJ231" s="22"/>
      <c r="AK231" s="22">
        <v>0</v>
      </c>
      <c r="AL231" s="22"/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4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38"/>
        <v>·</v>
      </c>
      <c r="AD232" s="49" t="str">
        <f t="shared" si="39"/>
        <v>·</v>
      </c>
      <c r="AE232" s="49">
        <f t="shared" si="40"/>
        <v>0</v>
      </c>
      <c r="AF232" s="49" t="str">
        <f t="shared" si="41"/>
        <v>·</v>
      </c>
      <c r="AG232" s="50"/>
      <c r="AH232" s="49" t="str">
        <f t="shared" si="42"/>
        <v>·</v>
      </c>
      <c r="AI232" s="51"/>
      <c r="AJ232" s="52"/>
      <c r="AK232" s="52">
        <v>0</v>
      </c>
      <c r="AL232" s="52"/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4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>
        <f t="shared" si="34"/>
        <v>2.1332209974589008E-2</v>
      </c>
      <c r="K233" s="19">
        <f t="shared" si="35"/>
        <v>1.1059864552420274E-3</v>
      </c>
      <c r="L233" s="19">
        <f t="shared" si="36"/>
        <v>2.0195175172899441E-2</v>
      </c>
      <c r="M233" s="20"/>
      <c r="N233" s="19">
        <f t="shared" si="37"/>
        <v>0.12158565125244303</v>
      </c>
      <c r="O233" s="21">
        <v>12657941</v>
      </c>
      <c r="P233" s="22">
        <v>1539024</v>
      </c>
      <c r="Q233" s="22">
        <v>79792</v>
      </c>
      <c r="R233" s="22">
        <v>1456992</v>
      </c>
      <c r="S233" s="23"/>
      <c r="T233" s="24">
        <v>67.459634899999998</v>
      </c>
      <c r="U233" s="24">
        <v>72.899014300000005</v>
      </c>
      <c r="V233" s="24">
        <v>23.443165400000002</v>
      </c>
      <c r="W233" s="24">
        <v>37.358382200000001</v>
      </c>
      <c r="X233" s="24">
        <v>38.3365054</v>
      </c>
      <c r="Y233" s="23"/>
      <c r="Z233" s="26">
        <v>16.306999999999999</v>
      </c>
      <c r="AA233" s="26">
        <v>12.619</v>
      </c>
      <c r="AC233" s="18" t="str">
        <f t="shared" si="38"/>
        <v>·</v>
      </c>
      <c r="AD233" s="19">
        <f t="shared" si="39"/>
        <v>2.1341857139378063E-2</v>
      </c>
      <c r="AE233" s="19">
        <f t="shared" si="40"/>
        <v>1.0872465604219049E-3</v>
      </c>
      <c r="AF233" s="19">
        <f t="shared" si="41"/>
        <v>2.0195175172899441E-2</v>
      </c>
      <c r="AG233" s="20"/>
      <c r="AH233" s="19">
        <f t="shared" si="42"/>
        <v>0.1216406364984637</v>
      </c>
      <c r="AI233" s="21">
        <v>12657941</v>
      </c>
      <c r="AJ233" s="22">
        <v>1539720</v>
      </c>
      <c r="AK233" s="22">
        <v>78440</v>
      </c>
      <c r="AL233" s="22">
        <v>1456992</v>
      </c>
      <c r="AM233" s="23"/>
      <c r="AN233" s="24">
        <v>67.459634899999998</v>
      </c>
      <c r="AO233" s="24">
        <v>72.899014300000005</v>
      </c>
      <c r="AP233" s="24">
        <v>23.443165400000002</v>
      </c>
      <c r="AQ233" s="24">
        <v>37.358382200000001</v>
      </c>
      <c r="AR233" s="24">
        <v>38.3365054</v>
      </c>
      <c r="AS233" s="25"/>
      <c r="AT233" s="26">
        <v>15.571</v>
      </c>
      <c r="AU233" s="26">
        <v>12.323</v>
      </c>
      <c r="AW233" s="27">
        <f t="shared" si="43"/>
        <v>-9.0151761893764865E-4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-1.5508458668347713E-2</v>
      </c>
      <c r="BA233" s="28">
        <f>IF( OR(ISBLANK(Q233:Q238),ISBLANK(AK233:AK238), ISBLANK(U233:U238),ISBLANK(AO233:AO238)), "·", bdRateExtend( Q233:Q238,U233:U238, AK233:AK238,AO233:AO238))</f>
        <v>-1.5192594272311677E-2</v>
      </c>
      <c r="BB233" s="28">
        <f>IF( OR(ISBLANK(R233:R238),ISBLANK(AL233:AL238), ISBLANK(V233:V238),ISBLANK(AP233:AP238)), "·", bdRateExtend( R233:R238,V233:V238, AL233:AL238,AP233:AP238))</f>
        <v>0</v>
      </c>
      <c r="BC233" s="28">
        <f>IF( OR(ISBLANK(R233:R238),ISBLANK(AL233:AL238), ISBLANK(W233:W238),ISBLANK(AQ233:AQ238)), "·", bdRateExtend( R233:R238,W233:W238, AL233:AL238,AQ233:AQ238))</f>
        <v>0</v>
      </c>
      <c r="BD233" s="28">
        <f>IF( OR(ISBLANK(R233:R238),ISBLANK(AL233:AL238), ISBLANK(X233:X238),ISBLANK(AR233:AR238)), "·", bdRateExtend( R233:R238,X233:X238, AL233:AL238,AR233:AR238))</f>
        <v>0</v>
      </c>
      <c r="BE233" s="29"/>
      <c r="BG233" s="28">
        <f>IF( OR(ISBLANK(P233:P238),ISBLANK(AJ233:AJ238), ISBLANK(T233:T238),ISBLANK(AN233:AN238)), "·", bdRateExtend( P233:P238,T233:T238, AJ233:AJ238,AN233:AN238))</f>
        <v>2.5088985404941866E-4</v>
      </c>
      <c r="BH233" s="28">
        <f>IF( OR(ISBLANK(P233:P238),ISBLANK(AJ233:AJ238), ISBLANK(U233:U238),ISBLANK(AO233:AO238)), "·", bdRateExtend( P233:P238,U233:U238, AJ233:AJ238,AO233:AO238))</f>
        <v>2.6326156332689976E-4</v>
      </c>
      <c r="BI233" s="28">
        <f>IF( OR(ISBLANK(P233:P238),ISBLANK(AJ233:AJ238), ISBLANK(V233:V238),ISBLANK(AP233:AP238)), "·", bdRateExtend( P233:P238,V233:V238, AJ233:AJ238,AP233:AP238))</f>
        <v>2.4568652061351948E-4</v>
      </c>
      <c r="BJ233" s="28">
        <f>IF( OR(ISBLANK(P233:P238),ISBLANK(AJ233:AJ238), ISBLANK(W233:W238),ISBLANK(AQ233:AQ238)), "·", bdRateExtend( P233:P238,W233:W238, AJ233:AJ238,AQ233:AQ238))</f>
        <v>2.1230014767303906E-4</v>
      </c>
      <c r="BK233" s="28">
        <f>IF( OR(ISBLANK(P233:P238),ISBLANK(AJ233:AJ238), ISBLANK(X233:X238),ISBLANK(AR233:AR238)), "·", bdRateExtend( P233:P238,X233:X238, AJ233:AJ238,AR233:AR238))</f>
        <v>2.1762577378381387E-4</v>
      </c>
      <c r="BL233" s="29"/>
    </row>
    <row r="234" spans="1:64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>
        <f t="shared" si="34"/>
        <v>7.5623681233612905E-2</v>
      </c>
      <c r="K234" s="34">
        <f t="shared" si="35"/>
        <v>3.46266683756194E-3</v>
      </c>
      <c r="L234" s="34">
        <f t="shared" si="36"/>
        <v>7.2129966049603422E-2</v>
      </c>
      <c r="M234" s="35"/>
      <c r="N234" s="34">
        <f t="shared" si="37"/>
        <v>0.4247318097650345</v>
      </c>
      <c r="O234" s="36">
        <v>12845546</v>
      </c>
      <c r="P234" s="37">
        <v>5455912</v>
      </c>
      <c r="Q234" s="37">
        <v>249816</v>
      </c>
      <c r="R234" s="37">
        <v>5203856</v>
      </c>
      <c r="S234" s="38"/>
      <c r="T234" s="39">
        <v>72.975370600000005</v>
      </c>
      <c r="U234" s="39">
        <v>77.5680251</v>
      </c>
      <c r="V234" s="39">
        <v>25.018633900000001</v>
      </c>
      <c r="W234" s="39">
        <v>38.519336299999999</v>
      </c>
      <c r="X234" s="39">
        <v>39.734424599999997</v>
      </c>
      <c r="Y234" s="38"/>
      <c r="Z234" s="41">
        <v>18.54</v>
      </c>
      <c r="AA234" s="41">
        <v>14.558</v>
      </c>
      <c r="AC234" s="33" t="str">
        <f t="shared" si="38"/>
        <v>·</v>
      </c>
      <c r="AD234" s="34">
        <f t="shared" si="39"/>
        <v>7.5644306206610196E-2</v>
      </c>
      <c r="AE234" s="34">
        <f t="shared" si="40"/>
        <v>3.3700762329773111E-3</v>
      </c>
      <c r="AF234" s="34">
        <f t="shared" si="41"/>
        <v>7.2129966049603422E-2</v>
      </c>
      <c r="AG234" s="35"/>
      <c r="AH234" s="34">
        <f t="shared" si="42"/>
        <v>0.42484764758150412</v>
      </c>
      <c r="AI234" s="36">
        <v>12845546</v>
      </c>
      <c r="AJ234" s="37">
        <v>5457400</v>
      </c>
      <c r="AK234" s="37">
        <v>243136</v>
      </c>
      <c r="AL234" s="37">
        <v>5203856</v>
      </c>
      <c r="AM234" s="38"/>
      <c r="AN234" s="39">
        <v>72.975370600000005</v>
      </c>
      <c r="AO234" s="39">
        <v>77.5680251</v>
      </c>
      <c r="AP234" s="39">
        <v>25.018633900000001</v>
      </c>
      <c r="AQ234" s="39">
        <v>38.519336299999999</v>
      </c>
      <c r="AR234" s="39">
        <v>39.734424599999997</v>
      </c>
      <c r="AS234" s="40"/>
      <c r="AT234" s="41">
        <v>17.763999999999999</v>
      </c>
      <c r="AU234" s="41">
        <v>13.603999999999999</v>
      </c>
      <c r="AW234" s="42">
        <f t="shared" si="43"/>
        <v>-1.2365105609408733E-3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>
        <f t="shared" si="34"/>
        <v>0.23626893462270279</v>
      </c>
      <c r="K235" s="19">
        <f t="shared" si="35"/>
        <v>1.5170443848171424E-2</v>
      </c>
      <c r="L235" s="19">
        <f t="shared" si="36"/>
        <v>0.22106744242808382</v>
      </c>
      <c r="M235" s="20"/>
      <c r="N235" s="19">
        <f t="shared" si="37"/>
        <v>1.1895529962432858</v>
      </c>
      <c r="O235" s="21">
        <v>14329544</v>
      </c>
      <c r="P235" s="22">
        <v>17045752</v>
      </c>
      <c r="Q235" s="22">
        <v>1094480</v>
      </c>
      <c r="R235" s="22">
        <v>15949032</v>
      </c>
      <c r="S235" s="23"/>
      <c r="T235" s="24">
        <v>78.738511299999999</v>
      </c>
      <c r="U235" s="24">
        <v>80.6285898</v>
      </c>
      <c r="V235" s="24">
        <v>26.400218599999999</v>
      </c>
      <c r="W235" s="24">
        <v>39.970201099999997</v>
      </c>
      <c r="X235" s="24">
        <v>41.392204100000001</v>
      </c>
      <c r="Y235" s="23"/>
      <c r="Z235" s="26">
        <v>24.061</v>
      </c>
      <c r="AA235" s="26">
        <v>19.619</v>
      </c>
      <c r="AC235" s="18" t="str">
        <f t="shared" si="38"/>
        <v>·</v>
      </c>
      <c r="AD235" s="19">
        <f t="shared" si="39"/>
        <v>0.23630419667331107</v>
      </c>
      <c r="AE235" s="19">
        <f t="shared" si="40"/>
        <v>1.5067651644039745E-2</v>
      </c>
      <c r="AF235" s="19">
        <f t="shared" si="41"/>
        <v>0.22106744242808382</v>
      </c>
      <c r="AG235" s="20"/>
      <c r="AH235" s="19">
        <f t="shared" si="42"/>
        <v>1.1897305315507598</v>
      </c>
      <c r="AI235" s="21">
        <v>14329544</v>
      </c>
      <c r="AJ235" s="22">
        <v>17048296</v>
      </c>
      <c r="AK235" s="22">
        <v>1087064</v>
      </c>
      <c r="AL235" s="22">
        <v>15949032</v>
      </c>
      <c r="AM235" s="23"/>
      <c r="AN235" s="24">
        <v>78.738511299999999</v>
      </c>
      <c r="AO235" s="24">
        <v>80.6285898</v>
      </c>
      <c r="AP235" s="24">
        <v>26.400218599999999</v>
      </c>
      <c r="AQ235" s="24">
        <v>39.970201099999997</v>
      </c>
      <c r="AR235" s="24">
        <v>41.392204100000001</v>
      </c>
      <c r="AS235" s="25"/>
      <c r="AT235" s="26">
        <v>23.242999999999999</v>
      </c>
      <c r="AU235" s="26">
        <v>19.154</v>
      </c>
      <c r="AW235" s="27">
        <f t="shared" si="43"/>
        <v>-4.445808601951512E-4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>
        <f t="shared" si="34"/>
        <v>0.54304411766275418</v>
      </c>
      <c r="K236" s="34">
        <f t="shared" si="35"/>
        <v>5.9951030381652511E-2</v>
      </c>
      <c r="L236" s="34">
        <f t="shared" si="36"/>
        <v>0.48306425667368613</v>
      </c>
      <c r="M236" s="35"/>
      <c r="N236" s="34">
        <f t="shared" si="37"/>
        <v>2.5787873171070772</v>
      </c>
      <c r="O236" s="36">
        <v>15192496</v>
      </c>
      <c r="P236" s="37">
        <v>39178216</v>
      </c>
      <c r="Q236" s="37">
        <v>4325200</v>
      </c>
      <c r="R236" s="37">
        <v>34850936</v>
      </c>
      <c r="S236" s="38"/>
      <c r="T236" s="39">
        <v>81.322508999999997</v>
      </c>
      <c r="U236" s="39">
        <v>82.667553799999993</v>
      </c>
      <c r="V236" s="39">
        <v>27.359781099999999</v>
      </c>
      <c r="W236" s="39">
        <v>41.480946199999998</v>
      </c>
      <c r="X236" s="39">
        <v>43.002332600000003</v>
      </c>
      <c r="Y236" s="38"/>
      <c r="Z236" s="41">
        <v>39.058</v>
      </c>
      <c r="AA236" s="41">
        <v>34.292000000000002</v>
      </c>
      <c r="AC236" s="33" t="str">
        <f t="shared" si="38"/>
        <v>·</v>
      </c>
      <c r="AD236" s="34">
        <f t="shared" si="39"/>
        <v>0.54308669825216804</v>
      </c>
      <c r="AE236" s="34">
        <f t="shared" si="40"/>
        <v>6.2469938374160823E-2</v>
      </c>
      <c r="AF236" s="34">
        <f t="shared" si="41"/>
        <v>0.48306425667368613</v>
      </c>
      <c r="AG236" s="35"/>
      <c r="AH236" s="34">
        <f t="shared" si="42"/>
        <v>2.5789895221956947</v>
      </c>
      <c r="AI236" s="36">
        <v>15192496</v>
      </c>
      <c r="AJ236" s="37">
        <v>39181288</v>
      </c>
      <c r="AK236" s="37">
        <v>4506928</v>
      </c>
      <c r="AL236" s="37">
        <v>34850936</v>
      </c>
      <c r="AM236" s="38"/>
      <c r="AN236" s="39">
        <v>81.322508999999997</v>
      </c>
      <c r="AO236" s="39">
        <v>82.667553799999993</v>
      </c>
      <c r="AP236" s="39">
        <v>27.359781099999999</v>
      </c>
      <c r="AQ236" s="39">
        <v>41.480946199999998</v>
      </c>
      <c r="AR236" s="39">
        <v>43.002332600000003</v>
      </c>
      <c r="AS236" s="40"/>
      <c r="AT236" s="41">
        <v>38.393000000000001</v>
      </c>
      <c r="AU236" s="41">
        <v>31.917999999999999</v>
      </c>
      <c r="AW236" s="42">
        <f t="shared" si="43"/>
        <v>4.6294766288555167E-3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38"/>
        <v>·</v>
      </c>
      <c r="AD237" s="19" t="str">
        <f t="shared" si="39"/>
        <v>·</v>
      </c>
      <c r="AE237" s="19">
        <f t="shared" si="40"/>
        <v>0</v>
      </c>
      <c r="AF237" s="19" t="str">
        <f t="shared" si="41"/>
        <v>·</v>
      </c>
      <c r="AG237" s="20"/>
      <c r="AH237" s="19" t="str">
        <f t="shared" si="42"/>
        <v>·</v>
      </c>
      <c r="AI237" s="21"/>
      <c r="AJ237" s="22"/>
      <c r="AK237" s="22">
        <v>0</v>
      </c>
      <c r="AL237" s="22"/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4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38"/>
        <v>·</v>
      </c>
      <c r="AD238" s="49" t="str">
        <f t="shared" si="39"/>
        <v>·</v>
      </c>
      <c r="AE238" s="49">
        <f t="shared" si="40"/>
        <v>0</v>
      </c>
      <c r="AF238" s="49" t="str">
        <f t="shared" si="41"/>
        <v>·</v>
      </c>
      <c r="AG238" s="50"/>
      <c r="AH238" s="49" t="str">
        <f t="shared" si="42"/>
        <v>·</v>
      </c>
      <c r="AI238" s="51"/>
      <c r="AJ238" s="52"/>
      <c r="AK238" s="52">
        <v>0</v>
      </c>
      <c r="AL238" s="52"/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4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>
        <f t="shared" si="34"/>
        <v>5.0795892065627617E-2</v>
      </c>
      <c r="K239" s="19">
        <f t="shared" si="35"/>
        <v>7.3073924074480213E-4</v>
      </c>
      <c r="L239" s="19">
        <f t="shared" si="36"/>
        <v>4.9950974818516437E-2</v>
      </c>
      <c r="M239" s="20"/>
      <c r="N239" s="19">
        <f t="shared" si="37"/>
        <v>0.52116443437853877</v>
      </c>
      <c r="O239" s="21">
        <v>409744</v>
      </c>
      <c r="P239" s="22">
        <v>213544</v>
      </c>
      <c r="Q239" s="22">
        <v>3072</v>
      </c>
      <c r="R239" s="22">
        <v>209992</v>
      </c>
      <c r="S239" s="23"/>
      <c r="T239" s="24">
        <v>50.359291900000002</v>
      </c>
      <c r="U239" s="24">
        <v>55.305787199999997</v>
      </c>
      <c r="V239" s="24">
        <v>15.7305302</v>
      </c>
      <c r="W239" s="24">
        <v>35.058159099999997</v>
      </c>
      <c r="X239" s="24">
        <v>32.125098000000001</v>
      </c>
      <c r="Y239" s="23"/>
      <c r="Z239" s="26">
        <v>0.499</v>
      </c>
      <c r="AA239" s="26">
        <v>0.436</v>
      </c>
      <c r="AC239" s="18" t="str">
        <f t="shared" si="38"/>
        <v>·</v>
      </c>
      <c r="AD239" s="19">
        <f t="shared" si="39"/>
        <v>5.0799697999173159E-2</v>
      </c>
      <c r="AE239" s="19">
        <f t="shared" si="40"/>
        <v>7.3835110783589391E-4</v>
      </c>
      <c r="AF239" s="19">
        <f t="shared" si="41"/>
        <v>4.9950974818516437E-2</v>
      </c>
      <c r="AG239" s="20"/>
      <c r="AH239" s="19">
        <f t="shared" si="42"/>
        <v>0.52120348315045495</v>
      </c>
      <c r="AI239" s="21">
        <v>409744</v>
      </c>
      <c r="AJ239" s="22">
        <v>213560</v>
      </c>
      <c r="AK239" s="22">
        <v>3104</v>
      </c>
      <c r="AL239" s="22">
        <v>209992</v>
      </c>
      <c r="AM239" s="23"/>
      <c r="AN239" s="24">
        <v>50.359291900000002</v>
      </c>
      <c r="AO239" s="24">
        <v>55.305787199999997</v>
      </c>
      <c r="AP239" s="24">
        <v>15.7305302</v>
      </c>
      <c r="AQ239" s="24">
        <v>35.058159099999997</v>
      </c>
      <c r="AR239" s="24">
        <v>32.125098000000001</v>
      </c>
      <c r="AS239" s="25"/>
      <c r="AT239" s="26">
        <v>0.51500000000000001</v>
      </c>
      <c r="AU239" s="26">
        <v>0.45200000000000001</v>
      </c>
      <c r="AW239" s="27">
        <f t="shared" si="43"/>
        <v>1.4876300475531734E-4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3.6391445487959917E-3</v>
      </c>
      <c r="BA239" s="28">
        <f>IF( OR(ISBLANK(Q239:Q244),ISBLANK(AK239:AK244), ISBLANK(U239:U244),ISBLANK(AO239:AO244)), "·", bdRateExtend( Q239:Q244,U239:U244, AK239:AK244,AO239:AO244))</f>
        <v>4.12002124697608E-3</v>
      </c>
      <c r="BB239" s="28">
        <f>IF( OR(ISBLANK(R239:R244),ISBLANK(AL239:AL244), ISBLANK(V239:V244),ISBLANK(AP239:AP244)), "·", bdRateExtend( R239:R244,V239:V244, AL239:AL244,AP239:AP244))</f>
        <v>0</v>
      </c>
      <c r="BC239" s="28">
        <f>IF( OR(ISBLANK(R239:R244),ISBLANK(AL239:AL244), ISBLANK(W239:W244),ISBLANK(AQ239:AQ244)), "·", bdRateExtend( R239:R244,W239:W244, AL239:AL244,AQ239:AQ244))</f>
        <v>0</v>
      </c>
      <c r="BD239" s="28">
        <f>IF( OR(ISBLANK(R239:R244),ISBLANK(AL239:AL244), ISBLANK(X239:X244),ISBLANK(AR239:AR244)), "·", bdRateExtend( R239:R244,X239:X244, AL239:AL244,AR239:AR244))</f>
        <v>0</v>
      </c>
      <c r="BE239" s="29"/>
      <c r="BG239" s="28">
        <f>IF( OR(ISBLANK(P239:P244),ISBLANK(AJ239:AJ244), ISBLANK(T239:T244),ISBLANK(AN239:AN244)), "·", bdRateExtend( P239:P244,T239:T244, AJ239:AJ244,AN239:AN244))</f>
        <v>4.0307183301280247E-5</v>
      </c>
      <c r="BH239" s="28">
        <f>IF( OR(ISBLANK(P239:P244),ISBLANK(AJ239:AJ244), ISBLANK(U239:U244),ISBLANK(AO239:AO244)), "·", bdRateExtend( P239:P244,U239:U244, AJ239:AJ244,AO239:AO244))</f>
        <v>4.1345360760836058E-5</v>
      </c>
      <c r="BI239" s="28">
        <f>IF( OR(ISBLANK(P239:P244),ISBLANK(AJ239:AJ244), ISBLANK(V239:V244),ISBLANK(AP239:AP244)), "·", bdRateExtend( P239:P244,V239:V244, AJ239:AJ244,AP239:AP244))</f>
        <v>4.2229690057293823E-5</v>
      </c>
      <c r="BJ239" s="28">
        <f>IF( OR(ISBLANK(P239:P244),ISBLANK(AJ239:AJ244), ISBLANK(W239:W244),ISBLANK(AQ239:AQ244)), "·", bdRateExtend( P239:P244,W239:W244, AJ239:AJ244,AQ239:AQ244))</f>
        <v>4.3324581130654849E-5</v>
      </c>
      <c r="BK239" s="28">
        <f>IF( OR(ISBLANK(P239:P244),ISBLANK(AJ239:AJ244), ISBLANK(X239:X244),ISBLANK(AR239:AR244)), "·", bdRateExtend( P239:P244,X239:X244, AJ239:AJ244,AR239:AR244))</f>
        <v>4.2909391996026613E-5</v>
      </c>
      <c r="BL239" s="29"/>
    </row>
    <row r="240" spans="1:64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>
        <f t="shared" si="34"/>
        <v>0.1760891273517696</v>
      </c>
      <c r="K240" s="34">
        <f t="shared" si="35"/>
        <v>3.2673939488511074E-3</v>
      </c>
      <c r="L240" s="34">
        <f t="shared" si="36"/>
        <v>0.17270755539655211</v>
      </c>
      <c r="M240" s="35"/>
      <c r="N240" s="34">
        <f t="shared" si="37"/>
        <v>1.486424294509078</v>
      </c>
      <c r="O240" s="36">
        <v>498022</v>
      </c>
      <c r="P240" s="37">
        <v>740272</v>
      </c>
      <c r="Q240" s="37">
        <v>13736</v>
      </c>
      <c r="R240" s="37">
        <v>726056</v>
      </c>
      <c r="S240" s="38"/>
      <c r="T240" s="39">
        <v>55.110064899999998</v>
      </c>
      <c r="U240" s="39">
        <v>59.143869100000003</v>
      </c>
      <c r="V240" s="39">
        <v>16.392826400000001</v>
      </c>
      <c r="W240" s="39">
        <v>35.566255499999997</v>
      </c>
      <c r="X240" s="39">
        <v>32.818310099999998</v>
      </c>
      <c r="Y240" s="38"/>
      <c r="Z240" s="41">
        <v>0.71699999999999997</v>
      </c>
      <c r="AA240" s="41">
        <v>0.59299999999999997</v>
      </c>
      <c r="AC240" s="33" t="str">
        <f t="shared" si="38"/>
        <v>·</v>
      </c>
      <c r="AD240" s="34">
        <f t="shared" si="39"/>
        <v>0.17609293328531514</v>
      </c>
      <c r="AE240" s="34">
        <f t="shared" si="40"/>
        <v>3.2673939488511074E-3</v>
      </c>
      <c r="AF240" s="34">
        <f t="shared" si="41"/>
        <v>0.17270755539655211</v>
      </c>
      <c r="AG240" s="35"/>
      <c r="AH240" s="34">
        <f t="shared" si="42"/>
        <v>1.4864564216038649</v>
      </c>
      <c r="AI240" s="36">
        <v>498022</v>
      </c>
      <c r="AJ240" s="37">
        <v>740288</v>
      </c>
      <c r="AK240" s="37">
        <v>13736</v>
      </c>
      <c r="AL240" s="37">
        <v>726056</v>
      </c>
      <c r="AM240" s="38"/>
      <c r="AN240" s="39">
        <v>55.110064899999998</v>
      </c>
      <c r="AO240" s="39">
        <v>59.143869100000003</v>
      </c>
      <c r="AP240" s="39">
        <v>16.392826400000001</v>
      </c>
      <c r="AQ240" s="39">
        <v>35.566255499999997</v>
      </c>
      <c r="AR240" s="39">
        <v>32.818310099999998</v>
      </c>
      <c r="AS240" s="40"/>
      <c r="AT240" s="41">
        <v>0.70199999999999996</v>
      </c>
      <c r="AU240" s="41">
        <v>0.60899999999999999</v>
      </c>
      <c r="AW240" s="42">
        <f t="shared" si="43"/>
        <v>-4.0104049927117136E-7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>
        <f t="shared" si="34"/>
        <v>0.47670078844670816</v>
      </c>
      <c r="K241" s="19">
        <f t="shared" si="35"/>
        <v>1.6983978446998331E-2</v>
      </c>
      <c r="L241" s="19">
        <f t="shared" si="36"/>
        <v>0.45960263199334345</v>
      </c>
      <c r="M241" s="20"/>
      <c r="N241" s="19">
        <f t="shared" si="37"/>
        <v>2.8886239904751885</v>
      </c>
      <c r="O241" s="21">
        <v>693767</v>
      </c>
      <c r="P241" s="22">
        <v>2004032</v>
      </c>
      <c r="Q241" s="22">
        <v>71400</v>
      </c>
      <c r="R241" s="22">
        <v>1932152</v>
      </c>
      <c r="S241" s="23"/>
      <c r="T241" s="24">
        <v>58.080359199999997</v>
      </c>
      <c r="U241" s="24">
        <v>61.284763699999999</v>
      </c>
      <c r="V241" s="24">
        <v>16.902063600000002</v>
      </c>
      <c r="W241" s="24">
        <v>36.408613899999999</v>
      </c>
      <c r="X241" s="24">
        <v>33.801622299999998</v>
      </c>
      <c r="Y241" s="23"/>
      <c r="Z241" s="26">
        <v>1.234</v>
      </c>
      <c r="AA241" s="26">
        <v>1.0620000000000001</v>
      </c>
      <c r="AC241" s="18" t="str">
        <f t="shared" si="38"/>
        <v>·</v>
      </c>
      <c r="AD241" s="19">
        <f t="shared" si="39"/>
        <v>0.47672552701475418</v>
      </c>
      <c r="AE241" s="19">
        <f t="shared" si="40"/>
        <v>1.7025843715999335E-2</v>
      </c>
      <c r="AF241" s="19">
        <f t="shared" si="41"/>
        <v>0.45960263199334345</v>
      </c>
      <c r="AG241" s="20"/>
      <c r="AH241" s="19">
        <f t="shared" si="42"/>
        <v>2.88877389671172</v>
      </c>
      <c r="AI241" s="21">
        <v>693767</v>
      </c>
      <c r="AJ241" s="22">
        <v>2004136</v>
      </c>
      <c r="AK241" s="22">
        <v>71576</v>
      </c>
      <c r="AL241" s="22">
        <v>1932152</v>
      </c>
      <c r="AM241" s="23"/>
      <c r="AN241" s="24">
        <v>58.080359199999997</v>
      </c>
      <c r="AO241" s="24">
        <v>61.284763699999999</v>
      </c>
      <c r="AP241" s="24">
        <v>16.902063600000002</v>
      </c>
      <c r="AQ241" s="24">
        <v>36.408613899999999</v>
      </c>
      <c r="AR241" s="24">
        <v>33.801622299999998</v>
      </c>
      <c r="AS241" s="25"/>
      <c r="AT241" s="26">
        <v>1.2030000000000001</v>
      </c>
      <c r="AU241" s="26">
        <v>1.0149999999999999</v>
      </c>
      <c r="AW241" s="27">
        <f t="shared" si="43"/>
        <v>8.5969549943415435E-5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>
        <f t="shared" si="34"/>
        <v>1.0319826868083013</v>
      </c>
      <c r="K242" s="34">
        <f t="shared" si="35"/>
        <v>7.6019716638732707E-2</v>
      </c>
      <c r="L242" s="34">
        <f t="shared" si="36"/>
        <v>0.95584879216320229</v>
      </c>
      <c r="M242" s="35"/>
      <c r="N242" s="34">
        <f t="shared" si="37"/>
        <v>4.8424415262608616</v>
      </c>
      <c r="O242" s="36">
        <v>895915</v>
      </c>
      <c r="P242" s="37">
        <v>4338416</v>
      </c>
      <c r="Q242" s="37">
        <v>319584</v>
      </c>
      <c r="R242" s="37">
        <v>4018352</v>
      </c>
      <c r="S242" s="38"/>
      <c r="T242" s="39">
        <v>60.4728043</v>
      </c>
      <c r="U242" s="39">
        <v>64.090328</v>
      </c>
      <c r="V242" s="39">
        <v>17.6215233</v>
      </c>
      <c r="W242" s="39">
        <v>37.610865500000003</v>
      </c>
      <c r="X242" s="39">
        <v>35.119750600000003</v>
      </c>
      <c r="Y242" s="38"/>
      <c r="Z242" s="41">
        <v>2.327</v>
      </c>
      <c r="AA242" s="41">
        <v>1.9830000000000001</v>
      </c>
      <c r="AC242" s="33" t="str">
        <f t="shared" si="38"/>
        <v>·</v>
      </c>
      <c r="AD242" s="34">
        <f t="shared" si="39"/>
        <v>1.0320207461437567</v>
      </c>
      <c r="AE242" s="34">
        <f t="shared" si="40"/>
        <v>7.6957879257709749E-2</v>
      </c>
      <c r="AF242" s="34">
        <f t="shared" si="41"/>
        <v>0.95584879216320229</v>
      </c>
      <c r="AG242" s="35"/>
      <c r="AH242" s="34">
        <f t="shared" si="42"/>
        <v>4.8426201146314103</v>
      </c>
      <c r="AI242" s="36">
        <v>895915</v>
      </c>
      <c r="AJ242" s="37">
        <v>4338576</v>
      </c>
      <c r="AK242" s="37">
        <v>323528</v>
      </c>
      <c r="AL242" s="37">
        <v>4018352</v>
      </c>
      <c r="AM242" s="38"/>
      <c r="AN242" s="39">
        <v>60.4728043</v>
      </c>
      <c r="AO242" s="39">
        <v>64.090328</v>
      </c>
      <c r="AP242" s="39">
        <v>17.6215233</v>
      </c>
      <c r="AQ242" s="39">
        <v>37.610865500000003</v>
      </c>
      <c r="AR242" s="39">
        <v>35.119750600000003</v>
      </c>
      <c r="AS242" s="40"/>
      <c r="AT242" s="41">
        <v>2.3109999999999999</v>
      </c>
      <c r="AU242" s="41">
        <v>1.9370000000000001</v>
      </c>
      <c r="AW242" s="42">
        <f t="shared" si="43"/>
        <v>9.0633742492719771E-4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38"/>
        <v>·</v>
      </c>
      <c r="AD243" s="19" t="str">
        <f t="shared" si="39"/>
        <v>·</v>
      </c>
      <c r="AE243" s="19">
        <f t="shared" si="40"/>
        <v>0</v>
      </c>
      <c r="AF243" s="19" t="str">
        <f t="shared" si="41"/>
        <v>·</v>
      </c>
      <c r="AG243" s="20"/>
      <c r="AH243" s="19" t="str">
        <f t="shared" si="42"/>
        <v>·</v>
      </c>
      <c r="AI243" s="21"/>
      <c r="AJ243" s="22"/>
      <c r="AK243" s="22">
        <v>0</v>
      </c>
      <c r="AL243" s="22"/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4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38"/>
        <v>·</v>
      </c>
      <c r="AD244" s="49" t="str">
        <f t="shared" si="39"/>
        <v>·</v>
      </c>
      <c r="AE244" s="49">
        <f t="shared" si="40"/>
        <v>0</v>
      </c>
      <c r="AF244" s="49" t="str">
        <f t="shared" si="41"/>
        <v>·</v>
      </c>
      <c r="AG244" s="50"/>
      <c r="AH244" s="49" t="str">
        <f t="shared" si="42"/>
        <v>·</v>
      </c>
      <c r="AI244" s="51"/>
      <c r="AJ244" s="52"/>
      <c r="AK244" s="52">
        <v>0</v>
      </c>
      <c r="AL244" s="52"/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4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15">
      <c r="A245" s="15"/>
      <c r="B245" s="15" t="s">
        <v>1046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>
        <f t="shared" si="34"/>
        <v>0.15024871585042812</v>
      </c>
      <c r="K245" s="19">
        <f t="shared" si="35"/>
        <v>9.7210444185630001E-3</v>
      </c>
      <c r="L245" s="19">
        <f t="shared" si="36"/>
        <v>0.14005270183486693</v>
      </c>
      <c r="M245" s="20"/>
      <c r="N245" s="19">
        <f t="shared" si="37"/>
        <v>0.31713343456094439</v>
      </c>
      <c r="O245" s="21">
        <v>478789</v>
      </c>
      <c r="P245" s="22">
        <v>151840</v>
      </c>
      <c r="Q245" s="22">
        <v>9824</v>
      </c>
      <c r="R245" s="22">
        <v>141536</v>
      </c>
      <c r="S245" s="23"/>
      <c r="T245" s="24">
        <v>52.200437999999998</v>
      </c>
      <c r="U245" s="24">
        <v>56.662706200000002</v>
      </c>
      <c r="V245" s="24">
        <v>19.2298078</v>
      </c>
      <c r="W245" s="24">
        <v>31.040065899999998</v>
      </c>
      <c r="X245" s="24">
        <v>33.512925799999998</v>
      </c>
      <c r="Y245" s="23"/>
      <c r="Z245" s="26">
        <v>1.1559999999999999</v>
      </c>
      <c r="AA245" s="26">
        <v>0.57799999999999996</v>
      </c>
      <c r="AC245" s="18" t="str">
        <f t="shared" si="38"/>
        <v>·</v>
      </c>
      <c r="AD245" s="19">
        <f t="shared" si="39"/>
        <v>0.15027246433027802</v>
      </c>
      <c r="AE245" s="19">
        <f t="shared" si="40"/>
        <v>9.7606252183128489E-3</v>
      </c>
      <c r="AF245" s="19">
        <f t="shared" si="41"/>
        <v>0.14005270183486693</v>
      </c>
      <c r="AG245" s="20"/>
      <c r="AH245" s="19">
        <f t="shared" si="42"/>
        <v>0.31718356102583811</v>
      </c>
      <c r="AI245" s="21">
        <v>478789</v>
      </c>
      <c r="AJ245" s="22">
        <v>151864</v>
      </c>
      <c r="AK245" s="22">
        <v>9864</v>
      </c>
      <c r="AL245" s="22">
        <v>141536</v>
      </c>
      <c r="AM245" s="23"/>
      <c r="AN245" s="24">
        <v>52.200437999999998</v>
      </c>
      <c r="AO245" s="24">
        <v>56.662706200000002</v>
      </c>
      <c r="AP245" s="24">
        <v>19.2298078</v>
      </c>
      <c r="AQ245" s="24">
        <v>31.040065899999998</v>
      </c>
      <c r="AR245" s="24">
        <v>33.512925799999998</v>
      </c>
      <c r="AS245" s="25"/>
      <c r="AT245" s="26">
        <v>1.125</v>
      </c>
      <c r="AU245" s="26">
        <v>0.624</v>
      </c>
      <c r="AW245" s="27">
        <f t="shared" si="43"/>
        <v>2.5316867451755098E-4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1.046576726823778E-2</v>
      </c>
      <c r="BA245" s="28">
        <f>IF( OR(ISBLANK(Q245:Q250),ISBLANK(AK245:AK250), ISBLANK(U245:U250),ISBLANK(AO245:AO250)), "·", bdRateExtend( Q245:Q250,U245:U250, AK245:AK250,AO245:AO250))</f>
        <v>1.0500914167356878E-2</v>
      </c>
      <c r="BB245" s="28">
        <f>IF( OR(ISBLANK(R245:R250),ISBLANK(AL245:AL250), ISBLANK(V245:V250),ISBLANK(AP245:AP250)), "·", bdRateExtend( R245:R250,V245:V250, AL245:AL250,AP245:AP250))</f>
        <v>0</v>
      </c>
      <c r="BC245" s="28">
        <f>IF( OR(ISBLANK(R245:R250),ISBLANK(AL245:AL250), ISBLANK(W245:W250),ISBLANK(AQ245:AQ250)), "·", bdRateExtend( R245:R250,W245:W250, AL245:AL250,AQ245:AQ250))</f>
        <v>0</v>
      </c>
      <c r="BD245" s="28">
        <f>IF( OR(ISBLANK(R245:R250),ISBLANK(AL245:AL250), ISBLANK(X245:X250),ISBLANK(AR245:AR250)), "·", bdRateExtend( R245:R250,X245:X250, AL245:AL250,AR245:AR250))</f>
        <v>0</v>
      </c>
      <c r="BE245" s="29"/>
      <c r="BG245" s="28">
        <f>IF( OR(ISBLANK(P245:P250),ISBLANK(AJ245:AJ250), ISBLANK(T245:T250),ISBLANK(AN245:AN250)), "·", bdRateExtend( P245:P250,T245:T250, AJ245:AJ250,AN245:AN250))</f>
        <v>1.0687904583650543E-4</v>
      </c>
      <c r="BH245" s="28">
        <f>IF( OR(ISBLANK(P245:P250),ISBLANK(AJ245:AJ250), ISBLANK(U245:U250),ISBLANK(AO245:AO250)), "·", bdRateExtend( P245:P250,U245:U250, AJ245:AJ250,AO245:AO250))</f>
        <v>1.0658931909279801E-4</v>
      </c>
      <c r="BI245" s="28">
        <f>IF( OR(ISBLANK(P245:P250),ISBLANK(AJ245:AJ250), ISBLANK(V245:V250),ISBLANK(AP245:AP250)), "·", bdRateExtend( P245:P250,V245:V250, AJ245:AJ250,AP245:AP250))</f>
        <v>9.9144850569832244E-5</v>
      </c>
      <c r="BJ245" s="28">
        <f>IF( OR(ISBLANK(P245:P250),ISBLANK(AJ245:AJ250), ISBLANK(W245:W250),ISBLANK(AQ245:AQ250)), "·", bdRateExtend( P245:P250,W245:W250, AJ245:AJ250,AQ245:AQ250))</f>
        <v>9.8241726801395757E-5</v>
      </c>
      <c r="BK245" s="28">
        <f>IF( OR(ISBLANK(P245:P250),ISBLANK(AJ245:AJ250), ISBLANK(X245:X250),ISBLANK(AR245:AR250)), "·", bdRateExtend( P245:P250,X245:X250, AJ245:AJ250,AR245:AR250))</f>
        <v>9.2788051915704273E-5</v>
      </c>
      <c r="BL245" s="29"/>
    </row>
    <row r="246" spans="1:64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>
        <f t="shared" si="34"/>
        <v>0.55181176163254964</v>
      </c>
      <c r="K246" s="34">
        <f t="shared" si="35"/>
        <v>3.9018752393401482E-2</v>
      </c>
      <c r="L246" s="34">
        <f t="shared" si="36"/>
        <v>0.51231803964214995</v>
      </c>
      <c r="M246" s="35"/>
      <c r="N246" s="34">
        <f t="shared" si="37"/>
        <v>0.95502287132290609</v>
      </c>
      <c r="O246" s="36">
        <v>583919</v>
      </c>
      <c r="P246" s="37">
        <v>557656</v>
      </c>
      <c r="Q246" s="37">
        <v>39432</v>
      </c>
      <c r="R246" s="37">
        <v>517744</v>
      </c>
      <c r="S246" s="38"/>
      <c r="T246" s="39">
        <v>58.294127799999998</v>
      </c>
      <c r="U246" s="39">
        <v>61.820855000000002</v>
      </c>
      <c r="V246" s="39">
        <v>21.628024</v>
      </c>
      <c r="W246" s="39">
        <v>33.109469300000001</v>
      </c>
      <c r="X246" s="39">
        <v>34.939733099999998</v>
      </c>
      <c r="Y246" s="38"/>
      <c r="Z246" s="41">
        <v>1.452</v>
      </c>
      <c r="AA246" s="41">
        <v>0.79600000000000004</v>
      </c>
      <c r="AC246" s="33" t="str">
        <f t="shared" si="38"/>
        <v>·</v>
      </c>
      <c r="AD246" s="34">
        <f t="shared" si="39"/>
        <v>0.55186717475219949</v>
      </c>
      <c r="AE246" s="34">
        <f t="shared" si="40"/>
        <v>3.9462057350599801E-2</v>
      </c>
      <c r="AF246" s="34">
        <f t="shared" si="41"/>
        <v>0.51231803964214995</v>
      </c>
      <c r="AG246" s="35"/>
      <c r="AH246" s="34">
        <f t="shared" si="42"/>
        <v>0.95511877503557852</v>
      </c>
      <c r="AI246" s="36">
        <v>583919</v>
      </c>
      <c r="AJ246" s="37">
        <v>557712</v>
      </c>
      <c r="AK246" s="37">
        <v>39880</v>
      </c>
      <c r="AL246" s="37">
        <v>517744</v>
      </c>
      <c r="AM246" s="38"/>
      <c r="AN246" s="39">
        <v>58.294127799999998</v>
      </c>
      <c r="AO246" s="39">
        <v>61.820855000000002</v>
      </c>
      <c r="AP246" s="39">
        <v>21.628024</v>
      </c>
      <c r="AQ246" s="39">
        <v>33.109469300000001</v>
      </c>
      <c r="AR246" s="39">
        <v>34.939733099999998</v>
      </c>
      <c r="AS246" s="40"/>
      <c r="AT246" s="41">
        <v>1.577</v>
      </c>
      <c r="AU246" s="41">
        <v>0.71799999999999997</v>
      </c>
      <c r="AW246" s="42">
        <f t="shared" si="43"/>
        <v>7.9618194608574444E-4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>
        <f t="shared" si="34"/>
        <v>1.9295244070054058</v>
      </c>
      <c r="K247" s="19">
        <f t="shared" si="35"/>
        <v>0.19095361031317318</v>
      </c>
      <c r="L247" s="19">
        <f t="shared" si="36"/>
        <v>1.7380958270952345</v>
      </c>
      <c r="M247" s="20"/>
      <c r="N247" s="19">
        <f t="shared" si="37"/>
        <v>2.0299523003474933</v>
      </c>
      <c r="O247" s="21">
        <v>960594</v>
      </c>
      <c r="P247" s="22">
        <v>1949960</v>
      </c>
      <c r="Q247" s="22">
        <v>192976</v>
      </c>
      <c r="R247" s="22">
        <v>1756504</v>
      </c>
      <c r="S247" s="23"/>
      <c r="T247" s="24">
        <v>62.948207400000001</v>
      </c>
      <c r="U247" s="24">
        <v>65.826142599999997</v>
      </c>
      <c r="V247" s="24">
        <v>24.479623100000001</v>
      </c>
      <c r="W247" s="24">
        <v>35.698995699999998</v>
      </c>
      <c r="X247" s="24">
        <v>37.350443800000001</v>
      </c>
      <c r="Y247" s="23"/>
      <c r="Z247" s="26">
        <v>3.1240000000000001</v>
      </c>
      <c r="AA247" s="26">
        <v>1.6080000000000001</v>
      </c>
      <c r="AC247" s="18" t="str">
        <f t="shared" si="38"/>
        <v>·</v>
      </c>
      <c r="AD247" s="19">
        <f t="shared" si="39"/>
        <v>1.9296273170847553</v>
      </c>
      <c r="AE247" s="19">
        <f t="shared" si="40"/>
        <v>0.194151738932961</v>
      </c>
      <c r="AF247" s="19">
        <f t="shared" si="41"/>
        <v>1.7380958270952345</v>
      </c>
      <c r="AG247" s="20"/>
      <c r="AH247" s="19">
        <f t="shared" si="42"/>
        <v>2.0300605666910267</v>
      </c>
      <c r="AI247" s="21">
        <v>960594</v>
      </c>
      <c r="AJ247" s="22">
        <v>1950064</v>
      </c>
      <c r="AK247" s="22">
        <v>196208</v>
      </c>
      <c r="AL247" s="22">
        <v>1756504</v>
      </c>
      <c r="AM247" s="23"/>
      <c r="AN247" s="24">
        <v>62.948207400000001</v>
      </c>
      <c r="AO247" s="24">
        <v>65.826142599999997</v>
      </c>
      <c r="AP247" s="24">
        <v>24.479623100000001</v>
      </c>
      <c r="AQ247" s="24">
        <v>35.698995699999998</v>
      </c>
      <c r="AR247" s="24">
        <v>37.350443800000001</v>
      </c>
      <c r="AS247" s="25"/>
      <c r="AT247" s="26">
        <v>3.1240000000000001</v>
      </c>
      <c r="AU247" s="26">
        <v>1.484</v>
      </c>
      <c r="AW247" s="27">
        <f t="shared" si="43"/>
        <v>1.6521035902120618E-3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9"/>
      <c r="X248" s="39"/>
      <c r="Y248" s="38"/>
      <c r="Z248" s="41"/>
      <c r="AA248" s="41"/>
      <c r="AC248" s="33" t="str">
        <f t="shared" si="38"/>
        <v>·</v>
      </c>
      <c r="AD248" s="34" t="str">
        <f t="shared" si="39"/>
        <v>·</v>
      </c>
      <c r="AE248" s="34">
        <f t="shared" si="40"/>
        <v>0.84026871404950176</v>
      </c>
      <c r="AF248" s="34" t="str">
        <f t="shared" si="41"/>
        <v>·</v>
      </c>
      <c r="AG248" s="35"/>
      <c r="AH248" s="34" t="str">
        <f t="shared" si="42"/>
        <v>·</v>
      </c>
      <c r="AI248" s="36"/>
      <c r="AJ248" s="37"/>
      <c r="AK248" s="37">
        <v>849168</v>
      </c>
      <c r="AL248" s="37"/>
      <c r="AM248" s="38"/>
      <c r="AN248" s="39"/>
      <c r="AO248" s="39"/>
      <c r="AP248" s="39"/>
      <c r="AQ248" s="39"/>
      <c r="AR248" s="39"/>
      <c r="AS248" s="40"/>
      <c r="AT248" s="41"/>
      <c r="AU248" s="41"/>
      <c r="AW248" s="42" t="e">
        <f t="shared" si="43"/>
        <v>#DIV/0!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38"/>
        <v>·</v>
      </c>
      <c r="AD249" s="19" t="str">
        <f t="shared" si="39"/>
        <v>·</v>
      </c>
      <c r="AE249" s="19">
        <f t="shared" si="40"/>
        <v>0</v>
      </c>
      <c r="AF249" s="19" t="str">
        <f t="shared" si="41"/>
        <v>·</v>
      </c>
      <c r="AG249" s="20"/>
      <c r="AH249" s="19" t="str">
        <f t="shared" si="42"/>
        <v>·</v>
      </c>
      <c r="AI249" s="21"/>
      <c r="AJ249" s="22"/>
      <c r="AK249" s="22">
        <v>0</v>
      </c>
      <c r="AL249" s="22"/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4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38"/>
        <v>·</v>
      </c>
      <c r="AD250" s="49" t="str">
        <f t="shared" si="39"/>
        <v>·</v>
      </c>
      <c r="AE250" s="49">
        <f t="shared" si="40"/>
        <v>0</v>
      </c>
      <c r="AF250" s="49" t="str">
        <f t="shared" si="41"/>
        <v>·</v>
      </c>
      <c r="AG250" s="50"/>
      <c r="AH250" s="49" t="str">
        <f t="shared" si="42"/>
        <v>·</v>
      </c>
      <c r="AI250" s="51"/>
      <c r="AJ250" s="52"/>
      <c r="AK250" s="52">
        <v>0</v>
      </c>
      <c r="AL250" s="52"/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4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>
        <f t="shared" si="34"/>
        <v>8.3162264737563954E-2</v>
      </c>
      <c r="K251" s="19">
        <f t="shared" si="35"/>
        <v>3.2857069579974238E-3</v>
      </c>
      <c r="L251" s="19">
        <f t="shared" si="36"/>
        <v>7.982216147212387E-2</v>
      </c>
      <c r="M251" s="20"/>
      <c r="N251" s="19">
        <f t="shared" si="37"/>
        <v>0.1949320740776786</v>
      </c>
      <c r="O251" s="21">
        <v>20077681</v>
      </c>
      <c r="P251" s="22">
        <v>3913784</v>
      </c>
      <c r="Q251" s="22">
        <v>154632</v>
      </c>
      <c r="R251" s="22">
        <v>3756592</v>
      </c>
      <c r="S251" s="23"/>
      <c r="T251" s="24">
        <v>64.920308599999998</v>
      </c>
      <c r="U251" s="24">
        <v>67.0900386</v>
      </c>
      <c r="V251" s="24">
        <v>21.996480699999999</v>
      </c>
      <c r="W251" s="24">
        <v>35.410786199999997</v>
      </c>
      <c r="X251" s="24">
        <v>38.4098355</v>
      </c>
      <c r="Y251" s="23"/>
      <c r="Z251" s="26">
        <v>26.568000000000001</v>
      </c>
      <c r="AA251" s="26">
        <v>20.884</v>
      </c>
      <c r="AC251" s="18" t="str">
        <f t="shared" si="38"/>
        <v>·</v>
      </c>
      <c r="AD251" s="19">
        <f t="shared" si="39"/>
        <v>8.316702441446519E-2</v>
      </c>
      <c r="AE251" s="19">
        <f t="shared" si="40"/>
        <v>3.2766975695772333E-3</v>
      </c>
      <c r="AF251" s="19">
        <f t="shared" si="41"/>
        <v>7.982216147212387E-2</v>
      </c>
      <c r="AG251" s="20"/>
      <c r="AH251" s="19">
        <f t="shared" si="42"/>
        <v>0.19494323074462633</v>
      </c>
      <c r="AI251" s="21">
        <v>20077681</v>
      </c>
      <c r="AJ251" s="22">
        <v>3914008</v>
      </c>
      <c r="AK251" s="22">
        <v>154208</v>
      </c>
      <c r="AL251" s="22">
        <v>3756592</v>
      </c>
      <c r="AM251" s="23"/>
      <c r="AN251" s="24">
        <v>64.920308599999998</v>
      </c>
      <c r="AO251" s="24">
        <v>67.0900386</v>
      </c>
      <c r="AP251" s="24">
        <v>21.996480699999999</v>
      </c>
      <c r="AQ251" s="24">
        <v>35.410786199999997</v>
      </c>
      <c r="AR251" s="24">
        <v>38.4098355</v>
      </c>
      <c r="AS251" s="25"/>
      <c r="AT251" s="26">
        <v>26.539000000000001</v>
      </c>
      <c r="AU251" s="26">
        <v>20.895</v>
      </c>
      <c r="AW251" s="27">
        <f t="shared" si="43"/>
        <v>-1.1059000086151294E-4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-2.50699769306022E-2</v>
      </c>
      <c r="BA251" s="28">
        <f>IF( OR(ISBLANK(Q251:Q256),ISBLANK(AK251:AK256), ISBLANK(U251:U256),ISBLANK(AO251:AO256)), "·", bdRateExtend( Q251:Q256,U251:U256, AK251:AK256,AO251:AO256))</f>
        <v>-2.4159029238528085E-2</v>
      </c>
      <c r="BB251" s="28">
        <f>IF( OR(ISBLANK(R251:R256),ISBLANK(AL251:AL256), ISBLANK(V251:V256),ISBLANK(AP251:AP256)), "·", bdRateExtend( R251:R256,V251:V256, AL251:AL256,AP251:AP256))</f>
        <v>0</v>
      </c>
      <c r="BC251" s="28">
        <f>IF( OR(ISBLANK(R251:R256),ISBLANK(AL251:AL256), ISBLANK(W251:W256),ISBLANK(AQ251:AQ256)), "·", bdRateExtend( R251:R256,W251:W256, AL251:AL256,AQ251:AQ256))</f>
        <v>0</v>
      </c>
      <c r="BD251" s="28">
        <f>IF( OR(ISBLANK(R251:R256),ISBLANK(AL251:AL256), ISBLANK(X251:X256),ISBLANK(AR251:AR256)), "·", bdRateExtend( R251:R256,X251:X256, AL251:AL256,AR251:AR256))</f>
        <v>0</v>
      </c>
      <c r="BE251" s="29"/>
      <c r="BG251" s="28">
        <f>IF( OR(ISBLANK(P251:P256),ISBLANK(AJ251:AJ256), ISBLANK(T251:T256),ISBLANK(AN251:AN256)), "·", bdRateExtend( P251:P256,T251:T256, AJ251:AJ256,AN251:AN256))</f>
        <v>9.9209906207819998E-5</v>
      </c>
      <c r="BH251" s="28">
        <f>IF( OR(ISBLANK(P251:P256),ISBLANK(AJ251:AJ256), ISBLANK(U251:U256),ISBLANK(AO251:AO256)), "·", bdRateExtend( P251:P256,U251:U256, AJ251:AJ256,AO251:AO256))</f>
        <v>1.0039242482084987E-4</v>
      </c>
      <c r="BI251" s="28">
        <f>IF( OR(ISBLANK(P251:P256),ISBLANK(AJ251:AJ256), ISBLANK(V251:V256),ISBLANK(AP251:AP256)), "·", bdRateExtend( P251:P256,V251:V256, AJ251:AJ256,AP251:AP256))</f>
        <v>1.0060540647938154E-4</v>
      </c>
      <c r="BJ251" s="28">
        <f>IF( OR(ISBLANK(P251:P256),ISBLANK(AJ251:AJ256), ISBLANK(W251:W256),ISBLANK(AQ251:AQ256)), "·", bdRateExtend( P251:P256,W251:W256, AJ251:AJ256,AQ251:AQ256))</f>
        <v>1.0511236235699606E-4</v>
      </c>
      <c r="BK251" s="28">
        <f>IF( OR(ISBLANK(P251:P256),ISBLANK(AJ251:AJ256), ISBLANK(X251:X256),ISBLANK(AR251:AR256)), "·", bdRateExtend( P251:P256,X251:X256, AJ251:AJ256,AR251:AR256))</f>
        <v>1.04883912487308E-4</v>
      </c>
      <c r="BL251" s="29"/>
    </row>
    <row r="252" spans="1:64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>
        <f t="shared" si="34"/>
        <v>0.18028840157258025</v>
      </c>
      <c r="K252" s="34">
        <f t="shared" si="35"/>
        <v>1.0613739512827521E-2</v>
      </c>
      <c r="L252" s="34">
        <f t="shared" si="36"/>
        <v>0.16962536540613282</v>
      </c>
      <c r="M252" s="35"/>
      <c r="N252" s="34">
        <f t="shared" si="37"/>
        <v>0.48465287635437848</v>
      </c>
      <c r="O252" s="36">
        <v>17506831</v>
      </c>
      <c r="P252" s="37">
        <v>8484736</v>
      </c>
      <c r="Q252" s="37">
        <v>499504</v>
      </c>
      <c r="R252" s="37">
        <v>7982912</v>
      </c>
      <c r="S252" s="38"/>
      <c r="T252" s="39">
        <v>71.376576499999999</v>
      </c>
      <c r="U252" s="39">
        <v>73.955725599999994</v>
      </c>
      <c r="V252" s="39">
        <v>24.542880799999999</v>
      </c>
      <c r="W252" s="39">
        <v>37.504543300000002</v>
      </c>
      <c r="X252" s="39">
        <v>40.268058099999998</v>
      </c>
      <c r="Y252" s="38"/>
      <c r="Z252" s="41">
        <v>26.228000000000002</v>
      </c>
      <c r="AA252" s="41">
        <v>18.699000000000002</v>
      </c>
      <c r="AC252" s="33" t="str">
        <f t="shared" si="38"/>
        <v>·</v>
      </c>
      <c r="AD252" s="34">
        <f t="shared" si="39"/>
        <v>0.18030557040711684</v>
      </c>
      <c r="AE252" s="34">
        <f t="shared" si="40"/>
        <v>1.0300110802728434E-2</v>
      </c>
      <c r="AF252" s="34">
        <f t="shared" si="41"/>
        <v>0.16962536540613282</v>
      </c>
      <c r="AG252" s="35"/>
      <c r="AH252" s="34">
        <f t="shared" si="42"/>
        <v>0.48469902976729484</v>
      </c>
      <c r="AI252" s="36">
        <v>17506831</v>
      </c>
      <c r="AJ252" s="37">
        <v>8485544</v>
      </c>
      <c r="AK252" s="37">
        <v>484744</v>
      </c>
      <c r="AL252" s="37">
        <v>7982912</v>
      </c>
      <c r="AM252" s="38"/>
      <c r="AN252" s="39">
        <v>71.376576499999999</v>
      </c>
      <c r="AO252" s="39">
        <v>73.955725599999994</v>
      </c>
      <c r="AP252" s="39">
        <v>24.542880799999999</v>
      </c>
      <c r="AQ252" s="39">
        <v>37.504543300000002</v>
      </c>
      <c r="AR252" s="39">
        <v>40.268058099999998</v>
      </c>
      <c r="AS252" s="40"/>
      <c r="AT252" s="41">
        <v>26.417000000000002</v>
      </c>
      <c r="AU252" s="41">
        <v>18.497</v>
      </c>
      <c r="AW252" s="42">
        <f t="shared" si="43"/>
        <v>-1.7450345767996006E-3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>
        <f t="shared" si="34"/>
        <v>0.39340089496374764</v>
      </c>
      <c r="K253" s="19">
        <f t="shared" si="35"/>
        <v>3.4831145574760525E-2</v>
      </c>
      <c r="L253" s="19">
        <f t="shared" si="36"/>
        <v>0.35852215261997478</v>
      </c>
      <c r="M253" s="20"/>
      <c r="N253" s="19">
        <f t="shared" si="37"/>
        <v>1.1143199573537694</v>
      </c>
      <c r="O253" s="21">
        <v>16614833</v>
      </c>
      <c r="P253" s="22">
        <v>18514240</v>
      </c>
      <c r="Q253" s="22">
        <v>1639224</v>
      </c>
      <c r="R253" s="22">
        <v>16872776</v>
      </c>
      <c r="S253" s="23"/>
      <c r="T253" s="24">
        <v>77.220964699999996</v>
      </c>
      <c r="U253" s="24">
        <v>79.367673600000003</v>
      </c>
      <c r="V253" s="24">
        <v>26.919003400000001</v>
      </c>
      <c r="W253" s="24">
        <v>40.205762999999997</v>
      </c>
      <c r="X253" s="24">
        <v>42.606909000000002</v>
      </c>
      <c r="Y253" s="23"/>
      <c r="Z253" s="26">
        <v>31.37</v>
      </c>
      <c r="AA253" s="26">
        <v>20.9</v>
      </c>
      <c r="AC253" s="18" t="str">
        <f t="shared" si="38"/>
        <v>·</v>
      </c>
      <c r="AD253" s="19">
        <f t="shared" si="39"/>
        <v>0.39345019161736755</v>
      </c>
      <c r="AE253" s="19">
        <f t="shared" si="40"/>
        <v>3.3580540468961619E-2</v>
      </c>
      <c r="AF253" s="19">
        <f t="shared" si="41"/>
        <v>0.35852215261997478</v>
      </c>
      <c r="AG253" s="20"/>
      <c r="AH253" s="19">
        <f t="shared" si="42"/>
        <v>1.1144595916191273</v>
      </c>
      <c r="AI253" s="21">
        <v>16614833</v>
      </c>
      <c r="AJ253" s="22">
        <v>18516560</v>
      </c>
      <c r="AK253" s="22">
        <v>1580368</v>
      </c>
      <c r="AL253" s="22">
        <v>16872776</v>
      </c>
      <c r="AM253" s="23"/>
      <c r="AN253" s="24">
        <v>77.220964699999996</v>
      </c>
      <c r="AO253" s="24">
        <v>79.367673600000003</v>
      </c>
      <c r="AP253" s="24">
        <v>26.919003400000001</v>
      </c>
      <c r="AQ253" s="24">
        <v>40.205762999999997</v>
      </c>
      <c r="AR253" s="24">
        <v>42.606909000000002</v>
      </c>
      <c r="AS253" s="25"/>
      <c r="AT253" s="26">
        <v>31.184999999999999</v>
      </c>
      <c r="AU253" s="26">
        <v>20.512</v>
      </c>
      <c r="AW253" s="27">
        <f t="shared" si="43"/>
        <v>-3.1896534475365362E-3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>
        <f t="shared" si="34"/>
        <v>0.77408342328201907</v>
      </c>
      <c r="K254" s="34">
        <f t="shared" si="35"/>
        <v>0.10319217505717668</v>
      </c>
      <c r="L254" s="34">
        <f t="shared" si="36"/>
        <v>0.67084195157122251</v>
      </c>
      <c r="M254" s="35"/>
      <c r="N254" s="34">
        <f t="shared" si="37"/>
        <v>2.0715502237625532</v>
      </c>
      <c r="O254" s="36">
        <v>17585829</v>
      </c>
      <c r="P254" s="37">
        <v>36429928</v>
      </c>
      <c r="Q254" s="37">
        <v>4856432</v>
      </c>
      <c r="R254" s="37">
        <v>31571176</v>
      </c>
      <c r="S254" s="38"/>
      <c r="T254" s="39">
        <v>80.5656508</v>
      </c>
      <c r="U254" s="39">
        <v>84.302645900000002</v>
      </c>
      <c r="V254" s="39">
        <v>28.5720396</v>
      </c>
      <c r="W254" s="39">
        <v>42.533124600000001</v>
      </c>
      <c r="X254" s="39">
        <v>44.622329899999997</v>
      </c>
      <c r="Y254" s="38"/>
      <c r="Z254" s="41">
        <v>57.399000000000001</v>
      </c>
      <c r="AA254" s="41">
        <v>37.79</v>
      </c>
      <c r="AC254" s="33" t="str">
        <f t="shared" si="38"/>
        <v>·</v>
      </c>
      <c r="AD254" s="34">
        <f t="shared" si="39"/>
        <v>0.77416841751239818</v>
      </c>
      <c r="AE254" s="34">
        <f t="shared" si="40"/>
        <v>0.1034021108062132</v>
      </c>
      <c r="AF254" s="34">
        <f t="shared" si="41"/>
        <v>0.67084195157122251</v>
      </c>
      <c r="AG254" s="35"/>
      <c r="AH254" s="34">
        <f t="shared" si="42"/>
        <v>2.0717776796305709</v>
      </c>
      <c r="AI254" s="36">
        <v>17585829</v>
      </c>
      <c r="AJ254" s="37">
        <v>36433928</v>
      </c>
      <c r="AK254" s="37">
        <v>4866312</v>
      </c>
      <c r="AL254" s="37">
        <v>31571176</v>
      </c>
      <c r="AM254" s="38"/>
      <c r="AN254" s="39">
        <v>80.5656508</v>
      </c>
      <c r="AO254" s="39">
        <v>84.302645900000002</v>
      </c>
      <c r="AP254" s="39">
        <v>28.5720396</v>
      </c>
      <c r="AQ254" s="39">
        <v>42.533124600000001</v>
      </c>
      <c r="AR254" s="39">
        <v>44.622329899999997</v>
      </c>
      <c r="AS254" s="40"/>
      <c r="AT254" s="41">
        <v>55.884999999999998</v>
      </c>
      <c r="AU254" s="41">
        <v>36.575000000000003</v>
      </c>
      <c r="AW254" s="42">
        <f t="shared" si="43"/>
        <v>2.5654012871842435E-4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38"/>
        <v>·</v>
      </c>
      <c r="AD255" s="19" t="str">
        <f t="shared" si="39"/>
        <v>·</v>
      </c>
      <c r="AE255" s="19">
        <f t="shared" si="40"/>
        <v>0</v>
      </c>
      <c r="AF255" s="19" t="str">
        <f t="shared" si="41"/>
        <v>·</v>
      </c>
      <c r="AG255" s="20"/>
      <c r="AH255" s="19" t="str">
        <f t="shared" si="42"/>
        <v>·</v>
      </c>
      <c r="AI255" s="21"/>
      <c r="AJ255" s="22"/>
      <c r="AK255" s="22">
        <v>0</v>
      </c>
      <c r="AL255" s="22"/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4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38"/>
        <v>·</v>
      </c>
      <c r="AD256" s="49" t="str">
        <f t="shared" si="39"/>
        <v>·</v>
      </c>
      <c r="AE256" s="49">
        <f t="shared" si="40"/>
        <v>0</v>
      </c>
      <c r="AF256" s="49" t="str">
        <f t="shared" si="41"/>
        <v>·</v>
      </c>
      <c r="AG256" s="50"/>
      <c r="AH256" s="49" t="str">
        <f t="shared" si="42"/>
        <v>·</v>
      </c>
      <c r="AI256" s="51"/>
      <c r="AJ256" s="52"/>
      <c r="AK256" s="52">
        <v>0</v>
      </c>
      <c r="AL256" s="52"/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4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>
        <f t="shared" si="34"/>
        <v>9.0578797902920213E-2</v>
      </c>
      <c r="K257" s="19">
        <f t="shared" si="35"/>
        <v>4.6752927997048424E-3</v>
      </c>
      <c r="L257" s="19">
        <f t="shared" si="36"/>
        <v>8.5838987795329988E-2</v>
      </c>
      <c r="M257" s="20"/>
      <c r="N257" s="19">
        <f t="shared" si="37"/>
        <v>0.20986461628610684</v>
      </c>
      <c r="O257" s="21">
        <v>18731352</v>
      </c>
      <c r="P257" s="22">
        <v>3931048</v>
      </c>
      <c r="Q257" s="22">
        <v>202904</v>
      </c>
      <c r="R257" s="22">
        <v>3725344</v>
      </c>
      <c r="S257" s="23"/>
      <c r="T257" s="24">
        <v>65.353019500000002</v>
      </c>
      <c r="U257" s="24">
        <v>66.960304100000002</v>
      </c>
      <c r="V257" s="24">
        <v>22.316514099999999</v>
      </c>
      <c r="W257" s="24">
        <v>34.767052100000001</v>
      </c>
      <c r="X257" s="24">
        <v>36.228940899999998</v>
      </c>
      <c r="Y257" s="23"/>
      <c r="Z257" s="26">
        <v>30.597000000000001</v>
      </c>
      <c r="AA257" s="26">
        <v>18.242000000000001</v>
      </c>
      <c r="AC257" s="18" t="str">
        <f t="shared" si="38"/>
        <v>·</v>
      </c>
      <c r="AD257" s="19">
        <f t="shared" si="39"/>
        <v>9.0588198996354938E-2</v>
      </c>
      <c r="AE257" s="19">
        <f t="shared" si="40"/>
        <v>4.6172272226080073E-3</v>
      </c>
      <c r="AF257" s="19">
        <f t="shared" si="41"/>
        <v>8.5838987795329988E-2</v>
      </c>
      <c r="AG257" s="20"/>
      <c r="AH257" s="19">
        <f t="shared" si="42"/>
        <v>0.20988639794927777</v>
      </c>
      <c r="AI257" s="21">
        <v>18731352</v>
      </c>
      <c r="AJ257" s="22">
        <v>3931456</v>
      </c>
      <c r="AK257" s="22">
        <v>200384</v>
      </c>
      <c r="AL257" s="22">
        <v>3725344</v>
      </c>
      <c r="AM257" s="23"/>
      <c r="AN257" s="24">
        <v>65.353019500000002</v>
      </c>
      <c r="AO257" s="24">
        <v>66.960304100000002</v>
      </c>
      <c r="AP257" s="24">
        <v>22.316514099999999</v>
      </c>
      <c r="AQ257" s="24">
        <v>34.767052100000001</v>
      </c>
      <c r="AR257" s="24">
        <v>36.228940899999998</v>
      </c>
      <c r="AS257" s="25"/>
      <c r="AT257" s="26">
        <v>30.629000000000001</v>
      </c>
      <c r="AU257" s="26">
        <v>18.413</v>
      </c>
      <c r="AW257" s="27">
        <f t="shared" si="43"/>
        <v>-6.4634049750378342E-4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-2.8720898076865731E-2</v>
      </c>
      <c r="BA257" s="28">
        <f>IF( OR(ISBLANK(Q257:Q262),ISBLANK(AK257:AK262), ISBLANK(U257:U262),ISBLANK(AO257:AO262)), "·", bdRateExtend( Q257:Q262,U257:U262, AK257:AK262,AO257:AO262))</f>
        <v>-2.7819325744432577E-2</v>
      </c>
      <c r="BB257" s="28">
        <f>IF( OR(ISBLANK(R257:R262),ISBLANK(AL257:AL262), ISBLANK(V257:V262),ISBLANK(AP257:AP262)), "·", bdRateExtend( R257:R262,V257:V262, AL257:AL262,AP257:AP262))</f>
        <v>0</v>
      </c>
      <c r="BC257" s="28">
        <f>IF( OR(ISBLANK(R257:R262),ISBLANK(AL257:AL262), ISBLANK(W257:W262),ISBLANK(AQ257:AQ262)), "·", bdRateExtend( R257:R262,W257:W262, AL257:AL262,AQ257:AQ262))</f>
        <v>0</v>
      </c>
      <c r="BD257" s="28">
        <f>IF( OR(ISBLANK(R257:R262),ISBLANK(AL257:AL262), ISBLANK(X257:X262),ISBLANK(AR257:AR262)), "·", bdRateExtend( R257:R262,X257:X262, AL257:AL262,AR257:AR262))</f>
        <v>0</v>
      </c>
      <c r="BE257" s="29"/>
      <c r="BG257" s="28">
        <f>IF( OR(ISBLANK(P257:P262),ISBLANK(AJ257:AJ262), ISBLANK(T257:T262),ISBLANK(AN257:AN262)), "·", bdRateExtend( P257:P262,T257:T262, AJ257:AJ262,AN257:AN262))</f>
        <v>1.3659632367768459E-4</v>
      </c>
      <c r="BH257" s="28">
        <f>IF( OR(ISBLANK(P257:P262),ISBLANK(AJ257:AJ262), ISBLANK(U257:U262),ISBLANK(AO257:AO262)), "·", bdRateExtend( P257:P262,U257:U262, AJ257:AJ262,AO257:AO262))</f>
        <v>1.368341729048872E-4</v>
      </c>
      <c r="BI257" s="28">
        <f>IF( OR(ISBLANK(P257:P262),ISBLANK(AJ257:AJ262), ISBLANK(V257:V262),ISBLANK(AP257:AP262)), "·", bdRateExtend( P257:P262,V257:V262, AJ257:AJ262,AP257:AP262))</f>
        <v>1.3843851194694778E-4</v>
      </c>
      <c r="BJ257" s="28">
        <f>IF( OR(ISBLANK(P257:P262),ISBLANK(AJ257:AJ262), ISBLANK(W257:W262),ISBLANK(AQ257:AQ262)), "·", bdRateExtend( P257:P262,W257:W262, AJ257:AJ262,AQ257:AQ262))</f>
        <v>1.4063076924086815E-4</v>
      </c>
      <c r="BK257" s="28">
        <f>IF( OR(ISBLANK(P257:P262),ISBLANK(AJ257:AJ262), ISBLANK(X257:X262),ISBLANK(AR257:AR262)), "·", bdRateExtend( P257:P262,X257:X262, AJ257:AJ262,AR257:AR262))</f>
        <v>1.4051193505970616E-4</v>
      </c>
      <c r="BL257" s="29"/>
    </row>
    <row r="258" spans="1:64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>
        <f t="shared" si="34"/>
        <v>0.21386399986525098</v>
      </c>
      <c r="K258" s="34">
        <f t="shared" si="35"/>
        <v>1.4517131614870291E-2</v>
      </c>
      <c r="L258" s="34">
        <f t="shared" si="36"/>
        <v>0.19928235094249533</v>
      </c>
      <c r="M258" s="35"/>
      <c r="N258" s="34">
        <f t="shared" si="37"/>
        <v>0.51763460299500474</v>
      </c>
      <c r="O258" s="36">
        <v>17930656</v>
      </c>
      <c r="P258" s="37">
        <v>9281528</v>
      </c>
      <c r="Q258" s="37">
        <v>630032</v>
      </c>
      <c r="R258" s="37">
        <v>8648696</v>
      </c>
      <c r="S258" s="38"/>
      <c r="T258" s="39">
        <v>71.512857600000004</v>
      </c>
      <c r="U258" s="39">
        <v>74.049237500000004</v>
      </c>
      <c r="V258" s="39">
        <v>24.712095999999999</v>
      </c>
      <c r="W258" s="39">
        <v>37.078712400000001</v>
      </c>
      <c r="X258" s="39">
        <v>38.5206029</v>
      </c>
      <c r="Y258" s="38"/>
      <c r="Z258" s="41">
        <v>32.74</v>
      </c>
      <c r="AA258" s="41">
        <v>18.771000000000001</v>
      </c>
      <c r="AC258" s="33" t="str">
        <f t="shared" si="38"/>
        <v>·</v>
      </c>
      <c r="AD258" s="34">
        <f t="shared" si="39"/>
        <v>0.21389220314555518</v>
      </c>
      <c r="AE258" s="34">
        <f t="shared" si="40"/>
        <v>1.3954909360440618E-2</v>
      </c>
      <c r="AF258" s="34">
        <f t="shared" si="41"/>
        <v>0.19928235094249533</v>
      </c>
      <c r="AG258" s="35"/>
      <c r="AH258" s="34">
        <f t="shared" si="42"/>
        <v>0.51770286597434023</v>
      </c>
      <c r="AI258" s="36">
        <v>17930656</v>
      </c>
      <c r="AJ258" s="37">
        <v>9282752</v>
      </c>
      <c r="AK258" s="37">
        <v>605632</v>
      </c>
      <c r="AL258" s="37">
        <v>8648696</v>
      </c>
      <c r="AM258" s="38"/>
      <c r="AN258" s="39">
        <v>71.512857600000004</v>
      </c>
      <c r="AO258" s="39">
        <v>74.049237500000004</v>
      </c>
      <c r="AP258" s="39">
        <v>24.712095999999999</v>
      </c>
      <c r="AQ258" s="39">
        <v>37.078712400000001</v>
      </c>
      <c r="AR258" s="39">
        <v>38.5206029</v>
      </c>
      <c r="AS258" s="40"/>
      <c r="AT258" s="41">
        <v>32.942</v>
      </c>
      <c r="AU258" s="41">
        <v>18.427</v>
      </c>
      <c r="AW258" s="42">
        <f t="shared" si="43"/>
        <v>-2.6374813598209201E-3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>
        <f t="shared" si="34"/>
        <v>0.49086906127109647</v>
      </c>
      <c r="K259" s="19">
        <f t="shared" si="35"/>
        <v>4.9889759506435219E-2</v>
      </c>
      <c r="L259" s="19">
        <f t="shared" si="36"/>
        <v>0.4409147844567759</v>
      </c>
      <c r="M259" s="20"/>
      <c r="N259" s="19">
        <f t="shared" si="37"/>
        <v>1.1435697109158471</v>
      </c>
      <c r="O259" s="21">
        <v>18628797</v>
      </c>
      <c r="P259" s="22">
        <v>21303328</v>
      </c>
      <c r="Q259" s="22">
        <v>2165176</v>
      </c>
      <c r="R259" s="22">
        <v>19135352</v>
      </c>
      <c r="S259" s="23"/>
      <c r="T259" s="24">
        <v>76.778334400000006</v>
      </c>
      <c r="U259" s="24">
        <v>79.591677000000004</v>
      </c>
      <c r="V259" s="24">
        <v>27.033839400000002</v>
      </c>
      <c r="W259" s="24">
        <v>39.787417699999999</v>
      </c>
      <c r="X259" s="24">
        <v>41.196331700000002</v>
      </c>
      <c r="Y259" s="23"/>
      <c r="Z259" s="26">
        <v>44.362000000000002</v>
      </c>
      <c r="AA259" s="26">
        <v>25.399000000000001</v>
      </c>
      <c r="AC259" s="18" t="str">
        <f t="shared" si="38"/>
        <v>·</v>
      </c>
      <c r="AD259" s="19">
        <f t="shared" si="39"/>
        <v>0.49095164342518977</v>
      </c>
      <c r="AE259" s="19">
        <f t="shared" si="40"/>
        <v>4.8548721178246414E-2</v>
      </c>
      <c r="AF259" s="19">
        <f t="shared" si="41"/>
        <v>0.4409147844567759</v>
      </c>
      <c r="AG259" s="20"/>
      <c r="AH259" s="19">
        <f t="shared" si="42"/>
        <v>1.1437621012242498</v>
      </c>
      <c r="AI259" s="21">
        <v>18628797</v>
      </c>
      <c r="AJ259" s="22">
        <v>21306912</v>
      </c>
      <c r="AK259" s="22">
        <v>2106976</v>
      </c>
      <c r="AL259" s="22">
        <v>19135352</v>
      </c>
      <c r="AM259" s="23"/>
      <c r="AN259" s="24">
        <v>76.778334400000006</v>
      </c>
      <c r="AO259" s="24">
        <v>79.591677000000004</v>
      </c>
      <c r="AP259" s="24">
        <v>27.033839400000002</v>
      </c>
      <c r="AQ259" s="24">
        <v>39.787417699999999</v>
      </c>
      <c r="AR259" s="24">
        <v>41.196331700000002</v>
      </c>
      <c r="AS259" s="25"/>
      <c r="AT259" s="26">
        <v>43.850999999999999</v>
      </c>
      <c r="AU259" s="26">
        <v>24.992999999999999</v>
      </c>
      <c r="AW259" s="27">
        <f t="shared" si="43"/>
        <v>-2.7486039226315706E-3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>
        <f t="shared" si="34"/>
        <v>1.0946343789184905</v>
      </c>
      <c r="K260" s="34">
        <f t="shared" si="35"/>
        <v>0.15684931754628603</v>
      </c>
      <c r="L260" s="34">
        <f t="shared" si="36"/>
        <v>0.93772054406431893</v>
      </c>
      <c r="M260" s="35"/>
      <c r="N260" s="34">
        <f t="shared" si="37"/>
        <v>2.0476400159720725</v>
      </c>
      <c r="O260" s="36">
        <v>23200496</v>
      </c>
      <c r="P260" s="37">
        <v>47506264</v>
      </c>
      <c r="Q260" s="37">
        <v>6807136</v>
      </c>
      <c r="R260" s="37">
        <v>40696328</v>
      </c>
      <c r="S260" s="38"/>
      <c r="T260" s="39">
        <v>80.154251200000004</v>
      </c>
      <c r="U260" s="39">
        <v>84.522926200000001</v>
      </c>
      <c r="V260" s="39">
        <v>28.820902400000001</v>
      </c>
      <c r="W260" s="39">
        <v>42.203665200000003</v>
      </c>
      <c r="X260" s="39">
        <v>43.5179799</v>
      </c>
      <c r="Y260" s="38"/>
      <c r="Z260" s="41">
        <v>84.427000000000007</v>
      </c>
      <c r="AA260" s="41">
        <v>52.694000000000003</v>
      </c>
      <c r="AC260" s="33" t="str">
        <f t="shared" si="38"/>
        <v>·</v>
      </c>
      <c r="AD260" s="34">
        <f t="shared" si="39"/>
        <v>1.0947580678144648</v>
      </c>
      <c r="AE260" s="34">
        <f t="shared" si="40"/>
        <v>0.15551878632252428</v>
      </c>
      <c r="AF260" s="34">
        <f t="shared" si="41"/>
        <v>0.93772054406431893</v>
      </c>
      <c r="AG260" s="35"/>
      <c r="AH260" s="34">
        <f t="shared" si="42"/>
        <v>2.0478713903357928</v>
      </c>
      <c r="AI260" s="36">
        <v>23200496</v>
      </c>
      <c r="AJ260" s="37">
        <v>47511632</v>
      </c>
      <c r="AK260" s="37">
        <v>6749392</v>
      </c>
      <c r="AL260" s="37">
        <v>40696328</v>
      </c>
      <c r="AM260" s="38"/>
      <c r="AN260" s="39">
        <v>80.154251200000004</v>
      </c>
      <c r="AO260" s="39">
        <v>84.522926200000001</v>
      </c>
      <c r="AP260" s="39">
        <v>28.820902400000001</v>
      </c>
      <c r="AQ260" s="39">
        <v>42.203665200000003</v>
      </c>
      <c r="AR260" s="39">
        <v>43.5179799</v>
      </c>
      <c r="AS260" s="40"/>
      <c r="AT260" s="41">
        <v>80.677999999999997</v>
      </c>
      <c r="AU260" s="41">
        <v>50.052</v>
      </c>
      <c r="AW260" s="42">
        <f t="shared" si="43"/>
        <v>-1.2315547609038635E-3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49">IF(OR(ISBLANK(AJ261),ISBLANK(G261)),"·",AJ261*G261/F261/1000000)</f>
        <v>·</v>
      </c>
      <c r="AD261" s="19" t="str">
        <f t="shared" ref="AD261:AD342" si="50">IF(ISBLANK(AJ261),"·",AJ261/D261)</f>
        <v>·</v>
      </c>
      <c r="AE261" s="19">
        <f t="shared" ref="AE261:AE342" si="51">IF(AK261="","·",AK261/D261)</f>
        <v>0</v>
      </c>
      <c r="AF261" s="19" t="str">
        <f t="shared" ref="AF261:AF298" si="52">IF(ISBLANK(AL261),"·",AL261/D261)</f>
        <v>·</v>
      </c>
      <c r="AG261" s="20"/>
      <c r="AH261" s="19" t="str">
        <f t="shared" ref="AH261:AH342" si="53">IF(ISBLANK(AJ261),"·",AJ261/AI261)</f>
        <v>·</v>
      </c>
      <c r="AI261" s="21"/>
      <c r="AJ261" s="22"/>
      <c r="AK261" s="22">
        <v>0</v>
      </c>
      <c r="AL261" s="22"/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54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49"/>
        <v>·</v>
      </c>
      <c r="AD262" s="49" t="str">
        <f t="shared" si="50"/>
        <v>·</v>
      </c>
      <c r="AE262" s="49">
        <f t="shared" si="51"/>
        <v>0</v>
      </c>
      <c r="AF262" s="49" t="str">
        <f t="shared" si="52"/>
        <v>·</v>
      </c>
      <c r="AG262" s="50"/>
      <c r="AH262" s="49" t="str">
        <f t="shared" si="53"/>
        <v>·</v>
      </c>
      <c r="AI262" s="51"/>
      <c r="AJ262" s="52"/>
      <c r="AK262" s="52">
        <v>0</v>
      </c>
      <c r="AL262" s="52"/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54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>
        <f t="shared" si="45"/>
        <v>9.9302641002148487E-2</v>
      </c>
      <c r="K263" s="19">
        <f t="shared" si="46"/>
        <v>3.3447626058741393E-3</v>
      </c>
      <c r="L263" s="19">
        <f t="shared" si="47"/>
        <v>9.4997659466358325E-2</v>
      </c>
      <c r="M263" s="20"/>
      <c r="N263" s="19">
        <f t="shared" si="48"/>
        <v>0.27712027153767138</v>
      </c>
      <c r="O263" s="21">
        <v>179128</v>
      </c>
      <c r="P263" s="22">
        <v>49640</v>
      </c>
      <c r="Q263" s="22">
        <v>1672</v>
      </c>
      <c r="R263" s="22">
        <v>47488</v>
      </c>
      <c r="S263" s="23"/>
      <c r="T263" s="24">
        <v>46.8989306</v>
      </c>
      <c r="U263" s="24">
        <v>50.293195099999998</v>
      </c>
      <c r="V263" s="24">
        <v>20.624364199999999</v>
      </c>
      <c r="W263" s="24">
        <v>29.540520900000001</v>
      </c>
      <c r="X263" s="24">
        <v>32.144945800000002</v>
      </c>
      <c r="Y263" s="23"/>
      <c r="Z263" s="26">
        <v>0.28000000000000003</v>
      </c>
      <c r="AA263" s="26">
        <v>0.187</v>
      </c>
      <c r="AC263" s="18" t="str">
        <f t="shared" si="49"/>
        <v>·</v>
      </c>
      <c r="AD263" s="19">
        <f t="shared" si="50"/>
        <v>9.9254630055652687E-2</v>
      </c>
      <c r="AE263" s="19">
        <f t="shared" si="51"/>
        <v>3.3767699035380065E-3</v>
      </c>
      <c r="AF263" s="19">
        <f t="shared" si="52"/>
        <v>9.4997659466358325E-2</v>
      </c>
      <c r="AG263" s="20"/>
      <c r="AH263" s="19">
        <f t="shared" si="53"/>
        <v>0.27698628913402706</v>
      </c>
      <c r="AI263" s="21">
        <v>179128</v>
      </c>
      <c r="AJ263" s="22">
        <v>49616</v>
      </c>
      <c r="AK263" s="22">
        <v>1688</v>
      </c>
      <c r="AL263" s="22">
        <v>47488</v>
      </c>
      <c r="AM263" s="23"/>
      <c r="AN263" s="24">
        <v>46.8989306</v>
      </c>
      <c r="AO263" s="24">
        <v>50.293195099999998</v>
      </c>
      <c r="AP263" s="24">
        <v>20.624364199999999</v>
      </c>
      <c r="AQ263" s="24">
        <v>29.540520900000001</v>
      </c>
      <c r="AR263" s="24">
        <v>32.144945800000002</v>
      </c>
      <c r="AS263" s="25"/>
      <c r="AT263" s="26">
        <v>0.249</v>
      </c>
      <c r="AU263" s="26">
        <v>0.218</v>
      </c>
      <c r="AW263" s="27">
        <f t="shared" si="54"/>
        <v>3.3876935541835018E-4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5.2753465163808411E-3</v>
      </c>
      <c r="BA263" s="28">
        <f>IF( OR(ISBLANK(Q263:Q268),ISBLANK(AK263:AK268), ISBLANK(U263:U268),ISBLANK(AO263:AO268)), "·", bdRateExtend( Q263:Q268,U263:U268, AK263:AK268,AO263:AO268))</f>
        <v>5.6414031642377793E-3</v>
      </c>
      <c r="BB263" s="28">
        <f>IF( OR(ISBLANK(R263:R268),ISBLANK(AL263:AL268), ISBLANK(V263:V268),ISBLANK(AP263:AP268)), "·", bdRateExtend( R263:R268,V263:V268, AL263:AL268,AP263:AP268))</f>
        <v>0</v>
      </c>
      <c r="BC263" s="28">
        <f>IF( OR(ISBLANK(R263:R268),ISBLANK(AL263:AL268), ISBLANK(W263:W268),ISBLANK(AQ263:AQ268)), "·", bdRateExtend( R263:R268,W263:W268, AL263:AL268,AQ263:AQ268))</f>
        <v>0</v>
      </c>
      <c r="BD263" s="28">
        <f>IF( OR(ISBLANK(R263:R268),ISBLANK(AL263:AL268), ISBLANK(X263:X268),ISBLANK(AR263:AR268)), "·", bdRateExtend( R263:R268,X263:X268, AL263:AL268,AR263:AR268))</f>
        <v>0</v>
      </c>
      <c r="BE263" s="29"/>
      <c r="BG263" s="28">
        <f>IF( OR(ISBLANK(P263:P268),ISBLANK(AJ263:AJ268), ISBLANK(T263:T268),ISBLANK(AN263:AN268)), "·", bdRateExtend( P263:P268,T263:T268, AJ263:AJ268,AN263:AN268))</f>
        <v>-2.9117121335020535E-5</v>
      </c>
      <c r="BH263" s="28">
        <f>IF( OR(ISBLANK(P263:P268),ISBLANK(AJ263:AJ268), ISBLANK(U263:U268),ISBLANK(AO263:AO268)), "·", bdRateExtend( P263:P268,U263:U268, AJ263:AJ268,AO263:AO268))</f>
        <v>-1.6466754446886611E-5</v>
      </c>
      <c r="BI263" s="28">
        <f>IF( OR(ISBLANK(P263:P268),ISBLANK(AJ263:AJ268), ISBLANK(V263:V268),ISBLANK(AP263:AP268)), "·", bdRateExtend( P263:P268,V263:V268, AJ263:AJ268,AP263:AP268))</f>
        <v>9.7650783661418217E-6</v>
      </c>
      <c r="BJ263" s="28">
        <f>IF( OR(ISBLANK(P263:P268),ISBLANK(AJ263:AJ268), ISBLANK(W263:W268),ISBLANK(AQ263:AQ268)), "·", bdRateExtend( P263:P268,W263:W268, AJ263:AJ268,AQ263:AQ268))</f>
        <v>2.2895326042826625E-5</v>
      </c>
      <c r="BK263" s="28">
        <f>IF( OR(ISBLANK(P263:P268),ISBLANK(AJ263:AJ268), ISBLANK(X263:X268),ISBLANK(AR263:AR268)), "·", bdRateExtend( P263:P268,X263:X268, AJ263:AJ268,AR263:AR268))</f>
        <v>3.8647725857821058E-5</v>
      </c>
      <c r="BL263" s="29"/>
    </row>
    <row r="264" spans="1:64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>
        <f t="shared" si="45"/>
        <v>0.30398930956258025</v>
      </c>
      <c r="K264" s="34">
        <f t="shared" si="46"/>
        <v>1.1890711082126726E-2</v>
      </c>
      <c r="L264" s="34">
        <f t="shared" si="47"/>
        <v>0.29113837955053751</v>
      </c>
      <c r="M264" s="35"/>
      <c r="N264" s="34">
        <f t="shared" si="48"/>
        <v>0.80375324627240652</v>
      </c>
      <c r="O264" s="36">
        <v>189063</v>
      </c>
      <c r="P264" s="37">
        <v>151960</v>
      </c>
      <c r="Q264" s="37">
        <v>5944</v>
      </c>
      <c r="R264" s="37">
        <v>145536</v>
      </c>
      <c r="S264" s="38"/>
      <c r="T264" s="39">
        <v>55.431299000000003</v>
      </c>
      <c r="U264" s="39">
        <v>57.8345713</v>
      </c>
      <c r="V264" s="39">
        <v>23.4699566</v>
      </c>
      <c r="W264" s="39">
        <v>32.443091600000002</v>
      </c>
      <c r="X264" s="39">
        <v>34.227623700000002</v>
      </c>
      <c r="Y264" s="38"/>
      <c r="Z264" s="41">
        <v>0.32800000000000001</v>
      </c>
      <c r="AA264" s="41">
        <v>0.26500000000000001</v>
      </c>
      <c r="AC264" s="33" t="str">
        <f t="shared" si="49"/>
        <v>·</v>
      </c>
      <c r="AD264" s="34">
        <f t="shared" si="50"/>
        <v>0.30402131686024414</v>
      </c>
      <c r="AE264" s="34">
        <f t="shared" si="51"/>
        <v>1.1906714730958659E-2</v>
      </c>
      <c r="AF264" s="34">
        <f t="shared" si="52"/>
        <v>0.29113837955053751</v>
      </c>
      <c r="AG264" s="35"/>
      <c r="AH264" s="34">
        <f t="shared" si="53"/>
        <v>0.80383787414777086</v>
      </c>
      <c r="AI264" s="36">
        <v>189063</v>
      </c>
      <c r="AJ264" s="37">
        <v>151976</v>
      </c>
      <c r="AK264" s="37">
        <v>5952</v>
      </c>
      <c r="AL264" s="37">
        <v>145536</v>
      </c>
      <c r="AM264" s="38"/>
      <c r="AN264" s="39">
        <v>55.431299000000003</v>
      </c>
      <c r="AO264" s="39">
        <v>57.8345713</v>
      </c>
      <c r="AP264" s="39">
        <v>23.4699566</v>
      </c>
      <c r="AQ264" s="39">
        <v>32.443091600000002</v>
      </c>
      <c r="AR264" s="39">
        <v>34.227623700000002</v>
      </c>
      <c r="AS264" s="40"/>
      <c r="AT264" s="41">
        <v>0.28100000000000003</v>
      </c>
      <c r="AU264" s="41">
        <v>0.25</v>
      </c>
      <c r="AW264" s="42">
        <f t="shared" si="54"/>
        <v>4.8521813262571156E-5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>
        <f t="shared" si="45"/>
        <v>0.83873523163281227</v>
      </c>
      <c r="K265" s="19">
        <f t="shared" si="46"/>
        <v>4.8859139883893531E-2</v>
      </c>
      <c r="L265" s="19">
        <f t="shared" si="47"/>
        <v>0.78891587281900277</v>
      </c>
      <c r="M265" s="20"/>
      <c r="N265" s="19">
        <f t="shared" si="48"/>
        <v>1.8942184753979119</v>
      </c>
      <c r="O265" s="21">
        <v>221343</v>
      </c>
      <c r="P265" s="22">
        <v>419272</v>
      </c>
      <c r="Q265" s="22">
        <v>24424</v>
      </c>
      <c r="R265" s="22">
        <v>394368</v>
      </c>
      <c r="S265" s="23"/>
      <c r="T265" s="24">
        <v>60.203992599999999</v>
      </c>
      <c r="U265" s="24">
        <v>62.684333700000003</v>
      </c>
      <c r="V265" s="24">
        <v>25.650928400000002</v>
      </c>
      <c r="W265" s="24">
        <v>34.962989100000001</v>
      </c>
      <c r="X265" s="24">
        <v>36.452720999999997</v>
      </c>
      <c r="Y265" s="23"/>
      <c r="Z265" s="26">
        <v>0.46800000000000003</v>
      </c>
      <c r="AA265" s="26">
        <v>0.34200000000000003</v>
      </c>
      <c r="AC265" s="18" t="str">
        <f t="shared" si="49"/>
        <v>·</v>
      </c>
      <c r="AD265" s="19">
        <f t="shared" si="50"/>
        <v>0.83884725717463582</v>
      </c>
      <c r="AE265" s="19">
        <f t="shared" si="51"/>
        <v>4.9467278539507005E-2</v>
      </c>
      <c r="AF265" s="19">
        <f t="shared" si="52"/>
        <v>0.78891587281900277</v>
      </c>
      <c r="AG265" s="20"/>
      <c r="AH265" s="19">
        <f t="shared" si="53"/>
        <v>1.8944714763963622</v>
      </c>
      <c r="AI265" s="21">
        <v>221343</v>
      </c>
      <c r="AJ265" s="22">
        <v>419328</v>
      </c>
      <c r="AK265" s="22">
        <v>24728</v>
      </c>
      <c r="AL265" s="22">
        <v>394368</v>
      </c>
      <c r="AM265" s="23"/>
      <c r="AN265" s="24">
        <v>60.203992599999999</v>
      </c>
      <c r="AO265" s="24">
        <v>62.684333700000003</v>
      </c>
      <c r="AP265" s="24">
        <v>25.650928400000002</v>
      </c>
      <c r="AQ265" s="24">
        <v>34.962989100000001</v>
      </c>
      <c r="AR265" s="24">
        <v>36.452720999999997</v>
      </c>
      <c r="AS265" s="25"/>
      <c r="AT265" s="26">
        <v>0.42099999999999999</v>
      </c>
      <c r="AU265" s="26">
        <v>0.35899999999999999</v>
      </c>
      <c r="AW265" s="27">
        <f t="shared" si="54"/>
        <v>7.1718991388084602E-4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>
        <f t="shared" si="45"/>
        <v>2.0133710485990806</v>
      </c>
      <c r="K266" s="34">
        <f t="shared" si="46"/>
        <v>0.20068575635244837</v>
      </c>
      <c r="L266" s="34">
        <f t="shared" si="47"/>
        <v>1.8117250733167163</v>
      </c>
      <c r="M266" s="35"/>
      <c r="N266" s="34">
        <f t="shared" si="48"/>
        <v>3.6080416421698667</v>
      </c>
      <c r="O266" s="36">
        <v>278948</v>
      </c>
      <c r="P266" s="37">
        <v>1006456</v>
      </c>
      <c r="Q266" s="37">
        <v>100320</v>
      </c>
      <c r="R266" s="37">
        <v>905656</v>
      </c>
      <c r="S266" s="38"/>
      <c r="T266" s="39">
        <v>61.758085800000003</v>
      </c>
      <c r="U266" s="39">
        <v>64.425036000000006</v>
      </c>
      <c r="V266" s="39">
        <v>27.2224775</v>
      </c>
      <c r="W266" s="39">
        <v>37.170701700000002</v>
      </c>
      <c r="X266" s="39">
        <v>38.6224366</v>
      </c>
      <c r="Y266" s="38"/>
      <c r="Z266" s="41">
        <v>0.78</v>
      </c>
      <c r="AA266" s="41">
        <v>0.60899999999999999</v>
      </c>
      <c r="AC266" s="33" t="str">
        <f t="shared" si="49"/>
        <v>·</v>
      </c>
      <c r="AD266" s="34">
        <f t="shared" si="50"/>
        <v>2.0134670704920721</v>
      </c>
      <c r="AE266" s="34">
        <f t="shared" si="51"/>
        <v>0.20401451530949055</v>
      </c>
      <c r="AF266" s="34">
        <f t="shared" si="52"/>
        <v>1.8117250733167163</v>
      </c>
      <c r="AG266" s="35"/>
      <c r="AH266" s="34">
        <f t="shared" si="53"/>
        <v>3.6082137172519611</v>
      </c>
      <c r="AI266" s="36">
        <v>278948</v>
      </c>
      <c r="AJ266" s="37">
        <v>1006504</v>
      </c>
      <c r="AK266" s="37">
        <v>101984</v>
      </c>
      <c r="AL266" s="37">
        <v>905656</v>
      </c>
      <c r="AM266" s="38"/>
      <c r="AN266" s="39">
        <v>61.758085800000003</v>
      </c>
      <c r="AO266" s="39">
        <v>64.425036000000006</v>
      </c>
      <c r="AP266" s="39">
        <v>27.2224775</v>
      </c>
      <c r="AQ266" s="39">
        <v>37.170701700000002</v>
      </c>
      <c r="AR266" s="39">
        <v>38.6224366</v>
      </c>
      <c r="AS266" s="40"/>
      <c r="AT266" s="41">
        <v>0.749</v>
      </c>
      <c r="AU266" s="41">
        <v>0.63900000000000001</v>
      </c>
      <c r="AW266" s="42">
        <f t="shared" si="54"/>
        <v>1.648493725357969E-3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49"/>
        <v>·</v>
      </c>
      <c r="AD267" s="19" t="str">
        <f t="shared" si="50"/>
        <v>·</v>
      </c>
      <c r="AE267" s="19">
        <f t="shared" si="51"/>
        <v>0</v>
      </c>
      <c r="AF267" s="19" t="str">
        <f t="shared" si="52"/>
        <v>·</v>
      </c>
      <c r="AG267" s="20"/>
      <c r="AH267" s="19" t="str">
        <f t="shared" si="53"/>
        <v>·</v>
      </c>
      <c r="AI267" s="21"/>
      <c r="AJ267" s="22"/>
      <c r="AK267" s="22">
        <v>0</v>
      </c>
      <c r="AL267" s="22"/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54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49"/>
        <v>·</v>
      </c>
      <c r="AD268" s="49" t="str">
        <f t="shared" si="50"/>
        <v>·</v>
      </c>
      <c r="AE268" s="49">
        <f t="shared" si="51"/>
        <v>0</v>
      </c>
      <c r="AF268" s="49" t="str">
        <f t="shared" si="52"/>
        <v>·</v>
      </c>
      <c r="AG268" s="50"/>
      <c r="AH268" s="49" t="str">
        <f t="shared" si="53"/>
        <v>·</v>
      </c>
      <c r="AI268" s="51"/>
      <c r="AJ268" s="52"/>
      <c r="AK268" s="52">
        <v>0</v>
      </c>
      <c r="AL268" s="52"/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54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>
        <f t="shared" si="45"/>
        <v>3.0101664550185134E-2</v>
      </c>
      <c r="K269" s="19">
        <f t="shared" si="46"/>
        <v>4.0258896937978563E-3</v>
      </c>
      <c r="L269" s="19">
        <f t="shared" si="47"/>
        <v>2.603694272704046E-2</v>
      </c>
      <c r="M269" s="20"/>
      <c r="N269" s="19">
        <f t="shared" si="48"/>
        <v>0.11064729373622076</v>
      </c>
      <c r="O269" s="21">
        <v>17374415</v>
      </c>
      <c r="P269" s="22">
        <v>1922432</v>
      </c>
      <c r="Q269" s="22">
        <v>257112</v>
      </c>
      <c r="R269" s="22">
        <v>1662840</v>
      </c>
      <c r="S269" s="23"/>
      <c r="T269" s="24">
        <v>67.267676800000004</v>
      </c>
      <c r="U269" s="24">
        <v>70.884035100000006</v>
      </c>
      <c r="V269" s="24">
        <v>27.092221800000001</v>
      </c>
      <c r="W269" s="24">
        <v>38.986384600000001</v>
      </c>
      <c r="X269" s="24">
        <v>37.439812500000002</v>
      </c>
      <c r="Y269" s="23"/>
      <c r="Z269" s="26">
        <v>28.305</v>
      </c>
      <c r="AA269" s="26">
        <v>16.919</v>
      </c>
      <c r="AC269" s="18" t="str">
        <f t="shared" si="49"/>
        <v>·</v>
      </c>
      <c r="AD269" s="19">
        <f t="shared" si="50"/>
        <v>3.0105297233253062E-2</v>
      </c>
      <c r="AE269" s="19">
        <f t="shared" si="51"/>
        <v>4.0263907535313635E-3</v>
      </c>
      <c r="AF269" s="19">
        <f t="shared" si="52"/>
        <v>2.603694272704046E-2</v>
      </c>
      <c r="AG269" s="20"/>
      <c r="AH269" s="19">
        <f t="shared" si="53"/>
        <v>0.11066064670378831</v>
      </c>
      <c r="AI269" s="21">
        <v>17374415</v>
      </c>
      <c r="AJ269" s="22">
        <v>1922664</v>
      </c>
      <c r="AK269" s="22">
        <v>257144</v>
      </c>
      <c r="AL269" s="22">
        <v>1662840</v>
      </c>
      <c r="AM269" s="23"/>
      <c r="AN269" s="24">
        <v>67.267676800000004</v>
      </c>
      <c r="AO269" s="24">
        <v>70.884035100000006</v>
      </c>
      <c r="AP269" s="24">
        <v>27.092221800000001</v>
      </c>
      <c r="AQ269" s="24">
        <v>38.986384600000001</v>
      </c>
      <c r="AR269" s="24">
        <v>37.439812500000002</v>
      </c>
      <c r="AS269" s="25"/>
      <c r="AT269" s="26">
        <v>28.475999999999999</v>
      </c>
      <c r="AU269" s="26">
        <v>16.794</v>
      </c>
      <c r="AW269" s="27">
        <f t="shared" si="54"/>
        <v>5.0534187806539066E-7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5.4827740517224832E-3</v>
      </c>
      <c r="BA269" s="28">
        <f>IF( OR(ISBLANK(Q269:Q274),ISBLANK(AK269:AK274), ISBLANK(U269:U274),ISBLANK(AO269:AO274)), "·", bdRateExtend( Q269:Q274,U269:U274, AK269:AK274,AO269:AO274))</f>
        <v>5.6160121493413762E-3</v>
      </c>
      <c r="BB269" s="28">
        <f>IF( OR(ISBLANK(R269:R274),ISBLANK(AL269:AL274), ISBLANK(V269:V274),ISBLANK(AP269:AP274)), "·", bdRateExtend( R269:R274,V269:V274, AL269:AL274,AP269:AP274))</f>
        <v>0</v>
      </c>
      <c r="BC269" s="28">
        <f>IF( OR(ISBLANK(R269:R274),ISBLANK(AL269:AL274), ISBLANK(W269:W274),ISBLANK(AQ269:AQ274)), "·", bdRateExtend( R269:R274,W269:W274, AL269:AL274,AQ269:AQ274))</f>
        <v>0</v>
      </c>
      <c r="BD269" s="28">
        <f>IF( OR(ISBLANK(R269:R274),ISBLANK(AL269:AL274), ISBLANK(X269:X274),ISBLANK(AR269:AR274)), "·", bdRateExtend( R269:R274,X269:X274, AL269:AL274,AR269:AR274))</f>
        <v>0</v>
      </c>
      <c r="BE269" s="29"/>
      <c r="BG269" s="28">
        <f>IF( OR(ISBLANK(P269:P274),ISBLANK(AJ269:AJ274), ISBLANK(T269:T274),ISBLANK(AN269:AN274)), "·", bdRateExtend( P269:P274,T269:T274, AJ269:AJ274,AN269:AN274))</f>
        <v>2.3905783294653205E-4</v>
      </c>
      <c r="BH269" s="28">
        <f>IF( OR(ISBLANK(P269:P274),ISBLANK(AJ269:AJ274), ISBLANK(U269:U274),ISBLANK(AO269:AO274)), "·", bdRateExtend( P269:P274,U269:U274, AJ269:AJ274,AO269:AO274))</f>
        <v>2.3703604237601539E-4</v>
      </c>
      <c r="BI269" s="28">
        <f>IF( OR(ISBLANK(P269:P274),ISBLANK(AJ269:AJ274), ISBLANK(V269:V274),ISBLANK(AP269:AP274)), "·", bdRateExtend( P269:P274,V269:V274, AJ269:AJ274,AP269:AP274))</f>
        <v>2.3940714076342573E-4</v>
      </c>
      <c r="BJ269" s="28">
        <f>IF( OR(ISBLANK(P269:P274),ISBLANK(AJ269:AJ274), ISBLANK(W269:W274),ISBLANK(AQ269:AQ274)), "·", bdRateExtend( P269:P274,W269:W274, AJ269:AJ274,AQ269:AQ274))</f>
        <v>2.4014400033012251E-4</v>
      </c>
      <c r="BK269" s="28">
        <f>IF( OR(ISBLANK(P269:P274),ISBLANK(AJ269:AJ274), ISBLANK(X269:X274),ISBLANK(AR269:AR274)), "·", bdRateExtend( P269:P274,X269:X274, AJ269:AJ274,AR269:AR274))</f>
        <v>2.407740396621616E-4</v>
      </c>
      <c r="BL269" s="29"/>
    </row>
    <row r="270" spans="1:64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>
        <f t="shared" si="45"/>
        <v>6.9994036293103093E-2</v>
      </c>
      <c r="K270" s="34">
        <f t="shared" si="46"/>
        <v>1.1727052532871828E-2</v>
      </c>
      <c r="L270" s="34">
        <f t="shared" si="47"/>
        <v>5.8228151630884455E-2</v>
      </c>
      <c r="M270" s="35"/>
      <c r="N270" s="34">
        <f t="shared" si="48"/>
        <v>0.29805208235680525</v>
      </c>
      <c r="O270" s="36">
        <v>14997862</v>
      </c>
      <c r="P270" s="37">
        <v>4470144</v>
      </c>
      <c r="Q270" s="37">
        <v>748944</v>
      </c>
      <c r="R270" s="37">
        <v>3718720</v>
      </c>
      <c r="S270" s="38"/>
      <c r="T270" s="39">
        <v>72.223116899999994</v>
      </c>
      <c r="U270" s="39">
        <v>76.594861100000003</v>
      </c>
      <c r="V270" s="39">
        <v>29.576706300000001</v>
      </c>
      <c r="W270" s="39">
        <v>41.752726799999998</v>
      </c>
      <c r="X270" s="39">
        <v>39.938677200000001</v>
      </c>
      <c r="Y270" s="38"/>
      <c r="Z270" s="41">
        <v>27.847000000000001</v>
      </c>
      <c r="AA270" s="41">
        <v>15.039</v>
      </c>
      <c r="AC270" s="33" t="str">
        <f t="shared" si="49"/>
        <v>·</v>
      </c>
      <c r="AD270" s="34">
        <f t="shared" si="50"/>
        <v>7.0013327092843122E-2</v>
      </c>
      <c r="AE270" s="34">
        <f t="shared" si="51"/>
        <v>1.1714275509667391E-2</v>
      </c>
      <c r="AF270" s="34">
        <f t="shared" si="52"/>
        <v>5.8228151630884455E-2</v>
      </c>
      <c r="AG270" s="35"/>
      <c r="AH270" s="34">
        <f t="shared" si="53"/>
        <v>0.29813422739854523</v>
      </c>
      <c r="AI270" s="36">
        <v>14997862</v>
      </c>
      <c r="AJ270" s="37">
        <v>4471376</v>
      </c>
      <c r="AK270" s="37">
        <v>748128</v>
      </c>
      <c r="AL270" s="37">
        <v>3718720</v>
      </c>
      <c r="AM270" s="38"/>
      <c r="AN270" s="39">
        <v>72.223116899999994</v>
      </c>
      <c r="AO270" s="39">
        <v>76.594861100000003</v>
      </c>
      <c r="AP270" s="39">
        <v>29.576706300000001</v>
      </c>
      <c r="AQ270" s="39">
        <v>41.752726799999998</v>
      </c>
      <c r="AR270" s="39">
        <v>39.938677200000001</v>
      </c>
      <c r="AS270" s="40"/>
      <c r="AT270" s="41">
        <v>27.896999999999998</v>
      </c>
      <c r="AU270" s="41">
        <v>15.041</v>
      </c>
      <c r="AW270" s="42">
        <f t="shared" si="54"/>
        <v>-2.2865751172845838E-4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>
        <f t="shared" si="45"/>
        <v>0.19354597170600238</v>
      </c>
      <c r="K271" s="19">
        <f t="shared" si="46"/>
        <v>4.6793342187580765E-2</v>
      </c>
      <c r="L271" s="19">
        <f t="shared" si="47"/>
        <v>0.14671254473974105</v>
      </c>
      <c r="M271" s="20"/>
      <c r="N271" s="19">
        <f t="shared" si="48"/>
        <v>0.72964527325164552</v>
      </c>
      <c r="O271" s="21">
        <v>16940758</v>
      </c>
      <c r="P271" s="22">
        <v>12360744</v>
      </c>
      <c r="Q271" s="22">
        <v>2988440</v>
      </c>
      <c r="R271" s="22">
        <v>9369744</v>
      </c>
      <c r="S271" s="23"/>
      <c r="T271" s="24">
        <v>76.638013400000006</v>
      </c>
      <c r="U271" s="24">
        <v>80.999489400000002</v>
      </c>
      <c r="V271" s="24">
        <v>32.016514399999998</v>
      </c>
      <c r="W271" s="24">
        <v>44.695193799999998</v>
      </c>
      <c r="X271" s="24">
        <v>42.8268512</v>
      </c>
      <c r="Y271" s="23"/>
      <c r="Z271" s="26">
        <v>44.287999999999997</v>
      </c>
      <c r="AA271" s="26">
        <v>23.521999999999998</v>
      </c>
      <c r="AC271" s="18" t="str">
        <f t="shared" si="49"/>
        <v>·</v>
      </c>
      <c r="AD271" s="19">
        <f t="shared" si="50"/>
        <v>0.19359457450015261</v>
      </c>
      <c r="AE271" s="19">
        <f t="shared" si="51"/>
        <v>4.7254818202140995E-2</v>
      </c>
      <c r="AF271" s="19">
        <f t="shared" si="52"/>
        <v>0.14671254473974105</v>
      </c>
      <c r="AG271" s="20"/>
      <c r="AH271" s="19">
        <f t="shared" si="53"/>
        <v>0.72982849999982291</v>
      </c>
      <c r="AI271" s="21">
        <v>16940758</v>
      </c>
      <c r="AJ271" s="22">
        <v>12363848</v>
      </c>
      <c r="AK271" s="22">
        <v>3017912</v>
      </c>
      <c r="AL271" s="22">
        <v>9369744</v>
      </c>
      <c r="AM271" s="23"/>
      <c r="AN271" s="24">
        <v>76.638013400000006</v>
      </c>
      <c r="AO271" s="24">
        <v>80.999489400000002</v>
      </c>
      <c r="AP271" s="24">
        <v>32.016514399999998</v>
      </c>
      <c r="AQ271" s="24">
        <v>44.695193799999998</v>
      </c>
      <c r="AR271" s="24">
        <v>42.8268512</v>
      </c>
      <c r="AS271" s="25"/>
      <c r="AT271" s="26">
        <v>43.774999999999999</v>
      </c>
      <c r="AU271" s="26">
        <v>23.35</v>
      </c>
      <c r="AW271" s="27">
        <f t="shared" si="54"/>
        <v>2.3230267962129902E-3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>
        <f t="shared" si="45"/>
        <v>0.49727598092972919</v>
      </c>
      <c r="K272" s="34">
        <f t="shared" si="46"/>
        <v>0.16141138255204474</v>
      </c>
      <c r="L272" s="34">
        <f t="shared" si="47"/>
        <v>0.33582576624833765</v>
      </c>
      <c r="M272" s="35"/>
      <c r="N272" s="34">
        <f t="shared" si="48"/>
        <v>1.5538285440296691</v>
      </c>
      <c r="O272" s="36">
        <v>20438775</v>
      </c>
      <c r="P272" s="37">
        <v>31758352</v>
      </c>
      <c r="Q272" s="37">
        <v>10308480</v>
      </c>
      <c r="R272" s="37">
        <v>21447392</v>
      </c>
      <c r="S272" s="38"/>
      <c r="T272" s="39">
        <v>79.332207100000005</v>
      </c>
      <c r="U272" s="39">
        <v>84.097035500000004</v>
      </c>
      <c r="V272" s="39">
        <v>34.065140700000001</v>
      </c>
      <c r="W272" s="39">
        <v>47.244600200000001</v>
      </c>
      <c r="X272" s="39">
        <v>45.469904800000002</v>
      </c>
      <c r="Y272" s="38"/>
      <c r="Z272" s="41">
        <v>82.587000000000003</v>
      </c>
      <c r="AA272" s="41">
        <v>46.73</v>
      </c>
      <c r="AC272" s="33" t="str">
        <f t="shared" si="49"/>
        <v>·</v>
      </c>
      <c r="AD272" s="34">
        <f t="shared" si="50"/>
        <v>0.49738120347376569</v>
      </c>
      <c r="AE272" s="34">
        <f t="shared" si="51"/>
        <v>0.16806332630915438</v>
      </c>
      <c r="AF272" s="34">
        <f t="shared" si="52"/>
        <v>0.33582576624833765</v>
      </c>
      <c r="AG272" s="35"/>
      <c r="AH272" s="34">
        <f t="shared" si="53"/>
        <v>1.5541573308576468</v>
      </c>
      <c r="AI272" s="36">
        <v>20438775</v>
      </c>
      <c r="AJ272" s="37">
        <v>31765072</v>
      </c>
      <c r="AK272" s="37">
        <v>10733304</v>
      </c>
      <c r="AL272" s="37">
        <v>21447392</v>
      </c>
      <c r="AM272" s="38"/>
      <c r="AN272" s="39">
        <v>79.332207100000005</v>
      </c>
      <c r="AO272" s="39">
        <v>84.097035500000004</v>
      </c>
      <c r="AP272" s="39">
        <v>34.065140700000001</v>
      </c>
      <c r="AQ272" s="39">
        <v>47.244600200000001</v>
      </c>
      <c r="AR272" s="39">
        <v>45.469904800000002</v>
      </c>
      <c r="AS272" s="40"/>
      <c r="AT272" s="41">
        <v>81.102999999999994</v>
      </c>
      <c r="AU272" s="41">
        <v>45.570999999999998</v>
      </c>
      <c r="AW272" s="42">
        <f t="shared" si="54"/>
        <v>1.3305266472291633E-2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49"/>
        <v>·</v>
      </c>
      <c r="AD273" s="19" t="str">
        <f t="shared" si="50"/>
        <v>·</v>
      </c>
      <c r="AE273" s="19">
        <f t="shared" si="51"/>
        <v>0</v>
      </c>
      <c r="AF273" s="19" t="str">
        <f t="shared" si="52"/>
        <v>·</v>
      </c>
      <c r="AG273" s="20"/>
      <c r="AH273" s="19" t="str">
        <f t="shared" si="53"/>
        <v>·</v>
      </c>
      <c r="AI273" s="21"/>
      <c r="AJ273" s="22"/>
      <c r="AK273" s="22">
        <v>0</v>
      </c>
      <c r="AL273" s="22"/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54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49"/>
        <v>·</v>
      </c>
      <c r="AD274" s="49" t="str">
        <f t="shared" si="50"/>
        <v>·</v>
      </c>
      <c r="AE274" s="49">
        <f t="shared" si="51"/>
        <v>0</v>
      </c>
      <c r="AF274" s="49" t="str">
        <f t="shared" si="52"/>
        <v>·</v>
      </c>
      <c r="AG274" s="50"/>
      <c r="AH274" s="49" t="str">
        <f t="shared" si="53"/>
        <v>·</v>
      </c>
      <c r="AI274" s="51"/>
      <c r="AJ274" s="52"/>
      <c r="AK274" s="52">
        <v>0</v>
      </c>
      <c r="AL274" s="52"/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54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15">
      <c r="A275" s="15"/>
      <c r="B275" s="15" t="s">
        <v>1047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>
        <f t="shared" si="45"/>
        <v>0.24631142275372106</v>
      </c>
      <c r="K275" s="19">
        <f t="shared" si="46"/>
        <v>3.568670052497204E-2</v>
      </c>
      <c r="L275" s="19">
        <f t="shared" si="47"/>
        <v>0.21582395014340369</v>
      </c>
      <c r="M275" s="20"/>
      <c r="N275" s="19">
        <f t="shared" si="48"/>
        <v>0.30522271465192435</v>
      </c>
      <c r="O275" s="21">
        <v>1614218</v>
      </c>
      <c r="P275" s="22">
        <v>492696</v>
      </c>
      <c r="Q275" s="22">
        <v>71384</v>
      </c>
      <c r="R275" s="22">
        <v>431712</v>
      </c>
      <c r="S275" s="23"/>
      <c r="T275" s="24">
        <v>60.251482199999998</v>
      </c>
      <c r="U275" s="24">
        <v>61.134673499999998</v>
      </c>
      <c r="V275" s="24">
        <v>25.0195936</v>
      </c>
      <c r="W275" s="24">
        <v>36.1083377</v>
      </c>
      <c r="X275" s="24">
        <v>35.021937000000001</v>
      </c>
      <c r="Y275" s="23"/>
      <c r="Z275" s="26">
        <v>8.7650000000000006</v>
      </c>
      <c r="AA275" s="26">
        <v>1.9039999999999999</v>
      </c>
      <c r="AC275" s="18" t="str">
        <f t="shared" si="49"/>
        <v>·</v>
      </c>
      <c r="AD275" s="19">
        <f t="shared" si="50"/>
        <v>0.24641540731201417</v>
      </c>
      <c r="AE275" s="19">
        <f t="shared" si="51"/>
        <v>3.6390595996494524E-2</v>
      </c>
      <c r="AF275" s="19">
        <f t="shared" si="52"/>
        <v>0.21582395014340369</v>
      </c>
      <c r="AG275" s="20"/>
      <c r="AH275" s="19">
        <f t="shared" si="53"/>
        <v>0.30535156961451304</v>
      </c>
      <c r="AI275" s="21">
        <v>1614218</v>
      </c>
      <c r="AJ275" s="22">
        <v>492904</v>
      </c>
      <c r="AK275" s="22">
        <v>72792</v>
      </c>
      <c r="AL275" s="22">
        <v>431712</v>
      </c>
      <c r="AM275" s="23"/>
      <c r="AN275" s="24">
        <v>60.251482199999998</v>
      </c>
      <c r="AO275" s="24">
        <v>61.134673499999998</v>
      </c>
      <c r="AP275" s="24">
        <v>25.0195936</v>
      </c>
      <c r="AQ275" s="24">
        <v>36.1083377</v>
      </c>
      <c r="AR275" s="24">
        <v>35.021937000000001</v>
      </c>
      <c r="AS275" s="25"/>
      <c r="AT275" s="26">
        <v>8.7330000000000005</v>
      </c>
      <c r="AU275" s="26">
        <v>1.9359999999999999</v>
      </c>
      <c r="AW275" s="27">
        <f t="shared" si="54"/>
        <v>2.7954003817103057E-3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1.9248354888415475E-2</v>
      </c>
      <c r="BA275" s="28">
        <f>IF( OR(ISBLANK(Q275:Q280),ISBLANK(AK275:AK280), ISBLANK(U275:U280),ISBLANK(AO275:AO280)), "·", bdRateExtend( Q275:Q280,U275:U280, AK275:AK280,AO275:AO280))</f>
        <v>1.9248354888414587E-2</v>
      </c>
      <c r="BB275" s="28">
        <f>IF( OR(ISBLANK(R275:R280),ISBLANK(AL275:AL280), ISBLANK(V275:V280),ISBLANK(AP275:AP280)), "·", bdRateExtend( R275:R280,V275:V280, AL275:AL280,AP275:AP280))</f>
        <v>0</v>
      </c>
      <c r="BC275" s="28">
        <f>IF( OR(ISBLANK(R275:R280),ISBLANK(AL275:AL280), ISBLANK(W275:W280),ISBLANK(AQ275:AQ280)), "·", bdRateExtend( R275:R280,W275:W280, AL275:AL280,AQ275:AQ280))</f>
        <v>0</v>
      </c>
      <c r="BD275" s="28">
        <f>IF( OR(ISBLANK(R275:R280),ISBLANK(AL275:AL280), ISBLANK(X275:X280),ISBLANK(AR275:AR280)), "·", bdRateExtend( R275:R280,X275:X280, AL275:AL280,AR275:AR280))</f>
        <v>0</v>
      </c>
      <c r="BE275" s="29"/>
      <c r="BG275" s="28">
        <f>IF( OR(ISBLANK(P275:P280),ISBLANK(AJ275:AJ280), ISBLANK(T275:T280),ISBLANK(AN275:AN280)), "·", bdRateExtend( P275:P280,T275:T280, AJ275:AJ280,AN275:AN280))</f>
        <v>3.4145005672403528E-4</v>
      </c>
      <c r="BH275" s="28">
        <f>IF( OR(ISBLANK(P275:P280),ISBLANK(AJ275:AJ280), ISBLANK(U275:U280),ISBLANK(AO275:AO280)), "·", bdRateExtend( P275:P280,U275:U280, AJ275:AJ280,AO275:AO280))</f>
        <v>3.4145005672270301E-4</v>
      </c>
      <c r="BI275" s="28">
        <f>IF( OR(ISBLANK(P275:P280),ISBLANK(AJ275:AJ280), ISBLANK(V275:V280),ISBLANK(AP275:AP280)), "·", bdRateExtend( P275:P280,V275:V280, AJ275:AJ280,AP275:AP280))</f>
        <v>3.414500567231471E-4</v>
      </c>
      <c r="BJ275" s="28">
        <f>IF( OR(ISBLANK(P275:P280),ISBLANK(AJ275:AJ280), ISBLANK(W275:W280),ISBLANK(AQ275:AQ280)), "·", bdRateExtend( P275:P280,W275:W280, AJ275:AJ280,AQ275:AQ280))</f>
        <v>3.4145005672536755E-4</v>
      </c>
      <c r="BK275" s="28">
        <f>IF( OR(ISBLANK(P275:P280),ISBLANK(AJ275:AJ280), ISBLANK(X275:X280),ISBLANK(AR275:AR280)), "·", bdRateExtend( P275:P280,X275:X280, AJ275:AJ280,AR275:AR280))</f>
        <v>3.4145005672403528E-4</v>
      </c>
      <c r="BL275" s="29"/>
    </row>
    <row r="276" spans="1:64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>
        <f t="shared" si="45"/>
        <v>0.62888661033836479</v>
      </c>
      <c r="K276" s="34">
        <f t="shared" si="46"/>
        <v>0.14252683476503739</v>
      </c>
      <c r="L276" s="34">
        <f t="shared" si="47"/>
        <v>0.50707669911018216</v>
      </c>
      <c r="M276" s="35"/>
      <c r="N276" s="34">
        <f t="shared" si="48"/>
        <v>0.76405174094542561</v>
      </c>
      <c r="O276" s="36">
        <v>1646433</v>
      </c>
      <c r="P276" s="37">
        <v>1257960</v>
      </c>
      <c r="Q276" s="37">
        <v>285096</v>
      </c>
      <c r="R276" s="37">
        <v>1014304</v>
      </c>
      <c r="S276" s="38"/>
      <c r="T276" s="39">
        <v>65.193117000000001</v>
      </c>
      <c r="U276" s="39">
        <v>68.409656499999997</v>
      </c>
      <c r="V276" s="39">
        <v>27.545340800000002</v>
      </c>
      <c r="W276" s="39">
        <v>38.862092699999998</v>
      </c>
      <c r="X276" s="39">
        <v>37.684565800000001</v>
      </c>
      <c r="Y276" s="38"/>
      <c r="Z276" s="41">
        <v>12.013999999999999</v>
      </c>
      <c r="AA276" s="41">
        <v>2.56</v>
      </c>
      <c r="AC276" s="33" t="str">
        <f t="shared" si="49"/>
        <v>·</v>
      </c>
      <c r="AD276" s="34">
        <f t="shared" si="50"/>
        <v>0.6290505859879808</v>
      </c>
      <c r="AE276" s="34">
        <f t="shared" si="51"/>
        <v>0.14520243743804045</v>
      </c>
      <c r="AF276" s="34">
        <f t="shared" si="52"/>
        <v>0.50707669911018216</v>
      </c>
      <c r="AG276" s="35"/>
      <c r="AH276" s="34">
        <f t="shared" si="53"/>
        <v>0.76425095949850375</v>
      </c>
      <c r="AI276" s="36">
        <v>1646433</v>
      </c>
      <c r="AJ276" s="37">
        <v>1258288</v>
      </c>
      <c r="AK276" s="37">
        <v>290448</v>
      </c>
      <c r="AL276" s="37">
        <v>1014304</v>
      </c>
      <c r="AM276" s="38"/>
      <c r="AN276" s="39">
        <v>65.193117000000001</v>
      </c>
      <c r="AO276" s="39">
        <v>68.409656499999997</v>
      </c>
      <c r="AP276" s="39">
        <v>27.545340800000002</v>
      </c>
      <c r="AQ276" s="39">
        <v>38.862092699999998</v>
      </c>
      <c r="AR276" s="39">
        <v>37.684565800000001</v>
      </c>
      <c r="AS276" s="40"/>
      <c r="AT276" s="41">
        <v>11.531000000000001</v>
      </c>
      <c r="AU276" s="41">
        <v>2.4830000000000001</v>
      </c>
      <c r="AW276" s="42">
        <f t="shared" si="54"/>
        <v>4.194321316027122E-3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4"/>
      <c r="X277" s="24"/>
      <c r="Y277" s="23"/>
      <c r="Z277" s="26"/>
      <c r="AA277" s="26"/>
      <c r="AC277" s="18" t="str">
        <f t="shared" si="49"/>
        <v>·</v>
      </c>
      <c r="AD277" s="19" t="str">
        <f t="shared" si="50"/>
        <v>·</v>
      </c>
      <c r="AE277" s="19">
        <f t="shared" si="51"/>
        <v>0.25526209357910351</v>
      </c>
      <c r="AF277" s="19" t="str">
        <f t="shared" si="52"/>
        <v>·</v>
      </c>
      <c r="AG277" s="20"/>
      <c r="AH277" s="19" t="str">
        <f t="shared" si="53"/>
        <v>·</v>
      </c>
      <c r="AI277" s="21"/>
      <c r="AJ277" s="22"/>
      <c r="AK277" s="22">
        <v>510600</v>
      </c>
      <c r="AL277" s="22"/>
      <c r="AM277" s="23"/>
      <c r="AN277" s="24"/>
      <c r="AO277" s="24"/>
      <c r="AP277" s="24"/>
      <c r="AQ277" s="24"/>
      <c r="AR277" s="24"/>
      <c r="AS277" s="25"/>
      <c r="AT277" s="26"/>
      <c r="AU277" s="26"/>
      <c r="AW277" s="27" t="e">
        <f t="shared" si="54"/>
        <v>#DIV/0!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9"/>
      <c r="X278" s="39"/>
      <c r="Y278" s="38"/>
      <c r="Z278" s="41"/>
      <c r="AA278" s="41"/>
      <c r="AC278" s="33" t="str">
        <f t="shared" si="49"/>
        <v>·</v>
      </c>
      <c r="AD278" s="34" t="str">
        <f t="shared" si="50"/>
        <v>·</v>
      </c>
      <c r="AE278" s="34">
        <f t="shared" si="51"/>
        <v>1.5255814511545036</v>
      </c>
      <c r="AF278" s="34" t="str">
        <f t="shared" si="52"/>
        <v>·</v>
      </c>
      <c r="AG278" s="35"/>
      <c r="AH278" s="34" t="str">
        <f t="shared" si="53"/>
        <v>·</v>
      </c>
      <c r="AI278" s="36"/>
      <c r="AJ278" s="37"/>
      <c r="AK278" s="37">
        <v>3051616</v>
      </c>
      <c r="AL278" s="37"/>
      <c r="AM278" s="38"/>
      <c r="AN278" s="39"/>
      <c r="AO278" s="39"/>
      <c r="AP278" s="39"/>
      <c r="AQ278" s="39"/>
      <c r="AR278" s="39"/>
      <c r="AS278" s="40"/>
      <c r="AT278" s="41"/>
      <c r="AU278" s="41"/>
      <c r="AW278" s="42" t="e">
        <f t="shared" si="54"/>
        <v>#DIV/0!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49"/>
        <v>·</v>
      </c>
      <c r="AD279" s="19" t="str">
        <f t="shared" si="50"/>
        <v>·</v>
      </c>
      <c r="AE279" s="19">
        <f t="shared" si="51"/>
        <v>0</v>
      </c>
      <c r="AF279" s="19" t="str">
        <f t="shared" si="52"/>
        <v>·</v>
      </c>
      <c r="AG279" s="20"/>
      <c r="AH279" s="19" t="str">
        <f t="shared" si="53"/>
        <v>·</v>
      </c>
      <c r="AI279" s="21"/>
      <c r="AJ279" s="22"/>
      <c r="AK279" s="22">
        <v>0</v>
      </c>
      <c r="AL279" s="22"/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54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49"/>
        <v>·</v>
      </c>
      <c r="AD280" s="49" t="str">
        <f t="shared" si="50"/>
        <v>·</v>
      </c>
      <c r="AE280" s="49">
        <f t="shared" si="51"/>
        <v>0</v>
      </c>
      <c r="AF280" s="49" t="str">
        <f t="shared" si="52"/>
        <v>·</v>
      </c>
      <c r="AG280" s="50"/>
      <c r="AH280" s="49" t="str">
        <f t="shared" si="53"/>
        <v>·</v>
      </c>
      <c r="AI280" s="51"/>
      <c r="AJ280" s="52"/>
      <c r="AK280" s="52">
        <v>0</v>
      </c>
      <c r="AL280" s="52"/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54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49"/>
        <v>·</v>
      </c>
      <c r="AD281" s="19" t="str">
        <f t="shared" si="50"/>
        <v>·</v>
      </c>
      <c r="AE281" s="19" t="str">
        <f t="shared" si="51"/>
        <v>·</v>
      </c>
      <c r="AF281" s="19" t="str">
        <f t="shared" si="52"/>
        <v>·</v>
      </c>
      <c r="AG281" s="19" t="str">
        <f t="shared" ref="AG281:AG312" si="56">IF(ISBLANK(AK281),"·",AM281/D281)</f>
        <v>·</v>
      </c>
      <c r="AH281" s="19" t="str">
        <f t="shared" si="53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54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49"/>
        <v>·</v>
      </c>
      <c r="AD282" s="34" t="str">
        <f t="shared" si="50"/>
        <v>·</v>
      </c>
      <c r="AE282" s="34" t="str">
        <f t="shared" si="51"/>
        <v>·</v>
      </c>
      <c r="AF282" s="34" t="str">
        <f t="shared" si="52"/>
        <v>·</v>
      </c>
      <c r="AG282" s="34" t="str">
        <f t="shared" si="56"/>
        <v>·</v>
      </c>
      <c r="AH282" s="34" t="str">
        <f t="shared" si="53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54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49"/>
        <v>·</v>
      </c>
      <c r="AD283" s="19" t="str">
        <f t="shared" si="50"/>
        <v>·</v>
      </c>
      <c r="AE283" s="19" t="str">
        <f t="shared" si="51"/>
        <v>·</v>
      </c>
      <c r="AF283" s="19" t="str">
        <f t="shared" si="52"/>
        <v>·</v>
      </c>
      <c r="AG283" s="19" t="str">
        <f t="shared" si="56"/>
        <v>·</v>
      </c>
      <c r="AH283" s="19" t="str">
        <f t="shared" si="53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54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49"/>
        <v>·</v>
      </c>
      <c r="AD284" s="34" t="str">
        <f t="shared" si="50"/>
        <v>·</v>
      </c>
      <c r="AE284" s="34" t="str">
        <f t="shared" si="51"/>
        <v>·</v>
      </c>
      <c r="AF284" s="34" t="str">
        <f t="shared" si="52"/>
        <v>·</v>
      </c>
      <c r="AG284" s="34" t="str">
        <f t="shared" si="56"/>
        <v>·</v>
      </c>
      <c r="AH284" s="34" t="str">
        <f t="shared" si="53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54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49"/>
        <v>·</v>
      </c>
      <c r="AD285" s="19" t="str">
        <f t="shared" si="50"/>
        <v>·</v>
      </c>
      <c r="AE285" s="19" t="str">
        <f t="shared" si="51"/>
        <v>·</v>
      </c>
      <c r="AF285" s="19" t="str">
        <f t="shared" si="52"/>
        <v>·</v>
      </c>
      <c r="AG285" s="19" t="str">
        <f t="shared" si="56"/>
        <v>·</v>
      </c>
      <c r="AH285" s="19" t="str">
        <f t="shared" si="53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54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49"/>
        <v>·</v>
      </c>
      <c r="AD286" s="49" t="str">
        <f t="shared" si="50"/>
        <v>·</v>
      </c>
      <c r="AE286" s="49" t="str">
        <f t="shared" si="51"/>
        <v>·</v>
      </c>
      <c r="AF286" s="49" t="str">
        <f t="shared" si="52"/>
        <v>·</v>
      </c>
      <c r="AG286" s="49" t="str">
        <f t="shared" si="56"/>
        <v>·</v>
      </c>
      <c r="AH286" s="49" t="str">
        <f t="shared" si="53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54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49"/>
        <v>·</v>
      </c>
      <c r="AD287" s="19" t="str">
        <f t="shared" si="50"/>
        <v>·</v>
      </c>
      <c r="AE287" s="19" t="str">
        <f t="shared" si="51"/>
        <v>·</v>
      </c>
      <c r="AF287" s="19" t="str">
        <f t="shared" si="52"/>
        <v>·</v>
      </c>
      <c r="AG287" s="19" t="str">
        <f t="shared" si="56"/>
        <v>·</v>
      </c>
      <c r="AH287" s="19" t="str">
        <f t="shared" si="53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54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49"/>
        <v>·</v>
      </c>
      <c r="AD288" s="34" t="str">
        <f t="shared" si="50"/>
        <v>·</v>
      </c>
      <c r="AE288" s="34" t="str">
        <f t="shared" si="51"/>
        <v>·</v>
      </c>
      <c r="AF288" s="34" t="str">
        <f t="shared" si="52"/>
        <v>·</v>
      </c>
      <c r="AG288" s="34" t="str">
        <f t="shared" si="56"/>
        <v>·</v>
      </c>
      <c r="AH288" s="34" t="str">
        <f t="shared" si="53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54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49"/>
        <v>·</v>
      </c>
      <c r="AD289" s="19" t="str">
        <f t="shared" si="50"/>
        <v>·</v>
      </c>
      <c r="AE289" s="19" t="str">
        <f t="shared" si="51"/>
        <v>·</v>
      </c>
      <c r="AF289" s="19" t="str">
        <f t="shared" si="52"/>
        <v>·</v>
      </c>
      <c r="AG289" s="19" t="str">
        <f t="shared" si="56"/>
        <v>·</v>
      </c>
      <c r="AH289" s="19" t="str">
        <f t="shared" si="53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54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49"/>
        <v>·</v>
      </c>
      <c r="AD290" s="34" t="str">
        <f t="shared" si="50"/>
        <v>·</v>
      </c>
      <c r="AE290" s="34" t="str">
        <f t="shared" si="51"/>
        <v>·</v>
      </c>
      <c r="AF290" s="34" t="str">
        <f t="shared" si="52"/>
        <v>·</v>
      </c>
      <c r="AG290" s="34" t="str">
        <f t="shared" si="56"/>
        <v>·</v>
      </c>
      <c r="AH290" s="34" t="str">
        <f t="shared" si="53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54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49"/>
        <v>·</v>
      </c>
      <c r="AD291" s="19" t="str">
        <f t="shared" si="50"/>
        <v>·</v>
      </c>
      <c r="AE291" s="19" t="str">
        <f t="shared" si="51"/>
        <v>·</v>
      </c>
      <c r="AF291" s="19" t="str">
        <f t="shared" si="52"/>
        <v>·</v>
      </c>
      <c r="AG291" s="19" t="str">
        <f t="shared" si="56"/>
        <v>·</v>
      </c>
      <c r="AH291" s="19" t="str">
        <f t="shared" si="53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54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49"/>
        <v>·</v>
      </c>
      <c r="AD292" s="49" t="str">
        <f t="shared" si="50"/>
        <v>·</v>
      </c>
      <c r="AE292" s="49" t="str">
        <f t="shared" si="51"/>
        <v>·</v>
      </c>
      <c r="AF292" s="49" t="str">
        <f t="shared" si="52"/>
        <v>·</v>
      </c>
      <c r="AG292" s="49" t="str">
        <f t="shared" si="56"/>
        <v>·</v>
      </c>
      <c r="AH292" s="49" t="str">
        <f t="shared" si="53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54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49"/>
        <v>·</v>
      </c>
      <c r="AD293" s="19" t="str">
        <f t="shared" si="50"/>
        <v>·</v>
      </c>
      <c r="AE293" s="19" t="str">
        <f t="shared" si="51"/>
        <v>·</v>
      </c>
      <c r="AF293" s="19" t="str">
        <f t="shared" si="52"/>
        <v>·</v>
      </c>
      <c r="AG293" s="19" t="str">
        <f t="shared" si="56"/>
        <v>·</v>
      </c>
      <c r="AH293" s="19" t="str">
        <f t="shared" si="53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54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49"/>
        <v>·</v>
      </c>
      <c r="AD294" s="34" t="str">
        <f t="shared" si="50"/>
        <v>·</v>
      </c>
      <c r="AE294" s="34" t="str">
        <f t="shared" si="51"/>
        <v>·</v>
      </c>
      <c r="AF294" s="34" t="str">
        <f t="shared" si="52"/>
        <v>·</v>
      </c>
      <c r="AG294" s="34" t="str">
        <f t="shared" si="56"/>
        <v>·</v>
      </c>
      <c r="AH294" s="34" t="str">
        <f t="shared" si="53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54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49"/>
        <v>·</v>
      </c>
      <c r="AD295" s="19" t="str">
        <f t="shared" si="50"/>
        <v>·</v>
      </c>
      <c r="AE295" s="19" t="str">
        <f t="shared" si="51"/>
        <v>·</v>
      </c>
      <c r="AF295" s="19" t="str">
        <f t="shared" si="52"/>
        <v>·</v>
      </c>
      <c r="AG295" s="19" t="str">
        <f t="shared" si="56"/>
        <v>·</v>
      </c>
      <c r="AH295" s="19" t="str">
        <f t="shared" si="53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54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49"/>
        <v>·</v>
      </c>
      <c r="AD296" s="34" t="str">
        <f t="shared" si="50"/>
        <v>·</v>
      </c>
      <c r="AE296" s="34" t="str">
        <f t="shared" si="51"/>
        <v>·</v>
      </c>
      <c r="AF296" s="34" t="str">
        <f t="shared" si="52"/>
        <v>·</v>
      </c>
      <c r="AG296" s="34" t="str">
        <f t="shared" si="56"/>
        <v>·</v>
      </c>
      <c r="AH296" s="34" t="str">
        <f t="shared" si="53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54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49"/>
        <v>·</v>
      </c>
      <c r="AD297" s="19" t="str">
        <f t="shared" si="50"/>
        <v>·</v>
      </c>
      <c r="AE297" s="19" t="str">
        <f t="shared" si="51"/>
        <v>·</v>
      </c>
      <c r="AF297" s="19" t="str">
        <f t="shared" si="52"/>
        <v>·</v>
      </c>
      <c r="AG297" s="19" t="str">
        <f t="shared" si="56"/>
        <v>·</v>
      </c>
      <c r="AH297" s="19" t="str">
        <f t="shared" si="53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54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49"/>
        <v>·</v>
      </c>
      <c r="AD298" s="49" t="str">
        <f t="shared" si="50"/>
        <v>·</v>
      </c>
      <c r="AE298" s="49" t="str">
        <f t="shared" si="51"/>
        <v>·</v>
      </c>
      <c r="AF298" s="49" t="str">
        <f t="shared" si="52"/>
        <v>·</v>
      </c>
      <c r="AG298" s="49" t="str">
        <f t="shared" si="56"/>
        <v>·</v>
      </c>
      <c r="AH298" s="49" t="str">
        <f t="shared" si="53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54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49"/>
        <v>·</v>
      </c>
      <c r="AD299" s="19" t="str">
        <f t="shared" si="50"/>
        <v>·</v>
      </c>
      <c r="AE299" s="19" t="str">
        <f t="shared" si="51"/>
        <v>·</v>
      </c>
      <c r="AF299" s="20"/>
      <c r="AG299" s="19" t="str">
        <f t="shared" si="56"/>
        <v>·</v>
      </c>
      <c r="AH299" s="19" t="str">
        <f t="shared" si="53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54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49"/>
        <v>·</v>
      </c>
      <c r="AD300" s="34" t="str">
        <f t="shared" si="50"/>
        <v>·</v>
      </c>
      <c r="AE300" s="34" t="str">
        <f t="shared" si="51"/>
        <v>·</v>
      </c>
      <c r="AF300" s="35"/>
      <c r="AG300" s="34" t="str">
        <f t="shared" si="56"/>
        <v>·</v>
      </c>
      <c r="AH300" s="34" t="str">
        <f t="shared" si="53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54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49"/>
        <v>·</v>
      </c>
      <c r="AD301" s="19" t="str">
        <f t="shared" si="50"/>
        <v>·</v>
      </c>
      <c r="AE301" s="19" t="str">
        <f t="shared" si="51"/>
        <v>·</v>
      </c>
      <c r="AF301" s="20"/>
      <c r="AG301" s="19" t="str">
        <f t="shared" si="56"/>
        <v>·</v>
      </c>
      <c r="AH301" s="19" t="str">
        <f t="shared" si="53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54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49"/>
        <v>·</v>
      </c>
      <c r="AD302" s="34" t="str">
        <f t="shared" si="50"/>
        <v>·</v>
      </c>
      <c r="AE302" s="34" t="str">
        <f t="shared" si="51"/>
        <v>·</v>
      </c>
      <c r="AF302" s="35"/>
      <c r="AG302" s="34" t="str">
        <f t="shared" si="56"/>
        <v>·</v>
      </c>
      <c r="AH302" s="34" t="str">
        <f t="shared" si="53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54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49"/>
        <v>·</v>
      </c>
      <c r="AD303" s="19" t="str">
        <f t="shared" si="50"/>
        <v>·</v>
      </c>
      <c r="AE303" s="19" t="str">
        <f t="shared" si="51"/>
        <v>·</v>
      </c>
      <c r="AF303" s="20"/>
      <c r="AG303" s="19" t="str">
        <f t="shared" si="56"/>
        <v>·</v>
      </c>
      <c r="AH303" s="19" t="str">
        <f t="shared" si="53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54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49"/>
        <v>·</v>
      </c>
      <c r="AD304" s="49" t="str">
        <f t="shared" si="50"/>
        <v>·</v>
      </c>
      <c r="AE304" s="49" t="str">
        <f t="shared" si="51"/>
        <v>·</v>
      </c>
      <c r="AF304" s="50"/>
      <c r="AG304" s="49" t="str">
        <f t="shared" si="56"/>
        <v>·</v>
      </c>
      <c r="AH304" s="49" t="str">
        <f t="shared" si="53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54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49"/>
        <v>·</v>
      </c>
      <c r="AD305" s="19" t="str">
        <f t="shared" si="50"/>
        <v>·</v>
      </c>
      <c r="AE305" s="19" t="str">
        <f t="shared" si="51"/>
        <v>·</v>
      </c>
      <c r="AF305" s="20"/>
      <c r="AG305" s="19" t="str">
        <f t="shared" si="56"/>
        <v>·</v>
      </c>
      <c r="AH305" s="19" t="str">
        <f t="shared" si="53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54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49"/>
        <v>·</v>
      </c>
      <c r="AD306" s="34" t="str">
        <f t="shared" si="50"/>
        <v>·</v>
      </c>
      <c r="AE306" s="34" t="str">
        <f t="shared" si="51"/>
        <v>·</v>
      </c>
      <c r="AF306" s="35"/>
      <c r="AG306" s="34" t="str">
        <f t="shared" si="56"/>
        <v>·</v>
      </c>
      <c r="AH306" s="34" t="str">
        <f t="shared" si="53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54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49"/>
        <v>·</v>
      </c>
      <c r="AD307" s="19" t="str">
        <f t="shared" si="50"/>
        <v>·</v>
      </c>
      <c r="AE307" s="19" t="str">
        <f t="shared" si="51"/>
        <v>·</v>
      </c>
      <c r="AF307" s="20"/>
      <c r="AG307" s="19" t="str">
        <f t="shared" si="56"/>
        <v>·</v>
      </c>
      <c r="AH307" s="19" t="str">
        <f t="shared" si="53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54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49"/>
        <v>·</v>
      </c>
      <c r="AD308" s="34" t="str">
        <f t="shared" si="50"/>
        <v>·</v>
      </c>
      <c r="AE308" s="34" t="str">
        <f t="shared" si="51"/>
        <v>·</v>
      </c>
      <c r="AF308" s="35"/>
      <c r="AG308" s="34" t="str">
        <f t="shared" si="56"/>
        <v>·</v>
      </c>
      <c r="AH308" s="34" t="str">
        <f t="shared" si="53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54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49"/>
        <v>·</v>
      </c>
      <c r="AD309" s="19" t="str">
        <f t="shared" si="50"/>
        <v>·</v>
      </c>
      <c r="AE309" s="19" t="str">
        <f t="shared" si="51"/>
        <v>·</v>
      </c>
      <c r="AF309" s="20"/>
      <c r="AG309" s="19" t="str">
        <f t="shared" si="56"/>
        <v>·</v>
      </c>
      <c r="AH309" s="19" t="str">
        <f t="shared" si="53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54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49"/>
        <v>·</v>
      </c>
      <c r="AD310" s="49" t="str">
        <f t="shared" si="50"/>
        <v>·</v>
      </c>
      <c r="AE310" s="49" t="str">
        <f t="shared" si="51"/>
        <v>·</v>
      </c>
      <c r="AF310" s="50"/>
      <c r="AG310" s="49" t="str">
        <f t="shared" si="56"/>
        <v>·</v>
      </c>
      <c r="AH310" s="49" t="str">
        <f t="shared" si="53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54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49"/>
        <v>·</v>
      </c>
      <c r="AD311" s="19" t="str">
        <f t="shared" si="50"/>
        <v>·</v>
      </c>
      <c r="AE311" s="19" t="str">
        <f t="shared" si="51"/>
        <v>·</v>
      </c>
      <c r="AF311" s="20"/>
      <c r="AG311" s="19" t="str">
        <f t="shared" si="56"/>
        <v>·</v>
      </c>
      <c r="AH311" s="19" t="str">
        <f t="shared" si="53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54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49"/>
        <v>·</v>
      </c>
      <c r="AD312" s="34" t="str">
        <f t="shared" si="50"/>
        <v>·</v>
      </c>
      <c r="AE312" s="34" t="str">
        <f t="shared" si="51"/>
        <v>·</v>
      </c>
      <c r="AF312" s="35"/>
      <c r="AG312" s="34" t="str">
        <f t="shared" si="56"/>
        <v>·</v>
      </c>
      <c r="AH312" s="34" t="str">
        <f t="shared" si="53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54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49"/>
        <v>·</v>
      </c>
      <c r="AD313" s="19" t="str">
        <f t="shared" si="50"/>
        <v>·</v>
      </c>
      <c r="AE313" s="19" t="str">
        <f t="shared" si="51"/>
        <v>·</v>
      </c>
      <c r="AF313" s="20"/>
      <c r="AG313" s="19" t="str">
        <f t="shared" ref="AG313:AG358" si="58">IF(ISBLANK(AK313),"·",AM313/D313)</f>
        <v>·</v>
      </c>
      <c r="AH313" s="19" t="str">
        <f t="shared" si="53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54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49"/>
        <v>·</v>
      </c>
      <c r="AD314" s="34" t="str">
        <f t="shared" si="50"/>
        <v>·</v>
      </c>
      <c r="AE314" s="34" t="str">
        <f t="shared" si="51"/>
        <v>·</v>
      </c>
      <c r="AF314" s="35"/>
      <c r="AG314" s="34" t="str">
        <f t="shared" si="58"/>
        <v>·</v>
      </c>
      <c r="AH314" s="34" t="str">
        <f t="shared" si="53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54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49"/>
        <v>·</v>
      </c>
      <c r="AD315" s="19" t="str">
        <f t="shared" si="50"/>
        <v>·</v>
      </c>
      <c r="AE315" s="19" t="str">
        <f t="shared" si="51"/>
        <v>·</v>
      </c>
      <c r="AF315" s="20"/>
      <c r="AG315" s="19" t="str">
        <f t="shared" si="58"/>
        <v>·</v>
      </c>
      <c r="AH315" s="19" t="str">
        <f t="shared" si="53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54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49"/>
        <v>·</v>
      </c>
      <c r="AD316" s="49" t="str">
        <f t="shared" si="50"/>
        <v>·</v>
      </c>
      <c r="AE316" s="49" t="str">
        <f t="shared" si="51"/>
        <v>·</v>
      </c>
      <c r="AF316" s="50"/>
      <c r="AG316" s="49" t="str">
        <f t="shared" si="58"/>
        <v>·</v>
      </c>
      <c r="AH316" s="49" t="str">
        <f t="shared" si="53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54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49"/>
        <v>·</v>
      </c>
      <c r="AD317" s="19" t="str">
        <f t="shared" si="50"/>
        <v>·</v>
      </c>
      <c r="AE317" s="19" t="str">
        <f t="shared" si="51"/>
        <v>·</v>
      </c>
      <c r="AF317" s="20"/>
      <c r="AG317" s="19" t="str">
        <f t="shared" si="58"/>
        <v>·</v>
      </c>
      <c r="AH317" s="19" t="str">
        <f t="shared" si="53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54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49"/>
        <v>·</v>
      </c>
      <c r="AD318" s="34" t="str">
        <f t="shared" si="50"/>
        <v>·</v>
      </c>
      <c r="AE318" s="34" t="str">
        <f t="shared" si="51"/>
        <v>·</v>
      </c>
      <c r="AF318" s="35"/>
      <c r="AG318" s="34" t="str">
        <f t="shared" si="58"/>
        <v>·</v>
      </c>
      <c r="AH318" s="34" t="str">
        <f t="shared" si="53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54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49"/>
        <v>·</v>
      </c>
      <c r="AD319" s="19" t="str">
        <f t="shared" si="50"/>
        <v>·</v>
      </c>
      <c r="AE319" s="19" t="str">
        <f t="shared" si="51"/>
        <v>·</v>
      </c>
      <c r="AF319" s="20"/>
      <c r="AG319" s="19" t="str">
        <f t="shared" si="58"/>
        <v>·</v>
      </c>
      <c r="AH319" s="19" t="str">
        <f t="shared" si="53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54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49"/>
        <v>·</v>
      </c>
      <c r="AD320" s="34" t="str">
        <f t="shared" si="50"/>
        <v>·</v>
      </c>
      <c r="AE320" s="34" t="str">
        <f t="shared" si="51"/>
        <v>·</v>
      </c>
      <c r="AF320" s="35"/>
      <c r="AG320" s="34" t="str">
        <f t="shared" si="58"/>
        <v>·</v>
      </c>
      <c r="AH320" s="34" t="str">
        <f t="shared" si="53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54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49"/>
        <v>·</v>
      </c>
      <c r="AD321" s="19" t="str">
        <f t="shared" si="50"/>
        <v>·</v>
      </c>
      <c r="AE321" s="19" t="str">
        <f t="shared" si="51"/>
        <v>·</v>
      </c>
      <c r="AF321" s="20"/>
      <c r="AG321" s="19" t="str">
        <f t="shared" si="58"/>
        <v>·</v>
      </c>
      <c r="AH321" s="19" t="str">
        <f t="shared" si="53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54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49"/>
        <v>·</v>
      </c>
      <c r="AD322" s="49" t="str">
        <f t="shared" si="50"/>
        <v>·</v>
      </c>
      <c r="AE322" s="49" t="str">
        <f t="shared" si="51"/>
        <v>·</v>
      </c>
      <c r="AF322" s="50"/>
      <c r="AG322" s="49" t="str">
        <f t="shared" si="58"/>
        <v>·</v>
      </c>
      <c r="AH322" s="49" t="str">
        <f t="shared" si="53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54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64">IF(OR(ISBLANK(AJ323),ISBLANK(G323)),"·",AJ323*G323/F323/1000000)</f>
        <v>·</v>
      </c>
      <c r="AD323" s="19" t="str">
        <f t="shared" ref="AD323:AD340" si="65">IF(ISBLANK(AJ323),"·",AJ323/D323)</f>
        <v>·</v>
      </c>
      <c r="AE323" s="19" t="str">
        <f t="shared" ref="AE323:AE340" si="66">IF(AK323="","·",AK323/D323)</f>
        <v>·</v>
      </c>
      <c r="AF323" s="20"/>
      <c r="AG323" s="19" t="str">
        <f t="shared" ref="AG323:AG340" si="67">IF(ISBLANK(AK323),"·",AM323/D323)</f>
        <v>·</v>
      </c>
      <c r="AH323" s="19" t="str">
        <f t="shared" ref="AH323:AH340" si="6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6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64"/>
        <v>·</v>
      </c>
      <c r="AD324" s="34" t="str">
        <f t="shared" si="65"/>
        <v>·</v>
      </c>
      <c r="AE324" s="34" t="str">
        <f t="shared" si="66"/>
        <v>·</v>
      </c>
      <c r="AF324" s="35"/>
      <c r="AG324" s="34" t="str">
        <f t="shared" si="67"/>
        <v>·</v>
      </c>
      <c r="AH324" s="34" t="str">
        <f t="shared" si="6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6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64"/>
        <v>·</v>
      </c>
      <c r="AD325" s="19" t="str">
        <f t="shared" si="65"/>
        <v>·</v>
      </c>
      <c r="AE325" s="19" t="str">
        <f t="shared" si="66"/>
        <v>·</v>
      </c>
      <c r="AF325" s="20"/>
      <c r="AG325" s="19" t="str">
        <f t="shared" si="67"/>
        <v>·</v>
      </c>
      <c r="AH325" s="19" t="str">
        <f t="shared" si="6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6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64"/>
        <v>·</v>
      </c>
      <c r="AD326" s="34" t="str">
        <f t="shared" si="65"/>
        <v>·</v>
      </c>
      <c r="AE326" s="34" t="str">
        <f t="shared" si="66"/>
        <v>·</v>
      </c>
      <c r="AF326" s="35"/>
      <c r="AG326" s="34" t="str">
        <f t="shared" si="67"/>
        <v>·</v>
      </c>
      <c r="AH326" s="34" t="str">
        <f t="shared" si="6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6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64"/>
        <v>·</v>
      </c>
      <c r="AD327" s="19" t="str">
        <f t="shared" si="65"/>
        <v>·</v>
      </c>
      <c r="AE327" s="19" t="str">
        <f t="shared" si="66"/>
        <v>·</v>
      </c>
      <c r="AF327" s="20"/>
      <c r="AG327" s="19" t="str">
        <f t="shared" si="67"/>
        <v>·</v>
      </c>
      <c r="AH327" s="19" t="str">
        <f t="shared" si="6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6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64"/>
        <v>·</v>
      </c>
      <c r="AD328" s="49" t="str">
        <f t="shared" si="65"/>
        <v>·</v>
      </c>
      <c r="AE328" s="49" t="str">
        <f t="shared" si="66"/>
        <v>·</v>
      </c>
      <c r="AF328" s="50"/>
      <c r="AG328" s="49" t="str">
        <f t="shared" si="67"/>
        <v>·</v>
      </c>
      <c r="AH328" s="49" t="str">
        <f t="shared" si="6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6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64"/>
        <v>·</v>
      </c>
      <c r="AD329" s="19" t="str">
        <f t="shared" si="65"/>
        <v>·</v>
      </c>
      <c r="AE329" s="19" t="str">
        <f t="shared" si="66"/>
        <v>·</v>
      </c>
      <c r="AF329" s="20"/>
      <c r="AG329" s="19" t="str">
        <f t="shared" si="67"/>
        <v>·</v>
      </c>
      <c r="AH329" s="19" t="str">
        <f t="shared" si="6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6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64"/>
        <v>·</v>
      </c>
      <c r="AD330" s="34" t="str">
        <f t="shared" si="65"/>
        <v>·</v>
      </c>
      <c r="AE330" s="34" t="str">
        <f t="shared" si="66"/>
        <v>·</v>
      </c>
      <c r="AF330" s="35"/>
      <c r="AG330" s="34" t="str">
        <f t="shared" si="67"/>
        <v>·</v>
      </c>
      <c r="AH330" s="34" t="str">
        <f t="shared" si="6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6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64"/>
        <v>·</v>
      </c>
      <c r="AD331" s="19" t="str">
        <f t="shared" si="65"/>
        <v>·</v>
      </c>
      <c r="AE331" s="19" t="str">
        <f t="shared" si="66"/>
        <v>·</v>
      </c>
      <c r="AF331" s="20"/>
      <c r="AG331" s="19" t="str">
        <f t="shared" si="67"/>
        <v>·</v>
      </c>
      <c r="AH331" s="19" t="str">
        <f t="shared" si="6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6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64"/>
        <v>·</v>
      </c>
      <c r="AD332" s="34" t="str">
        <f t="shared" si="65"/>
        <v>·</v>
      </c>
      <c r="AE332" s="34" t="str">
        <f t="shared" si="66"/>
        <v>·</v>
      </c>
      <c r="AF332" s="35"/>
      <c r="AG332" s="34" t="str">
        <f t="shared" si="67"/>
        <v>·</v>
      </c>
      <c r="AH332" s="34" t="str">
        <f t="shared" si="6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6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64"/>
        <v>·</v>
      </c>
      <c r="AD333" s="19" t="str">
        <f t="shared" si="65"/>
        <v>·</v>
      </c>
      <c r="AE333" s="19" t="str">
        <f t="shared" si="66"/>
        <v>·</v>
      </c>
      <c r="AF333" s="20"/>
      <c r="AG333" s="19" t="str">
        <f t="shared" si="67"/>
        <v>·</v>
      </c>
      <c r="AH333" s="19" t="str">
        <f t="shared" si="6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6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64"/>
        <v>·</v>
      </c>
      <c r="AD334" s="49" t="str">
        <f t="shared" si="65"/>
        <v>·</v>
      </c>
      <c r="AE334" s="49" t="str">
        <f t="shared" si="66"/>
        <v>·</v>
      </c>
      <c r="AF334" s="50"/>
      <c r="AG334" s="49" t="str">
        <f t="shared" si="67"/>
        <v>·</v>
      </c>
      <c r="AH334" s="49" t="str">
        <f t="shared" si="6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6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64"/>
        <v>·</v>
      </c>
      <c r="AD335" s="19" t="str">
        <f t="shared" si="65"/>
        <v>·</v>
      </c>
      <c r="AE335" s="19" t="str">
        <f t="shared" si="66"/>
        <v>·</v>
      </c>
      <c r="AF335" s="20"/>
      <c r="AG335" s="19" t="str">
        <f t="shared" si="67"/>
        <v>·</v>
      </c>
      <c r="AH335" s="19" t="str">
        <f t="shared" si="6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6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64"/>
        <v>·</v>
      </c>
      <c r="AD336" s="34" t="str">
        <f t="shared" si="65"/>
        <v>·</v>
      </c>
      <c r="AE336" s="34" t="str">
        <f t="shared" si="66"/>
        <v>·</v>
      </c>
      <c r="AF336" s="35"/>
      <c r="AG336" s="34" t="str">
        <f t="shared" si="67"/>
        <v>·</v>
      </c>
      <c r="AH336" s="34" t="str">
        <f t="shared" si="6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6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64"/>
        <v>·</v>
      </c>
      <c r="AD337" s="19" t="str">
        <f t="shared" si="65"/>
        <v>·</v>
      </c>
      <c r="AE337" s="19" t="str">
        <f t="shared" si="66"/>
        <v>·</v>
      </c>
      <c r="AF337" s="20"/>
      <c r="AG337" s="19" t="str">
        <f t="shared" si="67"/>
        <v>·</v>
      </c>
      <c r="AH337" s="19" t="str">
        <f t="shared" si="6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6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64"/>
        <v>·</v>
      </c>
      <c r="AD338" s="34" t="str">
        <f t="shared" si="65"/>
        <v>·</v>
      </c>
      <c r="AE338" s="34" t="str">
        <f t="shared" si="66"/>
        <v>·</v>
      </c>
      <c r="AF338" s="35"/>
      <c r="AG338" s="34" t="str">
        <f t="shared" si="67"/>
        <v>·</v>
      </c>
      <c r="AH338" s="34" t="str">
        <f t="shared" si="6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6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64"/>
        <v>·</v>
      </c>
      <c r="AD339" s="19" t="str">
        <f t="shared" si="65"/>
        <v>·</v>
      </c>
      <c r="AE339" s="19" t="str">
        <f t="shared" si="66"/>
        <v>·</v>
      </c>
      <c r="AF339" s="20"/>
      <c r="AG339" s="19" t="str">
        <f t="shared" si="67"/>
        <v>·</v>
      </c>
      <c r="AH339" s="19" t="str">
        <f t="shared" si="6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6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64"/>
        <v>·</v>
      </c>
      <c r="AD340" s="49" t="str">
        <f t="shared" si="65"/>
        <v>·</v>
      </c>
      <c r="AE340" s="49" t="str">
        <f t="shared" si="66"/>
        <v>·</v>
      </c>
      <c r="AF340" s="50"/>
      <c r="AG340" s="49" t="str">
        <f t="shared" si="67"/>
        <v>·</v>
      </c>
      <c r="AH340" s="49" t="str">
        <f t="shared" si="6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6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49"/>
        <v>·</v>
      </c>
      <c r="AD341" s="19" t="str">
        <f t="shared" si="50"/>
        <v>·</v>
      </c>
      <c r="AE341" s="19" t="str">
        <f t="shared" si="51"/>
        <v>·</v>
      </c>
      <c r="AF341" s="20"/>
      <c r="AG341" s="19" t="str">
        <f t="shared" si="58"/>
        <v>·</v>
      </c>
      <c r="AH341" s="19" t="str">
        <f t="shared" si="53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54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49"/>
        <v>·</v>
      </c>
      <c r="AD342" s="34" t="str">
        <f t="shared" si="50"/>
        <v>·</v>
      </c>
      <c r="AE342" s="34" t="str">
        <f t="shared" si="51"/>
        <v>·</v>
      </c>
      <c r="AF342" s="35"/>
      <c r="AG342" s="34" t="str">
        <f t="shared" si="58"/>
        <v>·</v>
      </c>
      <c r="AH342" s="34" t="str">
        <f t="shared" si="53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54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74">IF(OR(ISBLANK(AJ343),ISBLANK(G343)),"·",AJ343*G343/F343/1000000)</f>
        <v>·</v>
      </c>
      <c r="AD343" s="19" t="str">
        <f t="shared" ref="AD343:AD358" si="75">IF(ISBLANK(AJ343),"·",AJ343/D343)</f>
        <v>·</v>
      </c>
      <c r="AE343" s="19" t="str">
        <f t="shared" ref="AE343:AE358" si="76">IF(AK343="","·",AK343/D343)</f>
        <v>·</v>
      </c>
      <c r="AF343" s="20"/>
      <c r="AG343" s="19" t="str">
        <f t="shared" si="58"/>
        <v>·</v>
      </c>
      <c r="AH343" s="19" t="str">
        <f t="shared" ref="AH343:AH358" si="7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7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74"/>
        <v>·</v>
      </c>
      <c r="AD344" s="34" t="str">
        <f t="shared" si="75"/>
        <v>·</v>
      </c>
      <c r="AE344" s="34" t="str">
        <f t="shared" si="76"/>
        <v>·</v>
      </c>
      <c r="AF344" s="35"/>
      <c r="AG344" s="34" t="str">
        <f t="shared" si="58"/>
        <v>·</v>
      </c>
      <c r="AH344" s="34" t="str">
        <f t="shared" si="7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7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74"/>
        <v>·</v>
      </c>
      <c r="AD345" s="19" t="str">
        <f t="shared" si="75"/>
        <v>·</v>
      </c>
      <c r="AE345" s="19" t="str">
        <f t="shared" si="76"/>
        <v>·</v>
      </c>
      <c r="AF345" s="20"/>
      <c r="AG345" s="19" t="str">
        <f t="shared" si="58"/>
        <v>·</v>
      </c>
      <c r="AH345" s="19" t="str">
        <f t="shared" si="7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7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74"/>
        <v>·</v>
      </c>
      <c r="AD346" s="49" t="str">
        <f t="shared" si="75"/>
        <v>·</v>
      </c>
      <c r="AE346" s="49" t="str">
        <f t="shared" si="76"/>
        <v>·</v>
      </c>
      <c r="AF346" s="50"/>
      <c r="AG346" s="49" t="str">
        <f t="shared" si="58"/>
        <v>·</v>
      </c>
      <c r="AH346" s="49" t="str">
        <f t="shared" si="7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7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74"/>
        <v>·</v>
      </c>
      <c r="AD347" s="19" t="str">
        <f t="shared" si="75"/>
        <v>·</v>
      </c>
      <c r="AE347" s="19" t="str">
        <f t="shared" si="76"/>
        <v>·</v>
      </c>
      <c r="AF347" s="20"/>
      <c r="AG347" s="19" t="str">
        <f t="shared" si="58"/>
        <v>·</v>
      </c>
      <c r="AH347" s="19" t="str">
        <f t="shared" si="7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7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74"/>
        <v>·</v>
      </c>
      <c r="AD348" s="34" t="str">
        <f t="shared" si="75"/>
        <v>·</v>
      </c>
      <c r="AE348" s="34" t="str">
        <f t="shared" si="76"/>
        <v>·</v>
      </c>
      <c r="AF348" s="35"/>
      <c r="AG348" s="34" t="str">
        <f t="shared" si="58"/>
        <v>·</v>
      </c>
      <c r="AH348" s="34" t="str">
        <f t="shared" si="7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7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74"/>
        <v>·</v>
      </c>
      <c r="AD349" s="19" t="str">
        <f t="shared" si="75"/>
        <v>·</v>
      </c>
      <c r="AE349" s="19" t="str">
        <f t="shared" si="76"/>
        <v>·</v>
      </c>
      <c r="AF349" s="20"/>
      <c r="AG349" s="19" t="str">
        <f t="shared" si="58"/>
        <v>·</v>
      </c>
      <c r="AH349" s="19" t="str">
        <f t="shared" si="7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7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74"/>
        <v>·</v>
      </c>
      <c r="AD350" s="34" t="str">
        <f t="shared" si="75"/>
        <v>·</v>
      </c>
      <c r="AE350" s="34" t="str">
        <f t="shared" si="76"/>
        <v>·</v>
      </c>
      <c r="AF350" s="35"/>
      <c r="AG350" s="34" t="str">
        <f t="shared" si="58"/>
        <v>·</v>
      </c>
      <c r="AH350" s="34" t="str">
        <f t="shared" si="7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7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74"/>
        <v>·</v>
      </c>
      <c r="AD351" s="19" t="str">
        <f t="shared" si="75"/>
        <v>·</v>
      </c>
      <c r="AE351" s="19" t="str">
        <f t="shared" si="76"/>
        <v>·</v>
      </c>
      <c r="AF351" s="20"/>
      <c r="AG351" s="19" t="str">
        <f t="shared" si="58"/>
        <v>·</v>
      </c>
      <c r="AH351" s="19" t="str">
        <f t="shared" si="7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7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74"/>
        <v>·</v>
      </c>
      <c r="AD352" s="49" t="str">
        <f t="shared" si="75"/>
        <v>·</v>
      </c>
      <c r="AE352" s="49" t="str">
        <f t="shared" si="76"/>
        <v>·</v>
      </c>
      <c r="AF352" s="50"/>
      <c r="AG352" s="49" t="str">
        <f t="shared" si="58"/>
        <v>·</v>
      </c>
      <c r="AH352" s="49" t="str">
        <f t="shared" si="7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7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74"/>
        <v>·</v>
      </c>
      <c r="AD353" s="19" t="str">
        <f t="shared" si="75"/>
        <v>·</v>
      </c>
      <c r="AE353" s="19" t="str">
        <f t="shared" si="76"/>
        <v>·</v>
      </c>
      <c r="AF353" s="20"/>
      <c r="AG353" s="19" t="str">
        <f t="shared" si="58"/>
        <v>·</v>
      </c>
      <c r="AH353" s="19" t="str">
        <f t="shared" si="7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7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74"/>
        <v>·</v>
      </c>
      <c r="AD354" s="34" t="str">
        <f t="shared" si="75"/>
        <v>·</v>
      </c>
      <c r="AE354" s="34" t="str">
        <f t="shared" si="76"/>
        <v>·</v>
      </c>
      <c r="AF354" s="35"/>
      <c r="AG354" s="34" t="str">
        <f t="shared" si="58"/>
        <v>·</v>
      </c>
      <c r="AH354" s="34" t="str">
        <f t="shared" si="7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7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74"/>
        <v>·</v>
      </c>
      <c r="AD355" s="19" t="str">
        <f t="shared" si="75"/>
        <v>·</v>
      </c>
      <c r="AE355" s="19" t="str">
        <f t="shared" si="76"/>
        <v>·</v>
      </c>
      <c r="AF355" s="20"/>
      <c r="AG355" s="19" t="str">
        <f t="shared" si="58"/>
        <v>·</v>
      </c>
      <c r="AH355" s="19" t="str">
        <f t="shared" si="7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7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74"/>
        <v>·</v>
      </c>
      <c r="AD356" s="34" t="str">
        <f t="shared" si="75"/>
        <v>·</v>
      </c>
      <c r="AE356" s="34" t="str">
        <f t="shared" si="76"/>
        <v>·</v>
      </c>
      <c r="AF356" s="35"/>
      <c r="AG356" s="34" t="str">
        <f t="shared" si="58"/>
        <v>·</v>
      </c>
      <c r="AH356" s="34" t="str">
        <f t="shared" si="7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7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74"/>
        <v>·</v>
      </c>
      <c r="AD357" s="19" t="str">
        <f t="shared" si="75"/>
        <v>·</v>
      </c>
      <c r="AE357" s="19" t="str">
        <f t="shared" si="76"/>
        <v>·</v>
      </c>
      <c r="AF357" s="20"/>
      <c r="AG357" s="19" t="str">
        <f t="shared" si="58"/>
        <v>·</v>
      </c>
      <c r="AH357" s="19" t="str">
        <f t="shared" si="7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7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74"/>
        <v>·</v>
      </c>
      <c r="AD358" s="49" t="str">
        <f t="shared" si="75"/>
        <v>·</v>
      </c>
      <c r="AE358" s="49" t="str">
        <f t="shared" si="76"/>
        <v>·</v>
      </c>
      <c r="AF358" s="50"/>
      <c r="AG358" s="49" t="str">
        <f t="shared" si="58"/>
        <v>·</v>
      </c>
      <c r="AH358" s="49" t="str">
        <f t="shared" si="7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7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15">
      <c r="B359" s="60" t="s">
        <v>402</v>
      </c>
      <c r="J359" s="61">
        <f>AVERAGE(J5:J58)</f>
        <v>0.45453854142856859</v>
      </c>
      <c r="K359" s="61">
        <f>AVERAGE(K5:K58)</f>
        <v>8.2526449722313641E-2</v>
      </c>
      <c r="L359" s="61">
        <f>AVERAGE(L5:L58)</f>
        <v>0.37163263049976564</v>
      </c>
      <c r="M359" s="62"/>
      <c r="AD359" s="61">
        <f>AVERAGE(AD5:AD58)</f>
        <v>0.45462773575611554</v>
      </c>
      <c r="AE359" s="61">
        <f>AVERAGE(AE5:AE58)</f>
        <v>5.7292123345627381E-2</v>
      </c>
      <c r="AF359" s="61">
        <f>AVERAGE(AF5:AF58)</f>
        <v>0.37163263049976564</v>
      </c>
      <c r="AG359" s="62"/>
      <c r="AX359" s="7" t="e">
        <f>AVERAGE(AX5:AX58)</f>
        <v>#DIV/0!</v>
      </c>
      <c r="AZ359" s="94">
        <f>AVERAGE(AZ5:AZ58)</f>
        <v>9.9789958104939593E-3</v>
      </c>
      <c r="BA359" s="94">
        <f>AVERAGE(BA5:BA58)</f>
        <v>1.0269886922238724E-2</v>
      </c>
      <c r="BB359" s="3">
        <f>AVERAGE(BB5:BB58)</f>
        <v>0</v>
      </c>
      <c r="BC359" s="3">
        <f>AVERAGE(BC5:BC58)</f>
        <v>0</v>
      </c>
      <c r="BD359" s="3">
        <f>AVERAGE(BD5:BD58)</f>
        <v>0</v>
      </c>
      <c r="BE359" s="4"/>
      <c r="BG359" s="3">
        <f>AVERAGE(BG5:BG58)</f>
        <v>1.9374379333636504E-5</v>
      </c>
      <c r="BH359" s="3">
        <f>AVERAGE(BH5:BH58)</f>
        <v>8.0974311522282374E-6</v>
      </c>
      <c r="BI359" s="3">
        <f>AVERAGE(BI5:BI58)</f>
        <v>6.4415601117522809E-5</v>
      </c>
      <c r="BJ359" s="3">
        <f>AVERAGE(BJ5:BJ58)</f>
        <v>9.8739448974735947E-5</v>
      </c>
      <c r="BK359" s="3">
        <f>AVERAGE(BK5:BK58)</f>
        <v>5.7601690865759382E-5</v>
      </c>
      <c r="BL359" s="4"/>
    </row>
    <row r="360" spans="1:64" x14ac:dyDescent="0.15">
      <c r="B360" s="60" t="s">
        <v>403</v>
      </c>
      <c r="J360" s="61">
        <f>AVERAGE(J59:J130)</f>
        <v>0.39622743520027232</v>
      </c>
      <c r="K360" s="61">
        <f>AVERAGE(K59:K130)</f>
        <v>0.10224853892667213</v>
      </c>
      <c r="L360" s="61">
        <f>AVERAGE(L59:L130)</f>
        <v>0.29380140447085079</v>
      </c>
      <c r="M360" s="62"/>
      <c r="AD360" s="61">
        <f>AVERAGE(AD59:AD130)</f>
        <v>0.39631752404487747</v>
      </c>
      <c r="AE360" s="61">
        <f>AVERAGE(AE59:AE130)</f>
        <v>9.5746243017976948E-2</v>
      </c>
      <c r="AF360" s="61">
        <f>AVERAGE(AF59:AF130)</f>
        <v>0.29380140447085079</v>
      </c>
      <c r="AG360" s="62"/>
      <c r="AX360" s="7" t="e">
        <f>AVERAGE(AX59:AX130)</f>
        <v>#DIV/0!</v>
      </c>
      <c r="AZ360" s="94">
        <f>AVERAGE(AZ59:AZ130)</f>
        <v>5.9038854316437834E-3</v>
      </c>
      <c r="BA360" s="94">
        <f>AVERAGE(BA59:BA130)</f>
        <v>6.3633758812940977E-3</v>
      </c>
      <c r="BB360" s="3">
        <f>AVERAGE(BB59:BB130)</f>
        <v>0</v>
      </c>
      <c r="BC360" s="3">
        <f>AVERAGE(BC59:BC130)</f>
        <v>0</v>
      </c>
      <c r="BD360" s="3">
        <f>AVERAGE(BD59:BD130)</f>
        <v>0</v>
      </c>
      <c r="BE360" s="4"/>
      <c r="BG360" s="3">
        <f>AVERAGE(BG59:BG130)</f>
        <v>1.68792826930488E-4</v>
      </c>
      <c r="BH360" s="3">
        <f>AVERAGE(BH59:BH130)</f>
        <v>1.9349226157881297E-4</v>
      </c>
      <c r="BI360" s="3">
        <f>AVERAGE(BI59:BI130)</f>
        <v>2.2927501024344599E-4</v>
      </c>
      <c r="BJ360" s="3">
        <f>AVERAGE(BJ59:BJ130)</f>
        <v>2.3099835081979991E-4</v>
      </c>
      <c r="BK360" s="3">
        <f>AVERAGE(BK59:BK130)</f>
        <v>2.1780546807992351E-4</v>
      </c>
      <c r="BL360" s="4"/>
    </row>
    <row r="361" spans="1:64" x14ac:dyDescent="0.15">
      <c r="B361" s="60" t="s">
        <v>404</v>
      </c>
      <c r="J361" s="61">
        <f>AVERAGE(J131:J184)</f>
        <v>0.62259897573530543</v>
      </c>
      <c r="K361" s="61">
        <f>AVERAGE(K131:K184)</f>
        <v>9.4619088462219447E-2</v>
      </c>
      <c r="L361" s="61">
        <f>AVERAGE(L131:L184)</f>
        <v>0.52833800380055451</v>
      </c>
      <c r="M361" s="62"/>
      <c r="AD361" s="61">
        <f>AVERAGE(AD131:AD184)</f>
        <v>0.62268920842297615</v>
      </c>
      <c r="AE361" s="61">
        <f>AVERAGE(AE131:AE184)</f>
        <v>0.10736179051606519</v>
      </c>
      <c r="AF361" s="61">
        <f>AVERAGE(AF131:AF184)</f>
        <v>0.52833800380055451</v>
      </c>
      <c r="AG361" s="62"/>
      <c r="AX361" s="7" t="e">
        <f>AVERAGE(AX131:AX184)</f>
        <v>#DIV/0!</v>
      </c>
      <c r="AZ361" s="94">
        <f>AVERAGE(AZ131:AZ184)</f>
        <v>5.5283260373263491E-4</v>
      </c>
      <c r="BA361" s="94">
        <f>AVERAGE(BA131:BA184)</f>
        <v>9.5210667196637337E-4</v>
      </c>
      <c r="BB361" s="3">
        <f>AVERAGE(BB131:BB184)</f>
        <v>0</v>
      </c>
      <c r="BC361" s="3">
        <f>AVERAGE(BC131:BC184)</f>
        <v>0</v>
      </c>
      <c r="BD361" s="3">
        <f>AVERAGE(BD131:BD184)</f>
        <v>0</v>
      </c>
      <c r="BE361" s="4"/>
      <c r="BG361" s="3">
        <f>AVERAGE(BG131:BG184)</f>
        <v>1.8619828978271179E-4</v>
      </c>
      <c r="BH361" s="3">
        <f>AVERAGE(BH131:BH184)</f>
        <v>1.9134158090470009E-4</v>
      </c>
      <c r="BI361" s="3">
        <f>AVERAGE(BI131:BI184)</f>
        <v>1.978729325231083E-4</v>
      </c>
      <c r="BJ361" s="3">
        <f>AVERAGE(BJ131:BJ184)</f>
        <v>1.891474034344408E-4</v>
      </c>
      <c r="BK361" s="3">
        <f>AVERAGE(BK131:BK184)</f>
        <v>1.8904265665415428E-4</v>
      </c>
      <c r="BL361" s="4"/>
    </row>
    <row r="362" spans="1:64" x14ac:dyDescent="0.15">
      <c r="B362" s="60" t="s">
        <v>405</v>
      </c>
      <c r="J362" s="61">
        <f>AVERAGE(J185:J280)</f>
        <v>0.54955098227976673</v>
      </c>
      <c r="K362" s="61">
        <f>AVERAGE(K185:K280)</f>
        <v>9.9711072103895543E-2</v>
      </c>
      <c r="L362" s="61">
        <f>AVERAGE(L185:L280)</f>
        <v>0.4499764001230645</v>
      </c>
      <c r="M362" s="62"/>
      <c r="AD362" s="61">
        <f>AVERAGE(AD185:AD280)</f>
        <v>0.54963310650979824</v>
      </c>
      <c r="AE362" s="61">
        <f>AVERAGE(AE185:AE280)</f>
        <v>0.11082012832304432</v>
      </c>
      <c r="AF362" s="61">
        <f>AVERAGE(AF185:AF280)</f>
        <v>0.4499764001230645</v>
      </c>
      <c r="AG362" s="62"/>
      <c r="AX362" s="7" t="e">
        <f>AVERAGE(AX185:AX280)</f>
        <v>#DIV/0!</v>
      </c>
      <c r="AZ362" s="94">
        <f>AVERAGE(AZ185:AZ280)</f>
        <v>2.2882788341874877E-3</v>
      </c>
      <c r="BA362" s="94">
        <f>AVERAGE(BA185:BA280)</f>
        <v>2.4926968856588683E-3</v>
      </c>
      <c r="BB362" s="3">
        <f>AVERAGE(BB185:BB280)</f>
        <v>0</v>
      </c>
      <c r="BC362" s="3">
        <f>AVERAGE(BC185:BC280)</f>
        <v>0</v>
      </c>
      <c r="BD362" s="3">
        <f>AVERAGE(BD185:BD280)</f>
        <v>0</v>
      </c>
      <c r="BE362" s="4"/>
      <c r="BG362" s="3">
        <f>AVERAGE(BG185:BG280)</f>
        <v>2.2910747547433968E-4</v>
      </c>
      <c r="BH362" s="3">
        <f>AVERAGE(BH185:BH280)</f>
        <v>2.329732316519173E-4</v>
      </c>
      <c r="BI362" s="3">
        <f>AVERAGE(BI185:BI280)</f>
        <v>2.2008133531087326E-4</v>
      </c>
      <c r="BJ362" s="3">
        <f>AVERAGE(BJ185:BJ280)</f>
        <v>2.1492236767986506E-4</v>
      </c>
      <c r="BK362" s="3">
        <f>AVERAGE(BK185:BK280)</f>
        <v>2.1486873067512458E-4</v>
      </c>
      <c r="BL362" s="4"/>
    </row>
    <row r="363" spans="1:64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79">AVERAGE(AZ281:AZ298)</f>
        <v>#DIV/0!</v>
      </c>
      <c r="BA363" s="3" t="e">
        <f t="shared" si="79"/>
        <v>#DIV/0!</v>
      </c>
      <c r="BB363" s="3" t="e">
        <f t="shared" si="79"/>
        <v>#DIV/0!</v>
      </c>
      <c r="BC363" s="3" t="e">
        <f t="shared" si="79"/>
        <v>#DIV/0!</v>
      </c>
      <c r="BD363" s="3" t="e">
        <f t="shared" si="79"/>
        <v>#DIV/0!</v>
      </c>
      <c r="BE363" s="3" t="e">
        <f t="shared" si="79"/>
        <v>#DIV/0!</v>
      </c>
      <c r="BG363" s="3" t="e">
        <f t="shared" ref="BG363:BL363" si="80">AVERAGE(BG281:BG298)</f>
        <v>#DIV/0!</v>
      </c>
      <c r="BH363" s="3" t="e">
        <f t="shared" si="80"/>
        <v>#DIV/0!</v>
      </c>
      <c r="BI363" s="3" t="e">
        <f t="shared" si="80"/>
        <v>#DIV/0!</v>
      </c>
      <c r="BJ363" s="3" t="e">
        <f t="shared" si="80"/>
        <v>#DIV/0!</v>
      </c>
      <c r="BK363" s="3" t="e">
        <f t="shared" si="80"/>
        <v>#DIV/0!</v>
      </c>
      <c r="BL363" s="3" t="e">
        <f t="shared" si="80"/>
        <v>#DIV/0!</v>
      </c>
    </row>
    <row r="364" spans="1:64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15">
      <c r="B366" s="60" t="s">
        <v>407</v>
      </c>
      <c r="J366" s="61">
        <f>AVERAGE(J5:J358)</f>
        <v>0.50392686370266038</v>
      </c>
      <c r="K366" s="61">
        <f>AVERAGE(K5:K358)</f>
        <v>9.5740287835012636E-2</v>
      </c>
      <c r="L366" s="61">
        <f>AVERAGE(L5:L298)</f>
        <v>0.4081755613361292</v>
      </c>
      <c r="M366" s="61" t="e">
        <f>AVERAGE(M281:M358)</f>
        <v>#DIV/0!</v>
      </c>
      <c r="AD366" s="61">
        <f>AVERAGE(AD5:AD358)</f>
        <v>0.50401412055418504</v>
      </c>
      <c r="AE366" s="61">
        <f>AVERAGE(AE5:AE358)</f>
        <v>9.573830856825355E-2</v>
      </c>
      <c r="AF366" s="61">
        <f>AVERAGE(AF5:AF298)</f>
        <v>0.4081755613361292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4.3966422229296644E-3</v>
      </c>
      <c r="BA366" s="3">
        <f>AVERAGE(BA5:BA358)</f>
        <v>4.7226435455199334E-3</v>
      </c>
      <c r="BB366" s="3">
        <f>AVERAGE(BB5:BB298)</f>
        <v>0</v>
      </c>
      <c r="BC366" s="3">
        <f>AVERAGE(BC5:BC298)</f>
        <v>0</v>
      </c>
      <c r="BD366" s="3">
        <f>AVERAGE(BD5:BD298)</f>
        <v>0</v>
      </c>
      <c r="BE366" s="3" t="e">
        <f>AVERAGE(BE281:BE358)</f>
        <v>#DIV/0!</v>
      </c>
      <c r="BG366" s="3">
        <f>AVERAGE(BG5:BG358)</f>
        <v>1.6394320766961794E-4</v>
      </c>
      <c r="BH366" s="3">
        <f>AVERAGE(BH5:BH358)</f>
        <v>1.7053108595410407E-4</v>
      </c>
      <c r="BI366" s="3">
        <f>AVERAGE(BI5:BI298)</f>
        <v>1.8767822371002182E-4</v>
      </c>
      <c r="BJ366" s="3">
        <f>AVERAGE(BJ5:BJ298)</f>
        <v>1.9134173400865283E-4</v>
      </c>
      <c r="BK366" s="3">
        <f>AVERAGE(BK5:BK298)</f>
        <v>1.7981227033565865E-4</v>
      </c>
      <c r="BL366" s="3" t="e">
        <f>AVERAGE(BL281:BL358)</f>
        <v>#DIV/0!</v>
      </c>
    </row>
    <row r="367" spans="1:64" hidden="1" outlineLevel="2" x14ac:dyDescent="0.15">
      <c r="A367" s="60" t="s">
        <v>408</v>
      </c>
      <c r="B367" s="60" t="s">
        <v>409</v>
      </c>
      <c r="Z367" s="63">
        <f>SUM(Z5:Z58,Z59:Z130,Z131:Z184,Z185:Z280,Z281:Z298,Z299:Z340,Z341:Z358)</f>
        <v>2536.6310000000003</v>
      </c>
      <c r="AA367" s="63">
        <f>SUM(AA5:AA58,AA59:AA130,AA131:AA184,AA185:AA280,AA281:AA298,AA299:AA340,AA341:AA358)</f>
        <v>1515.8689999999999</v>
      </c>
      <c r="AT367" s="63">
        <f>SUM(AT5:AT58,AT59:AT130,AT131:AT184,AT185:AT280,AT281:AT298,AT299:AT340,AT341:AT358)</f>
        <v>2466.3889999999997</v>
      </c>
      <c r="AU367" s="63">
        <f>SUM(AU5:AU58,AU59:AU130,AU131:AU184,AU185:AU280,AU281:AU298,AU299:AU340,AU341:AU358)</f>
        <v>1465.9059999999995</v>
      </c>
    </row>
    <row r="368" spans="1:64" hidden="1" outlineLevel="2" x14ac:dyDescent="0.15">
      <c r="B368" s="60" t="s">
        <v>410</v>
      </c>
      <c r="AT368" s="7">
        <f>AT367/Z367</f>
        <v>0.9723089404805032</v>
      </c>
      <c r="AU368" s="7">
        <f>AU367/AA367</f>
        <v>0.96704002786520438</v>
      </c>
    </row>
    <row r="369" spans="2:47" hidden="1" outlineLevel="2" x14ac:dyDescent="0.15">
      <c r="B369" s="60" t="s">
        <v>411</v>
      </c>
      <c r="Z369" s="63">
        <f>GEOMEAN(Z5:Z58,Z59:Z130,Z131:Z184,Z185:Z280,Z281:Z298,Z299:Z358,Z341:Z358)</f>
        <v>5.9673992648178009</v>
      </c>
      <c r="AA369" s="63">
        <f>GEOMEAN(AA5:AA58,AA59:AA130,AA131:AA184,AA185:AA280,AA281:AA298,AA299:AA358,AA341:AA358)</f>
        <v>3.9675116072692687</v>
      </c>
      <c r="AT369" s="63">
        <f>GEOMEAN(AT5:AT58,AT59:AT130,AT131:AT184,AT185:AT280,AT281:AT298,AT299:AT358,AT341:AT358)</f>
        <v>5.8173335090270681</v>
      </c>
      <c r="AU369" s="63">
        <f>GEOMEAN(AU5:AU58,AU59:AU130,AU131:AU184,AU185:AU280,AU281:AU298,AU299:AU358,AU341:AU358)</f>
        <v>3.8874644887776628</v>
      </c>
    </row>
    <row r="370" spans="2:47" outlineLevel="2" collapsed="1" x14ac:dyDescent="0.15">
      <c r="B370" s="60" t="s">
        <v>412</v>
      </c>
      <c r="AT370" s="7">
        <f>AT369/Z369</f>
        <v>0.97485240233957859</v>
      </c>
      <c r="AU370" s="7">
        <f>AU369/AA369</f>
        <v>0.97982435178136751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D2:AG2"/>
    <mergeCell ref="AH2:AH3"/>
    <mergeCell ref="AI2:AI3"/>
    <mergeCell ref="O2:O3"/>
    <mergeCell ref="P2:S2"/>
    <mergeCell ref="T2:U2"/>
    <mergeCell ref="V2:Y2"/>
    <mergeCell ref="Z2:Z3"/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3" max="4" width="10.625" customWidth="1"/>
    <col min="7" max="7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2" max="22" width="1.625" customWidth="1"/>
    <col min="25" max="27" width="10.625" customWidth="1"/>
    <col min="28" max="28" width="11.625" customWidth="1"/>
    <col min="29" max="29" width="12.625" customWidth="1"/>
    <col min="30" max="30" width="10.625" customWidth="1"/>
    <col min="31" max="34" width="12.625" customWidth="1"/>
    <col min="37" max="37" width="1.625" customWidth="1"/>
    <col min="44" max="44" width="1.625" customWidth="1"/>
  </cols>
  <sheetData>
    <row r="1" spans="1:43" x14ac:dyDescent="0.15">
      <c r="A1" s="105" t="s">
        <v>661</v>
      </c>
      <c r="B1" s="105"/>
      <c r="C1" s="105"/>
      <c r="D1" s="105"/>
      <c r="E1" s="105"/>
      <c r="F1" s="105"/>
      <c r="H1" s="101" t="str">
        <f>Summary!C1</f>
        <v>v20.0-rc1-trisoup-raht+18edges</v>
      </c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W1" s="102" t="str">
        <f>Summary!C2</f>
        <v>v20.0-rc1-trisoup-raht+18edges+flagCtx_test</v>
      </c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</row>
    <row r="2" spans="1:43" ht="30" customHeight="1" x14ac:dyDescent="0.15">
      <c r="A2" s="107" t="s">
        <v>91</v>
      </c>
      <c r="B2" s="106" t="s">
        <v>94</v>
      </c>
      <c r="C2" s="107" t="s">
        <v>100</v>
      </c>
      <c r="D2" s="106" t="s">
        <v>103</v>
      </c>
      <c r="E2" s="107" t="s">
        <v>106</v>
      </c>
      <c r="F2" s="106" t="s">
        <v>109</v>
      </c>
      <c r="H2" s="107" t="s">
        <v>619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7" t="s">
        <v>155</v>
      </c>
      <c r="U2" s="106" t="s">
        <v>158</v>
      </c>
      <c r="W2" s="107" t="s">
        <v>619</v>
      </c>
      <c r="X2" s="106" t="s">
        <v>112</v>
      </c>
      <c r="Y2" s="104" t="s">
        <v>115</v>
      </c>
      <c r="Z2" s="104"/>
      <c r="AA2" s="104"/>
      <c r="AB2" s="104"/>
      <c r="AC2" s="106" t="s">
        <v>128</v>
      </c>
      <c r="AD2" s="107" t="s">
        <v>22</v>
      </c>
      <c r="AE2" s="103" t="s">
        <v>133</v>
      </c>
      <c r="AF2" s="103"/>
      <c r="AG2" s="103"/>
      <c r="AH2" s="103"/>
      <c r="AI2" s="107" t="s">
        <v>155</v>
      </c>
      <c r="AJ2" s="106" t="s">
        <v>158</v>
      </c>
      <c r="AL2" s="104" t="s">
        <v>650</v>
      </c>
      <c r="AM2" s="104"/>
      <c r="AN2" s="104"/>
      <c r="AO2" s="104"/>
      <c r="AP2" s="106" t="s">
        <v>195</v>
      </c>
      <c r="AQ2" s="107" t="s">
        <v>195</v>
      </c>
    </row>
    <row r="3" spans="1:43" ht="27.75" thickBot="1" x14ac:dyDescent="0.2">
      <c r="A3" s="107"/>
      <c r="B3" s="106"/>
      <c r="C3" s="107"/>
      <c r="D3" s="106"/>
      <c r="E3" s="107"/>
      <c r="F3" s="106"/>
      <c r="H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07"/>
      <c r="U3" s="106"/>
      <c r="W3" s="107"/>
      <c r="X3" s="106"/>
      <c r="Y3" s="11" t="s">
        <v>116</v>
      </c>
      <c r="Z3" s="11" t="s">
        <v>119</v>
      </c>
      <c r="AA3" s="11" t="s">
        <v>122</v>
      </c>
      <c r="AB3" s="11" t="s">
        <v>125</v>
      </c>
      <c r="AC3" s="106"/>
      <c r="AD3" s="107"/>
      <c r="AE3" s="12" t="s">
        <v>116</v>
      </c>
      <c r="AF3" s="12" t="s">
        <v>119</v>
      </c>
      <c r="AG3" s="12" t="s">
        <v>138</v>
      </c>
      <c r="AH3" s="12" t="s">
        <v>125</v>
      </c>
      <c r="AI3" s="107"/>
      <c r="AJ3" s="106"/>
      <c r="AL3" s="11" t="s">
        <v>116</v>
      </c>
      <c r="AM3" s="11" t="s">
        <v>119</v>
      </c>
      <c r="AN3" s="11" t="s">
        <v>138</v>
      </c>
      <c r="AO3" s="11" t="s">
        <v>125</v>
      </c>
      <c r="AP3" s="106"/>
      <c r="AQ3" s="107"/>
    </row>
    <row r="4" spans="1:43" ht="147" hidden="1" x14ac:dyDescent="0.1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1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1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1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1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1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1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1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1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1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1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1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1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1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1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1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1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1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1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1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1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1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1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1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1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1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1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1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1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1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1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1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1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1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1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1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1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1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1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1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1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1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1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1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1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1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1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1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1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1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15">
      <c r="A54" s="15" t="s">
        <v>1020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1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1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1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1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1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25" collapsed="1" thickBot="1" x14ac:dyDescent="0.2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15">
      <c r="A61" s="80" t="s">
        <v>1021</v>
      </c>
      <c r="B61" s="80" t="s">
        <v>989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15">
      <c r="A62" s="30"/>
      <c r="B62" s="30" t="s">
        <v>990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25" collapsed="1" thickBot="1" x14ac:dyDescent="0.2">
      <c r="A63" s="64"/>
      <c r="B63" s="64" t="s">
        <v>991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1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1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1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1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1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15">
      <c r="B69" s="60" t="s">
        <v>1022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7" x14ac:dyDescent="0.15">
      <c r="B70" s="60" t="s">
        <v>1023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1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1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1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1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1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B2:B3"/>
    <mergeCell ref="C2:C3"/>
    <mergeCell ref="D2:D3"/>
    <mergeCell ref="E2:E3"/>
    <mergeCell ref="AL2:AO2"/>
    <mergeCell ref="AP2:AP3"/>
    <mergeCell ref="AQ2:AQ3"/>
    <mergeCell ref="X2:X3"/>
    <mergeCell ref="Y2:AB2"/>
    <mergeCell ref="AC2:AC3"/>
    <mergeCell ref="AD2:AD3"/>
    <mergeCell ref="AE2:AH2"/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7" width="11.625" customWidth="1"/>
    <col min="30" max="30" width="1.625" customWidth="1"/>
    <col min="32" max="34" width="10.625" customWidth="1"/>
    <col min="35" max="35" width="11.625" customWidth="1"/>
    <col min="36" max="36" width="12.625" customWidth="1"/>
    <col min="37" max="37" width="10.625" customWidth="1"/>
    <col min="38" max="41" width="12.625" customWidth="1"/>
    <col min="42" max="49" width="11.625" customWidth="1"/>
    <col min="52" max="52" width="1.625" customWidth="1"/>
    <col min="55" max="55" width="1.625" customWidth="1"/>
    <col min="56" max="59" width="11.625" customWidth="1"/>
    <col min="60" max="60" width="1.625" customWidth="1"/>
    <col min="61" max="64" width="11.625" customWidth="1"/>
    <col min="65" max="65" width="1.625" customWidth="1"/>
    <col min="66" max="69" width="11.625" customWidth="1"/>
    <col min="70" max="70" width="1.625" customWidth="1"/>
    <col min="71" max="74" width="11.625" customWidth="1"/>
    <col min="75" max="75" width="1.625" customWidth="1"/>
  </cols>
  <sheetData>
    <row r="1" spans="1:74" x14ac:dyDescent="0.15">
      <c r="A1" s="105" t="s">
        <v>868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E1" s="102" t="str">
        <f>Summary!C2</f>
        <v>v20.0-rc1-trisoup-raht+18edges+flagCtx_test</v>
      </c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</row>
    <row r="2" spans="1:74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3" t="s">
        <v>804</v>
      </c>
      <c r="Y2" s="103"/>
      <c r="Z2" s="103"/>
      <c r="AA2" s="103"/>
      <c r="AB2" s="107" t="s">
        <v>155</v>
      </c>
      <c r="AC2" s="106" t="s">
        <v>158</v>
      </c>
      <c r="AE2" s="107" t="s">
        <v>112</v>
      </c>
      <c r="AF2" s="103" t="s">
        <v>115</v>
      </c>
      <c r="AG2" s="103"/>
      <c r="AH2" s="103"/>
      <c r="AI2" s="103"/>
      <c r="AJ2" s="107" t="s">
        <v>128</v>
      </c>
      <c r="AK2" s="106" t="s">
        <v>22</v>
      </c>
      <c r="AL2" s="104" t="s">
        <v>133</v>
      </c>
      <c r="AM2" s="104"/>
      <c r="AN2" s="104"/>
      <c r="AO2" s="104"/>
      <c r="AP2" s="103" t="s">
        <v>143</v>
      </c>
      <c r="AQ2" s="103"/>
      <c r="AR2" s="103"/>
      <c r="AS2" s="103"/>
      <c r="AT2" s="104" t="s">
        <v>804</v>
      </c>
      <c r="AU2" s="104"/>
      <c r="AV2" s="104"/>
      <c r="AW2" s="104"/>
      <c r="AX2" s="106" t="s">
        <v>155</v>
      </c>
      <c r="AY2" s="107" t="s">
        <v>158</v>
      </c>
      <c r="BA2" s="106" t="s">
        <v>195</v>
      </c>
      <c r="BB2" s="107" t="s">
        <v>195</v>
      </c>
      <c r="BD2" s="103" t="s">
        <v>200</v>
      </c>
      <c r="BE2" s="103"/>
      <c r="BF2" s="103"/>
      <c r="BG2" s="103"/>
      <c r="BI2" s="104" t="s">
        <v>846</v>
      </c>
      <c r="BJ2" s="104"/>
      <c r="BK2" s="104"/>
      <c r="BL2" s="104"/>
      <c r="BN2" s="103" t="s">
        <v>209</v>
      </c>
      <c r="BO2" s="103"/>
      <c r="BP2" s="103"/>
      <c r="BQ2" s="103"/>
      <c r="BS2" s="104" t="s">
        <v>859</v>
      </c>
      <c r="BT2" s="104"/>
      <c r="BU2" s="104"/>
      <c r="BV2" s="104"/>
    </row>
    <row r="3" spans="1:74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7"/>
      <c r="AC3" s="106"/>
      <c r="AE3" s="107"/>
      <c r="AF3" s="12" t="s">
        <v>116</v>
      </c>
      <c r="AG3" s="12" t="s">
        <v>119</v>
      </c>
      <c r="AH3" s="12" t="s">
        <v>122</v>
      </c>
      <c r="AI3" s="12" t="s">
        <v>125</v>
      </c>
      <c r="AJ3" s="107"/>
      <c r="AK3" s="106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6"/>
      <c r="AY3" s="107"/>
      <c r="BA3" s="106"/>
      <c r="BB3" s="107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25" outlineLevel="1" thickBot="1" x14ac:dyDescent="0.2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1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1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1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1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25" outlineLevel="1" thickBot="1" x14ac:dyDescent="0.2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1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1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1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1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25" outlineLevel="1" thickBot="1" x14ac:dyDescent="0.2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1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1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1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1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25" outlineLevel="1" thickBot="1" x14ac:dyDescent="0.2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1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1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1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1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25" outlineLevel="1" thickBot="1" x14ac:dyDescent="0.2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1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1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1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1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25" outlineLevel="1" thickBot="1" x14ac:dyDescent="0.2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1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1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1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1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25" outlineLevel="1" thickBot="1" x14ac:dyDescent="0.2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1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1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1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1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25" outlineLevel="1" thickBot="1" x14ac:dyDescent="0.2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1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1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1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1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25" outlineLevel="1" thickBot="1" x14ac:dyDescent="0.2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1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1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1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1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25" outlineLevel="1" thickBot="1" x14ac:dyDescent="0.2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1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1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1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1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25" outlineLevel="1" thickBot="1" x14ac:dyDescent="0.2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1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1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1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1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25" outlineLevel="1" thickBot="1" x14ac:dyDescent="0.2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1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1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1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1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25" outlineLevel="1" thickBot="1" x14ac:dyDescent="0.2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1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1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1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1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25" outlineLevel="1" thickBot="1" x14ac:dyDescent="0.2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1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1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1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1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25" outlineLevel="1" thickBot="1" x14ac:dyDescent="0.2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1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1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1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1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25" outlineLevel="1" thickBot="1" x14ac:dyDescent="0.2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1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1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1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1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25" outlineLevel="1" thickBot="1" x14ac:dyDescent="0.2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1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1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1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1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25" outlineLevel="1" thickBot="1" x14ac:dyDescent="0.2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1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1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1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1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25" outlineLevel="1" thickBot="1" x14ac:dyDescent="0.2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1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1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1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1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25" outlineLevel="1" thickBot="1" x14ac:dyDescent="0.2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1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1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1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1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25" outlineLevel="1" thickBot="1" x14ac:dyDescent="0.2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1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1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1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1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25" outlineLevel="1" thickBot="1" x14ac:dyDescent="0.2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1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1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1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1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25" outlineLevel="1" thickBot="1" x14ac:dyDescent="0.2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1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1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1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1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25" outlineLevel="1" thickBot="1" x14ac:dyDescent="0.2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1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1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1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1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25" outlineLevel="1" thickBot="1" x14ac:dyDescent="0.2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1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1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1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1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25" outlineLevel="1" thickBot="1" x14ac:dyDescent="0.2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1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1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1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1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25" outlineLevel="1" thickBot="1" x14ac:dyDescent="0.2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1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1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1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1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25" outlineLevel="1" thickBot="1" x14ac:dyDescent="0.2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1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1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1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1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25" outlineLevel="1" thickBot="1" x14ac:dyDescent="0.2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1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1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1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1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25" outlineLevel="1" thickBot="1" x14ac:dyDescent="0.2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1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1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1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1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25" outlineLevel="1" thickBot="1" x14ac:dyDescent="0.2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1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1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1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1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25" outlineLevel="1" thickBot="1" x14ac:dyDescent="0.2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1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1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1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1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25" outlineLevel="1" thickBot="1" x14ac:dyDescent="0.2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1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1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1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1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25" outlineLevel="1" thickBot="1" x14ac:dyDescent="0.2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1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1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1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1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25" outlineLevel="1" thickBot="1" x14ac:dyDescent="0.2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1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1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1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1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25" outlineLevel="1" thickBot="1" x14ac:dyDescent="0.2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1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1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1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1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25" outlineLevel="1" thickBot="1" x14ac:dyDescent="0.2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1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1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1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1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25" outlineLevel="1" thickBot="1" x14ac:dyDescent="0.2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1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1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1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1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25" outlineLevel="1" thickBot="1" x14ac:dyDescent="0.2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1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1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1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1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25" outlineLevel="1" thickBot="1" x14ac:dyDescent="0.2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1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1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1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1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25" outlineLevel="1" thickBot="1" x14ac:dyDescent="0.2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1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1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1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1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25" outlineLevel="1" thickBot="1" x14ac:dyDescent="0.2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1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1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1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1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25" outlineLevel="1" thickBot="1" x14ac:dyDescent="0.2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1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1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1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1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25" outlineLevel="1" thickBot="1" x14ac:dyDescent="0.2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1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1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1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1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25" outlineLevel="1" thickBot="1" x14ac:dyDescent="0.2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1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1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1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1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25" outlineLevel="1" thickBot="1" x14ac:dyDescent="0.2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1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1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1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1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25" outlineLevel="1" thickBot="1" x14ac:dyDescent="0.2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1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1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1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1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25" outlineLevel="1" thickBot="1" x14ac:dyDescent="0.2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1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1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1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1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25" outlineLevel="1" thickBot="1" x14ac:dyDescent="0.2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15">
      <c r="A250" s="15" t="s">
        <v>1020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1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1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1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25" outlineLevel="1" thickBot="1" x14ac:dyDescent="0.2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1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1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1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1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25" outlineLevel="1" thickBot="1" x14ac:dyDescent="0.2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1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1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1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1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25" outlineLevel="1" thickBot="1" x14ac:dyDescent="0.2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1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1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1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1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25" outlineLevel="1" thickBot="1" x14ac:dyDescent="0.2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1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1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1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1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25" outlineLevel="1" thickBot="1" x14ac:dyDescent="0.2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1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1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1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1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25" outlineLevel="1" thickBot="1" x14ac:dyDescent="0.2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1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1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1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1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25" outlineLevel="1" thickBot="1" x14ac:dyDescent="0.2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15">
      <c r="A285" s="80" t="s">
        <v>1021</v>
      </c>
      <c r="B285" s="15" t="s">
        <v>989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15">
      <c r="A286" s="30"/>
      <c r="B286" s="30" t="s">
        <v>989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15">
      <c r="A287" s="15"/>
      <c r="B287" s="15" t="s">
        <v>989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15">
      <c r="A288" s="30"/>
      <c r="B288" s="30" t="s">
        <v>989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25" outlineLevel="1" thickBot="1" x14ac:dyDescent="0.2">
      <c r="A289" s="15"/>
      <c r="B289" s="64" t="s">
        <v>989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15">
      <c r="A290" s="30"/>
      <c r="B290" s="30" t="s">
        <v>990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15">
      <c r="A291" s="15"/>
      <c r="B291" s="15" t="s">
        <v>990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15">
      <c r="A292" s="30"/>
      <c r="B292" s="30" t="s">
        <v>990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15">
      <c r="A293" s="15"/>
      <c r="B293" s="15" t="s">
        <v>990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25" outlineLevel="1" thickBot="1" x14ac:dyDescent="0.2">
      <c r="A294" s="30"/>
      <c r="B294" s="45" t="s">
        <v>990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15">
      <c r="A295" s="15"/>
      <c r="B295" s="15" t="s">
        <v>991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15">
      <c r="A296" s="30"/>
      <c r="B296" s="30" t="s">
        <v>991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15">
      <c r="A297" s="15"/>
      <c r="B297" s="15" t="s">
        <v>991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15">
      <c r="A298" s="30"/>
      <c r="B298" s="30" t="s">
        <v>991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25" outlineLevel="1" thickBot="1" x14ac:dyDescent="0.2">
      <c r="A299" s="64"/>
      <c r="B299" s="64" t="s">
        <v>991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1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1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1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1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1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15">
      <c r="B305" s="60" t="s">
        <v>1022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7" x14ac:dyDescent="0.15">
      <c r="B306" s="60" t="s">
        <v>1023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1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1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1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1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1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F2:AI2"/>
    <mergeCell ref="AJ2:AJ3"/>
    <mergeCell ref="AK2:AK3"/>
    <mergeCell ref="O2:O3"/>
    <mergeCell ref="P2:S2"/>
    <mergeCell ref="T2:W2"/>
    <mergeCell ref="X2:AA2"/>
    <mergeCell ref="AB2:AB3"/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73" workbookViewId="0">
      <selection activeCell="O710" sqref="O710"/>
    </sheetView>
  </sheetViews>
  <sheetFormatPr defaultRowHeight="13.5" x14ac:dyDescent="0.15"/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1036</v>
      </c>
      <c r="C710" t="s">
        <v>1034</v>
      </c>
      <c r="D710">
        <v>0</v>
      </c>
      <c r="E710">
        <v>2563236</v>
      </c>
      <c r="F710">
        <v>199800</v>
      </c>
      <c r="G710">
        <v>23760</v>
      </c>
      <c r="H710">
        <v>175168</v>
      </c>
      <c r="I710">
        <v>0</v>
      </c>
      <c r="J710">
        <v>64.553656099999998</v>
      </c>
      <c r="K710">
        <v>65.319606100000001</v>
      </c>
      <c r="L710">
        <v>34.790245400000003</v>
      </c>
      <c r="M710">
        <v>43.437626000000002</v>
      </c>
      <c r="N710">
        <v>47.371685100000001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1036</v>
      </c>
      <c r="C711" t="s">
        <v>1034</v>
      </c>
      <c r="D711">
        <v>1</v>
      </c>
      <c r="E711">
        <v>2382752</v>
      </c>
      <c r="F711">
        <v>427648</v>
      </c>
      <c r="G711">
        <v>70464</v>
      </c>
      <c r="H711">
        <v>356312</v>
      </c>
      <c r="I711">
        <v>0</v>
      </c>
      <c r="J711">
        <v>69.936707900000002</v>
      </c>
      <c r="K711">
        <v>73.158202200000005</v>
      </c>
      <c r="L711">
        <v>37.735960300000002</v>
      </c>
      <c r="M711">
        <v>44.508201200000002</v>
      </c>
      <c r="N711">
        <v>48.904133700000003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1036</v>
      </c>
      <c r="C712" t="s">
        <v>1034</v>
      </c>
      <c r="D712">
        <v>2</v>
      </c>
      <c r="E712">
        <v>2485496</v>
      </c>
      <c r="F712">
        <v>1041704</v>
      </c>
      <c r="G712">
        <v>227232</v>
      </c>
      <c r="H712">
        <v>813600</v>
      </c>
      <c r="I712">
        <v>0</v>
      </c>
      <c r="J712">
        <v>74.791387799999995</v>
      </c>
      <c r="K712">
        <v>78.582488400000003</v>
      </c>
      <c r="L712">
        <v>40.521192200000002</v>
      </c>
      <c r="M712">
        <v>45.850154600000003</v>
      </c>
      <c r="N712">
        <v>50.257373700000002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1036</v>
      </c>
      <c r="C713" t="s">
        <v>1034</v>
      </c>
      <c r="D713">
        <v>3</v>
      </c>
      <c r="E713">
        <v>2779047</v>
      </c>
      <c r="F713">
        <v>2770600</v>
      </c>
      <c r="G713">
        <v>748664</v>
      </c>
      <c r="H713">
        <v>2021064</v>
      </c>
      <c r="I713">
        <v>0</v>
      </c>
      <c r="J713">
        <v>76.971451099999996</v>
      </c>
      <c r="K713">
        <v>80.705232499999994</v>
      </c>
      <c r="L713">
        <v>42.679003199999997</v>
      </c>
      <c r="M713">
        <v>47.377607300000001</v>
      </c>
      <c r="N713">
        <v>51.429876899999996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1036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1036</v>
      </c>
      <c r="C716" t="s">
        <v>1034</v>
      </c>
      <c r="D716">
        <v>0</v>
      </c>
      <c r="E716">
        <v>2364784</v>
      </c>
      <c r="F716">
        <v>225456</v>
      </c>
      <c r="G716">
        <v>20824</v>
      </c>
      <c r="H716">
        <v>203920</v>
      </c>
      <c r="I716">
        <v>0</v>
      </c>
      <c r="J716">
        <v>64.555706900000004</v>
      </c>
      <c r="K716">
        <v>65.065640099999996</v>
      </c>
      <c r="L716">
        <v>33.843715799999998</v>
      </c>
      <c r="M716">
        <v>44.341728199999999</v>
      </c>
      <c r="N716">
        <v>47.281325199999998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1036</v>
      </c>
      <c r="C717" t="s">
        <v>1034</v>
      </c>
      <c r="D717">
        <v>1</v>
      </c>
      <c r="E717">
        <v>2174186</v>
      </c>
      <c r="F717">
        <v>449632</v>
      </c>
      <c r="G717">
        <v>60720</v>
      </c>
      <c r="H717">
        <v>388200</v>
      </c>
      <c r="I717">
        <v>0</v>
      </c>
      <c r="J717">
        <v>69.728556600000005</v>
      </c>
      <c r="K717">
        <v>73.036275599999996</v>
      </c>
      <c r="L717">
        <v>37.385169099999999</v>
      </c>
      <c r="M717">
        <v>45.310824599999997</v>
      </c>
      <c r="N717">
        <v>48.909912900000002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1036</v>
      </c>
      <c r="C718" t="s">
        <v>1034</v>
      </c>
      <c r="D718">
        <v>2</v>
      </c>
      <c r="E718">
        <v>2260665</v>
      </c>
      <c r="F718">
        <v>1045840</v>
      </c>
      <c r="G718">
        <v>201008</v>
      </c>
      <c r="H718">
        <v>844120</v>
      </c>
      <c r="I718">
        <v>0</v>
      </c>
      <c r="J718">
        <v>74.804639100000003</v>
      </c>
      <c r="K718">
        <v>78.233147500000001</v>
      </c>
      <c r="L718">
        <v>40.0596301</v>
      </c>
      <c r="M718">
        <v>46.676316200000002</v>
      </c>
      <c r="N718">
        <v>50.330515900000002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1036</v>
      </c>
      <c r="C719" t="s">
        <v>1034</v>
      </c>
      <c r="D719">
        <v>3</v>
      </c>
      <c r="E719">
        <v>2476221</v>
      </c>
      <c r="F719">
        <v>2642848</v>
      </c>
      <c r="G719">
        <v>663544</v>
      </c>
      <c r="H719">
        <v>1978592</v>
      </c>
      <c r="I719">
        <v>0</v>
      </c>
      <c r="J719">
        <v>77.082859900000003</v>
      </c>
      <c r="K719">
        <v>80.631966199999994</v>
      </c>
      <c r="L719">
        <v>42.1826589</v>
      </c>
      <c r="M719">
        <v>48.136291</v>
      </c>
      <c r="N719">
        <v>51.477159399999998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1036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1036</v>
      </c>
      <c r="C722" t="s">
        <v>1034</v>
      </c>
      <c r="D722">
        <v>0</v>
      </c>
      <c r="E722">
        <v>3535590</v>
      </c>
      <c r="F722">
        <v>409104</v>
      </c>
      <c r="G722">
        <v>27320</v>
      </c>
      <c r="H722">
        <v>380936</v>
      </c>
      <c r="I722">
        <v>0</v>
      </c>
      <c r="J722">
        <v>60.379426000000002</v>
      </c>
      <c r="K722">
        <v>64.650964700000003</v>
      </c>
      <c r="L722">
        <v>29.535403800000001</v>
      </c>
      <c r="M722">
        <v>43.374026000000001</v>
      </c>
      <c r="N722">
        <v>45.400588599999999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1036</v>
      </c>
      <c r="C723" t="s">
        <v>1034</v>
      </c>
      <c r="D723">
        <v>1</v>
      </c>
      <c r="E723">
        <v>3453778</v>
      </c>
      <c r="F723">
        <v>1150224</v>
      </c>
      <c r="G723">
        <v>90008</v>
      </c>
      <c r="H723">
        <v>1059368</v>
      </c>
      <c r="I723">
        <v>0</v>
      </c>
      <c r="J723">
        <v>67.356421699999999</v>
      </c>
      <c r="K723">
        <v>71.762189100000001</v>
      </c>
      <c r="L723">
        <v>31.792114900000001</v>
      </c>
      <c r="M723">
        <v>44.454557399999999</v>
      </c>
      <c r="N723">
        <v>46.4640366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1036</v>
      </c>
      <c r="C724" t="s">
        <v>1034</v>
      </c>
      <c r="D724">
        <v>2</v>
      </c>
      <c r="E724">
        <v>3708857</v>
      </c>
      <c r="F724">
        <v>3278112</v>
      </c>
      <c r="G724">
        <v>344728</v>
      </c>
      <c r="H724">
        <v>2932536</v>
      </c>
      <c r="I724">
        <v>0</v>
      </c>
      <c r="J724">
        <v>73.415104400000004</v>
      </c>
      <c r="K724">
        <v>76.776845199999997</v>
      </c>
      <c r="L724">
        <v>34.365067500000002</v>
      </c>
      <c r="M724">
        <v>45.785981399999997</v>
      </c>
      <c r="N724">
        <v>47.7218649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1036</v>
      </c>
      <c r="C725" t="s">
        <v>1034</v>
      </c>
      <c r="D725">
        <v>3</v>
      </c>
      <c r="E725">
        <v>3933927</v>
      </c>
      <c r="F725">
        <v>8278944</v>
      </c>
      <c r="G725">
        <v>1259904</v>
      </c>
      <c r="H725">
        <v>7018192</v>
      </c>
      <c r="I725">
        <v>0</v>
      </c>
      <c r="J725">
        <v>76.425477099999995</v>
      </c>
      <c r="K725">
        <v>79.631892100000002</v>
      </c>
      <c r="L725">
        <v>37.217605800000001</v>
      </c>
      <c r="M725">
        <v>47.176478899999999</v>
      </c>
      <c r="N725">
        <v>48.9591736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1036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1036</v>
      </c>
      <c r="C728" t="s">
        <v>1034</v>
      </c>
      <c r="D728">
        <v>0</v>
      </c>
      <c r="E728">
        <v>798456</v>
      </c>
      <c r="F728">
        <v>294448</v>
      </c>
      <c r="G728">
        <v>6208</v>
      </c>
      <c r="H728">
        <v>287768</v>
      </c>
      <c r="I728">
        <v>0</v>
      </c>
      <c r="J728">
        <v>55.6445571</v>
      </c>
      <c r="K728">
        <v>56.0637027</v>
      </c>
      <c r="L728">
        <v>26.7981373</v>
      </c>
      <c r="M728">
        <v>34.000317799999998</v>
      </c>
      <c r="N728">
        <v>32.8485412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1036</v>
      </c>
      <c r="C729" t="s">
        <v>1034</v>
      </c>
      <c r="D729">
        <v>1</v>
      </c>
      <c r="E729">
        <v>785696</v>
      </c>
      <c r="F729">
        <v>662656</v>
      </c>
      <c r="G729">
        <v>21592</v>
      </c>
      <c r="H729">
        <v>640592</v>
      </c>
      <c r="I729">
        <v>0</v>
      </c>
      <c r="J729">
        <v>62.669087300000001</v>
      </c>
      <c r="K729">
        <v>63.466967099999998</v>
      </c>
      <c r="L729">
        <v>30.485050399999999</v>
      </c>
      <c r="M729">
        <v>37.4759429</v>
      </c>
      <c r="N729">
        <v>36.707352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1036</v>
      </c>
      <c r="C730" t="s">
        <v>1034</v>
      </c>
      <c r="D730">
        <v>2</v>
      </c>
      <c r="E730">
        <v>794760</v>
      </c>
      <c r="F730">
        <v>1387632</v>
      </c>
      <c r="G730">
        <v>77744</v>
      </c>
      <c r="H730">
        <v>1309416</v>
      </c>
      <c r="I730">
        <v>0</v>
      </c>
      <c r="J730">
        <v>68.604806499999995</v>
      </c>
      <c r="K730">
        <v>70.4588593</v>
      </c>
      <c r="L730">
        <v>33.853155200000003</v>
      </c>
      <c r="M730">
        <v>40.667763399999998</v>
      </c>
      <c r="N730">
        <v>40.165178099999999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1036</v>
      </c>
      <c r="C731" t="s">
        <v>1034</v>
      </c>
      <c r="D731">
        <v>3</v>
      </c>
      <c r="E731">
        <v>848252</v>
      </c>
      <c r="F731">
        <v>2782328</v>
      </c>
      <c r="G731">
        <v>253144</v>
      </c>
      <c r="H731">
        <v>2528712</v>
      </c>
      <c r="I731">
        <v>0</v>
      </c>
      <c r="J731">
        <v>71.029979699999998</v>
      </c>
      <c r="K731">
        <v>73.9660966</v>
      </c>
      <c r="L731">
        <v>36.811397800000002</v>
      </c>
      <c r="M731">
        <v>43.479074900000001</v>
      </c>
      <c r="N731">
        <v>43.0528738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1036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1036</v>
      </c>
      <c r="C734" t="s">
        <v>1034</v>
      </c>
      <c r="D734">
        <v>0</v>
      </c>
      <c r="E734">
        <v>747178</v>
      </c>
      <c r="F734">
        <v>68936</v>
      </c>
      <c r="G734">
        <v>5952</v>
      </c>
      <c r="H734">
        <v>62520</v>
      </c>
      <c r="I734">
        <v>0</v>
      </c>
      <c r="J734">
        <v>55.289748799999998</v>
      </c>
      <c r="K734">
        <v>57.733209899999999</v>
      </c>
      <c r="L734">
        <v>32.599505000000001</v>
      </c>
      <c r="M734">
        <v>46.2341354</v>
      </c>
      <c r="N734">
        <v>44.105499399999999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1036</v>
      </c>
      <c r="C735" t="s">
        <v>1034</v>
      </c>
      <c r="D735">
        <v>1</v>
      </c>
      <c r="E735">
        <v>713413</v>
      </c>
      <c r="F735">
        <v>162816</v>
      </c>
      <c r="G735">
        <v>19384</v>
      </c>
      <c r="H735">
        <v>142968</v>
      </c>
      <c r="I735">
        <v>0</v>
      </c>
      <c r="J735">
        <v>63.177750000000003</v>
      </c>
      <c r="K735">
        <v>65.228434300000004</v>
      </c>
      <c r="L735">
        <v>36.175703400000003</v>
      </c>
      <c r="M735">
        <v>48.8027005</v>
      </c>
      <c r="N735">
        <v>48.1290792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1036</v>
      </c>
      <c r="C736" t="s">
        <v>1034</v>
      </c>
      <c r="D736">
        <v>2</v>
      </c>
      <c r="E736">
        <v>735219</v>
      </c>
      <c r="F736">
        <v>375408</v>
      </c>
      <c r="G736">
        <v>67688</v>
      </c>
      <c r="H736">
        <v>307256</v>
      </c>
      <c r="I736">
        <v>0</v>
      </c>
      <c r="J736">
        <v>68.458337499999999</v>
      </c>
      <c r="K736">
        <v>71.271203799999995</v>
      </c>
      <c r="L736">
        <v>39.643152299999997</v>
      </c>
      <c r="M736">
        <v>50.714545800000003</v>
      </c>
      <c r="N736">
        <v>50.910931400000003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1036</v>
      </c>
      <c r="C737" t="s">
        <v>1034</v>
      </c>
      <c r="D737">
        <v>3</v>
      </c>
      <c r="E737">
        <v>791608</v>
      </c>
      <c r="F737">
        <v>884088</v>
      </c>
      <c r="G737">
        <v>227688</v>
      </c>
      <c r="H737">
        <v>655936</v>
      </c>
      <c r="I737">
        <v>0</v>
      </c>
      <c r="J737">
        <v>71.086933299999998</v>
      </c>
      <c r="K737">
        <v>74.126947000000001</v>
      </c>
      <c r="L737">
        <v>42.695852299999999</v>
      </c>
      <c r="M737">
        <v>52.3646277</v>
      </c>
      <c r="N737">
        <v>52.647758500000002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1036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1036</v>
      </c>
      <c r="C740" t="s">
        <v>1034</v>
      </c>
      <c r="D740">
        <v>0</v>
      </c>
      <c r="E740">
        <v>747027</v>
      </c>
      <c r="F740">
        <v>121488</v>
      </c>
      <c r="G740">
        <v>5744</v>
      </c>
      <c r="H740">
        <v>115272</v>
      </c>
      <c r="I740">
        <v>0</v>
      </c>
      <c r="J740">
        <v>55.7712225</v>
      </c>
      <c r="K740">
        <v>57.162020499999997</v>
      </c>
      <c r="L740">
        <v>26.795787000000001</v>
      </c>
      <c r="M740">
        <v>35.035798399999997</v>
      </c>
      <c r="N740">
        <v>32.844049400000003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1036</v>
      </c>
      <c r="C741" t="s">
        <v>1034</v>
      </c>
      <c r="D741">
        <v>1</v>
      </c>
      <c r="E741">
        <v>726789</v>
      </c>
      <c r="F741">
        <v>278672</v>
      </c>
      <c r="G741">
        <v>18808</v>
      </c>
      <c r="H741">
        <v>259392</v>
      </c>
      <c r="I741">
        <v>0</v>
      </c>
      <c r="J741">
        <v>62.500404699999997</v>
      </c>
      <c r="K741">
        <v>64.232491400000001</v>
      </c>
      <c r="L741">
        <v>30.780349999999999</v>
      </c>
      <c r="M741">
        <v>39.6030053</v>
      </c>
      <c r="N741">
        <v>37.610724500000003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1036</v>
      </c>
      <c r="C742" t="s">
        <v>1034</v>
      </c>
      <c r="D742">
        <v>2</v>
      </c>
      <c r="E742">
        <v>767793</v>
      </c>
      <c r="F742">
        <v>602192</v>
      </c>
      <c r="G742">
        <v>66696</v>
      </c>
      <c r="H742">
        <v>535024</v>
      </c>
      <c r="I742">
        <v>0</v>
      </c>
      <c r="J742">
        <v>67.685976199999999</v>
      </c>
      <c r="K742">
        <v>71.006012600000005</v>
      </c>
      <c r="L742">
        <v>34.346772700000002</v>
      </c>
      <c r="M742">
        <v>44.233868299999997</v>
      </c>
      <c r="N742">
        <v>42.232109800000003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1036</v>
      </c>
      <c r="C743" t="s">
        <v>1034</v>
      </c>
      <c r="D743">
        <v>3</v>
      </c>
      <c r="E743">
        <v>867716</v>
      </c>
      <c r="F743">
        <v>1349736</v>
      </c>
      <c r="G743">
        <v>231056</v>
      </c>
      <c r="H743">
        <v>1118208</v>
      </c>
      <c r="I743">
        <v>0</v>
      </c>
      <c r="J743">
        <v>70.039026800000002</v>
      </c>
      <c r="K743">
        <v>73.995464799999993</v>
      </c>
      <c r="L743">
        <v>37.253299400000003</v>
      </c>
      <c r="M743">
        <v>47.057956799999999</v>
      </c>
      <c r="N743">
        <v>45.524034999999998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1036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1036</v>
      </c>
      <c r="C746" t="s">
        <v>1034</v>
      </c>
      <c r="D746">
        <v>0</v>
      </c>
      <c r="E746">
        <v>681762</v>
      </c>
      <c r="F746">
        <v>138784</v>
      </c>
      <c r="G746">
        <v>5768</v>
      </c>
      <c r="H746">
        <v>132544</v>
      </c>
      <c r="I746">
        <v>0</v>
      </c>
      <c r="J746">
        <v>54.167279200000003</v>
      </c>
      <c r="K746">
        <v>55.859701999999999</v>
      </c>
      <c r="L746">
        <v>31.553394300000001</v>
      </c>
      <c r="M746">
        <v>40.5724935</v>
      </c>
      <c r="N746">
        <v>32.304532199999997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1036</v>
      </c>
      <c r="C747" t="s">
        <v>1034</v>
      </c>
      <c r="D747">
        <v>1</v>
      </c>
      <c r="E747">
        <v>674829</v>
      </c>
      <c r="F747">
        <v>296000</v>
      </c>
      <c r="G747">
        <v>19896</v>
      </c>
      <c r="H747">
        <v>275632</v>
      </c>
      <c r="I747">
        <v>0</v>
      </c>
      <c r="J747">
        <v>61.528513199999999</v>
      </c>
      <c r="K747">
        <v>63.620031500000003</v>
      </c>
      <c r="L747">
        <v>35.379899000000002</v>
      </c>
      <c r="M747">
        <v>42.554760799999997</v>
      </c>
      <c r="N747">
        <v>36.776284199999999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1036</v>
      </c>
      <c r="C748" t="s">
        <v>1034</v>
      </c>
      <c r="D748">
        <v>2</v>
      </c>
      <c r="E748">
        <v>697070</v>
      </c>
      <c r="F748">
        <v>662760</v>
      </c>
      <c r="G748">
        <v>71240</v>
      </c>
      <c r="H748">
        <v>591048</v>
      </c>
      <c r="I748">
        <v>0</v>
      </c>
      <c r="J748">
        <v>67.916162999999997</v>
      </c>
      <c r="K748">
        <v>70.312938099999997</v>
      </c>
      <c r="L748">
        <v>38.7375057</v>
      </c>
      <c r="M748">
        <v>44.513086800000004</v>
      </c>
      <c r="N748">
        <v>40.145134800000001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1036</v>
      </c>
      <c r="C749" t="s">
        <v>1034</v>
      </c>
      <c r="D749">
        <v>3</v>
      </c>
      <c r="E749">
        <v>754191</v>
      </c>
      <c r="F749">
        <v>1489264</v>
      </c>
      <c r="G749">
        <v>236752</v>
      </c>
      <c r="H749">
        <v>1252040</v>
      </c>
      <c r="I749">
        <v>0</v>
      </c>
      <c r="J749">
        <v>70.785361600000002</v>
      </c>
      <c r="K749">
        <v>73.698572999999996</v>
      </c>
      <c r="L749">
        <v>41.678620299999999</v>
      </c>
      <c r="M749">
        <v>46.442138</v>
      </c>
      <c r="N749">
        <v>43.231618400000002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1036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1036</v>
      </c>
      <c r="C752" t="s">
        <v>1034</v>
      </c>
      <c r="D752">
        <v>0</v>
      </c>
      <c r="E752">
        <v>1027927</v>
      </c>
      <c r="F752">
        <v>158392</v>
      </c>
      <c r="G752">
        <v>8168</v>
      </c>
      <c r="H752">
        <v>149760</v>
      </c>
      <c r="I752">
        <v>0</v>
      </c>
      <c r="J752">
        <v>55.215634399999999</v>
      </c>
      <c r="K752">
        <v>56.773492599999997</v>
      </c>
      <c r="L752">
        <v>29.475559000000001</v>
      </c>
      <c r="M752">
        <v>46.016092899999997</v>
      </c>
      <c r="N752">
        <v>46.652529700000002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1036</v>
      </c>
      <c r="C753" t="s">
        <v>1034</v>
      </c>
      <c r="D753">
        <v>1</v>
      </c>
      <c r="E753">
        <v>978818</v>
      </c>
      <c r="F753">
        <v>348928</v>
      </c>
      <c r="G753">
        <v>27568</v>
      </c>
      <c r="H753">
        <v>320896</v>
      </c>
      <c r="I753">
        <v>0</v>
      </c>
      <c r="J753">
        <v>63.325067900000001</v>
      </c>
      <c r="K753">
        <v>64.334055399999997</v>
      </c>
      <c r="L753">
        <v>33.670369600000001</v>
      </c>
      <c r="M753">
        <v>47.9928746</v>
      </c>
      <c r="N753">
        <v>48.834334499999997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1036</v>
      </c>
      <c r="C754" t="s">
        <v>1034</v>
      </c>
      <c r="D754">
        <v>2</v>
      </c>
      <c r="E754">
        <v>998787</v>
      </c>
      <c r="F754">
        <v>766528</v>
      </c>
      <c r="G754">
        <v>99800</v>
      </c>
      <c r="H754">
        <v>666264</v>
      </c>
      <c r="I754">
        <v>0</v>
      </c>
      <c r="J754">
        <v>68.544061400000004</v>
      </c>
      <c r="K754">
        <v>71.031361399999994</v>
      </c>
      <c r="L754">
        <v>37.240308400000004</v>
      </c>
      <c r="M754">
        <v>49.947840399999997</v>
      </c>
      <c r="N754">
        <v>50.896070199999997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1036</v>
      </c>
      <c r="C755" t="s">
        <v>1034</v>
      </c>
      <c r="D755">
        <v>3</v>
      </c>
      <c r="E755">
        <v>1073619</v>
      </c>
      <c r="F755">
        <v>1697280</v>
      </c>
      <c r="G755">
        <v>321568</v>
      </c>
      <c r="H755">
        <v>1375248</v>
      </c>
      <c r="I755">
        <v>0</v>
      </c>
      <c r="J755">
        <v>71.013650200000001</v>
      </c>
      <c r="K755">
        <v>74.127468199999996</v>
      </c>
      <c r="L755">
        <v>40.4482608</v>
      </c>
      <c r="M755">
        <v>51.750993000000001</v>
      </c>
      <c r="N755">
        <v>52.664097300000002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1036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1036</v>
      </c>
      <c r="C758" t="s">
        <v>1034</v>
      </c>
      <c r="D758">
        <v>0</v>
      </c>
      <c r="E758">
        <v>931494</v>
      </c>
      <c r="F758">
        <v>240880</v>
      </c>
      <c r="G758">
        <v>7144</v>
      </c>
      <c r="H758">
        <v>233256</v>
      </c>
      <c r="I758">
        <v>0</v>
      </c>
      <c r="J758">
        <v>61.373746500000003</v>
      </c>
      <c r="K758">
        <v>62.324563300000001</v>
      </c>
      <c r="L758">
        <v>28.066241300000002</v>
      </c>
      <c r="M758">
        <v>36.188588299999999</v>
      </c>
      <c r="N758">
        <v>36.4777968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1036</v>
      </c>
      <c r="C759" t="s">
        <v>1034</v>
      </c>
      <c r="D759">
        <v>1</v>
      </c>
      <c r="E759">
        <v>891561</v>
      </c>
      <c r="F759">
        <v>537656</v>
      </c>
      <c r="G759">
        <v>24496</v>
      </c>
      <c r="H759">
        <v>512680</v>
      </c>
      <c r="I759">
        <v>0</v>
      </c>
      <c r="J759">
        <v>68.096070800000007</v>
      </c>
      <c r="K759">
        <v>70.033604499999996</v>
      </c>
      <c r="L759">
        <v>31.3491997</v>
      </c>
      <c r="M759">
        <v>39.5357524</v>
      </c>
      <c r="N759">
        <v>39.917327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1036</v>
      </c>
      <c r="C760" t="s">
        <v>1034</v>
      </c>
      <c r="D760">
        <v>2</v>
      </c>
      <c r="E760">
        <v>922379</v>
      </c>
      <c r="F760">
        <v>1135320</v>
      </c>
      <c r="G760">
        <v>88488</v>
      </c>
      <c r="H760">
        <v>1046352</v>
      </c>
      <c r="I760">
        <v>0</v>
      </c>
      <c r="J760">
        <v>73.398408799999999</v>
      </c>
      <c r="K760">
        <v>75.143603499999998</v>
      </c>
      <c r="L760">
        <v>34.122563300000003</v>
      </c>
      <c r="M760">
        <v>42.632732300000001</v>
      </c>
      <c r="N760">
        <v>43.060254299999997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1036</v>
      </c>
      <c r="C761" t="s">
        <v>1034</v>
      </c>
      <c r="D761">
        <v>3</v>
      </c>
      <c r="E761">
        <v>987612</v>
      </c>
      <c r="F761">
        <v>2257856</v>
      </c>
      <c r="G761">
        <v>289240</v>
      </c>
      <c r="H761">
        <v>1968136</v>
      </c>
      <c r="I761">
        <v>0</v>
      </c>
      <c r="J761">
        <v>74.497849799999997</v>
      </c>
      <c r="K761">
        <v>77.029704199999998</v>
      </c>
      <c r="L761">
        <v>35.669468899999998</v>
      </c>
      <c r="M761">
        <v>45.043956100000003</v>
      </c>
      <c r="N761">
        <v>45.484278400000001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1036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1036</v>
      </c>
      <c r="C764" t="s">
        <v>1034</v>
      </c>
      <c r="D764">
        <v>0</v>
      </c>
      <c r="E764">
        <v>2312958</v>
      </c>
      <c r="F764">
        <v>153536</v>
      </c>
      <c r="G764">
        <v>28608</v>
      </c>
      <c r="H764">
        <v>124240</v>
      </c>
      <c r="I764">
        <v>0</v>
      </c>
      <c r="J764">
        <v>64.278808400000003</v>
      </c>
      <c r="K764">
        <v>64.676648499999999</v>
      </c>
      <c r="L764">
        <v>36.019256800000001</v>
      </c>
      <c r="M764">
        <v>47.741418199999998</v>
      </c>
      <c r="N764">
        <v>47.9572833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1036</v>
      </c>
      <c r="C765" t="s">
        <v>1034</v>
      </c>
      <c r="D765">
        <v>1</v>
      </c>
      <c r="E765">
        <v>3455491</v>
      </c>
      <c r="F765">
        <v>446392</v>
      </c>
      <c r="G765">
        <v>87512</v>
      </c>
      <c r="H765">
        <v>358192</v>
      </c>
      <c r="I765">
        <v>0</v>
      </c>
      <c r="J765">
        <v>70.303257599999995</v>
      </c>
      <c r="K765">
        <v>71.453574099999997</v>
      </c>
      <c r="L765">
        <v>39.913090199999999</v>
      </c>
      <c r="M765">
        <v>49.731895000000002</v>
      </c>
      <c r="N765">
        <v>50.382775799999997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1036</v>
      </c>
      <c r="C766" t="s">
        <v>1034</v>
      </c>
      <c r="D766">
        <v>2</v>
      </c>
      <c r="E766">
        <v>2963885</v>
      </c>
      <c r="F766">
        <v>954888</v>
      </c>
      <c r="G766">
        <v>283320</v>
      </c>
      <c r="H766">
        <v>670880</v>
      </c>
      <c r="I766">
        <v>0</v>
      </c>
      <c r="J766">
        <v>73.091376800000006</v>
      </c>
      <c r="K766">
        <v>75.492138199999999</v>
      </c>
      <c r="L766">
        <v>41.3500856</v>
      </c>
      <c r="M766">
        <v>50.572659299999998</v>
      </c>
      <c r="N766">
        <v>51.179583999999998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1036</v>
      </c>
      <c r="C767" t="s">
        <v>1034</v>
      </c>
      <c r="D767">
        <v>3</v>
      </c>
      <c r="E767">
        <v>2830389</v>
      </c>
      <c r="F767">
        <v>2462216</v>
      </c>
      <c r="G767">
        <v>942488</v>
      </c>
      <c r="H767">
        <v>1519040</v>
      </c>
      <c r="I767">
        <v>0</v>
      </c>
      <c r="J767">
        <v>73.359102899999996</v>
      </c>
      <c r="K767">
        <v>76.659602100000001</v>
      </c>
      <c r="L767">
        <v>43.4601994</v>
      </c>
      <c r="M767">
        <v>51.7579463</v>
      </c>
      <c r="N767">
        <v>52.449586099999998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1036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1036</v>
      </c>
      <c r="C770" t="s">
        <v>1034</v>
      </c>
      <c r="D770">
        <v>0</v>
      </c>
      <c r="E770">
        <v>1174432</v>
      </c>
      <c r="F770">
        <v>536288</v>
      </c>
      <c r="G770">
        <v>33552</v>
      </c>
      <c r="H770">
        <v>502168</v>
      </c>
      <c r="I770">
        <v>0</v>
      </c>
      <c r="J770">
        <v>58.671061399999999</v>
      </c>
      <c r="K770">
        <v>61.544482799999997</v>
      </c>
      <c r="L770">
        <v>23.867347500000001</v>
      </c>
      <c r="M770">
        <v>39.185873000000001</v>
      </c>
      <c r="N770">
        <v>38.049138999999997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1036</v>
      </c>
      <c r="C771" t="s">
        <v>1034</v>
      </c>
      <c r="D771">
        <v>1</v>
      </c>
      <c r="E771">
        <v>1277992</v>
      </c>
      <c r="F771">
        <v>1214392</v>
      </c>
      <c r="G771">
        <v>131024</v>
      </c>
      <c r="H771">
        <v>1082800</v>
      </c>
      <c r="I771">
        <v>0</v>
      </c>
      <c r="J771">
        <v>64.071536100000003</v>
      </c>
      <c r="K771">
        <v>67.809738100000004</v>
      </c>
      <c r="L771">
        <v>26.829464000000002</v>
      </c>
      <c r="M771">
        <v>41.205956399999998</v>
      </c>
      <c r="N771">
        <v>39.565194599999998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1036</v>
      </c>
      <c r="C772" t="s">
        <v>1034</v>
      </c>
      <c r="D772">
        <v>2</v>
      </c>
      <c r="E772">
        <v>1615639</v>
      </c>
      <c r="F772">
        <v>2938296</v>
      </c>
      <c r="G772">
        <v>562672</v>
      </c>
      <c r="H772">
        <v>2375056</v>
      </c>
      <c r="I772">
        <v>0</v>
      </c>
      <c r="J772">
        <v>68.140869600000002</v>
      </c>
      <c r="K772">
        <v>71.694531100000006</v>
      </c>
      <c r="L772">
        <v>29.4791749</v>
      </c>
      <c r="M772">
        <v>43.491862099999999</v>
      </c>
      <c r="N772">
        <v>41.182215999999997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1036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1036</v>
      </c>
      <c r="C776" t="s">
        <v>1034</v>
      </c>
      <c r="D776">
        <v>0</v>
      </c>
      <c r="E776">
        <v>7574241</v>
      </c>
      <c r="F776">
        <v>1844448</v>
      </c>
      <c r="G776">
        <v>83104</v>
      </c>
      <c r="H776">
        <v>1760216</v>
      </c>
      <c r="I776">
        <v>0</v>
      </c>
      <c r="J776">
        <v>63.9047907</v>
      </c>
      <c r="K776">
        <v>70.585697199999998</v>
      </c>
      <c r="L776">
        <v>24.642481799999999</v>
      </c>
      <c r="M776">
        <v>39.984562599999997</v>
      </c>
      <c r="N776">
        <v>41.498080899999998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1036</v>
      </c>
      <c r="C777" t="s">
        <v>1034</v>
      </c>
      <c r="D777">
        <v>1</v>
      </c>
      <c r="E777">
        <v>7173802</v>
      </c>
      <c r="F777">
        <v>4405584</v>
      </c>
      <c r="G777">
        <v>300928</v>
      </c>
      <c r="H777">
        <v>4103528</v>
      </c>
      <c r="I777">
        <v>0</v>
      </c>
      <c r="J777">
        <v>69.551420500000006</v>
      </c>
      <c r="K777">
        <v>75.8867288</v>
      </c>
      <c r="L777">
        <v>26.759840499999999</v>
      </c>
      <c r="M777">
        <v>41.457326100000003</v>
      </c>
      <c r="N777">
        <v>42.761830400000001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1036</v>
      </c>
      <c r="C778" t="s">
        <v>1034</v>
      </c>
      <c r="D778">
        <v>2</v>
      </c>
      <c r="E778">
        <v>6951442</v>
      </c>
      <c r="F778">
        <v>9975336</v>
      </c>
      <c r="G778">
        <v>1357176</v>
      </c>
      <c r="H778">
        <v>8617032</v>
      </c>
      <c r="I778">
        <v>0</v>
      </c>
      <c r="J778">
        <v>75.282660300000003</v>
      </c>
      <c r="K778">
        <v>78.806474300000005</v>
      </c>
      <c r="L778">
        <v>28.6606989</v>
      </c>
      <c r="M778">
        <v>43.021274499999997</v>
      </c>
      <c r="N778">
        <v>44.0958483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1036</v>
      </c>
      <c r="C779" t="s">
        <v>1034</v>
      </c>
      <c r="D779">
        <v>3</v>
      </c>
      <c r="E779">
        <v>8051705</v>
      </c>
      <c r="F779">
        <v>24071656</v>
      </c>
      <c r="G779">
        <v>5648840</v>
      </c>
      <c r="H779">
        <v>18421688</v>
      </c>
      <c r="I779">
        <v>0</v>
      </c>
      <c r="J779">
        <v>77.465557200000006</v>
      </c>
      <c r="K779">
        <v>80.776850100000004</v>
      </c>
      <c r="L779">
        <v>30.211941100000001</v>
      </c>
      <c r="M779">
        <v>44.992494600000001</v>
      </c>
      <c r="N779">
        <v>45.782500200000001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1036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1036</v>
      </c>
      <c r="C782" t="s">
        <v>1034</v>
      </c>
      <c r="D782">
        <v>0</v>
      </c>
      <c r="E782">
        <v>10482103</v>
      </c>
      <c r="F782">
        <v>1229640</v>
      </c>
      <c r="G782">
        <v>102912</v>
      </c>
      <c r="H782">
        <v>1125040</v>
      </c>
      <c r="I782">
        <v>0</v>
      </c>
      <c r="J782">
        <v>68.032191900000001</v>
      </c>
      <c r="K782">
        <v>71.018393599999996</v>
      </c>
      <c r="L782">
        <v>30.0055643</v>
      </c>
      <c r="M782">
        <v>43.271360999999999</v>
      </c>
      <c r="N782">
        <v>45.289890700000001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1036</v>
      </c>
      <c r="C783" t="s">
        <v>1034</v>
      </c>
      <c r="D783">
        <v>1</v>
      </c>
      <c r="E783">
        <v>11075623</v>
      </c>
      <c r="F783">
        <v>3531560</v>
      </c>
      <c r="G783">
        <v>345352</v>
      </c>
      <c r="H783">
        <v>3184520</v>
      </c>
      <c r="I783">
        <v>0</v>
      </c>
      <c r="J783">
        <v>74.053016499999998</v>
      </c>
      <c r="K783">
        <v>76.914632699999999</v>
      </c>
      <c r="L783">
        <v>31.824050499999998</v>
      </c>
      <c r="M783">
        <v>44.327533299999999</v>
      </c>
      <c r="N783">
        <v>46.303200500000003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1036</v>
      </c>
      <c r="C784" t="s">
        <v>1034</v>
      </c>
      <c r="D784">
        <v>2</v>
      </c>
      <c r="E784">
        <v>11498165</v>
      </c>
      <c r="F784">
        <v>9393184</v>
      </c>
      <c r="G784">
        <v>1355216</v>
      </c>
      <c r="H784">
        <v>8036280</v>
      </c>
      <c r="I784">
        <v>0</v>
      </c>
      <c r="J784">
        <v>78.334226000000001</v>
      </c>
      <c r="K784">
        <v>80.942864999999998</v>
      </c>
      <c r="L784">
        <v>33.542759799999999</v>
      </c>
      <c r="M784">
        <v>45.415062399999997</v>
      </c>
      <c r="N784">
        <v>47.260424499999999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1036</v>
      </c>
      <c r="C785" t="s">
        <v>1034</v>
      </c>
      <c r="D785">
        <v>3</v>
      </c>
      <c r="E785">
        <v>11980374</v>
      </c>
      <c r="F785">
        <v>24487984</v>
      </c>
      <c r="G785">
        <v>5217032</v>
      </c>
      <c r="H785">
        <v>19269344</v>
      </c>
      <c r="I785">
        <v>0</v>
      </c>
      <c r="J785">
        <v>79.953439399999993</v>
      </c>
      <c r="K785">
        <v>83.018344799999994</v>
      </c>
      <c r="L785">
        <v>35.428720300000002</v>
      </c>
      <c r="M785">
        <v>46.762972699999999</v>
      </c>
      <c r="N785">
        <v>48.401048099999997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1036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1036</v>
      </c>
      <c r="C788" t="s">
        <v>1034</v>
      </c>
      <c r="D788">
        <v>0</v>
      </c>
      <c r="E788">
        <v>2963587</v>
      </c>
      <c r="F788">
        <v>370000</v>
      </c>
      <c r="G788">
        <v>57360</v>
      </c>
      <c r="H788">
        <v>311832</v>
      </c>
      <c r="I788">
        <v>0</v>
      </c>
      <c r="J788">
        <v>60.201499699999999</v>
      </c>
      <c r="K788">
        <v>64.254783799999998</v>
      </c>
      <c r="L788">
        <v>29.0429426</v>
      </c>
      <c r="M788">
        <v>44.1899351</v>
      </c>
      <c r="N788">
        <v>47.680998099999996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1036</v>
      </c>
      <c r="C789" t="s">
        <v>1034</v>
      </c>
      <c r="D789">
        <v>1</v>
      </c>
      <c r="E789">
        <v>3105464</v>
      </c>
      <c r="F789">
        <v>982376</v>
      </c>
      <c r="G789">
        <v>184144</v>
      </c>
      <c r="H789">
        <v>797424</v>
      </c>
      <c r="I789">
        <v>0</v>
      </c>
      <c r="J789">
        <v>65.771084700000003</v>
      </c>
      <c r="K789">
        <v>70.603299800000002</v>
      </c>
      <c r="L789">
        <v>30.945806900000001</v>
      </c>
      <c r="M789">
        <v>45.314624500000001</v>
      </c>
      <c r="N789">
        <v>48.305642300000002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1036</v>
      </c>
      <c r="C790" t="s">
        <v>1034</v>
      </c>
      <c r="D790">
        <v>2</v>
      </c>
      <c r="E790">
        <v>4304695</v>
      </c>
      <c r="F790">
        <v>3278688</v>
      </c>
      <c r="G790">
        <v>745736</v>
      </c>
      <c r="H790">
        <v>2532144</v>
      </c>
      <c r="I790">
        <v>0</v>
      </c>
      <c r="J790">
        <v>69.856580500000007</v>
      </c>
      <c r="K790">
        <v>72.8184495</v>
      </c>
      <c r="L790">
        <v>33.192298200000003</v>
      </c>
      <c r="M790">
        <v>46.629113699999998</v>
      </c>
      <c r="N790">
        <v>48.979435299999999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1036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1036</v>
      </c>
      <c r="C794" t="s">
        <v>1034</v>
      </c>
      <c r="D794">
        <v>0</v>
      </c>
      <c r="E794">
        <v>11536201</v>
      </c>
      <c r="F794">
        <v>2579616</v>
      </c>
      <c r="G794">
        <v>382808</v>
      </c>
      <c r="H794">
        <v>2195160</v>
      </c>
      <c r="I794">
        <v>0</v>
      </c>
      <c r="J794">
        <v>67.660789300000005</v>
      </c>
      <c r="K794">
        <v>71.061954600000007</v>
      </c>
      <c r="L794">
        <v>27.318094899999998</v>
      </c>
      <c r="M794">
        <v>40.963825800000002</v>
      </c>
      <c r="N794">
        <v>45.854730799999999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1036</v>
      </c>
      <c r="C795" t="s">
        <v>1034</v>
      </c>
      <c r="D795">
        <v>1</v>
      </c>
      <c r="E795">
        <v>12695768</v>
      </c>
      <c r="F795">
        <v>7144832</v>
      </c>
      <c r="G795">
        <v>1340320</v>
      </c>
      <c r="H795">
        <v>5802864</v>
      </c>
      <c r="I795">
        <v>0</v>
      </c>
      <c r="J795">
        <v>71.286233999999993</v>
      </c>
      <c r="K795">
        <v>75.979500999999999</v>
      </c>
      <c r="L795">
        <v>29.1969925</v>
      </c>
      <c r="M795">
        <v>42.638866</v>
      </c>
      <c r="N795">
        <v>47.248109399999997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1036</v>
      </c>
      <c r="C796" t="s">
        <v>1034</v>
      </c>
      <c r="D796">
        <v>2</v>
      </c>
      <c r="E796">
        <v>14559808</v>
      </c>
      <c r="F796">
        <v>19493648</v>
      </c>
      <c r="G796">
        <v>5440928</v>
      </c>
      <c r="H796">
        <v>14051152</v>
      </c>
      <c r="I796">
        <v>0</v>
      </c>
      <c r="J796">
        <v>73.348554699999994</v>
      </c>
      <c r="K796">
        <v>78.352076499999995</v>
      </c>
      <c r="L796">
        <v>31.167316799999998</v>
      </c>
      <c r="M796">
        <v>44.526657800000002</v>
      </c>
      <c r="N796">
        <v>48.641390199999996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1036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1036</v>
      </c>
      <c r="C800" t="s">
        <v>1034</v>
      </c>
      <c r="D800">
        <v>0</v>
      </c>
      <c r="E800">
        <v>2927225</v>
      </c>
      <c r="F800">
        <v>547160</v>
      </c>
      <c r="G800">
        <v>46784</v>
      </c>
      <c r="H800">
        <v>499568</v>
      </c>
      <c r="I800">
        <v>0</v>
      </c>
      <c r="J800">
        <v>61.520561899999997</v>
      </c>
      <c r="K800">
        <v>65.029272800000001</v>
      </c>
      <c r="L800">
        <v>26.797142300000001</v>
      </c>
      <c r="M800">
        <v>39.693118900000002</v>
      </c>
      <c r="N800">
        <v>41.879156100000003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1036</v>
      </c>
      <c r="C801" t="s">
        <v>1034</v>
      </c>
      <c r="D801">
        <v>1</v>
      </c>
      <c r="E801">
        <v>3393181</v>
      </c>
      <c r="F801">
        <v>1503200</v>
      </c>
      <c r="G801">
        <v>170488</v>
      </c>
      <c r="H801">
        <v>1331904</v>
      </c>
      <c r="I801">
        <v>0</v>
      </c>
      <c r="J801">
        <v>66.8257124</v>
      </c>
      <c r="K801">
        <v>69.786220400000005</v>
      </c>
      <c r="L801">
        <v>28.8563659</v>
      </c>
      <c r="M801">
        <v>41.115688499999997</v>
      </c>
      <c r="N801">
        <v>42.795342099999999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1036</v>
      </c>
      <c r="C802" t="s">
        <v>1034</v>
      </c>
      <c r="D802">
        <v>2</v>
      </c>
      <c r="E802">
        <v>3770449</v>
      </c>
      <c r="F802">
        <v>4057376</v>
      </c>
      <c r="G802">
        <v>791768</v>
      </c>
      <c r="H802">
        <v>3264800</v>
      </c>
      <c r="I802">
        <v>0</v>
      </c>
      <c r="J802">
        <v>69.440650500000004</v>
      </c>
      <c r="K802">
        <v>72.322246100000001</v>
      </c>
      <c r="L802">
        <v>30.279538500000001</v>
      </c>
      <c r="M802">
        <v>42.493795400000003</v>
      </c>
      <c r="N802">
        <v>43.828138600000003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1036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1036</v>
      </c>
      <c r="C806" t="s">
        <v>1034</v>
      </c>
      <c r="D806">
        <v>0</v>
      </c>
      <c r="E806">
        <v>12688739</v>
      </c>
      <c r="F806">
        <v>3826200</v>
      </c>
      <c r="G806">
        <v>81944</v>
      </c>
      <c r="H806">
        <v>3742048</v>
      </c>
      <c r="I806">
        <v>0</v>
      </c>
      <c r="J806">
        <v>67.580679799999999</v>
      </c>
      <c r="K806">
        <v>73.013187099999996</v>
      </c>
      <c r="L806">
        <v>24.184531700000001</v>
      </c>
      <c r="M806">
        <v>38.075597899999998</v>
      </c>
      <c r="N806">
        <v>39.530766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1036</v>
      </c>
      <c r="C807" t="s">
        <v>1034</v>
      </c>
      <c r="D807">
        <v>1</v>
      </c>
      <c r="E807">
        <v>12860160</v>
      </c>
      <c r="F807">
        <v>9829536</v>
      </c>
      <c r="G807">
        <v>255760</v>
      </c>
      <c r="H807">
        <v>9571568</v>
      </c>
      <c r="I807">
        <v>0</v>
      </c>
      <c r="J807">
        <v>73.007039700000007</v>
      </c>
      <c r="K807">
        <v>77.687377100000006</v>
      </c>
      <c r="L807">
        <v>25.572150100000002</v>
      </c>
      <c r="M807">
        <v>39.311967600000003</v>
      </c>
      <c r="N807">
        <v>41.045491800000001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1036</v>
      </c>
      <c r="C808" t="s">
        <v>1034</v>
      </c>
      <c r="D808">
        <v>2</v>
      </c>
      <c r="E808">
        <v>14351574</v>
      </c>
      <c r="F808">
        <v>24376576</v>
      </c>
      <c r="G808">
        <v>1131056</v>
      </c>
      <c r="H808">
        <v>23243312</v>
      </c>
      <c r="I808">
        <v>0</v>
      </c>
      <c r="J808">
        <v>78.432446799999994</v>
      </c>
      <c r="K808">
        <v>80.752092300000001</v>
      </c>
      <c r="L808">
        <v>26.7278959</v>
      </c>
      <c r="M808">
        <v>40.786067600000003</v>
      </c>
      <c r="N808">
        <v>42.641950799999996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1036</v>
      </c>
      <c r="C809" t="s">
        <v>1034</v>
      </c>
      <c r="D809">
        <v>3</v>
      </c>
      <c r="E809">
        <v>15194448</v>
      </c>
      <c r="F809">
        <v>50102128</v>
      </c>
      <c r="G809">
        <v>4820528</v>
      </c>
      <c r="H809">
        <v>45279552</v>
      </c>
      <c r="I809">
        <v>0</v>
      </c>
      <c r="J809">
        <v>81.001439000000005</v>
      </c>
      <c r="K809">
        <v>82.862738699999994</v>
      </c>
      <c r="L809">
        <v>27.548968800000001</v>
      </c>
      <c r="M809">
        <v>42.276691</v>
      </c>
      <c r="N809">
        <v>44.154522399999998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1036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1036</v>
      </c>
      <c r="C812" t="s">
        <v>1034</v>
      </c>
      <c r="D812">
        <v>0</v>
      </c>
      <c r="E812">
        <v>2758010</v>
      </c>
      <c r="F812">
        <v>658200</v>
      </c>
      <c r="G812">
        <v>27984</v>
      </c>
      <c r="H812">
        <v>629528</v>
      </c>
      <c r="I812">
        <v>0</v>
      </c>
      <c r="J812">
        <v>61.951214399999998</v>
      </c>
      <c r="K812">
        <v>62.310441500000003</v>
      </c>
      <c r="L812">
        <v>29.579787</v>
      </c>
      <c r="M812">
        <v>36.826510599999999</v>
      </c>
      <c r="N812">
        <v>36.003875299999997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1036</v>
      </c>
      <c r="C813" t="s">
        <v>1034</v>
      </c>
      <c r="D813">
        <v>1</v>
      </c>
      <c r="E813">
        <v>2585432</v>
      </c>
      <c r="F813">
        <v>1343120</v>
      </c>
      <c r="G813">
        <v>86624</v>
      </c>
      <c r="H813">
        <v>1255808</v>
      </c>
      <c r="I813">
        <v>0</v>
      </c>
      <c r="J813">
        <v>69.060725300000001</v>
      </c>
      <c r="K813">
        <v>70.044272399999997</v>
      </c>
      <c r="L813">
        <v>32.603467299999998</v>
      </c>
      <c r="M813">
        <v>39.920025799999998</v>
      </c>
      <c r="N813">
        <v>39.281654000000003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1036</v>
      </c>
      <c r="C814" t="s">
        <v>1034</v>
      </c>
      <c r="D814">
        <v>2</v>
      </c>
      <c r="E814">
        <v>2659085</v>
      </c>
      <c r="F814">
        <v>2848024</v>
      </c>
      <c r="G814">
        <v>281960</v>
      </c>
      <c r="H814">
        <v>2565376</v>
      </c>
      <c r="I814">
        <v>0</v>
      </c>
      <c r="J814">
        <v>72.868675400000001</v>
      </c>
      <c r="K814">
        <v>75.248630800000001</v>
      </c>
      <c r="L814">
        <v>35.052347599999997</v>
      </c>
      <c r="M814">
        <v>42.3085606</v>
      </c>
      <c r="N814">
        <v>41.801931500000002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1036</v>
      </c>
      <c r="C815" t="s">
        <v>1034</v>
      </c>
      <c r="D815">
        <v>3</v>
      </c>
      <c r="E815">
        <v>2930053</v>
      </c>
      <c r="F815">
        <v>6243080</v>
      </c>
      <c r="G815">
        <v>942760</v>
      </c>
      <c r="H815">
        <v>5299632</v>
      </c>
      <c r="I815">
        <v>0</v>
      </c>
      <c r="J815">
        <v>73.7931521</v>
      </c>
      <c r="K815">
        <v>76.696902199999997</v>
      </c>
      <c r="L815">
        <v>37.261239099999997</v>
      </c>
      <c r="M815">
        <v>45.228672000000003</v>
      </c>
      <c r="N815">
        <v>44.528796100000001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1036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1036</v>
      </c>
      <c r="C818" t="s">
        <v>1034</v>
      </c>
      <c r="D818">
        <v>0</v>
      </c>
      <c r="E818">
        <v>3230899</v>
      </c>
      <c r="F818">
        <v>194960</v>
      </c>
      <c r="G818">
        <v>26840</v>
      </c>
      <c r="H818">
        <v>167352</v>
      </c>
      <c r="I818">
        <v>0</v>
      </c>
      <c r="J818">
        <v>63.970507900000001</v>
      </c>
      <c r="K818">
        <v>64.396385100000003</v>
      </c>
      <c r="L818">
        <v>37.1720769</v>
      </c>
      <c r="M818">
        <v>49.3938755</v>
      </c>
      <c r="N818">
        <v>49.143748700000003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1036</v>
      </c>
      <c r="C819" t="s">
        <v>1034</v>
      </c>
      <c r="D819">
        <v>1</v>
      </c>
      <c r="E819">
        <v>3030944</v>
      </c>
      <c r="F819">
        <v>408568</v>
      </c>
      <c r="G819">
        <v>79864</v>
      </c>
      <c r="H819">
        <v>327936</v>
      </c>
      <c r="I819">
        <v>0</v>
      </c>
      <c r="J819">
        <v>69.989888800000003</v>
      </c>
      <c r="K819">
        <v>71.135042100000007</v>
      </c>
      <c r="L819">
        <v>40.6139309</v>
      </c>
      <c r="M819">
        <v>51.256939000000003</v>
      </c>
      <c r="N819">
        <v>51.517822799999998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1036</v>
      </c>
      <c r="C820" t="s">
        <v>1034</v>
      </c>
      <c r="D820">
        <v>2</v>
      </c>
      <c r="E820">
        <v>3110731</v>
      </c>
      <c r="F820">
        <v>923816</v>
      </c>
      <c r="G820">
        <v>263680</v>
      </c>
      <c r="H820">
        <v>659368</v>
      </c>
      <c r="I820">
        <v>0</v>
      </c>
      <c r="J820">
        <v>73.096271900000005</v>
      </c>
      <c r="K820">
        <v>75.3220204</v>
      </c>
      <c r="L820">
        <v>43.5045742</v>
      </c>
      <c r="M820">
        <v>52.793887599999998</v>
      </c>
      <c r="N820">
        <v>53.148534599999998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1036</v>
      </c>
      <c r="C821" t="s">
        <v>1034</v>
      </c>
      <c r="D821">
        <v>3</v>
      </c>
      <c r="E821">
        <v>3241773</v>
      </c>
      <c r="F821">
        <v>2211904</v>
      </c>
      <c r="G821">
        <v>878744</v>
      </c>
      <c r="H821">
        <v>1332392</v>
      </c>
      <c r="I821">
        <v>0</v>
      </c>
      <c r="J821">
        <v>73.989896599999994</v>
      </c>
      <c r="K821">
        <v>76.767352799999998</v>
      </c>
      <c r="L821">
        <v>45.428597000000003</v>
      </c>
      <c r="M821">
        <v>53.979332999999997</v>
      </c>
      <c r="N821">
        <v>54.268466599999996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1036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1036</v>
      </c>
      <c r="C824" t="s">
        <v>1034</v>
      </c>
      <c r="D824">
        <v>0</v>
      </c>
      <c r="E824">
        <v>1574469</v>
      </c>
      <c r="F824">
        <v>237464</v>
      </c>
      <c r="G824">
        <v>24928</v>
      </c>
      <c r="H824">
        <v>211928</v>
      </c>
      <c r="I824">
        <v>0</v>
      </c>
      <c r="J824">
        <v>62.553283299999997</v>
      </c>
      <c r="K824">
        <v>63.156785900000003</v>
      </c>
      <c r="L824">
        <v>34.435272400000002</v>
      </c>
      <c r="M824">
        <v>41.820692899999997</v>
      </c>
      <c r="N824">
        <v>35.564013000000003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1036</v>
      </c>
      <c r="C825" t="s">
        <v>1034</v>
      </c>
      <c r="D825">
        <v>1</v>
      </c>
      <c r="E825">
        <v>2271762</v>
      </c>
      <c r="F825">
        <v>601952</v>
      </c>
      <c r="G825">
        <v>83056</v>
      </c>
      <c r="H825">
        <v>518208</v>
      </c>
      <c r="I825">
        <v>0</v>
      </c>
      <c r="J825">
        <v>68.995265700000004</v>
      </c>
      <c r="K825">
        <v>70.052807999999999</v>
      </c>
      <c r="L825">
        <v>37.909945100000002</v>
      </c>
      <c r="M825">
        <v>43.699945200000002</v>
      </c>
      <c r="N825">
        <v>39.133360400000001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1036</v>
      </c>
      <c r="C826" t="s">
        <v>1034</v>
      </c>
      <c r="D826">
        <v>2</v>
      </c>
      <c r="E826">
        <v>1851945</v>
      </c>
      <c r="F826">
        <v>1244088</v>
      </c>
      <c r="G826">
        <v>277136</v>
      </c>
      <c r="H826">
        <v>966264</v>
      </c>
      <c r="I826">
        <v>0</v>
      </c>
      <c r="J826">
        <v>71.8925141</v>
      </c>
      <c r="K826">
        <v>74.966686499999994</v>
      </c>
      <c r="L826">
        <v>39.440839500000003</v>
      </c>
      <c r="M826">
        <v>45.146953000000003</v>
      </c>
      <c r="N826">
        <v>40.929452599999998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1036</v>
      </c>
      <c r="C827" t="s">
        <v>1034</v>
      </c>
      <c r="D827">
        <v>3</v>
      </c>
      <c r="E827">
        <v>2253858</v>
      </c>
      <c r="F827">
        <v>3336800</v>
      </c>
      <c r="G827">
        <v>918592</v>
      </c>
      <c r="H827">
        <v>2417520</v>
      </c>
      <c r="I827">
        <v>0</v>
      </c>
      <c r="J827">
        <v>73.097823000000005</v>
      </c>
      <c r="K827">
        <v>76.559704100000005</v>
      </c>
      <c r="L827">
        <v>42.248355099999998</v>
      </c>
      <c r="M827">
        <v>47.519627499999999</v>
      </c>
      <c r="N827">
        <v>44.157107600000003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1036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1036</v>
      </c>
      <c r="C830" t="s">
        <v>1034</v>
      </c>
      <c r="D830">
        <v>0</v>
      </c>
      <c r="E830">
        <v>3007270</v>
      </c>
      <c r="F830">
        <v>346096</v>
      </c>
      <c r="G830">
        <v>37584</v>
      </c>
      <c r="H830">
        <v>307664</v>
      </c>
      <c r="I830">
        <v>0</v>
      </c>
      <c r="J830">
        <v>63.204963900000003</v>
      </c>
      <c r="K830">
        <v>63.576480599999996</v>
      </c>
      <c r="L830">
        <v>32.623355099999998</v>
      </c>
      <c r="M830">
        <v>46.960884399999998</v>
      </c>
      <c r="N830">
        <v>47.880350399999998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1036</v>
      </c>
      <c r="C831" t="s">
        <v>1034</v>
      </c>
      <c r="D831">
        <v>1</v>
      </c>
      <c r="E831">
        <v>2859739</v>
      </c>
      <c r="F831">
        <v>717840</v>
      </c>
      <c r="G831">
        <v>116448</v>
      </c>
      <c r="H831">
        <v>600544</v>
      </c>
      <c r="I831">
        <v>0</v>
      </c>
      <c r="J831">
        <v>69.811497500000002</v>
      </c>
      <c r="K831">
        <v>70.903347800000006</v>
      </c>
      <c r="L831">
        <v>35.844616000000002</v>
      </c>
      <c r="M831">
        <v>48.653735500000003</v>
      </c>
      <c r="N831">
        <v>49.7097245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1036</v>
      </c>
      <c r="C832" t="s">
        <v>1034</v>
      </c>
      <c r="D832">
        <v>2</v>
      </c>
      <c r="E832">
        <v>3034912</v>
      </c>
      <c r="F832">
        <v>1628136</v>
      </c>
      <c r="G832">
        <v>376896</v>
      </c>
      <c r="H832">
        <v>1250392</v>
      </c>
      <c r="I832">
        <v>0</v>
      </c>
      <c r="J832">
        <v>72.529009599999995</v>
      </c>
      <c r="K832">
        <v>75.440055299999997</v>
      </c>
      <c r="L832">
        <v>38.324859099999998</v>
      </c>
      <c r="M832">
        <v>50.456641900000001</v>
      </c>
      <c r="N832">
        <v>51.531248400000003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1036</v>
      </c>
      <c r="C833" t="s">
        <v>1034</v>
      </c>
      <c r="D833">
        <v>3</v>
      </c>
      <c r="E833">
        <v>3503125</v>
      </c>
      <c r="F833">
        <v>4077904</v>
      </c>
      <c r="G833">
        <v>1225792</v>
      </c>
      <c r="H833">
        <v>2851264</v>
      </c>
      <c r="I833">
        <v>0</v>
      </c>
      <c r="J833">
        <v>73.493193000000005</v>
      </c>
      <c r="K833">
        <v>76.741933399999994</v>
      </c>
      <c r="L833">
        <v>41.353199199999999</v>
      </c>
      <c r="M833">
        <v>52.331560199999998</v>
      </c>
      <c r="N833">
        <v>53.324112700000001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1036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1036</v>
      </c>
      <c r="C836" t="s">
        <v>1034</v>
      </c>
      <c r="D836">
        <v>0</v>
      </c>
      <c r="E836">
        <v>502000</v>
      </c>
      <c r="F836">
        <v>272504</v>
      </c>
      <c r="G836">
        <v>5552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1036</v>
      </c>
      <c r="C837" t="s">
        <v>1034</v>
      </c>
      <c r="D837">
        <v>1</v>
      </c>
      <c r="E837">
        <v>532998</v>
      </c>
      <c r="F837">
        <v>682208</v>
      </c>
      <c r="G837">
        <v>21280</v>
      </c>
      <c r="H837">
        <v>660440</v>
      </c>
      <c r="I837">
        <v>0</v>
      </c>
      <c r="J837">
        <v>51.536340099999997</v>
      </c>
      <c r="K837">
        <v>58.353620100000001</v>
      </c>
      <c r="L837">
        <v>19.935082099999999</v>
      </c>
      <c r="M837">
        <v>36.902400999999998</v>
      </c>
      <c r="N837">
        <v>36.648898699999997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1036</v>
      </c>
      <c r="C838" t="s">
        <v>1034</v>
      </c>
      <c r="D838">
        <v>2</v>
      </c>
      <c r="E838">
        <v>748322</v>
      </c>
      <c r="F838">
        <v>1869808</v>
      </c>
      <c r="G838">
        <v>101520</v>
      </c>
      <c r="H838">
        <v>1767800</v>
      </c>
      <c r="I838">
        <v>0</v>
      </c>
      <c r="J838">
        <v>58.046529100000001</v>
      </c>
      <c r="K838">
        <v>61.9193061</v>
      </c>
      <c r="L838">
        <v>20.846323099999999</v>
      </c>
      <c r="M838">
        <v>37.699932400000002</v>
      </c>
      <c r="N838">
        <v>37.493515899999998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1036</v>
      </c>
      <c r="C839" t="s">
        <v>1034</v>
      </c>
      <c r="D839">
        <v>3</v>
      </c>
      <c r="E839">
        <v>989794</v>
      </c>
      <c r="F839">
        <v>4294288</v>
      </c>
      <c r="G839">
        <v>446048</v>
      </c>
      <c r="H839">
        <v>3847752</v>
      </c>
      <c r="I839">
        <v>0</v>
      </c>
      <c r="J839">
        <v>59.622191800000003</v>
      </c>
      <c r="K839">
        <v>63.776589899999998</v>
      </c>
      <c r="L839">
        <v>21.564827300000001</v>
      </c>
      <c r="M839">
        <v>38.540918099999999</v>
      </c>
      <c r="N839">
        <v>38.370111999999999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1036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1036</v>
      </c>
      <c r="C842" t="s">
        <v>1034</v>
      </c>
      <c r="D842">
        <v>0</v>
      </c>
      <c r="E842">
        <v>586374</v>
      </c>
      <c r="F842">
        <v>58696</v>
      </c>
      <c r="G842">
        <v>5144</v>
      </c>
      <c r="H842">
        <v>53064</v>
      </c>
      <c r="I842">
        <v>0</v>
      </c>
      <c r="J842">
        <v>51.546671099999998</v>
      </c>
      <c r="K842">
        <v>53.888002200000003</v>
      </c>
      <c r="L842">
        <v>29.4289761</v>
      </c>
      <c r="M842">
        <v>41.059656699999998</v>
      </c>
      <c r="N842">
        <v>42.299963499999997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1036</v>
      </c>
      <c r="C843" t="s">
        <v>1034</v>
      </c>
      <c r="D843">
        <v>1</v>
      </c>
      <c r="E843">
        <v>577691</v>
      </c>
      <c r="F843">
        <v>138496</v>
      </c>
      <c r="G843">
        <v>16368</v>
      </c>
      <c r="H843">
        <v>121640</v>
      </c>
      <c r="I843">
        <v>0</v>
      </c>
      <c r="J843">
        <v>56.839413700000001</v>
      </c>
      <c r="K843">
        <v>59.153519600000003</v>
      </c>
      <c r="L843">
        <v>31.879320400000001</v>
      </c>
      <c r="M843">
        <v>42.522696199999999</v>
      </c>
      <c r="N843">
        <v>43.716571799999997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1036</v>
      </c>
      <c r="C844" t="s">
        <v>1034</v>
      </c>
      <c r="D844">
        <v>2</v>
      </c>
      <c r="E844">
        <v>700828</v>
      </c>
      <c r="F844">
        <v>373600</v>
      </c>
      <c r="G844">
        <v>69456</v>
      </c>
      <c r="H844">
        <v>303656</v>
      </c>
      <c r="I844">
        <v>0</v>
      </c>
      <c r="J844">
        <v>58.269922899999997</v>
      </c>
      <c r="K844">
        <v>61.257719299999998</v>
      </c>
      <c r="L844">
        <v>33.282410900000002</v>
      </c>
      <c r="M844">
        <v>44.992847900000001</v>
      </c>
      <c r="N844">
        <v>45.872855399999999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1036</v>
      </c>
      <c r="C845" t="s">
        <v>1034</v>
      </c>
      <c r="D845">
        <v>3</v>
      </c>
      <c r="E845">
        <v>906516</v>
      </c>
      <c r="F845">
        <v>1018264</v>
      </c>
      <c r="G845">
        <v>297888</v>
      </c>
      <c r="H845">
        <v>719888</v>
      </c>
      <c r="I845">
        <v>0</v>
      </c>
      <c r="J845">
        <v>58.527166000000001</v>
      </c>
      <c r="K845">
        <v>61.445379699999997</v>
      </c>
      <c r="L845">
        <v>34.1053456</v>
      </c>
      <c r="M845">
        <v>46.165797499999996</v>
      </c>
      <c r="N845">
        <v>47.244917700000002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1036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1036</v>
      </c>
      <c r="C848" t="s">
        <v>1034</v>
      </c>
      <c r="D848">
        <v>0</v>
      </c>
      <c r="E848">
        <v>409679</v>
      </c>
      <c r="F848">
        <v>385376</v>
      </c>
      <c r="G848">
        <v>3192</v>
      </c>
      <c r="H848">
        <v>381688</v>
      </c>
      <c r="I848">
        <v>0</v>
      </c>
      <c r="J848">
        <v>50.357228999999997</v>
      </c>
      <c r="K848">
        <v>55.418549800000001</v>
      </c>
      <c r="L848">
        <v>15.815561000000001</v>
      </c>
      <c r="M848">
        <v>35.604710300000001</v>
      </c>
      <c r="N848">
        <v>32.719214200000003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1036</v>
      </c>
      <c r="C849" t="s">
        <v>1034</v>
      </c>
      <c r="D849">
        <v>1</v>
      </c>
      <c r="E849">
        <v>497555</v>
      </c>
      <c r="F849">
        <v>991808</v>
      </c>
      <c r="G849">
        <v>14080</v>
      </c>
      <c r="H849">
        <v>977232</v>
      </c>
      <c r="I849">
        <v>0</v>
      </c>
      <c r="J849">
        <v>55.099859100000003</v>
      </c>
      <c r="K849">
        <v>59.152903500000001</v>
      </c>
      <c r="L849">
        <v>16.417108200000001</v>
      </c>
      <c r="M849">
        <v>36.1525228</v>
      </c>
      <c r="N849">
        <v>33.342087900000003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1036</v>
      </c>
      <c r="C850" t="s">
        <v>1034</v>
      </c>
      <c r="D850">
        <v>2</v>
      </c>
      <c r="E850">
        <v>693201</v>
      </c>
      <c r="F850">
        <v>2414280</v>
      </c>
      <c r="G850">
        <v>72264</v>
      </c>
      <c r="H850">
        <v>2341520</v>
      </c>
      <c r="I850">
        <v>0</v>
      </c>
      <c r="J850">
        <v>58.075631100000003</v>
      </c>
      <c r="K850">
        <v>61.283169200000003</v>
      </c>
      <c r="L850">
        <v>16.914513500000002</v>
      </c>
      <c r="M850">
        <v>36.831583000000002</v>
      </c>
      <c r="N850">
        <v>34.124459399999999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1036</v>
      </c>
      <c r="C851" t="s">
        <v>1034</v>
      </c>
      <c r="D851">
        <v>3</v>
      </c>
      <c r="E851">
        <v>895481</v>
      </c>
      <c r="F851">
        <v>5055512</v>
      </c>
      <c r="G851">
        <v>329296</v>
      </c>
      <c r="H851">
        <v>4725720</v>
      </c>
      <c r="I851">
        <v>0</v>
      </c>
      <c r="J851">
        <v>60.468224999999997</v>
      </c>
      <c r="K851">
        <v>64.084509499999996</v>
      </c>
      <c r="L851">
        <v>17.6145128</v>
      </c>
      <c r="M851">
        <v>37.927201099999998</v>
      </c>
      <c r="N851">
        <v>35.366345600000002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1036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1036</v>
      </c>
      <c r="C854" t="s">
        <v>1034</v>
      </c>
      <c r="D854">
        <v>0</v>
      </c>
      <c r="E854">
        <v>479206</v>
      </c>
      <c r="F854">
        <v>290640</v>
      </c>
      <c r="G854">
        <v>10088</v>
      </c>
      <c r="H854">
        <v>280064</v>
      </c>
      <c r="I854">
        <v>0</v>
      </c>
      <c r="J854">
        <v>52.196788900000001</v>
      </c>
      <c r="K854">
        <v>56.682779699999998</v>
      </c>
      <c r="L854">
        <v>19.7902767</v>
      </c>
      <c r="M854">
        <v>31.782693999999999</v>
      </c>
      <c r="N854">
        <v>34.126221600000001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1036</v>
      </c>
      <c r="C855" t="s">
        <v>1034</v>
      </c>
      <c r="D855">
        <v>1</v>
      </c>
      <c r="E855">
        <v>584221</v>
      </c>
      <c r="F855">
        <v>811920</v>
      </c>
      <c r="G855">
        <v>40632</v>
      </c>
      <c r="H855">
        <v>770800</v>
      </c>
      <c r="I855">
        <v>0</v>
      </c>
      <c r="J855">
        <v>58.261846300000002</v>
      </c>
      <c r="K855">
        <v>61.798276600000001</v>
      </c>
      <c r="L855">
        <v>21.842087500000002</v>
      </c>
      <c r="M855">
        <v>33.820788499999999</v>
      </c>
      <c r="N855">
        <v>35.6208873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1036</v>
      </c>
      <c r="C856" t="s">
        <v>1034</v>
      </c>
      <c r="D856">
        <v>2</v>
      </c>
      <c r="E856">
        <v>960151</v>
      </c>
      <c r="F856">
        <v>2564304</v>
      </c>
      <c r="G856">
        <v>201696</v>
      </c>
      <c r="H856">
        <v>2362120</v>
      </c>
      <c r="I856">
        <v>0</v>
      </c>
      <c r="J856">
        <v>62.916471399999999</v>
      </c>
      <c r="K856">
        <v>65.801755400000005</v>
      </c>
      <c r="L856">
        <v>24.423820500000001</v>
      </c>
      <c r="M856">
        <v>36.480883499999997</v>
      </c>
      <c r="N856">
        <v>38.151461699999999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1036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1036</v>
      </c>
      <c r="C860" t="s">
        <v>1034</v>
      </c>
      <c r="D860">
        <v>0</v>
      </c>
      <c r="E860">
        <v>20103797</v>
      </c>
      <c r="F860">
        <v>7366760</v>
      </c>
      <c r="G860">
        <v>156144</v>
      </c>
      <c r="H860">
        <v>7208040</v>
      </c>
      <c r="I860">
        <v>0</v>
      </c>
      <c r="J860">
        <v>64.925865900000005</v>
      </c>
      <c r="K860">
        <v>67.087963400000007</v>
      </c>
      <c r="L860">
        <v>22.623304600000001</v>
      </c>
      <c r="M860">
        <v>36.196348200000003</v>
      </c>
      <c r="N860">
        <v>39.380895000000002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1036</v>
      </c>
      <c r="C861" t="s">
        <v>1034</v>
      </c>
      <c r="D861">
        <v>1</v>
      </c>
      <c r="E861">
        <v>17532956</v>
      </c>
      <c r="F861">
        <v>13020832</v>
      </c>
      <c r="G861">
        <v>498344</v>
      </c>
      <c r="H861">
        <v>12520152</v>
      </c>
      <c r="I861">
        <v>0</v>
      </c>
      <c r="J861">
        <v>71.361110100000005</v>
      </c>
      <c r="K861">
        <v>73.949040100000005</v>
      </c>
      <c r="L861">
        <v>24.8200997</v>
      </c>
      <c r="M861">
        <v>38.267773900000002</v>
      </c>
      <c r="N861">
        <v>41.256419299999997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1036</v>
      </c>
      <c r="C862" t="s">
        <v>1034</v>
      </c>
      <c r="D862">
        <v>2</v>
      </c>
      <c r="E862">
        <v>16641487</v>
      </c>
      <c r="F862">
        <v>24528080</v>
      </c>
      <c r="G862">
        <v>1682368</v>
      </c>
      <c r="H862">
        <v>22843456</v>
      </c>
      <c r="I862">
        <v>0</v>
      </c>
      <c r="J862">
        <v>77.161113599999993</v>
      </c>
      <c r="K862">
        <v>79.303161900000006</v>
      </c>
      <c r="L862">
        <v>27.038200199999999</v>
      </c>
      <c r="M862">
        <v>40.756136499999997</v>
      </c>
      <c r="N862">
        <v>43.408375999999997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1036</v>
      </c>
      <c r="C863" t="s">
        <v>1034</v>
      </c>
      <c r="D863">
        <v>3</v>
      </c>
      <c r="E863">
        <v>17602106</v>
      </c>
      <c r="F863">
        <v>47428920</v>
      </c>
      <c r="G863">
        <v>5521376</v>
      </c>
      <c r="H863">
        <v>41905208</v>
      </c>
      <c r="I863">
        <v>0</v>
      </c>
      <c r="J863">
        <v>80.546323900000004</v>
      </c>
      <c r="K863">
        <v>84.281968800000001</v>
      </c>
      <c r="L863">
        <v>28.630378499999999</v>
      </c>
      <c r="M863">
        <v>43.209655599999998</v>
      </c>
      <c r="N863">
        <v>45.405478299999999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1036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1036</v>
      </c>
      <c r="C866" t="s">
        <v>1034</v>
      </c>
      <c r="D866">
        <v>0</v>
      </c>
      <c r="E866">
        <v>18749745</v>
      </c>
      <c r="F866">
        <v>7191440</v>
      </c>
      <c r="G866">
        <v>202776</v>
      </c>
      <c r="H866">
        <v>6985848</v>
      </c>
      <c r="I866">
        <v>0</v>
      </c>
      <c r="J866">
        <v>65.336080699999997</v>
      </c>
      <c r="K866">
        <v>66.964672899999997</v>
      </c>
      <c r="L866">
        <v>22.8790637</v>
      </c>
      <c r="M866">
        <v>35.572394600000003</v>
      </c>
      <c r="N866">
        <v>37.067648499999997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1036</v>
      </c>
      <c r="C867" t="s">
        <v>1034</v>
      </c>
      <c r="D867">
        <v>1</v>
      </c>
      <c r="E867">
        <v>17972512</v>
      </c>
      <c r="F867">
        <v>13821472</v>
      </c>
      <c r="G867">
        <v>628720</v>
      </c>
      <c r="H867">
        <v>13189936</v>
      </c>
      <c r="I867">
        <v>0</v>
      </c>
      <c r="J867">
        <v>71.507615599999994</v>
      </c>
      <c r="K867">
        <v>74.038822100000004</v>
      </c>
      <c r="L867">
        <v>24.971029300000001</v>
      </c>
      <c r="M867">
        <v>37.767752700000003</v>
      </c>
      <c r="N867">
        <v>39.2838098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1036</v>
      </c>
      <c r="C868" t="s">
        <v>1034</v>
      </c>
      <c r="D868">
        <v>2</v>
      </c>
      <c r="E868">
        <v>18658018</v>
      </c>
      <c r="F868">
        <v>28196328</v>
      </c>
      <c r="G868">
        <v>2199168</v>
      </c>
      <c r="H868">
        <v>25994344</v>
      </c>
      <c r="I868">
        <v>0</v>
      </c>
      <c r="J868">
        <v>76.711945900000003</v>
      </c>
      <c r="K868">
        <v>79.501562800000002</v>
      </c>
      <c r="L868">
        <v>27.129438</v>
      </c>
      <c r="M868">
        <v>40.217372599999997</v>
      </c>
      <c r="N868">
        <v>41.687148000000001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1036</v>
      </c>
      <c r="C869" t="s">
        <v>1034</v>
      </c>
      <c r="D869">
        <v>3</v>
      </c>
      <c r="E869">
        <v>23205468</v>
      </c>
      <c r="F869">
        <v>62540624</v>
      </c>
      <c r="G869">
        <v>7401128</v>
      </c>
      <c r="H869">
        <v>55136680</v>
      </c>
      <c r="I869">
        <v>0</v>
      </c>
      <c r="J869">
        <v>80.135772700000004</v>
      </c>
      <c r="K869">
        <v>84.514688500000005</v>
      </c>
      <c r="L869">
        <v>28.903765199999999</v>
      </c>
      <c r="M869">
        <v>42.846692599999997</v>
      </c>
      <c r="N869">
        <v>44.160412399999998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1036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1036</v>
      </c>
      <c r="C872" t="s">
        <v>1034</v>
      </c>
      <c r="D872">
        <v>0</v>
      </c>
      <c r="E872">
        <v>180502</v>
      </c>
      <c r="F872">
        <v>97584</v>
      </c>
      <c r="G872">
        <v>1752</v>
      </c>
      <c r="H872">
        <v>95344</v>
      </c>
      <c r="I872">
        <v>0</v>
      </c>
      <c r="J872">
        <v>46.952732900000001</v>
      </c>
      <c r="K872">
        <v>50.1928348</v>
      </c>
      <c r="L872">
        <v>21.299338299999999</v>
      </c>
      <c r="M872">
        <v>30.453025400000001</v>
      </c>
      <c r="N872">
        <v>33.063444799999999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1036</v>
      </c>
      <c r="C873" t="s">
        <v>1034</v>
      </c>
      <c r="D873">
        <v>1</v>
      </c>
      <c r="E873">
        <v>188050</v>
      </c>
      <c r="F873">
        <v>236328</v>
      </c>
      <c r="G873">
        <v>6272</v>
      </c>
      <c r="H873">
        <v>229568</v>
      </c>
      <c r="I873">
        <v>0</v>
      </c>
      <c r="J873">
        <v>55.3890916</v>
      </c>
      <c r="K873">
        <v>57.8094094</v>
      </c>
      <c r="L873">
        <v>23.930499099999999</v>
      </c>
      <c r="M873">
        <v>33.305243900000001</v>
      </c>
      <c r="N873">
        <v>35.300695900000001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1036</v>
      </c>
      <c r="C874" t="s">
        <v>1034</v>
      </c>
      <c r="D874">
        <v>2</v>
      </c>
      <c r="E874">
        <v>221578</v>
      </c>
      <c r="F874">
        <v>547968</v>
      </c>
      <c r="G874">
        <v>25304</v>
      </c>
      <c r="H874">
        <v>522176</v>
      </c>
      <c r="I874">
        <v>0</v>
      </c>
      <c r="J874">
        <v>60.194295099999998</v>
      </c>
      <c r="K874">
        <v>62.679119100000001</v>
      </c>
      <c r="L874">
        <v>25.850894400000001</v>
      </c>
      <c r="M874">
        <v>35.575331800000001</v>
      </c>
      <c r="N874">
        <v>37.235965800000002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1036</v>
      </c>
      <c r="C875" t="s">
        <v>1034</v>
      </c>
      <c r="D875">
        <v>3</v>
      </c>
      <c r="E875">
        <v>279290</v>
      </c>
      <c r="F875">
        <v>1229536</v>
      </c>
      <c r="G875">
        <v>103896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1036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1036</v>
      </c>
      <c r="C878" t="s">
        <v>1034</v>
      </c>
      <c r="D878">
        <v>0</v>
      </c>
      <c r="E878">
        <v>17413699</v>
      </c>
      <c r="F878">
        <v>3644320</v>
      </c>
      <c r="G878">
        <v>266704</v>
      </c>
      <c r="H878">
        <v>3375128</v>
      </c>
      <c r="I878">
        <v>0</v>
      </c>
      <c r="J878">
        <v>67.247053699999995</v>
      </c>
      <c r="K878">
        <v>70.906901700000006</v>
      </c>
      <c r="L878">
        <v>28.0270321</v>
      </c>
      <c r="M878">
        <v>40.348984000000002</v>
      </c>
      <c r="N878">
        <v>38.6634818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1036</v>
      </c>
      <c r="C879" t="s">
        <v>1034</v>
      </c>
      <c r="D879">
        <v>1</v>
      </c>
      <c r="E879">
        <v>15043054</v>
      </c>
      <c r="F879">
        <v>7269320</v>
      </c>
      <c r="G879">
        <v>775272</v>
      </c>
      <c r="H879">
        <v>6491560</v>
      </c>
      <c r="I879">
        <v>0</v>
      </c>
      <c r="J879">
        <v>72.218742899999995</v>
      </c>
      <c r="K879">
        <v>76.5990793</v>
      </c>
      <c r="L879">
        <v>30.297435199999999</v>
      </c>
      <c r="M879">
        <v>43.067089000000003</v>
      </c>
      <c r="N879">
        <v>41.1601888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1036</v>
      </c>
      <c r="C880" t="s">
        <v>1034</v>
      </c>
      <c r="D880">
        <v>2</v>
      </c>
      <c r="E880">
        <v>16974088</v>
      </c>
      <c r="F880">
        <v>17218472</v>
      </c>
      <c r="G880">
        <v>3139784</v>
      </c>
      <c r="H880">
        <v>14076120</v>
      </c>
      <c r="I880">
        <v>0</v>
      </c>
      <c r="J880">
        <v>76.594478499999994</v>
      </c>
      <c r="K880">
        <v>80.964476000000005</v>
      </c>
      <c r="L880">
        <v>32.471508900000003</v>
      </c>
      <c r="M880">
        <v>45.653900999999998</v>
      </c>
      <c r="N880">
        <v>43.560192700000002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1036</v>
      </c>
      <c r="C881" t="s">
        <v>1034</v>
      </c>
      <c r="D881">
        <v>3</v>
      </c>
      <c r="E881">
        <v>20460326</v>
      </c>
      <c r="F881">
        <v>43001024</v>
      </c>
      <c r="G881">
        <v>11471008</v>
      </c>
      <c r="H881">
        <v>31527528</v>
      </c>
      <c r="I881">
        <v>0</v>
      </c>
      <c r="J881">
        <v>79.276860299999996</v>
      </c>
      <c r="K881">
        <v>84.051683600000004</v>
      </c>
      <c r="L881">
        <v>34.620379499999999</v>
      </c>
      <c r="M881">
        <v>48.353176900000001</v>
      </c>
      <c r="N881">
        <v>46.495781700000002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1036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1036</v>
      </c>
      <c r="C884" t="s">
        <v>1034</v>
      </c>
      <c r="D884">
        <v>0</v>
      </c>
      <c r="E884">
        <v>1615993</v>
      </c>
      <c r="F884">
        <v>774968</v>
      </c>
      <c r="G884">
        <v>75200</v>
      </c>
      <c r="H884">
        <v>699200</v>
      </c>
      <c r="I884">
        <v>0</v>
      </c>
      <c r="J884">
        <v>60.264397799999998</v>
      </c>
      <c r="K884">
        <v>61.162666999999999</v>
      </c>
      <c r="L884">
        <v>26.085386499999998</v>
      </c>
      <c r="M884">
        <v>37.463026900000003</v>
      </c>
      <c r="N884">
        <v>36.459782400000002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1036</v>
      </c>
      <c r="C885" t="s">
        <v>1034</v>
      </c>
      <c r="D885">
        <v>1</v>
      </c>
      <c r="E885">
        <v>1646961</v>
      </c>
      <c r="F885">
        <v>1559312</v>
      </c>
      <c r="G885">
        <v>292464</v>
      </c>
      <c r="H885">
        <v>1266280</v>
      </c>
      <c r="I885">
        <v>0</v>
      </c>
      <c r="J885">
        <v>65.1920231</v>
      </c>
      <c r="K885">
        <v>68.421084500000006</v>
      </c>
      <c r="L885">
        <v>27.885792500000001</v>
      </c>
      <c r="M885">
        <v>39.927069400000001</v>
      </c>
      <c r="N885">
        <v>38.865876499999999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1036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1036</v>
      </c>
      <c r="C890" t="s">
        <v>1034</v>
      </c>
      <c r="D890">
        <v>0</v>
      </c>
      <c r="E890">
        <v>502997</v>
      </c>
      <c r="F890">
        <v>273808</v>
      </c>
      <c r="G890">
        <v>5560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1036</v>
      </c>
      <c r="C891" t="s">
        <v>1034</v>
      </c>
      <c r="D891">
        <v>1</v>
      </c>
      <c r="E891">
        <v>533210</v>
      </c>
      <c r="F891">
        <v>684008</v>
      </c>
      <c r="G891">
        <v>21320</v>
      </c>
      <c r="H891">
        <v>662184</v>
      </c>
      <c r="I891">
        <v>0</v>
      </c>
      <c r="J891">
        <v>51.570795199999999</v>
      </c>
      <c r="K891">
        <v>58.444485299999997</v>
      </c>
      <c r="L891">
        <v>19.951727399999999</v>
      </c>
      <c r="M891">
        <v>36.9042283</v>
      </c>
      <c r="N891">
        <v>36.641093900000001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1036</v>
      </c>
      <c r="C892" t="s">
        <v>1034</v>
      </c>
      <c r="D892">
        <v>2</v>
      </c>
      <c r="E892">
        <v>748920</v>
      </c>
      <c r="F892">
        <v>1874168</v>
      </c>
      <c r="G892">
        <v>101760</v>
      </c>
      <c r="H892">
        <v>1771904</v>
      </c>
      <c r="I892">
        <v>0</v>
      </c>
      <c r="J892">
        <v>58.0573525</v>
      </c>
      <c r="K892">
        <v>61.929893900000003</v>
      </c>
      <c r="L892">
        <v>20.798464599999999</v>
      </c>
      <c r="M892">
        <v>37.640374000000001</v>
      </c>
      <c r="N892">
        <v>37.442039000000001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1036</v>
      </c>
      <c r="C893" t="s">
        <v>1034</v>
      </c>
      <c r="D893">
        <v>3</v>
      </c>
      <c r="E893">
        <v>990178</v>
      </c>
      <c r="F893">
        <v>4314424</v>
      </c>
      <c r="G893">
        <v>445984</v>
      </c>
      <c r="H893">
        <v>3867936</v>
      </c>
      <c r="I893">
        <v>0</v>
      </c>
      <c r="J893">
        <v>59.6374773</v>
      </c>
      <c r="K893">
        <v>63.799919299999999</v>
      </c>
      <c r="L893">
        <v>21.532245100000001</v>
      </c>
      <c r="M893">
        <v>38.500613600000001</v>
      </c>
      <c r="N893">
        <v>38.319229800000002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1036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1036</v>
      </c>
      <c r="C896" t="s">
        <v>1034</v>
      </c>
      <c r="D896">
        <v>0</v>
      </c>
      <c r="E896">
        <v>587470</v>
      </c>
      <c r="F896">
        <v>58640</v>
      </c>
      <c r="G896">
        <v>5144</v>
      </c>
      <c r="H896">
        <v>52992</v>
      </c>
      <c r="I896">
        <v>0</v>
      </c>
      <c r="J896">
        <v>51.559840899999998</v>
      </c>
      <c r="K896">
        <v>53.870537599999999</v>
      </c>
      <c r="L896">
        <v>29.4923775</v>
      </c>
      <c r="M896">
        <v>41.080950600000001</v>
      </c>
      <c r="N896">
        <v>42.286986300000002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1036</v>
      </c>
      <c r="C897" t="s">
        <v>1034</v>
      </c>
      <c r="D897">
        <v>1</v>
      </c>
      <c r="E897">
        <v>579099</v>
      </c>
      <c r="F897">
        <v>139312</v>
      </c>
      <c r="G897">
        <v>16360</v>
      </c>
      <c r="H897">
        <v>122448</v>
      </c>
      <c r="I897">
        <v>0</v>
      </c>
      <c r="J897">
        <v>56.909023699999999</v>
      </c>
      <c r="K897">
        <v>59.142528499999997</v>
      </c>
      <c r="L897">
        <v>32.027972699999999</v>
      </c>
      <c r="M897">
        <v>42.511076600000003</v>
      </c>
      <c r="N897">
        <v>43.678761199999997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1036</v>
      </c>
      <c r="C898" t="s">
        <v>1034</v>
      </c>
      <c r="D898">
        <v>2</v>
      </c>
      <c r="E898">
        <v>701346</v>
      </c>
      <c r="F898">
        <v>375832</v>
      </c>
      <c r="G898">
        <v>69512</v>
      </c>
      <c r="H898">
        <v>305816</v>
      </c>
      <c r="I898">
        <v>0</v>
      </c>
      <c r="J898">
        <v>58.282253799999999</v>
      </c>
      <c r="K898">
        <v>61.267094100000001</v>
      </c>
      <c r="L898">
        <v>33.298914400000001</v>
      </c>
      <c r="M898">
        <v>45.045393799999999</v>
      </c>
      <c r="N898">
        <v>45.896089600000003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1036</v>
      </c>
      <c r="C899" t="s">
        <v>1034</v>
      </c>
      <c r="D899">
        <v>3</v>
      </c>
      <c r="E899">
        <v>907354</v>
      </c>
      <c r="F899">
        <v>1026232</v>
      </c>
      <c r="G899">
        <v>298184</v>
      </c>
      <c r="H899">
        <v>727544</v>
      </c>
      <c r="I899">
        <v>0</v>
      </c>
      <c r="J899">
        <v>58.552582299999997</v>
      </c>
      <c r="K899">
        <v>61.472007499999997</v>
      </c>
      <c r="L899">
        <v>34.118910499999998</v>
      </c>
      <c r="M899">
        <v>46.1799131</v>
      </c>
      <c r="N899">
        <v>47.256917899999998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1036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1036</v>
      </c>
      <c r="C902" t="s">
        <v>1034</v>
      </c>
      <c r="D902">
        <v>0</v>
      </c>
      <c r="E902">
        <v>1173039</v>
      </c>
      <c r="F902">
        <v>539712</v>
      </c>
      <c r="G902">
        <v>33448</v>
      </c>
      <c r="H902">
        <v>505680</v>
      </c>
      <c r="I902">
        <v>0</v>
      </c>
      <c r="J902">
        <v>58.678854800000003</v>
      </c>
      <c r="K902">
        <v>61.502268899999997</v>
      </c>
      <c r="L902">
        <v>23.736287099999998</v>
      </c>
      <c r="M902">
        <v>39.157933900000003</v>
      </c>
      <c r="N902">
        <v>38.001157999999997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1036</v>
      </c>
      <c r="C903" t="s">
        <v>1034</v>
      </c>
      <c r="D903">
        <v>1</v>
      </c>
      <c r="E903">
        <v>1275864</v>
      </c>
      <c r="F903">
        <v>1215312</v>
      </c>
      <c r="G903">
        <v>131128</v>
      </c>
      <c r="H903">
        <v>1083600</v>
      </c>
      <c r="I903">
        <v>0</v>
      </c>
      <c r="J903">
        <v>64.116185400000006</v>
      </c>
      <c r="K903">
        <v>67.757212499999994</v>
      </c>
      <c r="L903">
        <v>26.664901199999999</v>
      </c>
      <c r="M903">
        <v>41.137549900000003</v>
      </c>
      <c r="N903">
        <v>39.505125399999997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1036</v>
      </c>
      <c r="C904" t="s">
        <v>1034</v>
      </c>
      <c r="D904">
        <v>2</v>
      </c>
      <c r="E904">
        <v>1611808</v>
      </c>
      <c r="F904">
        <v>2951600</v>
      </c>
      <c r="G904">
        <v>563656</v>
      </c>
      <c r="H904">
        <v>2387360</v>
      </c>
      <c r="I904">
        <v>0</v>
      </c>
      <c r="J904">
        <v>68.331003999999993</v>
      </c>
      <c r="K904">
        <v>71.807965600000003</v>
      </c>
      <c r="L904">
        <v>29.563324000000001</v>
      </c>
      <c r="M904">
        <v>43.3925737</v>
      </c>
      <c r="N904">
        <v>41.1248784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1036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1036</v>
      </c>
      <c r="C908" t="s">
        <v>1034</v>
      </c>
      <c r="D908">
        <v>0</v>
      </c>
      <c r="E908">
        <v>7564171</v>
      </c>
      <c r="F908">
        <v>1849424</v>
      </c>
      <c r="G908">
        <v>83072</v>
      </c>
      <c r="H908">
        <v>1765208</v>
      </c>
      <c r="I908">
        <v>0</v>
      </c>
      <c r="J908">
        <v>63.885455</v>
      </c>
      <c r="K908">
        <v>70.563334299999994</v>
      </c>
      <c r="L908">
        <v>24.591689200000001</v>
      </c>
      <c r="M908">
        <v>39.928803600000002</v>
      </c>
      <c r="N908">
        <v>41.4497079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1036</v>
      </c>
      <c r="C909" t="s">
        <v>1034</v>
      </c>
      <c r="D909">
        <v>1</v>
      </c>
      <c r="E909">
        <v>7173648</v>
      </c>
      <c r="F909">
        <v>4418544</v>
      </c>
      <c r="G909">
        <v>301064</v>
      </c>
      <c r="H909">
        <v>4116336</v>
      </c>
      <c r="I909">
        <v>0</v>
      </c>
      <c r="J909">
        <v>69.570697300000006</v>
      </c>
      <c r="K909">
        <v>75.933896799999999</v>
      </c>
      <c r="L909">
        <v>26.742004999999999</v>
      </c>
      <c r="M909">
        <v>41.431004700000003</v>
      </c>
      <c r="N909">
        <v>42.732928000000001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1036</v>
      </c>
      <c r="C910" t="s">
        <v>1034</v>
      </c>
      <c r="D910">
        <v>2</v>
      </c>
      <c r="E910">
        <v>6950432</v>
      </c>
      <c r="F910">
        <v>10030536</v>
      </c>
      <c r="G910">
        <v>1358568</v>
      </c>
      <c r="H910">
        <v>8670824</v>
      </c>
      <c r="I910">
        <v>0</v>
      </c>
      <c r="J910">
        <v>75.388840000000002</v>
      </c>
      <c r="K910">
        <v>78.850034800000003</v>
      </c>
      <c r="L910">
        <v>28.6308896</v>
      </c>
      <c r="M910">
        <v>42.955584399999999</v>
      </c>
      <c r="N910">
        <v>44.032986600000001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1036</v>
      </c>
      <c r="C911" t="s">
        <v>1034</v>
      </c>
      <c r="D911">
        <v>3</v>
      </c>
      <c r="E911">
        <v>8050302</v>
      </c>
      <c r="F911">
        <v>24253224</v>
      </c>
      <c r="G911">
        <v>5649416</v>
      </c>
      <c r="H911">
        <v>18602664</v>
      </c>
      <c r="I911">
        <v>0</v>
      </c>
      <c r="J911">
        <v>77.587080499999999</v>
      </c>
      <c r="K911">
        <v>80.922107100000005</v>
      </c>
      <c r="L911">
        <v>30.229390200000001</v>
      </c>
      <c r="M911">
        <v>44.9173884</v>
      </c>
      <c r="N911">
        <v>45.713619299999998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1036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1036</v>
      </c>
      <c r="C914" t="s">
        <v>1034</v>
      </c>
      <c r="D914">
        <v>0</v>
      </c>
      <c r="E914">
        <v>10480723</v>
      </c>
      <c r="F914">
        <v>1235512</v>
      </c>
      <c r="G914">
        <v>102792</v>
      </c>
      <c r="H914">
        <v>1131016</v>
      </c>
      <c r="I914">
        <v>0</v>
      </c>
      <c r="J914">
        <v>68.088440500000004</v>
      </c>
      <c r="K914">
        <v>70.939423599999998</v>
      </c>
      <c r="L914">
        <v>29.971435</v>
      </c>
      <c r="M914">
        <v>43.259165400000001</v>
      </c>
      <c r="N914">
        <v>45.292563000000001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1036</v>
      </c>
      <c r="C915" t="s">
        <v>1034</v>
      </c>
      <c r="D915">
        <v>1</v>
      </c>
      <c r="E915">
        <v>11073192</v>
      </c>
      <c r="F915">
        <v>3545608</v>
      </c>
      <c r="G915">
        <v>345936</v>
      </c>
      <c r="H915">
        <v>3197968</v>
      </c>
      <c r="I915">
        <v>0</v>
      </c>
      <c r="J915">
        <v>74.167904199999995</v>
      </c>
      <c r="K915">
        <v>76.876211600000005</v>
      </c>
      <c r="L915">
        <v>31.753859299999998</v>
      </c>
      <c r="M915">
        <v>44.298358100000002</v>
      </c>
      <c r="N915">
        <v>46.280815199999999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1036</v>
      </c>
      <c r="C916" t="s">
        <v>1034</v>
      </c>
      <c r="D916">
        <v>2</v>
      </c>
      <c r="E916">
        <v>11500698</v>
      </c>
      <c r="F916">
        <v>9462936</v>
      </c>
      <c r="G916">
        <v>1357088</v>
      </c>
      <c r="H916">
        <v>8104144</v>
      </c>
      <c r="I916">
        <v>0</v>
      </c>
      <c r="J916">
        <v>78.595939200000004</v>
      </c>
      <c r="K916">
        <v>81.030003899999997</v>
      </c>
      <c r="L916">
        <v>33.472934899999998</v>
      </c>
      <c r="M916">
        <v>45.362426900000003</v>
      </c>
      <c r="N916">
        <v>47.218045400000001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1036</v>
      </c>
      <c r="C917" t="s">
        <v>1034</v>
      </c>
      <c r="D917">
        <v>3</v>
      </c>
      <c r="E917">
        <v>11978556</v>
      </c>
      <c r="F917">
        <v>24731424</v>
      </c>
      <c r="G917">
        <v>5219896</v>
      </c>
      <c r="H917">
        <v>19509904</v>
      </c>
      <c r="I917">
        <v>0</v>
      </c>
      <c r="J917">
        <v>80.267802099999997</v>
      </c>
      <c r="K917">
        <v>83.192602100000002</v>
      </c>
      <c r="L917">
        <v>35.5011905</v>
      </c>
      <c r="M917">
        <v>46.666112200000001</v>
      </c>
      <c r="N917">
        <v>48.305872800000003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1036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1036</v>
      </c>
      <c r="C920" t="s">
        <v>1034</v>
      </c>
      <c r="D920">
        <v>0</v>
      </c>
      <c r="E920">
        <v>2968366</v>
      </c>
      <c r="F920">
        <v>372472</v>
      </c>
      <c r="G920">
        <v>57248</v>
      </c>
      <c r="H920">
        <v>314400</v>
      </c>
      <c r="I920">
        <v>0</v>
      </c>
      <c r="J920">
        <v>60.2619057</v>
      </c>
      <c r="K920">
        <v>64.108186200000006</v>
      </c>
      <c r="L920">
        <v>28.978580699999998</v>
      </c>
      <c r="M920">
        <v>44.155289400000001</v>
      </c>
      <c r="N920">
        <v>47.641252199999997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1036</v>
      </c>
      <c r="C921" t="s">
        <v>1034</v>
      </c>
      <c r="D921">
        <v>1</v>
      </c>
      <c r="E921">
        <v>3111846</v>
      </c>
      <c r="F921">
        <v>994792</v>
      </c>
      <c r="G921">
        <v>184344</v>
      </c>
      <c r="H921">
        <v>809624</v>
      </c>
      <c r="I921">
        <v>0</v>
      </c>
      <c r="J921">
        <v>66.021077399999996</v>
      </c>
      <c r="K921">
        <v>70.589765600000007</v>
      </c>
      <c r="L921">
        <v>30.910881100000001</v>
      </c>
      <c r="M921">
        <v>45.259458299999999</v>
      </c>
      <c r="N921">
        <v>48.262508699999998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1036</v>
      </c>
      <c r="C922" t="s">
        <v>1034</v>
      </c>
      <c r="D922">
        <v>2</v>
      </c>
      <c r="E922">
        <v>4307870</v>
      </c>
      <c r="F922">
        <v>3332456</v>
      </c>
      <c r="G922">
        <v>746376</v>
      </c>
      <c r="H922">
        <v>2585256</v>
      </c>
      <c r="I922">
        <v>0</v>
      </c>
      <c r="J922">
        <v>70.0934065</v>
      </c>
      <c r="K922">
        <v>72.997808000000006</v>
      </c>
      <c r="L922">
        <v>33.519638200000003</v>
      </c>
      <c r="M922">
        <v>46.543294000000003</v>
      </c>
      <c r="N922">
        <v>48.911313800000002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1036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1036</v>
      </c>
      <c r="C926" t="s">
        <v>1034</v>
      </c>
      <c r="D926">
        <v>0</v>
      </c>
      <c r="E926">
        <v>11467452</v>
      </c>
      <c r="F926">
        <v>2601976</v>
      </c>
      <c r="G926">
        <v>382536</v>
      </c>
      <c r="H926">
        <v>2217736</v>
      </c>
      <c r="I926">
        <v>0</v>
      </c>
      <c r="J926">
        <v>67.644423399999994</v>
      </c>
      <c r="K926">
        <v>70.735707500000004</v>
      </c>
      <c r="L926">
        <v>27.2045593</v>
      </c>
      <c r="M926">
        <v>40.931046899999998</v>
      </c>
      <c r="N926">
        <v>45.832644199999997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1036</v>
      </c>
      <c r="C927" t="s">
        <v>1034</v>
      </c>
      <c r="D927">
        <v>1</v>
      </c>
      <c r="E927">
        <v>12715572</v>
      </c>
      <c r="F927">
        <v>7222912</v>
      </c>
      <c r="G927">
        <v>1340760</v>
      </c>
      <c r="H927">
        <v>5880448</v>
      </c>
      <c r="I927">
        <v>0</v>
      </c>
      <c r="J927">
        <v>71.407872699999999</v>
      </c>
      <c r="K927">
        <v>75.626333700000004</v>
      </c>
      <c r="L927">
        <v>29.1180421</v>
      </c>
      <c r="M927">
        <v>42.604534100000002</v>
      </c>
      <c r="N927">
        <v>47.208353000000002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1036</v>
      </c>
      <c r="C928" t="s">
        <v>1034</v>
      </c>
      <c r="D928">
        <v>2</v>
      </c>
      <c r="E928">
        <v>14569572</v>
      </c>
      <c r="F928">
        <v>19651440</v>
      </c>
      <c r="G928">
        <v>5438792</v>
      </c>
      <c r="H928">
        <v>14211024</v>
      </c>
      <c r="I928">
        <v>0</v>
      </c>
      <c r="J928">
        <v>73.446510599999996</v>
      </c>
      <c r="K928">
        <v>78.018283400000001</v>
      </c>
      <c r="L928">
        <v>30.802921000000001</v>
      </c>
      <c r="M928">
        <v>44.456542300000002</v>
      </c>
      <c r="N928">
        <v>48.579431200000002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1036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1036</v>
      </c>
      <c r="C932" t="s">
        <v>1034</v>
      </c>
      <c r="D932">
        <v>0</v>
      </c>
      <c r="E932">
        <v>2932810</v>
      </c>
      <c r="F932">
        <v>553672</v>
      </c>
      <c r="G932">
        <v>46800</v>
      </c>
      <c r="H932">
        <v>506048</v>
      </c>
      <c r="I932">
        <v>0</v>
      </c>
      <c r="J932">
        <v>61.587062500000002</v>
      </c>
      <c r="K932">
        <v>65.001511399999998</v>
      </c>
      <c r="L932">
        <v>26.644951800000001</v>
      </c>
      <c r="M932">
        <v>39.651298799999999</v>
      </c>
      <c r="N932">
        <v>41.839002800000003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1036</v>
      </c>
      <c r="C933" t="s">
        <v>1034</v>
      </c>
      <c r="D933">
        <v>1</v>
      </c>
      <c r="E933">
        <v>3389616</v>
      </c>
      <c r="F933">
        <v>1517544</v>
      </c>
      <c r="G933">
        <v>170368</v>
      </c>
      <c r="H933">
        <v>1346352</v>
      </c>
      <c r="I933">
        <v>0</v>
      </c>
      <c r="J933">
        <v>67.040953500000001</v>
      </c>
      <c r="K933">
        <v>69.787085200000007</v>
      </c>
      <c r="L933">
        <v>28.680955600000001</v>
      </c>
      <c r="M933">
        <v>41.067969400000003</v>
      </c>
      <c r="N933">
        <v>42.733484799999999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1036</v>
      </c>
      <c r="C934" t="s">
        <v>1034</v>
      </c>
      <c r="D934">
        <v>2</v>
      </c>
      <c r="E934">
        <v>3771063</v>
      </c>
      <c r="F934">
        <v>3992888</v>
      </c>
      <c r="G934">
        <v>792032</v>
      </c>
      <c r="H934">
        <v>3200032</v>
      </c>
      <c r="I934">
        <v>0</v>
      </c>
      <c r="J934">
        <v>69.597974600000001</v>
      </c>
      <c r="K934">
        <v>72.418960900000002</v>
      </c>
      <c r="L934">
        <v>30.159558199999999</v>
      </c>
      <c r="M934">
        <v>42.2636167</v>
      </c>
      <c r="N934">
        <v>43.558968399999998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1036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1036</v>
      </c>
      <c r="C938" t="s">
        <v>1034</v>
      </c>
      <c r="D938">
        <v>0</v>
      </c>
      <c r="E938">
        <v>12678341</v>
      </c>
      <c r="F938">
        <v>3864360</v>
      </c>
      <c r="G938">
        <v>81616</v>
      </c>
      <c r="H938">
        <v>3780480</v>
      </c>
      <c r="I938">
        <v>0</v>
      </c>
      <c r="J938">
        <v>67.459634899999998</v>
      </c>
      <c r="K938">
        <v>72.899014300000005</v>
      </c>
      <c r="L938">
        <v>24.062855599999999</v>
      </c>
      <c r="M938">
        <v>37.995754900000001</v>
      </c>
      <c r="N938">
        <v>39.507074000000003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1036</v>
      </c>
      <c r="C939" t="s">
        <v>1034</v>
      </c>
      <c r="D939">
        <v>1</v>
      </c>
      <c r="E939">
        <v>12865226</v>
      </c>
      <c r="F939">
        <v>9897952</v>
      </c>
      <c r="G939">
        <v>255080</v>
      </c>
      <c r="H939">
        <v>9640608</v>
      </c>
      <c r="I939">
        <v>0</v>
      </c>
      <c r="J939">
        <v>72.975370600000005</v>
      </c>
      <c r="K939">
        <v>77.5680251</v>
      </c>
      <c r="L939">
        <v>25.427003800000001</v>
      </c>
      <c r="M939">
        <v>39.178709300000001</v>
      </c>
      <c r="N939">
        <v>40.981984400000002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1036</v>
      </c>
      <c r="C940" t="s">
        <v>1034</v>
      </c>
      <c r="D940">
        <v>2</v>
      </c>
      <c r="E940">
        <v>14351090</v>
      </c>
      <c r="F940">
        <v>24489552</v>
      </c>
      <c r="G940">
        <v>1130048</v>
      </c>
      <c r="H940">
        <v>23357240</v>
      </c>
      <c r="I940">
        <v>0</v>
      </c>
      <c r="J940">
        <v>78.738511299999999</v>
      </c>
      <c r="K940">
        <v>80.6285898</v>
      </c>
      <c r="L940">
        <v>26.579813699999999</v>
      </c>
      <c r="M940">
        <v>40.621411199999997</v>
      </c>
      <c r="N940">
        <v>42.518247100000004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1036</v>
      </c>
      <c r="C941" t="s">
        <v>1034</v>
      </c>
      <c r="D941">
        <v>3</v>
      </c>
      <c r="E941">
        <v>15197668</v>
      </c>
      <c r="F941">
        <v>50261544</v>
      </c>
      <c r="G941">
        <v>4821984</v>
      </c>
      <c r="H941">
        <v>45437456</v>
      </c>
      <c r="I941">
        <v>0</v>
      </c>
      <c r="J941">
        <v>81.322508999999997</v>
      </c>
      <c r="K941">
        <v>82.667553799999993</v>
      </c>
      <c r="L941">
        <v>27.430023800000001</v>
      </c>
      <c r="M941">
        <v>42.058267399999998</v>
      </c>
      <c r="N941">
        <v>43.932293600000001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1036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1036</v>
      </c>
      <c r="C944" t="s">
        <v>1034</v>
      </c>
      <c r="D944">
        <v>0</v>
      </c>
      <c r="E944">
        <v>409744</v>
      </c>
      <c r="F944">
        <v>385128</v>
      </c>
      <c r="G944">
        <v>3184</v>
      </c>
      <c r="H944">
        <v>381440</v>
      </c>
      <c r="I944">
        <v>0</v>
      </c>
      <c r="J944">
        <v>50.359291900000002</v>
      </c>
      <c r="K944">
        <v>55.305787199999997</v>
      </c>
      <c r="L944">
        <v>15.822680200000001</v>
      </c>
      <c r="M944">
        <v>35.600173900000001</v>
      </c>
      <c r="N944">
        <v>32.731882400000003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1036</v>
      </c>
      <c r="C945" t="s">
        <v>1034</v>
      </c>
      <c r="D945">
        <v>1</v>
      </c>
      <c r="E945">
        <v>498022</v>
      </c>
      <c r="F945">
        <v>993664</v>
      </c>
      <c r="G945">
        <v>14104</v>
      </c>
      <c r="H945">
        <v>979056</v>
      </c>
      <c r="I945">
        <v>0</v>
      </c>
      <c r="J945">
        <v>55.110064899999998</v>
      </c>
      <c r="K945">
        <v>59.143869100000003</v>
      </c>
      <c r="L945">
        <v>16.417068799999999</v>
      </c>
      <c r="M945">
        <v>36.142823300000003</v>
      </c>
      <c r="N945">
        <v>33.332538300000003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1036</v>
      </c>
      <c r="C946" t="s">
        <v>1034</v>
      </c>
      <c r="D946">
        <v>2</v>
      </c>
      <c r="E946">
        <v>693767</v>
      </c>
      <c r="F946">
        <v>2417104</v>
      </c>
      <c r="G946">
        <v>72288</v>
      </c>
      <c r="H946">
        <v>2344312</v>
      </c>
      <c r="I946">
        <v>0</v>
      </c>
      <c r="J946">
        <v>58.080359199999997</v>
      </c>
      <c r="K946">
        <v>61.284763699999999</v>
      </c>
      <c r="L946">
        <v>16.9029262</v>
      </c>
      <c r="M946">
        <v>36.836011900000003</v>
      </c>
      <c r="N946">
        <v>34.128959199999997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1036</v>
      </c>
      <c r="C947" t="s">
        <v>1034</v>
      </c>
      <c r="D947">
        <v>3</v>
      </c>
      <c r="E947">
        <v>895915</v>
      </c>
      <c r="F947">
        <v>5058168</v>
      </c>
      <c r="G947">
        <v>328992</v>
      </c>
      <c r="H947">
        <v>4728672</v>
      </c>
      <c r="I947">
        <v>0</v>
      </c>
      <c r="J947">
        <v>60.4728043</v>
      </c>
      <c r="K947">
        <v>64.090328</v>
      </c>
      <c r="L947">
        <v>17.628346499999999</v>
      </c>
      <c r="M947">
        <v>37.930156799999999</v>
      </c>
      <c r="N947">
        <v>35.361471299999998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1036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1036</v>
      </c>
      <c r="C950" t="s">
        <v>1034</v>
      </c>
      <c r="D950">
        <v>0</v>
      </c>
      <c r="E950">
        <v>478789</v>
      </c>
      <c r="F950">
        <v>290176</v>
      </c>
      <c r="G950">
        <v>10056</v>
      </c>
      <c r="H950">
        <v>279616</v>
      </c>
      <c r="I950">
        <v>0</v>
      </c>
      <c r="J950">
        <v>52.200437999999998</v>
      </c>
      <c r="K950">
        <v>56.662706200000002</v>
      </c>
      <c r="L950">
        <v>19.753664300000001</v>
      </c>
      <c r="M950">
        <v>31.782849299999999</v>
      </c>
      <c r="N950">
        <v>34.092556299999998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1036</v>
      </c>
      <c r="C951" t="s">
        <v>1034</v>
      </c>
      <c r="D951">
        <v>1</v>
      </c>
      <c r="E951">
        <v>583919</v>
      </c>
      <c r="F951">
        <v>814888</v>
      </c>
      <c r="G951">
        <v>40584</v>
      </c>
      <c r="H951">
        <v>773800</v>
      </c>
      <c r="I951">
        <v>0</v>
      </c>
      <c r="J951">
        <v>58.294127799999998</v>
      </c>
      <c r="K951">
        <v>61.820855000000002</v>
      </c>
      <c r="L951">
        <v>21.845218800000001</v>
      </c>
      <c r="M951">
        <v>33.7938039</v>
      </c>
      <c r="N951">
        <v>35.623391599999998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1036</v>
      </c>
      <c r="C952" t="s">
        <v>1034</v>
      </c>
      <c r="D952">
        <v>2</v>
      </c>
      <c r="E952">
        <v>960594</v>
      </c>
      <c r="F952">
        <v>2578248</v>
      </c>
      <c r="G952">
        <v>201016</v>
      </c>
      <c r="H952">
        <v>2376728</v>
      </c>
      <c r="I952">
        <v>0</v>
      </c>
      <c r="J952">
        <v>62.948207400000001</v>
      </c>
      <c r="K952">
        <v>65.826142599999997</v>
      </c>
      <c r="L952">
        <v>24.636392099999998</v>
      </c>
      <c r="M952">
        <v>36.421230899999998</v>
      </c>
      <c r="N952">
        <v>38.099004999999998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1036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1036</v>
      </c>
      <c r="C956" t="s">
        <v>1034</v>
      </c>
      <c r="D956">
        <v>0</v>
      </c>
      <c r="E956">
        <v>20107527</v>
      </c>
      <c r="F956">
        <v>7370312</v>
      </c>
      <c r="G956">
        <v>156248</v>
      </c>
      <c r="H956">
        <v>7211480</v>
      </c>
      <c r="I956">
        <v>0</v>
      </c>
      <c r="J956">
        <v>64.920308599999998</v>
      </c>
      <c r="K956">
        <v>67.0900386</v>
      </c>
      <c r="L956">
        <v>22.607756599999998</v>
      </c>
      <c r="M956">
        <v>36.187785699999999</v>
      </c>
      <c r="N956">
        <v>39.3998992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1036</v>
      </c>
      <c r="C957" t="s">
        <v>1034</v>
      </c>
      <c r="D957">
        <v>1</v>
      </c>
      <c r="E957">
        <v>17532475</v>
      </c>
      <c r="F957">
        <v>13032904</v>
      </c>
      <c r="G957">
        <v>498256</v>
      </c>
      <c r="H957">
        <v>12532304</v>
      </c>
      <c r="I957">
        <v>0</v>
      </c>
      <c r="J957">
        <v>71.376576499999999</v>
      </c>
      <c r="K957">
        <v>73.955725599999994</v>
      </c>
      <c r="L957">
        <v>24.809780700000001</v>
      </c>
      <c r="M957">
        <v>38.257306</v>
      </c>
      <c r="N957">
        <v>41.247408900000003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1036</v>
      </c>
      <c r="C958" t="s">
        <v>1034</v>
      </c>
      <c r="D958">
        <v>2</v>
      </c>
      <c r="E958">
        <v>16642182</v>
      </c>
      <c r="F958">
        <v>24540744</v>
      </c>
      <c r="G958">
        <v>1682328</v>
      </c>
      <c r="H958">
        <v>22856152</v>
      </c>
      <c r="I958">
        <v>0</v>
      </c>
      <c r="J958">
        <v>77.220964699999996</v>
      </c>
      <c r="K958">
        <v>79.367673600000003</v>
      </c>
      <c r="L958">
        <v>27.0280205</v>
      </c>
      <c r="M958">
        <v>40.726040900000001</v>
      </c>
      <c r="N958">
        <v>43.383221900000002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1036</v>
      </c>
      <c r="C959" t="s">
        <v>1034</v>
      </c>
      <c r="D959">
        <v>3</v>
      </c>
      <c r="E959">
        <v>17598332</v>
      </c>
      <c r="F959">
        <v>47466392</v>
      </c>
      <c r="G959">
        <v>5521464</v>
      </c>
      <c r="H959">
        <v>41942584</v>
      </c>
      <c r="I959">
        <v>0</v>
      </c>
      <c r="J959">
        <v>80.5656508</v>
      </c>
      <c r="K959">
        <v>84.302645900000002</v>
      </c>
      <c r="L959">
        <v>28.645343199999999</v>
      </c>
      <c r="M959">
        <v>43.173170800000001</v>
      </c>
      <c r="N959">
        <v>45.373637600000002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1036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1036</v>
      </c>
      <c r="C962" t="s">
        <v>1034</v>
      </c>
      <c r="D962">
        <v>0</v>
      </c>
      <c r="E962">
        <v>18758638</v>
      </c>
      <c r="F962">
        <v>7198760</v>
      </c>
      <c r="G962">
        <v>202880</v>
      </c>
      <c r="H962">
        <v>6993056</v>
      </c>
      <c r="I962">
        <v>0</v>
      </c>
      <c r="J962">
        <v>65.353019500000002</v>
      </c>
      <c r="K962">
        <v>66.960304100000002</v>
      </c>
      <c r="L962">
        <v>22.8704128</v>
      </c>
      <c r="M962">
        <v>35.564952099999999</v>
      </c>
      <c r="N962">
        <v>37.058894799999997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1036</v>
      </c>
      <c r="C963" t="s">
        <v>1034</v>
      </c>
      <c r="D963">
        <v>1</v>
      </c>
      <c r="E963">
        <v>17956851</v>
      </c>
      <c r="F963">
        <v>13832488</v>
      </c>
      <c r="G963">
        <v>628632</v>
      </c>
      <c r="H963">
        <v>13201032</v>
      </c>
      <c r="I963">
        <v>0</v>
      </c>
      <c r="J963">
        <v>71.512857600000004</v>
      </c>
      <c r="K963">
        <v>74.049237500000004</v>
      </c>
      <c r="L963">
        <v>24.963806999999999</v>
      </c>
      <c r="M963">
        <v>37.751501300000001</v>
      </c>
      <c r="N963">
        <v>39.2638848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1036</v>
      </c>
      <c r="C964" t="s">
        <v>1034</v>
      </c>
      <c r="D964">
        <v>2</v>
      </c>
      <c r="E964">
        <v>18660573</v>
      </c>
      <c r="F964">
        <v>28211488</v>
      </c>
      <c r="G964">
        <v>2200256</v>
      </c>
      <c r="H964">
        <v>26008408</v>
      </c>
      <c r="I964">
        <v>0</v>
      </c>
      <c r="J964">
        <v>76.778334400000006</v>
      </c>
      <c r="K964">
        <v>79.591677000000004</v>
      </c>
      <c r="L964">
        <v>27.1377259</v>
      </c>
      <c r="M964">
        <v>40.190235700000002</v>
      </c>
      <c r="N964">
        <v>41.658968899999998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1036</v>
      </c>
      <c r="C965" t="s">
        <v>1034</v>
      </c>
      <c r="D965">
        <v>3</v>
      </c>
      <c r="E965">
        <v>23218626</v>
      </c>
      <c r="F965">
        <v>62632728</v>
      </c>
      <c r="G965">
        <v>7411376</v>
      </c>
      <c r="H965">
        <v>55218528</v>
      </c>
      <c r="I965">
        <v>0</v>
      </c>
      <c r="J965">
        <v>80.154251200000004</v>
      </c>
      <c r="K965">
        <v>84.522926200000001</v>
      </c>
      <c r="L965">
        <v>28.898091000000001</v>
      </c>
      <c r="M965">
        <v>42.832931600000002</v>
      </c>
      <c r="N965">
        <v>44.148462500000001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1036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1036</v>
      </c>
      <c r="C968" t="s">
        <v>1034</v>
      </c>
      <c r="D968">
        <v>0</v>
      </c>
      <c r="E968">
        <v>179128</v>
      </c>
      <c r="F968">
        <v>96592</v>
      </c>
      <c r="G968">
        <v>1752</v>
      </c>
      <c r="H968">
        <v>94336</v>
      </c>
      <c r="I968">
        <v>0</v>
      </c>
      <c r="J968">
        <v>46.8989306</v>
      </c>
      <c r="K968">
        <v>50.293195099999998</v>
      </c>
      <c r="L968">
        <v>21.256147599999998</v>
      </c>
      <c r="M968">
        <v>30.375519000000001</v>
      </c>
      <c r="N968">
        <v>33.044681799999999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1036</v>
      </c>
      <c r="C969" t="s">
        <v>1034</v>
      </c>
      <c r="D969">
        <v>1</v>
      </c>
      <c r="E969">
        <v>189063</v>
      </c>
      <c r="F969">
        <v>237328</v>
      </c>
      <c r="G969">
        <v>6288</v>
      </c>
      <c r="H969">
        <v>230536</v>
      </c>
      <c r="I969">
        <v>0</v>
      </c>
      <c r="J969">
        <v>55.431299000000003</v>
      </c>
      <c r="K969">
        <v>57.8345713</v>
      </c>
      <c r="L969">
        <v>23.8382407</v>
      </c>
      <c r="M969">
        <v>33.2356616</v>
      </c>
      <c r="N969">
        <v>35.237461799999998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1036</v>
      </c>
      <c r="C970" t="s">
        <v>1034</v>
      </c>
      <c r="D970">
        <v>2</v>
      </c>
      <c r="E970">
        <v>221343</v>
      </c>
      <c r="F970">
        <v>549560</v>
      </c>
      <c r="G970">
        <v>25296</v>
      </c>
      <c r="H970">
        <v>523760</v>
      </c>
      <c r="I970">
        <v>0</v>
      </c>
      <c r="J970">
        <v>60.203992599999999</v>
      </c>
      <c r="K970">
        <v>62.684333700000003</v>
      </c>
      <c r="L970">
        <v>25.792725600000001</v>
      </c>
      <c r="M970">
        <v>35.446653599999998</v>
      </c>
      <c r="N970">
        <v>37.115681899999998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1036</v>
      </c>
      <c r="C971" t="s">
        <v>1034</v>
      </c>
      <c r="D971">
        <v>3</v>
      </c>
      <c r="E971">
        <v>278948</v>
      </c>
      <c r="F971">
        <v>1231072</v>
      </c>
      <c r="G971">
        <v>104120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1036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1036</v>
      </c>
      <c r="C974" t="s">
        <v>1034</v>
      </c>
      <c r="D974">
        <v>0</v>
      </c>
      <c r="E974">
        <v>17420776</v>
      </c>
      <c r="F974">
        <v>3652552</v>
      </c>
      <c r="G974">
        <v>266064</v>
      </c>
      <c r="H974">
        <v>3383984</v>
      </c>
      <c r="I974">
        <v>0</v>
      </c>
      <c r="J974">
        <v>67.267676800000004</v>
      </c>
      <c r="K974">
        <v>70.884035100000006</v>
      </c>
      <c r="L974">
        <v>27.961453599999999</v>
      </c>
      <c r="M974">
        <v>40.355387499999999</v>
      </c>
      <c r="N974">
        <v>38.644401199999997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1036</v>
      </c>
      <c r="C975" t="s">
        <v>1034</v>
      </c>
      <c r="D975">
        <v>1</v>
      </c>
      <c r="E975">
        <v>15038251</v>
      </c>
      <c r="F975">
        <v>7275696</v>
      </c>
      <c r="G975">
        <v>774208</v>
      </c>
      <c r="H975">
        <v>6498984</v>
      </c>
      <c r="I975">
        <v>0</v>
      </c>
      <c r="J975">
        <v>72.223116899999994</v>
      </c>
      <c r="K975">
        <v>76.594861100000003</v>
      </c>
      <c r="L975">
        <v>30.170556099999999</v>
      </c>
      <c r="M975">
        <v>43.004929599999997</v>
      </c>
      <c r="N975">
        <v>41.093467500000003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1036</v>
      </c>
      <c r="C976" t="s">
        <v>1034</v>
      </c>
      <c r="D976">
        <v>2</v>
      </c>
      <c r="E976">
        <v>16990914</v>
      </c>
      <c r="F976">
        <v>17247936</v>
      </c>
      <c r="G976">
        <v>3141112</v>
      </c>
      <c r="H976">
        <v>14104240</v>
      </c>
      <c r="I976">
        <v>0</v>
      </c>
      <c r="J976">
        <v>76.638013400000006</v>
      </c>
      <c r="K976">
        <v>80.999489400000002</v>
      </c>
      <c r="L976">
        <v>32.282307099999997</v>
      </c>
      <c r="M976">
        <v>45.563815699999999</v>
      </c>
      <c r="N976">
        <v>43.4558325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1036</v>
      </c>
      <c r="C977" t="s">
        <v>1034</v>
      </c>
      <c r="D977">
        <v>3</v>
      </c>
      <c r="E977">
        <v>20467460</v>
      </c>
      <c r="F977">
        <v>43095616</v>
      </c>
      <c r="G977">
        <v>11469824</v>
      </c>
      <c r="H977">
        <v>31623288</v>
      </c>
      <c r="I977">
        <v>0</v>
      </c>
      <c r="J977">
        <v>79.332207100000005</v>
      </c>
      <c r="K977">
        <v>84.097035500000004</v>
      </c>
      <c r="L977">
        <v>34.352166199999999</v>
      </c>
      <c r="M977">
        <v>48.170660099999999</v>
      </c>
      <c r="N977">
        <v>46.259354000000002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1036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1036</v>
      </c>
      <c r="C980" t="s">
        <v>1034</v>
      </c>
      <c r="D980">
        <v>0</v>
      </c>
      <c r="E980">
        <v>1614223</v>
      </c>
      <c r="F980">
        <v>775544</v>
      </c>
      <c r="G980">
        <v>75072</v>
      </c>
      <c r="H980">
        <v>699888</v>
      </c>
      <c r="I980">
        <v>0</v>
      </c>
      <c r="J980">
        <v>60.251482199999998</v>
      </c>
      <c r="K980">
        <v>61.134673499999998</v>
      </c>
      <c r="L980">
        <v>26.059575899999999</v>
      </c>
      <c r="M980">
        <v>37.396989099999999</v>
      </c>
      <c r="N980">
        <v>36.434364199999997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1036</v>
      </c>
      <c r="C981" t="s">
        <v>1034</v>
      </c>
      <c r="D981">
        <v>1</v>
      </c>
      <c r="E981">
        <v>1646436</v>
      </c>
      <c r="F981">
        <v>1563480</v>
      </c>
      <c r="G981">
        <v>292768</v>
      </c>
      <c r="H981">
        <v>1270128</v>
      </c>
      <c r="I981">
        <v>0</v>
      </c>
      <c r="J981">
        <v>65.193117000000001</v>
      </c>
      <c r="K981">
        <v>68.409656499999997</v>
      </c>
      <c r="L981">
        <v>27.872446799999999</v>
      </c>
      <c r="M981">
        <v>39.9211308</v>
      </c>
      <c r="N981">
        <v>38.8232401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1036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workbookViewId="0">
      <selection activeCell="P2" sqref="P2:Q1048576"/>
    </sheetView>
  </sheetViews>
  <sheetFormatPr defaultRowHeight="13.5" x14ac:dyDescent="0.15"/>
  <cols>
    <col min="16" max="16" width="9.125" customWidth="1"/>
  </cols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1039</v>
      </c>
      <c r="C710" t="s">
        <v>1034</v>
      </c>
      <c r="D710">
        <v>0</v>
      </c>
      <c r="E710">
        <v>2563236</v>
      </c>
      <c r="F710">
        <v>110088</v>
      </c>
      <c r="G710">
        <v>23760</v>
      </c>
      <c r="H710">
        <v>85480</v>
      </c>
      <c r="I710">
        <v>0</v>
      </c>
      <c r="J710">
        <v>64.553656099999998</v>
      </c>
      <c r="K710">
        <v>65.319606100000001</v>
      </c>
      <c r="L710">
        <v>33.206619199999999</v>
      </c>
      <c r="M710">
        <v>42.674645499999997</v>
      </c>
      <c r="N710">
        <v>45.968250699999999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1039</v>
      </c>
      <c r="C711" t="s">
        <v>1034</v>
      </c>
      <c r="D711">
        <v>1</v>
      </c>
      <c r="E711">
        <v>2382752</v>
      </c>
      <c r="F711">
        <v>250456</v>
      </c>
      <c r="G711">
        <v>70464</v>
      </c>
      <c r="H711">
        <v>179144</v>
      </c>
      <c r="I711">
        <v>0</v>
      </c>
      <c r="J711">
        <v>69.936707900000002</v>
      </c>
      <c r="K711">
        <v>73.158202200000005</v>
      </c>
      <c r="L711">
        <v>36.270892199999999</v>
      </c>
      <c r="M711">
        <v>43.556286900000003</v>
      </c>
      <c r="N711">
        <v>47.6246285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1039</v>
      </c>
      <c r="C712" t="s">
        <v>1034</v>
      </c>
      <c r="D712">
        <v>2</v>
      </c>
      <c r="E712">
        <v>2485496</v>
      </c>
      <c r="F712">
        <v>657224</v>
      </c>
      <c r="G712">
        <v>227232</v>
      </c>
      <c r="H712">
        <v>429144</v>
      </c>
      <c r="I712">
        <v>0</v>
      </c>
      <c r="J712">
        <v>74.791387799999995</v>
      </c>
      <c r="K712">
        <v>78.582488400000003</v>
      </c>
      <c r="L712">
        <v>39.363891500000001</v>
      </c>
      <c r="M712">
        <v>44.789835500000002</v>
      </c>
      <c r="N712">
        <v>49.174117099999997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1039</v>
      </c>
      <c r="C713" t="s">
        <v>1034</v>
      </c>
      <c r="D713">
        <v>3</v>
      </c>
      <c r="E713">
        <v>2779047</v>
      </c>
      <c r="F713">
        <v>1829576</v>
      </c>
      <c r="G713">
        <v>748664</v>
      </c>
      <c r="H713">
        <v>1080064</v>
      </c>
      <c r="I713">
        <v>0</v>
      </c>
      <c r="J713">
        <v>76.971451099999996</v>
      </c>
      <c r="K713">
        <v>80.705232499999994</v>
      </c>
      <c r="L713">
        <v>41.729102599999997</v>
      </c>
      <c r="M713">
        <v>46.257398500000001</v>
      </c>
      <c r="N713">
        <v>50.433714299999998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1039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1039</v>
      </c>
      <c r="C716" t="s">
        <v>1034</v>
      </c>
      <c r="D716">
        <v>0</v>
      </c>
      <c r="E716">
        <v>2364784</v>
      </c>
      <c r="F716">
        <v>120720</v>
      </c>
      <c r="G716">
        <v>20824</v>
      </c>
      <c r="H716">
        <v>99208</v>
      </c>
      <c r="I716">
        <v>0</v>
      </c>
      <c r="J716">
        <v>64.555706900000004</v>
      </c>
      <c r="K716">
        <v>65.065640099999996</v>
      </c>
      <c r="L716">
        <v>32.227706099999999</v>
      </c>
      <c r="M716">
        <v>43.4825272</v>
      </c>
      <c r="N716">
        <v>45.741549300000003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1039</v>
      </c>
      <c r="C717" t="s">
        <v>1034</v>
      </c>
      <c r="D717">
        <v>1</v>
      </c>
      <c r="E717">
        <v>2174186</v>
      </c>
      <c r="F717">
        <v>264368</v>
      </c>
      <c r="G717">
        <v>60720</v>
      </c>
      <c r="H717">
        <v>202960</v>
      </c>
      <c r="I717">
        <v>0</v>
      </c>
      <c r="J717">
        <v>69.728556600000005</v>
      </c>
      <c r="K717">
        <v>73.036275599999996</v>
      </c>
      <c r="L717">
        <v>35.846152199999999</v>
      </c>
      <c r="M717">
        <v>44.4473336</v>
      </c>
      <c r="N717">
        <v>47.590812999999997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1039</v>
      </c>
      <c r="C718" t="s">
        <v>1034</v>
      </c>
      <c r="D718">
        <v>2</v>
      </c>
      <c r="E718">
        <v>2260665</v>
      </c>
      <c r="F718">
        <v>670816</v>
      </c>
      <c r="G718">
        <v>201008</v>
      </c>
      <c r="H718">
        <v>469120</v>
      </c>
      <c r="I718">
        <v>0</v>
      </c>
      <c r="J718">
        <v>74.804639100000003</v>
      </c>
      <c r="K718">
        <v>78.233147500000001</v>
      </c>
      <c r="L718">
        <v>38.859093700000003</v>
      </c>
      <c r="M718">
        <v>45.732737999999998</v>
      </c>
      <c r="N718">
        <v>49.1174052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1039</v>
      </c>
      <c r="C719" t="s">
        <v>1034</v>
      </c>
      <c r="D719">
        <v>3</v>
      </c>
      <c r="E719">
        <v>2476221</v>
      </c>
      <c r="F719">
        <v>1757432</v>
      </c>
      <c r="G719">
        <v>663544</v>
      </c>
      <c r="H719">
        <v>1093200</v>
      </c>
      <c r="I719">
        <v>0</v>
      </c>
      <c r="J719">
        <v>77.082859900000003</v>
      </c>
      <c r="K719">
        <v>80.631966199999994</v>
      </c>
      <c r="L719">
        <v>41.2034485</v>
      </c>
      <c r="M719">
        <v>47.113899000000004</v>
      </c>
      <c r="N719">
        <v>50.457027600000004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1039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1039</v>
      </c>
      <c r="C722" t="s">
        <v>1034</v>
      </c>
      <c r="D722">
        <v>0</v>
      </c>
      <c r="E722">
        <v>3535590</v>
      </c>
      <c r="F722">
        <v>151328</v>
      </c>
      <c r="G722">
        <v>27320</v>
      </c>
      <c r="H722">
        <v>123184</v>
      </c>
      <c r="I722">
        <v>0</v>
      </c>
      <c r="J722">
        <v>60.379426000000002</v>
      </c>
      <c r="K722">
        <v>64.650964700000003</v>
      </c>
      <c r="L722">
        <v>28.5174904</v>
      </c>
      <c r="M722">
        <v>42.3791248</v>
      </c>
      <c r="N722">
        <v>44.266030200000003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1039</v>
      </c>
      <c r="C723" t="s">
        <v>1034</v>
      </c>
      <c r="D723">
        <v>1</v>
      </c>
      <c r="E723">
        <v>3453778</v>
      </c>
      <c r="F723">
        <v>501464</v>
      </c>
      <c r="G723">
        <v>90008</v>
      </c>
      <c r="H723">
        <v>410632</v>
      </c>
      <c r="I723">
        <v>0</v>
      </c>
      <c r="J723">
        <v>67.356421699999999</v>
      </c>
      <c r="K723">
        <v>71.762189100000001</v>
      </c>
      <c r="L723">
        <v>30.601611599999998</v>
      </c>
      <c r="M723">
        <v>43.483237199999998</v>
      </c>
      <c r="N723">
        <v>45.348677100000003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1039</v>
      </c>
      <c r="C724" t="s">
        <v>1034</v>
      </c>
      <c r="D724">
        <v>2</v>
      </c>
      <c r="E724">
        <v>3708857</v>
      </c>
      <c r="F724">
        <v>1951872</v>
      </c>
      <c r="G724">
        <v>344728</v>
      </c>
      <c r="H724">
        <v>1606320</v>
      </c>
      <c r="I724">
        <v>0</v>
      </c>
      <c r="J724">
        <v>73.415104400000004</v>
      </c>
      <c r="K724">
        <v>76.776845199999997</v>
      </c>
      <c r="L724">
        <v>33.409351700000002</v>
      </c>
      <c r="M724">
        <v>44.739324799999999</v>
      </c>
      <c r="N724">
        <v>46.518696300000002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1039</v>
      </c>
      <c r="C725" t="s">
        <v>1034</v>
      </c>
      <c r="D725">
        <v>3</v>
      </c>
      <c r="E725">
        <v>3933927</v>
      </c>
      <c r="F725">
        <v>6071192</v>
      </c>
      <c r="G725">
        <v>1259904</v>
      </c>
      <c r="H725">
        <v>4810464</v>
      </c>
      <c r="I725">
        <v>0</v>
      </c>
      <c r="J725">
        <v>76.425477099999995</v>
      </c>
      <c r="K725">
        <v>79.631892100000002</v>
      </c>
      <c r="L725">
        <v>36.559525600000001</v>
      </c>
      <c r="M725">
        <v>46.086562800000003</v>
      </c>
      <c r="N725">
        <v>47.698688300000001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1039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1039</v>
      </c>
      <c r="C728" t="s">
        <v>1034</v>
      </c>
      <c r="D728">
        <v>0</v>
      </c>
      <c r="E728">
        <v>798456</v>
      </c>
      <c r="F728">
        <v>150160</v>
      </c>
      <c r="G728">
        <v>6208</v>
      </c>
      <c r="H728">
        <v>143504</v>
      </c>
      <c r="I728">
        <v>0</v>
      </c>
      <c r="J728">
        <v>55.6445571</v>
      </c>
      <c r="K728">
        <v>56.0637027</v>
      </c>
      <c r="L728">
        <v>25.5643791</v>
      </c>
      <c r="M728">
        <v>32.726838299999997</v>
      </c>
      <c r="N728">
        <v>31.561361699999999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1039</v>
      </c>
      <c r="C729" t="s">
        <v>1034</v>
      </c>
      <c r="D729">
        <v>1</v>
      </c>
      <c r="E729">
        <v>785696</v>
      </c>
      <c r="F729">
        <v>405792</v>
      </c>
      <c r="G729">
        <v>21592</v>
      </c>
      <c r="H729">
        <v>383752</v>
      </c>
      <c r="I729">
        <v>0</v>
      </c>
      <c r="J729">
        <v>62.669087300000001</v>
      </c>
      <c r="K729">
        <v>63.466967099999998</v>
      </c>
      <c r="L729">
        <v>29.381278500000001</v>
      </c>
      <c r="M729">
        <v>35.896707499999998</v>
      </c>
      <c r="N729">
        <v>35.231554199999998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1039</v>
      </c>
      <c r="C730" t="s">
        <v>1034</v>
      </c>
      <c r="D730">
        <v>2</v>
      </c>
      <c r="E730">
        <v>794760</v>
      </c>
      <c r="F730">
        <v>1009520</v>
      </c>
      <c r="G730">
        <v>77744</v>
      </c>
      <c r="H730">
        <v>931328</v>
      </c>
      <c r="I730">
        <v>0</v>
      </c>
      <c r="J730">
        <v>68.604806499999995</v>
      </c>
      <c r="K730">
        <v>70.4588593</v>
      </c>
      <c r="L730">
        <v>33.200805000000003</v>
      </c>
      <c r="M730">
        <v>39.401769199999997</v>
      </c>
      <c r="N730">
        <v>38.920159699999999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1039</v>
      </c>
      <c r="C731" t="s">
        <v>1034</v>
      </c>
      <c r="D731">
        <v>3</v>
      </c>
      <c r="E731">
        <v>848252</v>
      </c>
      <c r="F731">
        <v>2166016</v>
      </c>
      <c r="G731">
        <v>253144</v>
      </c>
      <c r="H731">
        <v>1912424</v>
      </c>
      <c r="I731">
        <v>0</v>
      </c>
      <c r="J731">
        <v>71.029979699999998</v>
      </c>
      <c r="K731">
        <v>73.9660966</v>
      </c>
      <c r="L731">
        <v>36.350391500000001</v>
      </c>
      <c r="M731">
        <v>42.516891000000001</v>
      </c>
      <c r="N731">
        <v>42.031444999999998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1039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1039</v>
      </c>
      <c r="C734" t="s">
        <v>1034</v>
      </c>
      <c r="D734">
        <v>0</v>
      </c>
      <c r="E734">
        <v>747178</v>
      </c>
      <c r="F734">
        <v>31232</v>
      </c>
      <c r="G734">
        <v>5952</v>
      </c>
      <c r="H734">
        <v>24840</v>
      </c>
      <c r="I734">
        <v>0</v>
      </c>
      <c r="J734">
        <v>55.289748799999998</v>
      </c>
      <c r="K734">
        <v>57.733209899999999</v>
      </c>
      <c r="L734">
        <v>31.202408999999999</v>
      </c>
      <c r="M734">
        <v>44.705795600000002</v>
      </c>
      <c r="N734">
        <v>43.283148699999998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1039</v>
      </c>
      <c r="C735" t="s">
        <v>1034</v>
      </c>
      <c r="D735">
        <v>1</v>
      </c>
      <c r="E735">
        <v>713413</v>
      </c>
      <c r="F735">
        <v>90008</v>
      </c>
      <c r="G735">
        <v>19384</v>
      </c>
      <c r="H735">
        <v>70184</v>
      </c>
      <c r="I735">
        <v>0</v>
      </c>
      <c r="J735">
        <v>63.177750000000003</v>
      </c>
      <c r="K735">
        <v>65.228434300000004</v>
      </c>
      <c r="L735">
        <v>34.333899799999998</v>
      </c>
      <c r="M735">
        <v>47.167225000000002</v>
      </c>
      <c r="N735">
        <v>46.607648500000003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1039</v>
      </c>
      <c r="C736" t="s">
        <v>1034</v>
      </c>
      <c r="D736">
        <v>2</v>
      </c>
      <c r="E736">
        <v>735219</v>
      </c>
      <c r="F736">
        <v>252656</v>
      </c>
      <c r="G736">
        <v>67688</v>
      </c>
      <c r="H736">
        <v>184528</v>
      </c>
      <c r="I736">
        <v>0</v>
      </c>
      <c r="J736">
        <v>68.458337499999999</v>
      </c>
      <c r="K736">
        <v>71.271203799999995</v>
      </c>
      <c r="L736">
        <v>38.118692699999997</v>
      </c>
      <c r="M736">
        <v>49.045690299999997</v>
      </c>
      <c r="N736">
        <v>49.286591299999998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1039</v>
      </c>
      <c r="C737" t="s">
        <v>1034</v>
      </c>
      <c r="D737">
        <v>3</v>
      </c>
      <c r="E737">
        <v>791608</v>
      </c>
      <c r="F737">
        <v>651584</v>
      </c>
      <c r="G737">
        <v>227688</v>
      </c>
      <c r="H737">
        <v>423456</v>
      </c>
      <c r="I737">
        <v>0</v>
      </c>
      <c r="J737">
        <v>71.086933299999998</v>
      </c>
      <c r="K737">
        <v>74.126947000000001</v>
      </c>
      <c r="L737">
        <v>41.5832519</v>
      </c>
      <c r="M737">
        <v>50.7763578</v>
      </c>
      <c r="N737">
        <v>51.090319299999997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1039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1039</v>
      </c>
      <c r="C740" t="s">
        <v>1034</v>
      </c>
      <c r="D740">
        <v>0</v>
      </c>
      <c r="E740">
        <v>747027</v>
      </c>
      <c r="F740">
        <v>62224</v>
      </c>
      <c r="G740">
        <v>5744</v>
      </c>
      <c r="H740">
        <v>56032</v>
      </c>
      <c r="I740">
        <v>0</v>
      </c>
      <c r="J740">
        <v>55.7712225</v>
      </c>
      <c r="K740">
        <v>57.162020499999997</v>
      </c>
      <c r="L740">
        <v>26.0704052</v>
      </c>
      <c r="M740">
        <v>34.747233399999999</v>
      </c>
      <c r="N740">
        <v>32.313972999999997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1039</v>
      </c>
      <c r="C741" t="s">
        <v>1034</v>
      </c>
      <c r="D741">
        <v>1</v>
      </c>
      <c r="E741">
        <v>726789</v>
      </c>
      <c r="F741">
        <v>168952</v>
      </c>
      <c r="G741">
        <v>18808</v>
      </c>
      <c r="H741">
        <v>149696</v>
      </c>
      <c r="I741">
        <v>0</v>
      </c>
      <c r="J741">
        <v>62.500404699999997</v>
      </c>
      <c r="K741">
        <v>64.232491400000001</v>
      </c>
      <c r="L741">
        <v>30.320138499999999</v>
      </c>
      <c r="M741">
        <v>39.027258199999999</v>
      </c>
      <c r="N741">
        <v>37.091278299999999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1039</v>
      </c>
      <c r="C742" t="s">
        <v>1034</v>
      </c>
      <c r="D742">
        <v>2</v>
      </c>
      <c r="E742">
        <v>767793</v>
      </c>
      <c r="F742">
        <v>413464</v>
      </c>
      <c r="G742">
        <v>66696</v>
      </c>
      <c r="H742">
        <v>346320</v>
      </c>
      <c r="I742">
        <v>0</v>
      </c>
      <c r="J742">
        <v>67.685976199999999</v>
      </c>
      <c r="K742">
        <v>71.006012600000005</v>
      </c>
      <c r="L742">
        <v>33.888105799999998</v>
      </c>
      <c r="M742">
        <v>43.398568400000002</v>
      </c>
      <c r="N742">
        <v>41.647070599999999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1039</v>
      </c>
      <c r="C743" t="s">
        <v>1034</v>
      </c>
      <c r="D743">
        <v>3</v>
      </c>
      <c r="E743">
        <v>867716</v>
      </c>
      <c r="F743">
        <v>995640</v>
      </c>
      <c r="G743">
        <v>231056</v>
      </c>
      <c r="H743">
        <v>764136</v>
      </c>
      <c r="I743">
        <v>0</v>
      </c>
      <c r="J743">
        <v>70.039026800000002</v>
      </c>
      <c r="K743">
        <v>73.995464799999993</v>
      </c>
      <c r="L743">
        <v>36.864893700000003</v>
      </c>
      <c r="M743">
        <v>46.162604899999998</v>
      </c>
      <c r="N743">
        <v>44.833169400000003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1039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1039</v>
      </c>
      <c r="C746" t="s">
        <v>1034</v>
      </c>
      <c r="D746">
        <v>0</v>
      </c>
      <c r="E746">
        <v>681762</v>
      </c>
      <c r="F746">
        <v>69992</v>
      </c>
      <c r="G746">
        <v>5768</v>
      </c>
      <c r="H746">
        <v>63776</v>
      </c>
      <c r="I746">
        <v>0</v>
      </c>
      <c r="J746">
        <v>54.167279200000003</v>
      </c>
      <c r="K746">
        <v>55.859701999999999</v>
      </c>
      <c r="L746">
        <v>30.375178399999999</v>
      </c>
      <c r="M746">
        <v>39.3476122</v>
      </c>
      <c r="N746">
        <v>30.823781700000001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1039</v>
      </c>
      <c r="C747" t="s">
        <v>1034</v>
      </c>
      <c r="D747">
        <v>1</v>
      </c>
      <c r="E747">
        <v>674829</v>
      </c>
      <c r="F747">
        <v>174288</v>
      </c>
      <c r="G747">
        <v>19896</v>
      </c>
      <c r="H747">
        <v>153944</v>
      </c>
      <c r="I747">
        <v>0</v>
      </c>
      <c r="J747">
        <v>61.528513199999999</v>
      </c>
      <c r="K747">
        <v>63.620031500000003</v>
      </c>
      <c r="L747">
        <v>33.995055700000002</v>
      </c>
      <c r="M747">
        <v>41.308801199999998</v>
      </c>
      <c r="N747">
        <v>35.199165399999998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1039</v>
      </c>
      <c r="C748" t="s">
        <v>1034</v>
      </c>
      <c r="D748">
        <v>2</v>
      </c>
      <c r="E748">
        <v>697070</v>
      </c>
      <c r="F748">
        <v>443832</v>
      </c>
      <c r="G748">
        <v>71240</v>
      </c>
      <c r="H748">
        <v>372144</v>
      </c>
      <c r="I748">
        <v>0</v>
      </c>
      <c r="J748">
        <v>67.916162999999997</v>
      </c>
      <c r="K748">
        <v>70.312938099999997</v>
      </c>
      <c r="L748">
        <v>37.655261400000001</v>
      </c>
      <c r="M748">
        <v>43.198679499999997</v>
      </c>
      <c r="N748">
        <v>39.205252399999999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1039</v>
      </c>
      <c r="C749" t="s">
        <v>1034</v>
      </c>
      <c r="D749">
        <v>3</v>
      </c>
      <c r="E749">
        <v>754191</v>
      </c>
      <c r="F749">
        <v>1079840</v>
      </c>
      <c r="G749">
        <v>236752</v>
      </c>
      <c r="H749">
        <v>842640</v>
      </c>
      <c r="I749">
        <v>0</v>
      </c>
      <c r="J749">
        <v>70.785361600000002</v>
      </c>
      <c r="K749">
        <v>73.698572999999996</v>
      </c>
      <c r="L749">
        <v>40.829461100000003</v>
      </c>
      <c r="M749">
        <v>45.2463731</v>
      </c>
      <c r="N749">
        <v>42.529779099999999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1039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1039</v>
      </c>
      <c r="C752" t="s">
        <v>1034</v>
      </c>
      <c r="D752">
        <v>0</v>
      </c>
      <c r="E752">
        <v>1027927</v>
      </c>
      <c r="F752">
        <v>74920</v>
      </c>
      <c r="G752">
        <v>8168</v>
      </c>
      <c r="H752">
        <v>66312</v>
      </c>
      <c r="I752">
        <v>0</v>
      </c>
      <c r="J752">
        <v>55.215634399999999</v>
      </c>
      <c r="K752">
        <v>56.773492599999997</v>
      </c>
      <c r="L752">
        <v>28.022342399999999</v>
      </c>
      <c r="M752">
        <v>44.4311212</v>
      </c>
      <c r="N752">
        <v>44.916148900000003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1039</v>
      </c>
      <c r="C753" t="s">
        <v>1034</v>
      </c>
      <c r="D753">
        <v>1</v>
      </c>
      <c r="E753">
        <v>978818</v>
      </c>
      <c r="F753">
        <v>199432</v>
      </c>
      <c r="G753">
        <v>27568</v>
      </c>
      <c r="H753">
        <v>171424</v>
      </c>
      <c r="I753">
        <v>0</v>
      </c>
      <c r="J753">
        <v>63.325067900000001</v>
      </c>
      <c r="K753">
        <v>64.334055399999997</v>
      </c>
      <c r="L753">
        <v>31.981434199999999</v>
      </c>
      <c r="M753">
        <v>46.191587400000003</v>
      </c>
      <c r="N753">
        <v>46.8616034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1039</v>
      </c>
      <c r="C754" t="s">
        <v>1034</v>
      </c>
      <c r="D754">
        <v>2</v>
      </c>
      <c r="E754">
        <v>998787</v>
      </c>
      <c r="F754">
        <v>529224</v>
      </c>
      <c r="G754">
        <v>99800</v>
      </c>
      <c r="H754">
        <v>428984</v>
      </c>
      <c r="I754">
        <v>0</v>
      </c>
      <c r="J754">
        <v>68.544061400000004</v>
      </c>
      <c r="K754">
        <v>71.031361399999994</v>
      </c>
      <c r="L754">
        <v>36.070827600000001</v>
      </c>
      <c r="M754">
        <v>48.112387699999999</v>
      </c>
      <c r="N754">
        <v>48.786230699999997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1039</v>
      </c>
      <c r="C755" t="s">
        <v>1034</v>
      </c>
      <c r="D755">
        <v>3</v>
      </c>
      <c r="E755">
        <v>1073619</v>
      </c>
      <c r="F755">
        <v>1259176</v>
      </c>
      <c r="G755">
        <v>321568</v>
      </c>
      <c r="H755">
        <v>937168</v>
      </c>
      <c r="I755">
        <v>0</v>
      </c>
      <c r="J755">
        <v>71.013650200000001</v>
      </c>
      <c r="K755">
        <v>74.127468199999996</v>
      </c>
      <c r="L755">
        <v>39.6186474</v>
      </c>
      <c r="M755">
        <v>49.995641499999998</v>
      </c>
      <c r="N755">
        <v>50.686168600000002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1039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1039</v>
      </c>
      <c r="C758" t="s">
        <v>1034</v>
      </c>
      <c r="D758">
        <v>0</v>
      </c>
      <c r="E758">
        <v>931494</v>
      </c>
      <c r="F758">
        <v>119848</v>
      </c>
      <c r="G758">
        <v>7144</v>
      </c>
      <c r="H758">
        <v>112248</v>
      </c>
      <c r="I758">
        <v>0</v>
      </c>
      <c r="J758">
        <v>61.373746500000003</v>
      </c>
      <c r="K758">
        <v>62.324563300000001</v>
      </c>
      <c r="L758">
        <v>26.852784400000001</v>
      </c>
      <c r="M758">
        <v>34.6089883</v>
      </c>
      <c r="N758">
        <v>34.735602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1039</v>
      </c>
      <c r="C759" t="s">
        <v>1034</v>
      </c>
      <c r="D759">
        <v>1</v>
      </c>
      <c r="E759">
        <v>891561</v>
      </c>
      <c r="F759">
        <v>338800</v>
      </c>
      <c r="G759">
        <v>24496</v>
      </c>
      <c r="H759">
        <v>313848</v>
      </c>
      <c r="I759">
        <v>0</v>
      </c>
      <c r="J759">
        <v>68.096070800000007</v>
      </c>
      <c r="K759">
        <v>70.033604499999996</v>
      </c>
      <c r="L759">
        <v>30.2348924</v>
      </c>
      <c r="M759">
        <v>37.782975999999998</v>
      </c>
      <c r="N759">
        <v>37.853010500000003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1039</v>
      </c>
      <c r="C760" t="s">
        <v>1034</v>
      </c>
      <c r="D760">
        <v>2</v>
      </c>
      <c r="E760">
        <v>922379</v>
      </c>
      <c r="F760">
        <v>855600</v>
      </c>
      <c r="G760">
        <v>88488</v>
      </c>
      <c r="H760">
        <v>766656</v>
      </c>
      <c r="I760">
        <v>0</v>
      </c>
      <c r="J760">
        <v>73.398408799999999</v>
      </c>
      <c r="K760">
        <v>75.143603499999998</v>
      </c>
      <c r="L760">
        <v>33.565472900000003</v>
      </c>
      <c r="M760">
        <v>41.269367099999997</v>
      </c>
      <c r="N760">
        <v>41.354917399999998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1039</v>
      </c>
      <c r="C761" t="s">
        <v>1034</v>
      </c>
      <c r="D761">
        <v>3</v>
      </c>
      <c r="E761">
        <v>987612</v>
      </c>
      <c r="F761">
        <v>1794736</v>
      </c>
      <c r="G761">
        <v>289240</v>
      </c>
      <c r="H761">
        <v>1505040</v>
      </c>
      <c r="I761">
        <v>0</v>
      </c>
      <c r="J761">
        <v>74.497849799999997</v>
      </c>
      <c r="K761">
        <v>77.029704199999998</v>
      </c>
      <c r="L761">
        <v>35.360334899999998</v>
      </c>
      <c r="M761">
        <v>44.089222999999997</v>
      </c>
      <c r="N761">
        <v>44.235774900000003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1039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1039</v>
      </c>
      <c r="C764" t="s">
        <v>1034</v>
      </c>
      <c r="D764">
        <v>0</v>
      </c>
      <c r="E764">
        <v>2312958</v>
      </c>
      <c r="F764">
        <v>88928</v>
      </c>
      <c r="G764">
        <v>28608</v>
      </c>
      <c r="H764">
        <v>59656</v>
      </c>
      <c r="I764">
        <v>0</v>
      </c>
      <c r="J764">
        <v>64.278808400000003</v>
      </c>
      <c r="K764">
        <v>64.676648499999999</v>
      </c>
      <c r="L764">
        <v>34.424011200000002</v>
      </c>
      <c r="M764">
        <v>46.074849700000001</v>
      </c>
      <c r="N764">
        <v>46.184782499999997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1039</v>
      </c>
      <c r="C765" t="s">
        <v>1034</v>
      </c>
      <c r="D765">
        <v>1</v>
      </c>
      <c r="E765">
        <v>3455491</v>
      </c>
      <c r="F765">
        <v>257592</v>
      </c>
      <c r="G765">
        <v>87512</v>
      </c>
      <c r="H765">
        <v>169416</v>
      </c>
      <c r="I765">
        <v>0</v>
      </c>
      <c r="J765">
        <v>70.303257599999995</v>
      </c>
      <c r="K765">
        <v>71.453574099999997</v>
      </c>
      <c r="L765">
        <v>37.9453611</v>
      </c>
      <c r="M765">
        <v>48.420141000000001</v>
      </c>
      <c r="N765">
        <v>48.880134300000002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1039</v>
      </c>
      <c r="C766" t="s">
        <v>1034</v>
      </c>
      <c r="D766">
        <v>2</v>
      </c>
      <c r="E766">
        <v>2963885</v>
      </c>
      <c r="F766">
        <v>639336</v>
      </c>
      <c r="G766">
        <v>283320</v>
      </c>
      <c r="H766">
        <v>355352</v>
      </c>
      <c r="I766">
        <v>0</v>
      </c>
      <c r="J766">
        <v>73.091376800000006</v>
      </c>
      <c r="K766">
        <v>75.492138199999999</v>
      </c>
      <c r="L766">
        <v>39.876223099999997</v>
      </c>
      <c r="M766">
        <v>49.568649200000003</v>
      </c>
      <c r="N766">
        <v>50.156902500000001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1039</v>
      </c>
      <c r="C767" t="s">
        <v>1034</v>
      </c>
      <c r="D767">
        <v>3</v>
      </c>
      <c r="E767">
        <v>2830389</v>
      </c>
      <c r="F767">
        <v>1753056</v>
      </c>
      <c r="G767">
        <v>942488</v>
      </c>
      <c r="H767">
        <v>809904</v>
      </c>
      <c r="I767">
        <v>0</v>
      </c>
      <c r="J767">
        <v>73.359102899999996</v>
      </c>
      <c r="K767">
        <v>76.659602100000001</v>
      </c>
      <c r="L767">
        <v>42.071944799999997</v>
      </c>
      <c r="M767">
        <v>50.555151199999997</v>
      </c>
      <c r="N767">
        <v>51.160566099999997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1039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1039</v>
      </c>
      <c r="C770" t="s">
        <v>1034</v>
      </c>
      <c r="D770">
        <v>0</v>
      </c>
      <c r="E770">
        <v>1174432</v>
      </c>
      <c r="F770">
        <v>308120</v>
      </c>
      <c r="G770">
        <v>33552</v>
      </c>
      <c r="H770">
        <v>274024</v>
      </c>
      <c r="I770">
        <v>0</v>
      </c>
      <c r="J770">
        <v>58.671061399999999</v>
      </c>
      <c r="K770">
        <v>61.544482799999997</v>
      </c>
      <c r="L770">
        <v>22.848789100000001</v>
      </c>
      <c r="M770">
        <v>38.0890986</v>
      </c>
      <c r="N770">
        <v>37.125543499999999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1039</v>
      </c>
      <c r="C771" t="s">
        <v>1034</v>
      </c>
      <c r="D771">
        <v>1</v>
      </c>
      <c r="E771">
        <v>1277992</v>
      </c>
      <c r="F771">
        <v>848208</v>
      </c>
      <c r="G771">
        <v>131024</v>
      </c>
      <c r="H771">
        <v>716640</v>
      </c>
      <c r="I771">
        <v>0</v>
      </c>
      <c r="J771">
        <v>64.071536100000003</v>
      </c>
      <c r="K771">
        <v>67.809738100000004</v>
      </c>
      <c r="L771">
        <v>26.251206700000001</v>
      </c>
      <c r="M771">
        <v>39.752618200000001</v>
      </c>
      <c r="N771">
        <v>38.453042400000001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1039</v>
      </c>
      <c r="C772" t="s">
        <v>1034</v>
      </c>
      <c r="D772">
        <v>2</v>
      </c>
      <c r="E772">
        <v>1615639</v>
      </c>
      <c r="F772">
        <v>2330080</v>
      </c>
      <c r="G772">
        <v>562672</v>
      </c>
      <c r="H772">
        <v>1766864</v>
      </c>
      <c r="I772">
        <v>0</v>
      </c>
      <c r="J772">
        <v>68.140869600000002</v>
      </c>
      <c r="K772">
        <v>71.694531100000006</v>
      </c>
      <c r="L772">
        <v>29.198854600000001</v>
      </c>
      <c r="M772">
        <v>42.207480799999999</v>
      </c>
      <c r="N772">
        <v>40.301549000000001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1039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1039</v>
      </c>
      <c r="C776" t="s">
        <v>1034</v>
      </c>
      <c r="D776">
        <v>0</v>
      </c>
      <c r="E776">
        <v>7574241</v>
      </c>
      <c r="F776">
        <v>822416</v>
      </c>
      <c r="G776">
        <v>83104</v>
      </c>
      <c r="H776">
        <v>738208</v>
      </c>
      <c r="I776">
        <v>0</v>
      </c>
      <c r="J776">
        <v>63.9047907</v>
      </c>
      <c r="K776">
        <v>70.585697199999998</v>
      </c>
      <c r="L776">
        <v>23.848378499999999</v>
      </c>
      <c r="M776">
        <v>39.036888500000003</v>
      </c>
      <c r="N776">
        <v>40.386623100000001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1039</v>
      </c>
      <c r="C777" t="s">
        <v>1034</v>
      </c>
      <c r="D777">
        <v>1</v>
      </c>
      <c r="E777">
        <v>7173802</v>
      </c>
      <c r="F777">
        <v>2516688</v>
      </c>
      <c r="G777">
        <v>300928</v>
      </c>
      <c r="H777">
        <v>2214656</v>
      </c>
      <c r="I777">
        <v>0</v>
      </c>
      <c r="J777">
        <v>69.551420500000006</v>
      </c>
      <c r="K777">
        <v>75.8867288</v>
      </c>
      <c r="L777">
        <v>26.174687899999999</v>
      </c>
      <c r="M777">
        <v>40.621276700000003</v>
      </c>
      <c r="N777">
        <v>41.787168100000002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1039</v>
      </c>
      <c r="C778" t="s">
        <v>1034</v>
      </c>
      <c r="D778">
        <v>2</v>
      </c>
      <c r="E778">
        <v>6951442</v>
      </c>
      <c r="F778">
        <v>7458328</v>
      </c>
      <c r="G778">
        <v>1357176</v>
      </c>
      <c r="H778">
        <v>6100048</v>
      </c>
      <c r="I778">
        <v>0</v>
      </c>
      <c r="J778">
        <v>75.282660300000003</v>
      </c>
      <c r="K778">
        <v>78.806474300000005</v>
      </c>
      <c r="L778">
        <v>28.563997199999999</v>
      </c>
      <c r="M778">
        <v>42.301371699999997</v>
      </c>
      <c r="N778">
        <v>43.242584899999997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1039</v>
      </c>
      <c r="C779" t="s">
        <v>1034</v>
      </c>
      <c r="D779">
        <v>3</v>
      </c>
      <c r="E779">
        <v>8051705</v>
      </c>
      <c r="F779">
        <v>19606904</v>
      </c>
      <c r="G779">
        <v>5648840</v>
      </c>
      <c r="H779">
        <v>13956960</v>
      </c>
      <c r="I779">
        <v>0</v>
      </c>
      <c r="J779">
        <v>77.465557200000006</v>
      </c>
      <c r="K779">
        <v>80.776850100000004</v>
      </c>
      <c r="L779">
        <v>30.070159799999999</v>
      </c>
      <c r="M779">
        <v>43.854728700000003</v>
      </c>
      <c r="N779">
        <v>44.706952700000002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1039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1039</v>
      </c>
      <c r="C782" t="s">
        <v>1034</v>
      </c>
      <c r="D782">
        <v>0</v>
      </c>
      <c r="E782">
        <v>10482103</v>
      </c>
      <c r="F782">
        <v>463840</v>
      </c>
      <c r="G782">
        <v>102912</v>
      </c>
      <c r="H782">
        <v>359264</v>
      </c>
      <c r="I782">
        <v>0</v>
      </c>
      <c r="J782">
        <v>68.032191900000001</v>
      </c>
      <c r="K782">
        <v>71.018393599999996</v>
      </c>
      <c r="L782">
        <v>28.971665000000002</v>
      </c>
      <c r="M782">
        <v>42.466366299999997</v>
      </c>
      <c r="N782">
        <v>44.330679199999999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1039</v>
      </c>
      <c r="C783" t="s">
        <v>1034</v>
      </c>
      <c r="D783">
        <v>1</v>
      </c>
      <c r="E783">
        <v>11075623</v>
      </c>
      <c r="F783">
        <v>1633440</v>
      </c>
      <c r="G783">
        <v>345352</v>
      </c>
      <c r="H783">
        <v>1286424</v>
      </c>
      <c r="I783">
        <v>0</v>
      </c>
      <c r="J783">
        <v>74.053016499999998</v>
      </c>
      <c r="K783">
        <v>76.914632699999999</v>
      </c>
      <c r="L783">
        <v>30.7897173</v>
      </c>
      <c r="M783">
        <v>43.434107599999997</v>
      </c>
      <c r="N783">
        <v>45.283923799999997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1039</v>
      </c>
      <c r="C784" t="s">
        <v>1034</v>
      </c>
      <c r="D784">
        <v>2</v>
      </c>
      <c r="E784">
        <v>11498165</v>
      </c>
      <c r="F784">
        <v>5848496</v>
      </c>
      <c r="G784">
        <v>1355216</v>
      </c>
      <c r="H784">
        <v>4491616</v>
      </c>
      <c r="I784">
        <v>0</v>
      </c>
      <c r="J784">
        <v>78.334226000000001</v>
      </c>
      <c r="K784">
        <v>80.942864999999998</v>
      </c>
      <c r="L784">
        <v>32.886068999999999</v>
      </c>
      <c r="M784">
        <v>44.4760864</v>
      </c>
      <c r="N784">
        <v>46.241186599999999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1039</v>
      </c>
      <c r="C785" t="s">
        <v>1034</v>
      </c>
      <c r="D785">
        <v>3</v>
      </c>
      <c r="E785">
        <v>11980374</v>
      </c>
      <c r="F785">
        <v>17926000</v>
      </c>
      <c r="G785">
        <v>5217032</v>
      </c>
      <c r="H785">
        <v>12707384</v>
      </c>
      <c r="I785">
        <v>0</v>
      </c>
      <c r="J785">
        <v>79.953439399999993</v>
      </c>
      <c r="K785">
        <v>83.018344799999994</v>
      </c>
      <c r="L785">
        <v>34.920436299999999</v>
      </c>
      <c r="M785">
        <v>45.698978400000001</v>
      </c>
      <c r="N785">
        <v>47.285995499999999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1039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1039</v>
      </c>
      <c r="C788" t="s">
        <v>1034</v>
      </c>
      <c r="D788">
        <v>0</v>
      </c>
      <c r="E788">
        <v>2963587</v>
      </c>
      <c r="F788">
        <v>182616</v>
      </c>
      <c r="G788">
        <v>57360</v>
      </c>
      <c r="H788">
        <v>124472</v>
      </c>
      <c r="I788">
        <v>0</v>
      </c>
      <c r="J788">
        <v>60.201499699999999</v>
      </c>
      <c r="K788">
        <v>64.254783799999998</v>
      </c>
      <c r="L788">
        <v>28.187215500000001</v>
      </c>
      <c r="M788">
        <v>43.164291499999997</v>
      </c>
      <c r="N788">
        <v>46.655758599999999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1039</v>
      </c>
      <c r="C789" t="s">
        <v>1034</v>
      </c>
      <c r="D789">
        <v>1</v>
      </c>
      <c r="E789">
        <v>3105464</v>
      </c>
      <c r="F789">
        <v>577832</v>
      </c>
      <c r="G789">
        <v>184144</v>
      </c>
      <c r="H789">
        <v>392904</v>
      </c>
      <c r="I789">
        <v>0</v>
      </c>
      <c r="J789">
        <v>65.771084700000003</v>
      </c>
      <c r="K789">
        <v>70.603299800000002</v>
      </c>
      <c r="L789">
        <v>30.143104600000001</v>
      </c>
      <c r="M789">
        <v>44.291519999999998</v>
      </c>
      <c r="N789">
        <v>47.237123099999998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1039</v>
      </c>
      <c r="C790" t="s">
        <v>1034</v>
      </c>
      <c r="D790">
        <v>2</v>
      </c>
      <c r="E790">
        <v>4304695</v>
      </c>
      <c r="F790">
        <v>2199648</v>
      </c>
      <c r="G790">
        <v>745736</v>
      </c>
      <c r="H790">
        <v>1453128</v>
      </c>
      <c r="I790">
        <v>0</v>
      </c>
      <c r="J790">
        <v>69.856580500000007</v>
      </c>
      <c r="K790">
        <v>72.8184495</v>
      </c>
      <c r="L790">
        <v>32.493205000000003</v>
      </c>
      <c r="M790">
        <v>45.6620572</v>
      </c>
      <c r="N790">
        <v>48.196544299999999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1039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1039</v>
      </c>
      <c r="C794" t="s">
        <v>1034</v>
      </c>
      <c r="D794">
        <v>0</v>
      </c>
      <c r="E794">
        <v>11536201</v>
      </c>
      <c r="F794">
        <v>1215840</v>
      </c>
      <c r="G794">
        <v>382808</v>
      </c>
      <c r="H794">
        <v>831408</v>
      </c>
      <c r="I794">
        <v>0</v>
      </c>
      <c r="J794">
        <v>67.660789300000005</v>
      </c>
      <c r="K794">
        <v>71.061954600000007</v>
      </c>
      <c r="L794">
        <v>26.274219800000001</v>
      </c>
      <c r="M794">
        <v>39.718314599999999</v>
      </c>
      <c r="N794">
        <v>44.105291399999999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1039</v>
      </c>
      <c r="C795" t="s">
        <v>1034</v>
      </c>
      <c r="D795">
        <v>1</v>
      </c>
      <c r="E795">
        <v>12695768</v>
      </c>
      <c r="F795">
        <v>4515248</v>
      </c>
      <c r="G795">
        <v>1340320</v>
      </c>
      <c r="H795">
        <v>3173304</v>
      </c>
      <c r="I795">
        <v>0</v>
      </c>
      <c r="J795">
        <v>71.286233999999993</v>
      </c>
      <c r="K795">
        <v>75.979500999999999</v>
      </c>
      <c r="L795">
        <v>28.3686516</v>
      </c>
      <c r="M795">
        <v>41.289508699999999</v>
      </c>
      <c r="N795">
        <v>45.516131799999997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1039</v>
      </c>
      <c r="C796" t="s">
        <v>1034</v>
      </c>
      <c r="D796">
        <v>2</v>
      </c>
      <c r="E796">
        <v>14559808</v>
      </c>
      <c r="F796">
        <v>15384232</v>
      </c>
      <c r="G796">
        <v>5440928</v>
      </c>
      <c r="H796">
        <v>9941760</v>
      </c>
      <c r="I796">
        <v>0</v>
      </c>
      <c r="J796">
        <v>73.348554699999994</v>
      </c>
      <c r="K796">
        <v>78.352076499999995</v>
      </c>
      <c r="L796">
        <v>30.693555400000001</v>
      </c>
      <c r="M796">
        <v>43.288253400000002</v>
      </c>
      <c r="N796">
        <v>47.095767700000003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1039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1039</v>
      </c>
      <c r="C800" t="s">
        <v>1034</v>
      </c>
      <c r="D800">
        <v>0</v>
      </c>
      <c r="E800">
        <v>2927225</v>
      </c>
      <c r="F800">
        <v>266704</v>
      </c>
      <c r="G800">
        <v>46784</v>
      </c>
      <c r="H800">
        <v>219136</v>
      </c>
      <c r="I800">
        <v>0</v>
      </c>
      <c r="J800">
        <v>61.520561899999997</v>
      </c>
      <c r="K800">
        <v>65.029272800000001</v>
      </c>
      <c r="L800">
        <v>26.048649699999999</v>
      </c>
      <c r="M800">
        <v>39.060267799999998</v>
      </c>
      <c r="N800">
        <v>41.064883700000003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1039</v>
      </c>
      <c r="C801" t="s">
        <v>1034</v>
      </c>
      <c r="D801">
        <v>1</v>
      </c>
      <c r="E801">
        <v>3393181</v>
      </c>
      <c r="F801">
        <v>900504</v>
      </c>
      <c r="G801">
        <v>170488</v>
      </c>
      <c r="H801">
        <v>729232</v>
      </c>
      <c r="I801">
        <v>0</v>
      </c>
      <c r="J801">
        <v>66.8257124</v>
      </c>
      <c r="K801">
        <v>69.786220400000005</v>
      </c>
      <c r="L801">
        <v>28.3175922</v>
      </c>
      <c r="M801">
        <v>40.281699099999997</v>
      </c>
      <c r="N801">
        <v>41.864276799999999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1039</v>
      </c>
      <c r="C802" t="s">
        <v>1034</v>
      </c>
      <c r="D802">
        <v>2</v>
      </c>
      <c r="E802">
        <v>3770449</v>
      </c>
      <c r="F802">
        <v>2967528</v>
      </c>
      <c r="G802">
        <v>791768</v>
      </c>
      <c r="H802">
        <v>2174976</v>
      </c>
      <c r="I802">
        <v>0</v>
      </c>
      <c r="J802">
        <v>69.440650500000004</v>
      </c>
      <c r="K802">
        <v>72.322246100000001</v>
      </c>
      <c r="L802">
        <v>30.0337435</v>
      </c>
      <c r="M802">
        <v>41.453780299999998</v>
      </c>
      <c r="N802">
        <v>42.722261699999997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1039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1039</v>
      </c>
      <c r="C806" t="s">
        <v>1034</v>
      </c>
      <c r="D806">
        <v>0</v>
      </c>
      <c r="E806">
        <v>12688739</v>
      </c>
      <c r="F806">
        <v>1519680</v>
      </c>
      <c r="G806">
        <v>81944</v>
      </c>
      <c r="H806">
        <v>1435552</v>
      </c>
      <c r="I806">
        <v>0</v>
      </c>
      <c r="J806">
        <v>67.580679799999999</v>
      </c>
      <c r="K806">
        <v>73.013187099999996</v>
      </c>
      <c r="L806">
        <v>23.5097743</v>
      </c>
      <c r="M806">
        <v>37.414649799999999</v>
      </c>
      <c r="N806">
        <v>38.348139799999998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1039</v>
      </c>
      <c r="C807" t="s">
        <v>1034</v>
      </c>
      <c r="D807">
        <v>1</v>
      </c>
      <c r="E807">
        <v>12860160</v>
      </c>
      <c r="F807">
        <v>5404224</v>
      </c>
      <c r="G807">
        <v>255760</v>
      </c>
      <c r="H807">
        <v>5146280</v>
      </c>
      <c r="I807">
        <v>0</v>
      </c>
      <c r="J807">
        <v>73.007039700000007</v>
      </c>
      <c r="K807">
        <v>77.687377100000006</v>
      </c>
      <c r="L807">
        <v>25.125512100000002</v>
      </c>
      <c r="M807">
        <v>38.613780400000003</v>
      </c>
      <c r="N807">
        <v>39.767044900000002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1039</v>
      </c>
      <c r="C808" t="s">
        <v>1034</v>
      </c>
      <c r="D808">
        <v>2</v>
      </c>
      <c r="E808">
        <v>14351574</v>
      </c>
      <c r="F808">
        <v>16962448</v>
      </c>
      <c r="G808">
        <v>1131056</v>
      </c>
      <c r="H808">
        <v>15829208</v>
      </c>
      <c r="I808">
        <v>0</v>
      </c>
      <c r="J808">
        <v>78.432446799999994</v>
      </c>
      <c r="K808">
        <v>80.752092300000001</v>
      </c>
      <c r="L808">
        <v>26.532442499999998</v>
      </c>
      <c r="M808">
        <v>40.101162100000003</v>
      </c>
      <c r="N808">
        <v>41.467589099999998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1039</v>
      </c>
      <c r="C809" t="s">
        <v>1034</v>
      </c>
      <c r="D809">
        <v>3</v>
      </c>
      <c r="E809">
        <v>15194448</v>
      </c>
      <c r="F809">
        <v>39538720</v>
      </c>
      <c r="G809">
        <v>4820528</v>
      </c>
      <c r="H809">
        <v>34716168</v>
      </c>
      <c r="I809">
        <v>0</v>
      </c>
      <c r="J809">
        <v>81.001439000000005</v>
      </c>
      <c r="K809">
        <v>82.862738699999994</v>
      </c>
      <c r="L809">
        <v>27.467974699999999</v>
      </c>
      <c r="M809">
        <v>41.642563699999997</v>
      </c>
      <c r="N809">
        <v>43.1392034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1039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1039</v>
      </c>
      <c r="C812" t="s">
        <v>1034</v>
      </c>
      <c r="D812">
        <v>0</v>
      </c>
      <c r="E812">
        <v>2758010</v>
      </c>
      <c r="F812">
        <v>367016</v>
      </c>
      <c r="G812">
        <v>27984</v>
      </c>
      <c r="H812">
        <v>338368</v>
      </c>
      <c r="I812">
        <v>0</v>
      </c>
      <c r="J812">
        <v>61.951214399999998</v>
      </c>
      <c r="K812">
        <v>62.310441500000003</v>
      </c>
      <c r="L812">
        <v>28.241082299999999</v>
      </c>
      <c r="M812">
        <v>35.032060899999998</v>
      </c>
      <c r="N812">
        <v>34.303719899999997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1039</v>
      </c>
      <c r="C813" t="s">
        <v>1034</v>
      </c>
      <c r="D813">
        <v>1</v>
      </c>
      <c r="E813">
        <v>2585432</v>
      </c>
      <c r="F813">
        <v>852888</v>
      </c>
      <c r="G813">
        <v>86624</v>
      </c>
      <c r="H813">
        <v>765600</v>
      </c>
      <c r="I813">
        <v>0</v>
      </c>
      <c r="J813">
        <v>69.060725300000001</v>
      </c>
      <c r="K813">
        <v>70.044272399999997</v>
      </c>
      <c r="L813">
        <v>31.535787599999999</v>
      </c>
      <c r="M813">
        <v>38.116598099999997</v>
      </c>
      <c r="N813">
        <v>37.662373100000003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1039</v>
      </c>
      <c r="C814" t="s">
        <v>1034</v>
      </c>
      <c r="D814">
        <v>2</v>
      </c>
      <c r="E814">
        <v>2659085</v>
      </c>
      <c r="F814">
        <v>2024992</v>
      </c>
      <c r="G814">
        <v>281960</v>
      </c>
      <c r="H814">
        <v>1742368</v>
      </c>
      <c r="I814">
        <v>0</v>
      </c>
      <c r="J814">
        <v>72.868675400000001</v>
      </c>
      <c r="K814">
        <v>75.248630800000001</v>
      </c>
      <c r="L814">
        <v>34.511847299999999</v>
      </c>
      <c r="M814">
        <v>41.232048200000001</v>
      </c>
      <c r="N814">
        <v>40.748398799999997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1039</v>
      </c>
      <c r="C815" t="s">
        <v>1034</v>
      </c>
      <c r="D815">
        <v>3</v>
      </c>
      <c r="E815">
        <v>2930053</v>
      </c>
      <c r="F815">
        <v>4598528</v>
      </c>
      <c r="G815">
        <v>942760</v>
      </c>
      <c r="H815">
        <v>3655104</v>
      </c>
      <c r="I815">
        <v>0</v>
      </c>
      <c r="J815">
        <v>73.7931521</v>
      </c>
      <c r="K815">
        <v>76.696902199999997</v>
      </c>
      <c r="L815">
        <v>36.774010199999999</v>
      </c>
      <c r="M815">
        <v>44.001534100000001</v>
      </c>
      <c r="N815">
        <v>43.428922700000001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1039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1039</v>
      </c>
      <c r="C818" t="s">
        <v>1034</v>
      </c>
      <c r="D818">
        <v>0</v>
      </c>
      <c r="E818">
        <v>3230899</v>
      </c>
      <c r="F818">
        <v>105016</v>
      </c>
      <c r="G818">
        <v>26840</v>
      </c>
      <c r="H818">
        <v>77432</v>
      </c>
      <c r="I818">
        <v>0</v>
      </c>
      <c r="J818">
        <v>63.970507900000001</v>
      </c>
      <c r="K818">
        <v>64.396385100000003</v>
      </c>
      <c r="L818">
        <v>34.764341199999997</v>
      </c>
      <c r="M818">
        <v>47.5489028</v>
      </c>
      <c r="N818">
        <v>47.271468200000001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1039</v>
      </c>
      <c r="C819" t="s">
        <v>1034</v>
      </c>
      <c r="D819">
        <v>1</v>
      </c>
      <c r="E819">
        <v>3030944</v>
      </c>
      <c r="F819">
        <v>258856</v>
      </c>
      <c r="G819">
        <v>79864</v>
      </c>
      <c r="H819">
        <v>178248</v>
      </c>
      <c r="I819">
        <v>0</v>
      </c>
      <c r="J819">
        <v>69.989888800000003</v>
      </c>
      <c r="K819">
        <v>71.135042100000007</v>
      </c>
      <c r="L819">
        <v>38.221793099999999</v>
      </c>
      <c r="M819">
        <v>49.383747100000001</v>
      </c>
      <c r="N819">
        <v>49.592095100000002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1039</v>
      </c>
      <c r="C820" t="s">
        <v>1034</v>
      </c>
      <c r="D820">
        <v>2</v>
      </c>
      <c r="E820">
        <v>3110731</v>
      </c>
      <c r="F820">
        <v>657256</v>
      </c>
      <c r="G820">
        <v>263680</v>
      </c>
      <c r="H820">
        <v>392832</v>
      </c>
      <c r="I820">
        <v>0</v>
      </c>
      <c r="J820">
        <v>73.096271900000005</v>
      </c>
      <c r="K820">
        <v>75.3220204</v>
      </c>
      <c r="L820">
        <v>41.397977599999997</v>
      </c>
      <c r="M820">
        <v>51.137068300000003</v>
      </c>
      <c r="N820">
        <v>51.451369399999997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1039</v>
      </c>
      <c r="C821" t="s">
        <v>1034</v>
      </c>
      <c r="D821">
        <v>3</v>
      </c>
      <c r="E821">
        <v>3241773</v>
      </c>
      <c r="F821">
        <v>1670904</v>
      </c>
      <c r="G821">
        <v>878744</v>
      </c>
      <c r="H821">
        <v>791416</v>
      </c>
      <c r="I821">
        <v>0</v>
      </c>
      <c r="J821">
        <v>73.989896599999994</v>
      </c>
      <c r="K821">
        <v>76.767352799999998</v>
      </c>
      <c r="L821">
        <v>44.067083400000001</v>
      </c>
      <c r="M821">
        <v>52.596037600000002</v>
      </c>
      <c r="N821">
        <v>52.888587600000001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1039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1039</v>
      </c>
      <c r="C824" t="s">
        <v>1034</v>
      </c>
      <c r="D824">
        <v>0</v>
      </c>
      <c r="E824">
        <v>1574469</v>
      </c>
      <c r="F824">
        <v>138056</v>
      </c>
      <c r="G824">
        <v>24928</v>
      </c>
      <c r="H824">
        <v>112544</v>
      </c>
      <c r="I824">
        <v>0</v>
      </c>
      <c r="J824">
        <v>62.553283299999997</v>
      </c>
      <c r="K824">
        <v>63.156785900000003</v>
      </c>
      <c r="L824">
        <v>33.050106900000003</v>
      </c>
      <c r="M824">
        <v>40.509930400000002</v>
      </c>
      <c r="N824">
        <v>33.611184299999998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1039</v>
      </c>
      <c r="C825" t="s">
        <v>1034</v>
      </c>
      <c r="D825">
        <v>1</v>
      </c>
      <c r="E825">
        <v>2271762</v>
      </c>
      <c r="F825">
        <v>382208</v>
      </c>
      <c r="G825">
        <v>83056</v>
      </c>
      <c r="H825">
        <v>298488</v>
      </c>
      <c r="I825">
        <v>0</v>
      </c>
      <c r="J825">
        <v>68.995265700000004</v>
      </c>
      <c r="K825">
        <v>70.052807999999999</v>
      </c>
      <c r="L825">
        <v>36.430327200000001</v>
      </c>
      <c r="M825">
        <v>42.404850799999998</v>
      </c>
      <c r="N825">
        <v>37.676834999999997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1039</v>
      </c>
      <c r="C826" t="s">
        <v>1034</v>
      </c>
      <c r="D826">
        <v>2</v>
      </c>
      <c r="E826">
        <v>1851945</v>
      </c>
      <c r="F826">
        <v>906336</v>
      </c>
      <c r="G826">
        <v>277136</v>
      </c>
      <c r="H826">
        <v>628536</v>
      </c>
      <c r="I826">
        <v>0</v>
      </c>
      <c r="J826">
        <v>71.8925141</v>
      </c>
      <c r="K826">
        <v>74.966686499999994</v>
      </c>
      <c r="L826">
        <v>38.727888399999998</v>
      </c>
      <c r="M826">
        <v>43.905866799999998</v>
      </c>
      <c r="N826">
        <v>40.468226000000001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1039</v>
      </c>
      <c r="C827" t="s">
        <v>1034</v>
      </c>
      <c r="D827">
        <v>3</v>
      </c>
      <c r="E827">
        <v>2253858</v>
      </c>
      <c r="F827">
        <v>2429192</v>
      </c>
      <c r="G827">
        <v>918592</v>
      </c>
      <c r="H827">
        <v>1509936</v>
      </c>
      <c r="I827">
        <v>0</v>
      </c>
      <c r="J827">
        <v>73.097823000000005</v>
      </c>
      <c r="K827">
        <v>76.559704100000005</v>
      </c>
      <c r="L827">
        <v>41.3550817</v>
      </c>
      <c r="M827">
        <v>46.0918226</v>
      </c>
      <c r="N827">
        <v>43.351576299999998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1039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1039</v>
      </c>
      <c r="C830" t="s">
        <v>1034</v>
      </c>
      <c r="D830">
        <v>0</v>
      </c>
      <c r="E830">
        <v>3007270</v>
      </c>
      <c r="F830">
        <v>188392</v>
      </c>
      <c r="G830">
        <v>37584</v>
      </c>
      <c r="H830">
        <v>149984</v>
      </c>
      <c r="I830">
        <v>0</v>
      </c>
      <c r="J830">
        <v>63.204963900000003</v>
      </c>
      <c r="K830">
        <v>63.576480599999996</v>
      </c>
      <c r="L830">
        <v>30.7780247</v>
      </c>
      <c r="M830">
        <v>45.4485849</v>
      </c>
      <c r="N830">
        <v>46.043400900000002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1039</v>
      </c>
      <c r="C831" t="s">
        <v>1034</v>
      </c>
      <c r="D831">
        <v>1</v>
      </c>
      <c r="E831">
        <v>2859739</v>
      </c>
      <c r="F831">
        <v>466408</v>
      </c>
      <c r="G831">
        <v>116448</v>
      </c>
      <c r="H831">
        <v>349136</v>
      </c>
      <c r="I831">
        <v>0</v>
      </c>
      <c r="J831">
        <v>69.811497500000002</v>
      </c>
      <c r="K831">
        <v>70.903347800000006</v>
      </c>
      <c r="L831">
        <v>34.2211292</v>
      </c>
      <c r="M831">
        <v>46.976913000000003</v>
      </c>
      <c r="N831">
        <v>47.777142499999997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1039</v>
      </c>
      <c r="C832" t="s">
        <v>1034</v>
      </c>
      <c r="D832">
        <v>2</v>
      </c>
      <c r="E832">
        <v>3034912</v>
      </c>
      <c r="F832">
        <v>1188296</v>
      </c>
      <c r="G832">
        <v>376896</v>
      </c>
      <c r="H832">
        <v>810576</v>
      </c>
      <c r="I832">
        <v>0</v>
      </c>
      <c r="J832">
        <v>72.529009599999995</v>
      </c>
      <c r="K832">
        <v>75.440055299999997</v>
      </c>
      <c r="L832">
        <v>37.461927099999997</v>
      </c>
      <c r="M832">
        <v>48.801230699999998</v>
      </c>
      <c r="N832">
        <v>49.692536699999998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1039</v>
      </c>
      <c r="C833" t="s">
        <v>1034</v>
      </c>
      <c r="D833">
        <v>3</v>
      </c>
      <c r="E833">
        <v>3503125</v>
      </c>
      <c r="F833">
        <v>3026616</v>
      </c>
      <c r="G833">
        <v>1225792</v>
      </c>
      <c r="H833">
        <v>1800000</v>
      </c>
      <c r="I833">
        <v>0</v>
      </c>
      <c r="J833">
        <v>73.493193000000005</v>
      </c>
      <c r="K833">
        <v>76.741933399999994</v>
      </c>
      <c r="L833">
        <v>40.388772000000003</v>
      </c>
      <c r="M833">
        <v>50.670550300000002</v>
      </c>
      <c r="N833">
        <v>51.544593300000003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1039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1039</v>
      </c>
      <c r="C836" t="s">
        <v>1034</v>
      </c>
      <c r="D836">
        <v>0</v>
      </c>
      <c r="E836">
        <v>502000</v>
      </c>
      <c r="F836">
        <v>136872</v>
      </c>
      <c r="G836">
        <v>5552</v>
      </c>
      <c r="H836">
        <v>130856</v>
      </c>
      <c r="I836">
        <v>0</v>
      </c>
      <c r="J836">
        <v>46.070187799999999</v>
      </c>
      <c r="K836">
        <v>52.713215599999998</v>
      </c>
      <c r="L836">
        <v>18.6492726</v>
      </c>
      <c r="M836">
        <v>35.661831599999999</v>
      </c>
      <c r="N836">
        <v>35.493067099999998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1039</v>
      </c>
      <c r="C837" t="s">
        <v>1034</v>
      </c>
      <c r="D837">
        <v>1</v>
      </c>
      <c r="E837">
        <v>532998</v>
      </c>
      <c r="F837">
        <v>455712</v>
      </c>
      <c r="G837">
        <v>21280</v>
      </c>
      <c r="H837">
        <v>433968</v>
      </c>
      <c r="I837">
        <v>0</v>
      </c>
      <c r="J837">
        <v>51.536340099999997</v>
      </c>
      <c r="K837">
        <v>58.353620100000001</v>
      </c>
      <c r="L837">
        <v>19.7719342</v>
      </c>
      <c r="M837">
        <v>36.5429022</v>
      </c>
      <c r="N837">
        <v>36.299983400000002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1039</v>
      </c>
      <c r="C838" t="s">
        <v>1034</v>
      </c>
      <c r="D838">
        <v>2</v>
      </c>
      <c r="E838">
        <v>748322</v>
      </c>
      <c r="F838">
        <v>1494928</v>
      </c>
      <c r="G838">
        <v>101520</v>
      </c>
      <c r="H838">
        <v>1392944</v>
      </c>
      <c r="I838">
        <v>0</v>
      </c>
      <c r="J838">
        <v>58.046529100000001</v>
      </c>
      <c r="K838">
        <v>61.9193061</v>
      </c>
      <c r="L838">
        <v>20.825285999999998</v>
      </c>
      <c r="M838">
        <v>37.229344400000002</v>
      </c>
      <c r="N838">
        <v>36.992934499999997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1039</v>
      </c>
      <c r="C839" t="s">
        <v>1034</v>
      </c>
      <c r="D839">
        <v>3</v>
      </c>
      <c r="E839">
        <v>989794</v>
      </c>
      <c r="F839">
        <v>3628208</v>
      </c>
      <c r="G839">
        <v>446048</v>
      </c>
      <c r="H839">
        <v>3181696</v>
      </c>
      <c r="I839">
        <v>0</v>
      </c>
      <c r="J839">
        <v>59.622191800000003</v>
      </c>
      <c r="K839">
        <v>63.776589899999998</v>
      </c>
      <c r="L839">
        <v>21.556020499999999</v>
      </c>
      <c r="M839">
        <v>38.148183899999999</v>
      </c>
      <c r="N839">
        <v>37.917507100000002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1039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1039</v>
      </c>
      <c r="C842" t="s">
        <v>1034</v>
      </c>
      <c r="D842">
        <v>0</v>
      </c>
      <c r="E842">
        <v>586374</v>
      </c>
      <c r="F842">
        <v>28472</v>
      </c>
      <c r="G842">
        <v>5144</v>
      </c>
      <c r="H842">
        <v>22864</v>
      </c>
      <c r="I842">
        <v>0</v>
      </c>
      <c r="J842">
        <v>51.546671099999998</v>
      </c>
      <c r="K842">
        <v>53.888002200000003</v>
      </c>
      <c r="L842">
        <v>28.225167599999999</v>
      </c>
      <c r="M842">
        <v>40.141483899999997</v>
      </c>
      <c r="N842">
        <v>41.021787000000003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1039</v>
      </c>
      <c r="C843" t="s">
        <v>1034</v>
      </c>
      <c r="D843">
        <v>1</v>
      </c>
      <c r="E843">
        <v>577691</v>
      </c>
      <c r="F843">
        <v>79232</v>
      </c>
      <c r="G843">
        <v>16368</v>
      </c>
      <c r="H843">
        <v>62400</v>
      </c>
      <c r="I843">
        <v>0</v>
      </c>
      <c r="J843">
        <v>56.839413700000001</v>
      </c>
      <c r="K843">
        <v>59.153519600000003</v>
      </c>
      <c r="L843">
        <v>30.930051599999999</v>
      </c>
      <c r="M843">
        <v>41.486353700000002</v>
      </c>
      <c r="N843">
        <v>42.4633021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1039</v>
      </c>
      <c r="C844" t="s">
        <v>1034</v>
      </c>
      <c r="D844">
        <v>2</v>
      </c>
      <c r="E844">
        <v>700828</v>
      </c>
      <c r="F844">
        <v>254960</v>
      </c>
      <c r="G844">
        <v>69456</v>
      </c>
      <c r="H844">
        <v>185040</v>
      </c>
      <c r="I844">
        <v>0</v>
      </c>
      <c r="J844">
        <v>58.269922899999997</v>
      </c>
      <c r="K844">
        <v>61.257719299999998</v>
      </c>
      <c r="L844">
        <v>32.9085599</v>
      </c>
      <c r="M844">
        <v>43.825595100000001</v>
      </c>
      <c r="N844">
        <v>44.375182500000001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1039</v>
      </c>
      <c r="C845" t="s">
        <v>1034</v>
      </c>
      <c r="D845">
        <v>3</v>
      </c>
      <c r="E845">
        <v>906516</v>
      </c>
      <c r="F845">
        <v>771216</v>
      </c>
      <c r="G845">
        <v>297888</v>
      </c>
      <c r="H845">
        <v>472864</v>
      </c>
      <c r="I845">
        <v>0</v>
      </c>
      <c r="J845">
        <v>58.527166000000001</v>
      </c>
      <c r="K845">
        <v>61.445379699999997</v>
      </c>
      <c r="L845">
        <v>33.893015499999997</v>
      </c>
      <c r="M845">
        <v>45.291564200000003</v>
      </c>
      <c r="N845">
        <v>46.041190200000003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1039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1039</v>
      </c>
      <c r="C848" t="s">
        <v>1034</v>
      </c>
      <c r="D848">
        <v>0</v>
      </c>
      <c r="E848">
        <v>409679</v>
      </c>
      <c r="F848">
        <v>212856</v>
      </c>
      <c r="G848">
        <v>3192</v>
      </c>
      <c r="H848">
        <v>209192</v>
      </c>
      <c r="I848">
        <v>0</v>
      </c>
      <c r="J848">
        <v>50.357228999999997</v>
      </c>
      <c r="K848">
        <v>55.418549800000001</v>
      </c>
      <c r="L848">
        <v>15.7245857</v>
      </c>
      <c r="M848">
        <v>35.070901399999997</v>
      </c>
      <c r="N848">
        <v>32.112271200000002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1039</v>
      </c>
      <c r="C849" t="s">
        <v>1034</v>
      </c>
      <c r="D849">
        <v>1</v>
      </c>
      <c r="E849">
        <v>497555</v>
      </c>
      <c r="F849">
        <v>739312</v>
      </c>
      <c r="G849">
        <v>14080</v>
      </c>
      <c r="H849">
        <v>724760</v>
      </c>
      <c r="I849">
        <v>0</v>
      </c>
      <c r="J849">
        <v>55.099859100000003</v>
      </c>
      <c r="K849">
        <v>59.152903500000001</v>
      </c>
      <c r="L849">
        <v>16.394961200000001</v>
      </c>
      <c r="M849">
        <v>35.586485600000003</v>
      </c>
      <c r="N849">
        <v>32.837544700000002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1039</v>
      </c>
      <c r="C850" t="s">
        <v>1034</v>
      </c>
      <c r="D850">
        <v>2</v>
      </c>
      <c r="E850">
        <v>693201</v>
      </c>
      <c r="F850">
        <v>2003312</v>
      </c>
      <c r="G850">
        <v>72264</v>
      </c>
      <c r="H850">
        <v>1930576</v>
      </c>
      <c r="I850">
        <v>0</v>
      </c>
      <c r="J850">
        <v>58.075631100000003</v>
      </c>
      <c r="K850">
        <v>61.283169200000003</v>
      </c>
      <c r="L850">
        <v>16.911838299999999</v>
      </c>
      <c r="M850">
        <v>36.405222799999997</v>
      </c>
      <c r="N850">
        <v>33.8066508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1039</v>
      </c>
      <c r="C851" t="s">
        <v>1034</v>
      </c>
      <c r="D851">
        <v>3</v>
      </c>
      <c r="E851">
        <v>895481</v>
      </c>
      <c r="F851">
        <v>4344056</v>
      </c>
      <c r="G851">
        <v>329296</v>
      </c>
      <c r="H851">
        <v>4014288</v>
      </c>
      <c r="I851">
        <v>0</v>
      </c>
      <c r="J851">
        <v>60.468224999999997</v>
      </c>
      <c r="K851">
        <v>64.084509499999996</v>
      </c>
      <c r="L851">
        <v>17.6079975</v>
      </c>
      <c r="M851">
        <v>37.608032700000003</v>
      </c>
      <c r="N851">
        <v>35.120506499999998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1039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1039</v>
      </c>
      <c r="C854" t="s">
        <v>1034</v>
      </c>
      <c r="D854">
        <v>0</v>
      </c>
      <c r="E854">
        <v>479206</v>
      </c>
      <c r="F854">
        <v>152736</v>
      </c>
      <c r="G854">
        <v>10088</v>
      </c>
      <c r="H854">
        <v>142184</v>
      </c>
      <c r="I854">
        <v>0</v>
      </c>
      <c r="J854">
        <v>52.196788900000001</v>
      </c>
      <c r="K854">
        <v>56.682779699999998</v>
      </c>
      <c r="L854">
        <v>19.2699532</v>
      </c>
      <c r="M854">
        <v>31.0747447</v>
      </c>
      <c r="N854">
        <v>33.518898900000003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1039</v>
      </c>
      <c r="C855" t="s">
        <v>1034</v>
      </c>
      <c r="D855">
        <v>1</v>
      </c>
      <c r="E855">
        <v>584221</v>
      </c>
      <c r="F855">
        <v>555984</v>
      </c>
      <c r="G855">
        <v>40632</v>
      </c>
      <c r="H855">
        <v>514888</v>
      </c>
      <c r="I855">
        <v>0</v>
      </c>
      <c r="J855">
        <v>58.261846300000002</v>
      </c>
      <c r="K855">
        <v>61.798276600000001</v>
      </c>
      <c r="L855">
        <v>21.624494800000001</v>
      </c>
      <c r="M855">
        <v>33.135749799999999</v>
      </c>
      <c r="N855">
        <v>34.945938499999997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1039</v>
      </c>
      <c r="C856" t="s">
        <v>1034</v>
      </c>
      <c r="D856">
        <v>2</v>
      </c>
      <c r="E856">
        <v>960151</v>
      </c>
      <c r="F856">
        <v>1951448</v>
      </c>
      <c r="G856">
        <v>201696</v>
      </c>
      <c r="H856">
        <v>1749288</v>
      </c>
      <c r="I856">
        <v>0</v>
      </c>
      <c r="J856">
        <v>62.916471399999999</v>
      </c>
      <c r="K856">
        <v>65.801755400000005</v>
      </c>
      <c r="L856">
        <v>24.286937399999999</v>
      </c>
      <c r="M856">
        <v>35.748130699999997</v>
      </c>
      <c r="N856">
        <v>37.385680499999999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1039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1039</v>
      </c>
      <c r="C860" t="s">
        <v>1034</v>
      </c>
      <c r="D860">
        <v>0</v>
      </c>
      <c r="E860">
        <v>20103797</v>
      </c>
      <c r="F860">
        <v>3916824</v>
      </c>
      <c r="G860">
        <v>156144</v>
      </c>
      <c r="H860">
        <v>3758128</v>
      </c>
      <c r="I860">
        <v>0</v>
      </c>
      <c r="J860">
        <v>64.925865900000005</v>
      </c>
      <c r="K860">
        <v>67.087963400000007</v>
      </c>
      <c r="L860">
        <v>22.0120304</v>
      </c>
      <c r="M860">
        <v>35.414503799999999</v>
      </c>
      <c r="N860">
        <v>38.434853199999999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1039</v>
      </c>
      <c r="C861" t="s">
        <v>1034</v>
      </c>
      <c r="D861">
        <v>1</v>
      </c>
      <c r="E861">
        <v>17532956</v>
      </c>
      <c r="F861">
        <v>8475656</v>
      </c>
      <c r="G861">
        <v>498344</v>
      </c>
      <c r="H861">
        <v>7975000</v>
      </c>
      <c r="I861">
        <v>0</v>
      </c>
      <c r="J861">
        <v>71.361110100000005</v>
      </c>
      <c r="K861">
        <v>73.949040100000005</v>
      </c>
      <c r="L861">
        <v>24.554171799999999</v>
      </c>
      <c r="M861">
        <v>37.515614399999997</v>
      </c>
      <c r="N861">
        <v>40.280416799999998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1039</v>
      </c>
      <c r="C862" t="s">
        <v>1034</v>
      </c>
      <c r="D862">
        <v>2</v>
      </c>
      <c r="E862">
        <v>16641487</v>
      </c>
      <c r="F862">
        <v>18546944</v>
      </c>
      <c r="G862">
        <v>1682368</v>
      </c>
      <c r="H862">
        <v>16862344</v>
      </c>
      <c r="I862">
        <v>0</v>
      </c>
      <c r="J862">
        <v>77.161113599999993</v>
      </c>
      <c r="K862">
        <v>79.303161900000006</v>
      </c>
      <c r="L862">
        <v>26.931345199999999</v>
      </c>
      <c r="M862">
        <v>40.232241000000002</v>
      </c>
      <c r="N862">
        <v>42.6244899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1039</v>
      </c>
      <c r="C863" t="s">
        <v>1034</v>
      </c>
      <c r="D863">
        <v>3</v>
      </c>
      <c r="E863">
        <v>17602106</v>
      </c>
      <c r="F863">
        <v>37072896</v>
      </c>
      <c r="G863">
        <v>5521376</v>
      </c>
      <c r="H863">
        <v>31549208</v>
      </c>
      <c r="I863">
        <v>0</v>
      </c>
      <c r="J863">
        <v>80.546323900000004</v>
      </c>
      <c r="K863">
        <v>84.281968800000001</v>
      </c>
      <c r="L863">
        <v>28.559000000000001</v>
      </c>
      <c r="M863">
        <v>42.568083600000001</v>
      </c>
      <c r="N863">
        <v>44.645530899999997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1039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1039</v>
      </c>
      <c r="C866" t="s">
        <v>1034</v>
      </c>
      <c r="D866">
        <v>0</v>
      </c>
      <c r="E866">
        <v>18749745</v>
      </c>
      <c r="F866">
        <v>3925504</v>
      </c>
      <c r="G866">
        <v>202776</v>
      </c>
      <c r="H866">
        <v>3719936</v>
      </c>
      <c r="I866">
        <v>0</v>
      </c>
      <c r="J866">
        <v>65.336080699999997</v>
      </c>
      <c r="K866">
        <v>66.964672899999997</v>
      </c>
      <c r="L866">
        <v>22.325229100000001</v>
      </c>
      <c r="M866">
        <v>34.768139499999997</v>
      </c>
      <c r="N866">
        <v>36.233914800000001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1039</v>
      </c>
      <c r="C867" t="s">
        <v>1034</v>
      </c>
      <c r="D867">
        <v>1</v>
      </c>
      <c r="E867">
        <v>17972512</v>
      </c>
      <c r="F867">
        <v>9276160</v>
      </c>
      <c r="G867">
        <v>628720</v>
      </c>
      <c r="H867">
        <v>8644648</v>
      </c>
      <c r="I867">
        <v>0</v>
      </c>
      <c r="J867">
        <v>71.507615599999994</v>
      </c>
      <c r="K867">
        <v>74.038822100000004</v>
      </c>
      <c r="L867">
        <v>24.722241400000001</v>
      </c>
      <c r="M867">
        <v>37.092237699999998</v>
      </c>
      <c r="N867">
        <v>38.541046700000003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1039</v>
      </c>
      <c r="C868" t="s">
        <v>1034</v>
      </c>
      <c r="D868">
        <v>2</v>
      </c>
      <c r="E868">
        <v>18658018</v>
      </c>
      <c r="F868">
        <v>21329840</v>
      </c>
      <c r="G868">
        <v>2199168</v>
      </c>
      <c r="H868">
        <v>19127880</v>
      </c>
      <c r="I868">
        <v>0</v>
      </c>
      <c r="J868">
        <v>76.711945900000003</v>
      </c>
      <c r="K868">
        <v>79.501562800000002</v>
      </c>
      <c r="L868">
        <v>27.027702600000001</v>
      </c>
      <c r="M868">
        <v>39.814194999999998</v>
      </c>
      <c r="N868">
        <v>41.220239800000002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1039</v>
      </c>
      <c r="C869" t="s">
        <v>1034</v>
      </c>
      <c r="D869">
        <v>3</v>
      </c>
      <c r="E869">
        <v>23205468</v>
      </c>
      <c r="F869">
        <v>48032496</v>
      </c>
      <c r="G869">
        <v>7401128</v>
      </c>
      <c r="H869">
        <v>40628576</v>
      </c>
      <c r="I869">
        <v>0</v>
      </c>
      <c r="J869">
        <v>80.135772700000004</v>
      </c>
      <c r="K869">
        <v>84.514688500000005</v>
      </c>
      <c r="L869">
        <v>28.8223536</v>
      </c>
      <c r="M869">
        <v>42.2158406</v>
      </c>
      <c r="N869">
        <v>43.528897000000001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1039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1039</v>
      </c>
      <c r="C872" t="s">
        <v>1034</v>
      </c>
      <c r="D872">
        <v>0</v>
      </c>
      <c r="E872">
        <v>180502</v>
      </c>
      <c r="F872">
        <v>50136</v>
      </c>
      <c r="G872">
        <v>1752</v>
      </c>
      <c r="H872">
        <v>47920</v>
      </c>
      <c r="I872">
        <v>0</v>
      </c>
      <c r="J872">
        <v>46.952732900000001</v>
      </c>
      <c r="K872">
        <v>50.1928348</v>
      </c>
      <c r="L872">
        <v>20.656767899999998</v>
      </c>
      <c r="M872">
        <v>29.5377191</v>
      </c>
      <c r="N872">
        <v>32.1020726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1039</v>
      </c>
      <c r="C873" t="s">
        <v>1034</v>
      </c>
      <c r="D873">
        <v>1</v>
      </c>
      <c r="E873">
        <v>188050</v>
      </c>
      <c r="F873">
        <v>151200</v>
      </c>
      <c r="G873">
        <v>6272</v>
      </c>
      <c r="H873">
        <v>144464</v>
      </c>
      <c r="I873">
        <v>0</v>
      </c>
      <c r="J873">
        <v>55.3890916</v>
      </c>
      <c r="K873">
        <v>57.8094094</v>
      </c>
      <c r="L873">
        <v>23.536251100000001</v>
      </c>
      <c r="M873">
        <v>32.516852</v>
      </c>
      <c r="N873">
        <v>34.263508700000003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1039</v>
      </c>
      <c r="C874" t="s">
        <v>1034</v>
      </c>
      <c r="D874">
        <v>2</v>
      </c>
      <c r="E874">
        <v>221578</v>
      </c>
      <c r="F874">
        <v>420496</v>
      </c>
      <c r="G874">
        <v>25304</v>
      </c>
      <c r="H874">
        <v>394728</v>
      </c>
      <c r="I874">
        <v>0</v>
      </c>
      <c r="J874">
        <v>60.194295099999998</v>
      </c>
      <c r="K874">
        <v>62.679119100000001</v>
      </c>
      <c r="L874">
        <v>25.7198703</v>
      </c>
      <c r="M874">
        <v>35.088448900000003</v>
      </c>
      <c r="N874">
        <v>36.517071299999998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1039</v>
      </c>
      <c r="C875" t="s">
        <v>1034</v>
      </c>
      <c r="D875">
        <v>3</v>
      </c>
      <c r="E875">
        <v>279290</v>
      </c>
      <c r="F875">
        <v>1008936</v>
      </c>
      <c r="G875">
        <v>103896</v>
      </c>
      <c r="H875">
        <v>904576</v>
      </c>
      <c r="I875">
        <v>0</v>
      </c>
      <c r="J875">
        <v>61.732668099999998</v>
      </c>
      <c r="K875">
        <v>64.405444000000003</v>
      </c>
      <c r="L875">
        <v>27.225823999999999</v>
      </c>
      <c r="M875">
        <v>37.186356199999999</v>
      </c>
      <c r="N875">
        <v>38.664604099999998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1039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1039</v>
      </c>
      <c r="C878" t="s">
        <v>1034</v>
      </c>
      <c r="D878">
        <v>0</v>
      </c>
      <c r="E878">
        <v>17413699</v>
      </c>
      <c r="F878">
        <v>1929320</v>
      </c>
      <c r="G878">
        <v>266704</v>
      </c>
      <c r="H878">
        <v>1660152</v>
      </c>
      <c r="I878">
        <v>0</v>
      </c>
      <c r="J878">
        <v>67.247053699999995</v>
      </c>
      <c r="K878">
        <v>70.906901700000006</v>
      </c>
      <c r="L878">
        <v>27.1325593</v>
      </c>
      <c r="M878">
        <v>39.0182176</v>
      </c>
      <c r="N878">
        <v>37.436148099999997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1039</v>
      </c>
      <c r="C879" t="s">
        <v>1034</v>
      </c>
      <c r="D879">
        <v>1</v>
      </c>
      <c r="E879">
        <v>15043054</v>
      </c>
      <c r="F879">
        <v>4490144</v>
      </c>
      <c r="G879">
        <v>775272</v>
      </c>
      <c r="H879">
        <v>3712408</v>
      </c>
      <c r="I879">
        <v>0</v>
      </c>
      <c r="J879">
        <v>72.218742899999995</v>
      </c>
      <c r="K879">
        <v>76.5990793</v>
      </c>
      <c r="L879">
        <v>29.675697100000001</v>
      </c>
      <c r="M879">
        <v>41.787510300000001</v>
      </c>
      <c r="N879">
        <v>39.984704399999998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1039</v>
      </c>
      <c r="C880" t="s">
        <v>1034</v>
      </c>
      <c r="D880">
        <v>2</v>
      </c>
      <c r="E880">
        <v>16974088</v>
      </c>
      <c r="F880">
        <v>12487840</v>
      </c>
      <c r="G880">
        <v>3139784</v>
      </c>
      <c r="H880">
        <v>9345512</v>
      </c>
      <c r="I880">
        <v>0</v>
      </c>
      <c r="J880">
        <v>76.594478499999994</v>
      </c>
      <c r="K880">
        <v>80.964476000000005</v>
      </c>
      <c r="L880">
        <v>32.184052100000002</v>
      </c>
      <c r="M880">
        <v>44.766317200000003</v>
      </c>
      <c r="N880">
        <v>42.9199068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1039</v>
      </c>
      <c r="C881" t="s">
        <v>1034</v>
      </c>
      <c r="D881">
        <v>3</v>
      </c>
      <c r="E881">
        <v>20460326</v>
      </c>
      <c r="F881">
        <v>32857984</v>
      </c>
      <c r="G881">
        <v>11471008</v>
      </c>
      <c r="H881">
        <v>21384512</v>
      </c>
      <c r="I881">
        <v>0</v>
      </c>
      <c r="J881">
        <v>79.276860299999996</v>
      </c>
      <c r="K881">
        <v>84.051683600000004</v>
      </c>
      <c r="L881">
        <v>34.306908499999999</v>
      </c>
      <c r="M881">
        <v>47.363387799999998</v>
      </c>
      <c r="N881">
        <v>45.6515567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1039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1039</v>
      </c>
      <c r="C884" t="s">
        <v>1034</v>
      </c>
      <c r="D884">
        <v>0</v>
      </c>
      <c r="E884">
        <v>1615993</v>
      </c>
      <c r="F884">
        <v>459488</v>
      </c>
      <c r="G884">
        <v>75200</v>
      </c>
      <c r="H884">
        <v>383744</v>
      </c>
      <c r="I884">
        <v>0</v>
      </c>
      <c r="J884">
        <v>60.264397799999998</v>
      </c>
      <c r="K884">
        <v>61.162666999999999</v>
      </c>
      <c r="L884">
        <v>25.040660800000001</v>
      </c>
      <c r="M884">
        <v>36.147135300000002</v>
      </c>
      <c r="N884">
        <v>35.053662000000003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1039</v>
      </c>
      <c r="C885" t="s">
        <v>1034</v>
      </c>
      <c r="D885">
        <v>1</v>
      </c>
      <c r="E885">
        <v>1646961</v>
      </c>
      <c r="F885">
        <v>1221416</v>
      </c>
      <c r="G885">
        <v>292464</v>
      </c>
      <c r="H885">
        <v>928408</v>
      </c>
      <c r="I885">
        <v>0</v>
      </c>
      <c r="J885">
        <v>65.1920231</v>
      </c>
      <c r="K885">
        <v>68.421084500000006</v>
      </c>
      <c r="L885">
        <v>27.5533769</v>
      </c>
      <c r="M885">
        <v>38.860568299999997</v>
      </c>
      <c r="N885">
        <v>37.696316699999997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1039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1039</v>
      </c>
      <c r="C890" t="s">
        <v>1034</v>
      </c>
      <c r="D890">
        <v>0</v>
      </c>
      <c r="E890">
        <v>502997</v>
      </c>
      <c r="F890">
        <v>137480</v>
      </c>
      <c r="G890">
        <v>5560</v>
      </c>
      <c r="H890">
        <v>131440</v>
      </c>
      <c r="I890">
        <v>0</v>
      </c>
      <c r="J890">
        <v>46.175350600000002</v>
      </c>
      <c r="K890">
        <v>52.802708899999999</v>
      </c>
      <c r="L890">
        <v>18.6367358</v>
      </c>
      <c r="M890">
        <v>35.657435</v>
      </c>
      <c r="N890">
        <v>35.4534576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1039</v>
      </c>
      <c r="C891" t="s">
        <v>1034</v>
      </c>
      <c r="D891">
        <v>1</v>
      </c>
      <c r="E891">
        <v>533210</v>
      </c>
      <c r="F891">
        <v>458136</v>
      </c>
      <c r="G891">
        <v>21320</v>
      </c>
      <c r="H891">
        <v>436336</v>
      </c>
      <c r="I891">
        <v>0</v>
      </c>
      <c r="J891">
        <v>51.570795199999999</v>
      </c>
      <c r="K891">
        <v>58.444485299999997</v>
      </c>
      <c r="L891">
        <v>19.795380300000001</v>
      </c>
      <c r="M891">
        <v>36.515972900000001</v>
      </c>
      <c r="N891">
        <v>36.264542400000003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1039</v>
      </c>
      <c r="C892" t="s">
        <v>1034</v>
      </c>
      <c r="D892">
        <v>2</v>
      </c>
      <c r="E892">
        <v>748920</v>
      </c>
      <c r="F892">
        <v>1498536</v>
      </c>
      <c r="G892">
        <v>101760</v>
      </c>
      <c r="H892">
        <v>1396296</v>
      </c>
      <c r="I892">
        <v>0</v>
      </c>
      <c r="J892">
        <v>58.0573525</v>
      </c>
      <c r="K892">
        <v>61.929893900000003</v>
      </c>
      <c r="L892">
        <v>20.779879099999999</v>
      </c>
      <c r="M892">
        <v>37.182440100000001</v>
      </c>
      <c r="N892">
        <v>36.9551874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1039</v>
      </c>
      <c r="C893" t="s">
        <v>1034</v>
      </c>
      <c r="D893">
        <v>3</v>
      </c>
      <c r="E893">
        <v>990178</v>
      </c>
      <c r="F893">
        <v>3642904</v>
      </c>
      <c r="G893">
        <v>445984</v>
      </c>
      <c r="H893">
        <v>3196440</v>
      </c>
      <c r="I893">
        <v>0</v>
      </c>
      <c r="J893">
        <v>59.6374773</v>
      </c>
      <c r="K893">
        <v>63.799919299999999</v>
      </c>
      <c r="L893">
        <v>21.521552100000001</v>
      </c>
      <c r="M893">
        <v>38.105282199999998</v>
      </c>
      <c r="N893">
        <v>37.858203699999997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1039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1039</v>
      </c>
      <c r="C896" t="s">
        <v>1034</v>
      </c>
      <c r="D896">
        <v>0</v>
      </c>
      <c r="E896">
        <v>587470</v>
      </c>
      <c r="F896">
        <v>28416</v>
      </c>
      <c r="G896">
        <v>5144</v>
      </c>
      <c r="H896">
        <v>22792</v>
      </c>
      <c r="I896">
        <v>0</v>
      </c>
      <c r="J896">
        <v>51.559840899999998</v>
      </c>
      <c r="K896">
        <v>53.870537599999999</v>
      </c>
      <c r="L896">
        <v>28.324244700000001</v>
      </c>
      <c r="M896">
        <v>40.092090900000002</v>
      </c>
      <c r="N896">
        <v>41.075045000000003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1039</v>
      </c>
      <c r="C897" t="s">
        <v>1034</v>
      </c>
      <c r="D897">
        <v>1</v>
      </c>
      <c r="E897">
        <v>579099</v>
      </c>
      <c r="F897">
        <v>79960</v>
      </c>
      <c r="G897">
        <v>16360</v>
      </c>
      <c r="H897">
        <v>63120</v>
      </c>
      <c r="I897">
        <v>0</v>
      </c>
      <c r="J897">
        <v>56.909023699999999</v>
      </c>
      <c r="K897">
        <v>59.142528499999997</v>
      </c>
      <c r="L897">
        <v>31.0464208</v>
      </c>
      <c r="M897">
        <v>41.498446800000004</v>
      </c>
      <c r="N897">
        <v>42.446362299999997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1039</v>
      </c>
      <c r="C898" t="s">
        <v>1034</v>
      </c>
      <c r="D898">
        <v>2</v>
      </c>
      <c r="E898">
        <v>701346</v>
      </c>
      <c r="F898">
        <v>255424</v>
      </c>
      <c r="G898">
        <v>69512</v>
      </c>
      <c r="H898">
        <v>185432</v>
      </c>
      <c r="I898">
        <v>0</v>
      </c>
      <c r="J898">
        <v>58.282253799999999</v>
      </c>
      <c r="K898">
        <v>61.267094100000001</v>
      </c>
      <c r="L898">
        <v>32.921902799999998</v>
      </c>
      <c r="M898">
        <v>43.809116799999998</v>
      </c>
      <c r="N898">
        <v>44.356135600000002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1039</v>
      </c>
      <c r="C899" t="s">
        <v>1034</v>
      </c>
      <c r="D899">
        <v>3</v>
      </c>
      <c r="E899">
        <v>907354</v>
      </c>
      <c r="F899">
        <v>773024</v>
      </c>
      <c r="G899">
        <v>298184</v>
      </c>
      <c r="H899">
        <v>474360</v>
      </c>
      <c r="I899">
        <v>0</v>
      </c>
      <c r="J899">
        <v>58.552582299999997</v>
      </c>
      <c r="K899">
        <v>61.472007499999997</v>
      </c>
      <c r="L899">
        <v>33.912701400000003</v>
      </c>
      <c r="M899">
        <v>45.301363600000002</v>
      </c>
      <c r="N899">
        <v>46.0348063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1039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1039</v>
      </c>
      <c r="C902" t="s">
        <v>1034</v>
      </c>
      <c r="D902">
        <v>0</v>
      </c>
      <c r="E902">
        <v>1173039</v>
      </c>
      <c r="F902">
        <v>309640</v>
      </c>
      <c r="G902">
        <v>33448</v>
      </c>
      <c r="H902">
        <v>275632</v>
      </c>
      <c r="I902">
        <v>0</v>
      </c>
      <c r="J902">
        <v>58.678854800000003</v>
      </c>
      <c r="K902">
        <v>61.502268899999997</v>
      </c>
      <c r="L902">
        <v>22.755656999999999</v>
      </c>
      <c r="M902">
        <v>38.078338100000003</v>
      </c>
      <c r="N902">
        <v>37.100834999999996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1039</v>
      </c>
      <c r="C903" t="s">
        <v>1034</v>
      </c>
      <c r="D903">
        <v>1</v>
      </c>
      <c r="E903">
        <v>1275864</v>
      </c>
      <c r="F903">
        <v>852192</v>
      </c>
      <c r="G903">
        <v>131128</v>
      </c>
      <c r="H903">
        <v>720504</v>
      </c>
      <c r="I903">
        <v>0</v>
      </c>
      <c r="J903">
        <v>64.116185400000006</v>
      </c>
      <c r="K903">
        <v>67.757212499999994</v>
      </c>
      <c r="L903">
        <v>26.0882112</v>
      </c>
      <c r="M903">
        <v>39.7447497</v>
      </c>
      <c r="N903">
        <v>38.427130200000001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1039</v>
      </c>
      <c r="C904" t="s">
        <v>1034</v>
      </c>
      <c r="D904">
        <v>2</v>
      </c>
      <c r="E904">
        <v>1611808</v>
      </c>
      <c r="F904">
        <v>2340064</v>
      </c>
      <c r="G904">
        <v>563656</v>
      </c>
      <c r="H904">
        <v>1775848</v>
      </c>
      <c r="I904">
        <v>0</v>
      </c>
      <c r="J904">
        <v>68.331003999999993</v>
      </c>
      <c r="K904">
        <v>71.807965600000003</v>
      </c>
      <c r="L904">
        <v>29.237416400000001</v>
      </c>
      <c r="M904">
        <v>42.131515999999998</v>
      </c>
      <c r="N904">
        <v>40.254207600000001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1039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1039</v>
      </c>
      <c r="C908" t="s">
        <v>1034</v>
      </c>
      <c r="D908">
        <v>0</v>
      </c>
      <c r="E908">
        <v>7564171</v>
      </c>
      <c r="F908">
        <v>826776</v>
      </c>
      <c r="G908">
        <v>83072</v>
      </c>
      <c r="H908">
        <v>742584</v>
      </c>
      <c r="I908">
        <v>0</v>
      </c>
      <c r="J908">
        <v>63.885455</v>
      </c>
      <c r="K908">
        <v>70.563334299999994</v>
      </c>
      <c r="L908">
        <v>23.802108100000002</v>
      </c>
      <c r="M908">
        <v>39.028995899999998</v>
      </c>
      <c r="N908">
        <v>40.371978300000002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1039</v>
      </c>
      <c r="C909" t="s">
        <v>1034</v>
      </c>
      <c r="D909">
        <v>1</v>
      </c>
      <c r="E909">
        <v>7173648</v>
      </c>
      <c r="F909">
        <v>2532336</v>
      </c>
      <c r="G909">
        <v>301064</v>
      </c>
      <c r="H909">
        <v>2230152</v>
      </c>
      <c r="I909">
        <v>0</v>
      </c>
      <c r="J909">
        <v>69.570697300000006</v>
      </c>
      <c r="K909">
        <v>75.933896799999999</v>
      </c>
      <c r="L909">
        <v>26.1536884</v>
      </c>
      <c r="M909">
        <v>40.584500800000001</v>
      </c>
      <c r="N909">
        <v>41.771036100000003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1039</v>
      </c>
      <c r="C910" t="s">
        <v>1034</v>
      </c>
      <c r="D910">
        <v>2</v>
      </c>
      <c r="E910">
        <v>6950432</v>
      </c>
      <c r="F910">
        <v>7499712</v>
      </c>
      <c r="G910">
        <v>1358568</v>
      </c>
      <c r="H910">
        <v>6140024</v>
      </c>
      <c r="I910">
        <v>0</v>
      </c>
      <c r="J910">
        <v>75.388840000000002</v>
      </c>
      <c r="K910">
        <v>78.850034800000003</v>
      </c>
      <c r="L910">
        <v>28.5549629</v>
      </c>
      <c r="M910">
        <v>42.256046499999997</v>
      </c>
      <c r="N910">
        <v>43.190521699999998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1039</v>
      </c>
      <c r="C911" t="s">
        <v>1034</v>
      </c>
      <c r="D911">
        <v>3</v>
      </c>
      <c r="E911">
        <v>8050302</v>
      </c>
      <c r="F911">
        <v>19733552</v>
      </c>
      <c r="G911">
        <v>5649416</v>
      </c>
      <c r="H911">
        <v>14083016</v>
      </c>
      <c r="I911">
        <v>0</v>
      </c>
      <c r="J911">
        <v>77.587080499999999</v>
      </c>
      <c r="K911">
        <v>80.922107100000005</v>
      </c>
      <c r="L911">
        <v>30.0829229</v>
      </c>
      <c r="M911">
        <v>43.832329600000001</v>
      </c>
      <c r="N911">
        <v>44.667456999999999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1039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1039</v>
      </c>
      <c r="C914" t="s">
        <v>1034</v>
      </c>
      <c r="D914">
        <v>0</v>
      </c>
      <c r="E914">
        <v>10480723</v>
      </c>
      <c r="F914">
        <v>465536</v>
      </c>
      <c r="G914">
        <v>102792</v>
      </c>
      <c r="H914">
        <v>361064</v>
      </c>
      <c r="I914">
        <v>0</v>
      </c>
      <c r="J914">
        <v>68.088440500000004</v>
      </c>
      <c r="K914">
        <v>70.939423599999998</v>
      </c>
      <c r="L914">
        <v>28.966238400000002</v>
      </c>
      <c r="M914">
        <v>42.446032700000004</v>
      </c>
      <c r="N914">
        <v>44.321969899999999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1039</v>
      </c>
      <c r="C915" t="s">
        <v>1034</v>
      </c>
      <c r="D915">
        <v>1</v>
      </c>
      <c r="E915">
        <v>11073192</v>
      </c>
      <c r="F915">
        <v>1642248</v>
      </c>
      <c r="G915">
        <v>345936</v>
      </c>
      <c r="H915">
        <v>1294632</v>
      </c>
      <c r="I915">
        <v>0</v>
      </c>
      <c r="J915">
        <v>74.167904199999995</v>
      </c>
      <c r="K915">
        <v>76.876211600000005</v>
      </c>
      <c r="L915">
        <v>30.760033</v>
      </c>
      <c r="M915">
        <v>43.418811900000001</v>
      </c>
      <c r="N915">
        <v>45.271216600000002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1039</v>
      </c>
      <c r="C916" t="s">
        <v>1034</v>
      </c>
      <c r="D916">
        <v>2</v>
      </c>
      <c r="E916">
        <v>11500698</v>
      </c>
      <c r="F916">
        <v>5898128</v>
      </c>
      <c r="G916">
        <v>1357088</v>
      </c>
      <c r="H916">
        <v>4539360</v>
      </c>
      <c r="I916">
        <v>0</v>
      </c>
      <c r="J916">
        <v>78.595939200000004</v>
      </c>
      <c r="K916">
        <v>81.030003899999997</v>
      </c>
      <c r="L916">
        <v>32.837046899999997</v>
      </c>
      <c r="M916">
        <v>44.445515</v>
      </c>
      <c r="N916">
        <v>46.198992199999999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1039</v>
      </c>
      <c r="C917" t="s">
        <v>1034</v>
      </c>
      <c r="D917">
        <v>3</v>
      </c>
      <c r="E917">
        <v>11978556</v>
      </c>
      <c r="F917">
        <v>18093456</v>
      </c>
      <c r="G917">
        <v>5219896</v>
      </c>
      <c r="H917">
        <v>12871960</v>
      </c>
      <c r="I917">
        <v>0</v>
      </c>
      <c r="J917">
        <v>80.267802099999997</v>
      </c>
      <c r="K917">
        <v>83.192602100000002</v>
      </c>
      <c r="L917">
        <v>34.986443999999999</v>
      </c>
      <c r="M917">
        <v>45.641981399999999</v>
      </c>
      <c r="N917">
        <v>47.2264518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1039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1039</v>
      </c>
      <c r="C920" t="s">
        <v>1034</v>
      </c>
      <c r="D920">
        <v>0</v>
      </c>
      <c r="E920">
        <v>2968366</v>
      </c>
      <c r="F920">
        <v>183592</v>
      </c>
      <c r="G920">
        <v>57248</v>
      </c>
      <c r="H920">
        <v>125544</v>
      </c>
      <c r="I920">
        <v>0</v>
      </c>
      <c r="J920">
        <v>60.2619057</v>
      </c>
      <c r="K920">
        <v>64.108186200000006</v>
      </c>
      <c r="L920">
        <v>28.129732300000001</v>
      </c>
      <c r="M920">
        <v>43.1284037</v>
      </c>
      <c r="N920">
        <v>46.572836799999997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1039</v>
      </c>
      <c r="C921" t="s">
        <v>1034</v>
      </c>
      <c r="D921">
        <v>1</v>
      </c>
      <c r="E921">
        <v>3111846</v>
      </c>
      <c r="F921">
        <v>586240</v>
      </c>
      <c r="G921">
        <v>184344</v>
      </c>
      <c r="H921">
        <v>401096</v>
      </c>
      <c r="I921">
        <v>0</v>
      </c>
      <c r="J921">
        <v>66.021077399999996</v>
      </c>
      <c r="K921">
        <v>70.589765600000007</v>
      </c>
      <c r="L921">
        <v>30.098733800000002</v>
      </c>
      <c r="M921">
        <v>44.279817700000002</v>
      </c>
      <c r="N921">
        <v>47.231478500000001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1039</v>
      </c>
      <c r="C922" t="s">
        <v>1034</v>
      </c>
      <c r="D922">
        <v>2</v>
      </c>
      <c r="E922">
        <v>4307870</v>
      </c>
      <c r="F922">
        <v>2238600</v>
      </c>
      <c r="G922">
        <v>746376</v>
      </c>
      <c r="H922">
        <v>1491424</v>
      </c>
      <c r="I922">
        <v>0</v>
      </c>
      <c r="J922">
        <v>70.0934065</v>
      </c>
      <c r="K922">
        <v>72.997808000000006</v>
      </c>
      <c r="L922">
        <v>32.720010799999997</v>
      </c>
      <c r="M922">
        <v>45.5907506</v>
      </c>
      <c r="N922">
        <v>48.126238499999999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1039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1039</v>
      </c>
      <c r="C926" t="s">
        <v>1034</v>
      </c>
      <c r="D926">
        <v>0</v>
      </c>
      <c r="E926">
        <v>11467452</v>
      </c>
      <c r="F926">
        <v>1225128</v>
      </c>
      <c r="G926">
        <v>382536</v>
      </c>
      <c r="H926">
        <v>840912</v>
      </c>
      <c r="I926">
        <v>0</v>
      </c>
      <c r="J926">
        <v>67.644423399999994</v>
      </c>
      <c r="K926">
        <v>70.735707500000004</v>
      </c>
      <c r="L926">
        <v>26.181012200000001</v>
      </c>
      <c r="M926">
        <v>39.668319099999998</v>
      </c>
      <c r="N926">
        <v>44.117538799999998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1039</v>
      </c>
      <c r="C927" t="s">
        <v>1034</v>
      </c>
      <c r="D927">
        <v>1</v>
      </c>
      <c r="E927">
        <v>12715572</v>
      </c>
      <c r="F927">
        <v>4579128</v>
      </c>
      <c r="G927">
        <v>1340760</v>
      </c>
      <c r="H927">
        <v>3236688</v>
      </c>
      <c r="I927">
        <v>0</v>
      </c>
      <c r="J927">
        <v>71.407872699999999</v>
      </c>
      <c r="K927">
        <v>75.626333700000004</v>
      </c>
      <c r="L927">
        <v>28.281639299999998</v>
      </c>
      <c r="M927">
        <v>41.253201699999998</v>
      </c>
      <c r="N927">
        <v>45.491869600000001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1039</v>
      </c>
      <c r="C928" t="s">
        <v>1034</v>
      </c>
      <c r="D928">
        <v>2</v>
      </c>
      <c r="E928">
        <v>14569572</v>
      </c>
      <c r="F928">
        <v>15550416</v>
      </c>
      <c r="G928">
        <v>5438792</v>
      </c>
      <c r="H928">
        <v>10110024</v>
      </c>
      <c r="I928">
        <v>0</v>
      </c>
      <c r="J928">
        <v>73.446510599999996</v>
      </c>
      <c r="K928">
        <v>78.018283400000001</v>
      </c>
      <c r="L928">
        <v>30.425154500000001</v>
      </c>
      <c r="M928">
        <v>43.1786745</v>
      </c>
      <c r="N928">
        <v>47.044965900000001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1039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1039</v>
      </c>
      <c r="C932" t="s">
        <v>1034</v>
      </c>
      <c r="D932">
        <v>0</v>
      </c>
      <c r="E932">
        <v>2932810</v>
      </c>
      <c r="F932">
        <v>269176</v>
      </c>
      <c r="G932">
        <v>46800</v>
      </c>
      <c r="H932">
        <v>221576</v>
      </c>
      <c r="I932">
        <v>0</v>
      </c>
      <c r="J932">
        <v>61.587062500000002</v>
      </c>
      <c r="K932">
        <v>65.001511399999998</v>
      </c>
      <c r="L932">
        <v>25.919647300000001</v>
      </c>
      <c r="M932">
        <v>39.056271600000002</v>
      </c>
      <c r="N932">
        <v>40.992395999999999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1039</v>
      </c>
      <c r="C933" t="s">
        <v>1034</v>
      </c>
      <c r="D933">
        <v>1</v>
      </c>
      <c r="E933">
        <v>3389616</v>
      </c>
      <c r="F933">
        <v>914752</v>
      </c>
      <c r="G933">
        <v>170368</v>
      </c>
      <c r="H933">
        <v>743584</v>
      </c>
      <c r="I933">
        <v>0</v>
      </c>
      <c r="J933">
        <v>67.040953500000001</v>
      </c>
      <c r="K933">
        <v>69.787085200000007</v>
      </c>
      <c r="L933">
        <v>28.162225800000002</v>
      </c>
      <c r="M933">
        <v>40.224779900000001</v>
      </c>
      <c r="N933">
        <v>41.780496200000002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1039</v>
      </c>
      <c r="C934" t="s">
        <v>1034</v>
      </c>
      <c r="D934">
        <v>2</v>
      </c>
      <c r="E934">
        <v>3771063</v>
      </c>
      <c r="F934">
        <v>3012712</v>
      </c>
      <c r="G934">
        <v>792032</v>
      </c>
      <c r="H934">
        <v>2219880</v>
      </c>
      <c r="I934">
        <v>0</v>
      </c>
      <c r="J934">
        <v>69.597974600000001</v>
      </c>
      <c r="K934">
        <v>72.418960900000002</v>
      </c>
      <c r="L934">
        <v>29.9857926</v>
      </c>
      <c r="M934">
        <v>41.370947999999999</v>
      </c>
      <c r="N934">
        <v>42.5988708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1039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1039</v>
      </c>
      <c r="C938" t="s">
        <v>1034</v>
      </c>
      <c r="D938">
        <v>0</v>
      </c>
      <c r="E938">
        <v>12678341</v>
      </c>
      <c r="F938">
        <v>1540848</v>
      </c>
      <c r="G938">
        <v>81616</v>
      </c>
      <c r="H938">
        <v>1456992</v>
      </c>
      <c r="I938">
        <v>0</v>
      </c>
      <c r="J938">
        <v>67.459634899999998</v>
      </c>
      <c r="K938">
        <v>72.899014300000005</v>
      </c>
      <c r="L938">
        <v>23.443165400000002</v>
      </c>
      <c r="M938">
        <v>37.358382200000001</v>
      </c>
      <c r="N938">
        <v>38.3365054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1039</v>
      </c>
      <c r="C939" t="s">
        <v>1034</v>
      </c>
      <c r="D939">
        <v>1</v>
      </c>
      <c r="E939">
        <v>12865226</v>
      </c>
      <c r="F939">
        <v>5461176</v>
      </c>
      <c r="G939">
        <v>255080</v>
      </c>
      <c r="H939">
        <v>5203856</v>
      </c>
      <c r="I939">
        <v>0</v>
      </c>
      <c r="J939">
        <v>72.975370600000005</v>
      </c>
      <c r="K939">
        <v>77.5680251</v>
      </c>
      <c r="L939">
        <v>25.018633900000001</v>
      </c>
      <c r="M939">
        <v>38.519336299999999</v>
      </c>
      <c r="N939">
        <v>39.734424599999997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1039</v>
      </c>
      <c r="C940" t="s">
        <v>1034</v>
      </c>
      <c r="D940">
        <v>2</v>
      </c>
      <c r="E940">
        <v>14351090</v>
      </c>
      <c r="F940">
        <v>17081320</v>
      </c>
      <c r="G940">
        <v>1130048</v>
      </c>
      <c r="H940">
        <v>15949032</v>
      </c>
      <c r="I940">
        <v>0</v>
      </c>
      <c r="J940">
        <v>78.738511299999999</v>
      </c>
      <c r="K940">
        <v>80.6285898</v>
      </c>
      <c r="L940">
        <v>26.400218599999999</v>
      </c>
      <c r="M940">
        <v>39.970201099999997</v>
      </c>
      <c r="N940">
        <v>41.392204100000001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1039</v>
      </c>
      <c r="C941" t="s">
        <v>1034</v>
      </c>
      <c r="D941">
        <v>3</v>
      </c>
      <c r="E941">
        <v>15197668</v>
      </c>
      <c r="F941">
        <v>39675000</v>
      </c>
      <c r="G941">
        <v>4821984</v>
      </c>
      <c r="H941">
        <v>34850936</v>
      </c>
      <c r="I941">
        <v>0</v>
      </c>
      <c r="J941">
        <v>81.322508999999997</v>
      </c>
      <c r="K941">
        <v>82.667553799999993</v>
      </c>
      <c r="L941">
        <v>27.359781099999999</v>
      </c>
      <c r="M941">
        <v>41.480946199999998</v>
      </c>
      <c r="N941">
        <v>43.002332600000003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1039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1039</v>
      </c>
      <c r="C944" t="s">
        <v>1034</v>
      </c>
      <c r="D944">
        <v>0</v>
      </c>
      <c r="E944">
        <v>409744</v>
      </c>
      <c r="F944">
        <v>213656</v>
      </c>
      <c r="G944">
        <v>3184</v>
      </c>
      <c r="H944">
        <v>209992</v>
      </c>
      <c r="I944">
        <v>0</v>
      </c>
      <c r="J944">
        <v>50.359291900000002</v>
      </c>
      <c r="K944">
        <v>55.305787199999997</v>
      </c>
      <c r="L944">
        <v>15.7305302</v>
      </c>
      <c r="M944">
        <v>35.058159099999997</v>
      </c>
      <c r="N944">
        <v>32.125098000000001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1039</v>
      </c>
      <c r="C945" t="s">
        <v>1034</v>
      </c>
      <c r="D945">
        <v>1</v>
      </c>
      <c r="E945">
        <v>498022</v>
      </c>
      <c r="F945">
        <v>740640</v>
      </c>
      <c r="G945">
        <v>14104</v>
      </c>
      <c r="H945">
        <v>726056</v>
      </c>
      <c r="I945">
        <v>0</v>
      </c>
      <c r="J945">
        <v>55.110064899999998</v>
      </c>
      <c r="K945">
        <v>59.143869100000003</v>
      </c>
      <c r="L945">
        <v>16.392826400000001</v>
      </c>
      <c r="M945">
        <v>35.566255499999997</v>
      </c>
      <c r="N945">
        <v>32.818310099999998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1039</v>
      </c>
      <c r="C946" t="s">
        <v>1034</v>
      </c>
      <c r="D946">
        <v>2</v>
      </c>
      <c r="E946">
        <v>693767</v>
      </c>
      <c r="F946">
        <v>2004920</v>
      </c>
      <c r="G946">
        <v>72288</v>
      </c>
      <c r="H946">
        <v>1932152</v>
      </c>
      <c r="I946">
        <v>0</v>
      </c>
      <c r="J946">
        <v>58.080359199999997</v>
      </c>
      <c r="K946">
        <v>61.284763699999999</v>
      </c>
      <c r="L946">
        <v>16.902063600000002</v>
      </c>
      <c r="M946">
        <v>36.408613899999999</v>
      </c>
      <c r="N946">
        <v>33.801622299999998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1039</v>
      </c>
      <c r="C947" t="s">
        <v>1034</v>
      </c>
      <c r="D947">
        <v>3</v>
      </c>
      <c r="E947">
        <v>895915</v>
      </c>
      <c r="F947">
        <v>4347824</v>
      </c>
      <c r="G947">
        <v>328992</v>
      </c>
      <c r="H947">
        <v>4018352</v>
      </c>
      <c r="I947">
        <v>0</v>
      </c>
      <c r="J947">
        <v>60.4728043</v>
      </c>
      <c r="K947">
        <v>64.090328</v>
      </c>
      <c r="L947">
        <v>17.6215233</v>
      </c>
      <c r="M947">
        <v>37.610865500000003</v>
      </c>
      <c r="N947">
        <v>35.119750600000003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1039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1039</v>
      </c>
      <c r="C950" t="s">
        <v>1034</v>
      </c>
      <c r="D950">
        <v>0</v>
      </c>
      <c r="E950">
        <v>478789</v>
      </c>
      <c r="F950">
        <v>152072</v>
      </c>
      <c r="G950">
        <v>10056</v>
      </c>
      <c r="H950">
        <v>141536</v>
      </c>
      <c r="I950">
        <v>0</v>
      </c>
      <c r="J950">
        <v>52.200437999999998</v>
      </c>
      <c r="K950">
        <v>56.662706200000002</v>
      </c>
      <c r="L950">
        <v>19.2298078</v>
      </c>
      <c r="M950">
        <v>31.040065899999998</v>
      </c>
      <c r="N950">
        <v>33.512925799999998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1039</v>
      </c>
      <c r="C951" t="s">
        <v>1034</v>
      </c>
      <c r="D951">
        <v>1</v>
      </c>
      <c r="E951">
        <v>583919</v>
      </c>
      <c r="F951">
        <v>558808</v>
      </c>
      <c r="G951">
        <v>40584</v>
      </c>
      <c r="H951">
        <v>517744</v>
      </c>
      <c r="I951">
        <v>0</v>
      </c>
      <c r="J951">
        <v>58.294127799999998</v>
      </c>
      <c r="K951">
        <v>61.820855000000002</v>
      </c>
      <c r="L951">
        <v>21.628024</v>
      </c>
      <c r="M951">
        <v>33.109469300000001</v>
      </c>
      <c r="N951">
        <v>34.939733099999998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1039</v>
      </c>
      <c r="C952" t="s">
        <v>1034</v>
      </c>
      <c r="D952">
        <v>2</v>
      </c>
      <c r="E952">
        <v>960594</v>
      </c>
      <c r="F952">
        <v>1958000</v>
      </c>
      <c r="G952">
        <v>201016</v>
      </c>
      <c r="H952">
        <v>1756504</v>
      </c>
      <c r="I952">
        <v>0</v>
      </c>
      <c r="J952">
        <v>62.948207400000001</v>
      </c>
      <c r="K952">
        <v>65.826142599999997</v>
      </c>
      <c r="L952">
        <v>24.479623100000001</v>
      </c>
      <c r="M952">
        <v>35.698995699999998</v>
      </c>
      <c r="N952">
        <v>37.350443800000001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1039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1039</v>
      </c>
      <c r="C956" t="s">
        <v>1034</v>
      </c>
      <c r="D956">
        <v>0</v>
      </c>
      <c r="E956">
        <v>20107527</v>
      </c>
      <c r="F956">
        <v>3915400</v>
      </c>
      <c r="G956">
        <v>156248</v>
      </c>
      <c r="H956">
        <v>3756592</v>
      </c>
      <c r="I956">
        <v>0</v>
      </c>
      <c r="J956">
        <v>64.920308599999998</v>
      </c>
      <c r="K956">
        <v>67.0900386</v>
      </c>
      <c r="L956">
        <v>21.996480699999999</v>
      </c>
      <c r="M956">
        <v>35.410786199999997</v>
      </c>
      <c r="N956">
        <v>38.4098355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1039</v>
      </c>
      <c r="C957" t="s">
        <v>1034</v>
      </c>
      <c r="D957">
        <v>1</v>
      </c>
      <c r="E957">
        <v>17532475</v>
      </c>
      <c r="F957">
        <v>8483488</v>
      </c>
      <c r="G957">
        <v>498256</v>
      </c>
      <c r="H957">
        <v>7982912</v>
      </c>
      <c r="I957">
        <v>0</v>
      </c>
      <c r="J957">
        <v>71.376576499999999</v>
      </c>
      <c r="K957">
        <v>73.955725599999994</v>
      </c>
      <c r="L957">
        <v>24.542880799999999</v>
      </c>
      <c r="M957">
        <v>37.504543300000002</v>
      </c>
      <c r="N957">
        <v>40.268058099999998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1039</v>
      </c>
      <c r="C958" t="s">
        <v>1034</v>
      </c>
      <c r="D958">
        <v>2</v>
      </c>
      <c r="E958">
        <v>16642182</v>
      </c>
      <c r="F958">
        <v>18557344</v>
      </c>
      <c r="G958">
        <v>1682328</v>
      </c>
      <c r="H958">
        <v>16872776</v>
      </c>
      <c r="I958">
        <v>0</v>
      </c>
      <c r="J958">
        <v>77.220964699999996</v>
      </c>
      <c r="K958">
        <v>79.367673600000003</v>
      </c>
      <c r="L958">
        <v>26.919003400000001</v>
      </c>
      <c r="M958">
        <v>40.205762999999997</v>
      </c>
      <c r="N958">
        <v>42.606909000000002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1039</v>
      </c>
      <c r="C959" t="s">
        <v>1034</v>
      </c>
      <c r="D959">
        <v>3</v>
      </c>
      <c r="E959">
        <v>17598332</v>
      </c>
      <c r="F959">
        <v>37094960</v>
      </c>
      <c r="G959">
        <v>5521464</v>
      </c>
      <c r="H959">
        <v>31571176</v>
      </c>
      <c r="I959">
        <v>0</v>
      </c>
      <c r="J959">
        <v>80.5656508</v>
      </c>
      <c r="K959">
        <v>84.302645900000002</v>
      </c>
      <c r="L959">
        <v>28.5720396</v>
      </c>
      <c r="M959">
        <v>42.533124600000001</v>
      </c>
      <c r="N959">
        <v>44.622329899999997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1039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1039</v>
      </c>
      <c r="C962" t="s">
        <v>1034</v>
      </c>
      <c r="D962">
        <v>0</v>
      </c>
      <c r="E962">
        <v>18758638</v>
      </c>
      <c r="F962">
        <v>3931024</v>
      </c>
      <c r="G962">
        <v>202880</v>
      </c>
      <c r="H962">
        <v>3725344</v>
      </c>
      <c r="I962">
        <v>0</v>
      </c>
      <c r="J962">
        <v>65.353019500000002</v>
      </c>
      <c r="K962">
        <v>66.960304100000002</v>
      </c>
      <c r="L962">
        <v>22.316514099999999</v>
      </c>
      <c r="M962">
        <v>34.767052100000001</v>
      </c>
      <c r="N962">
        <v>36.228940899999998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1039</v>
      </c>
      <c r="C963" t="s">
        <v>1034</v>
      </c>
      <c r="D963">
        <v>1</v>
      </c>
      <c r="E963">
        <v>17956851</v>
      </c>
      <c r="F963">
        <v>9280128</v>
      </c>
      <c r="G963">
        <v>628632</v>
      </c>
      <c r="H963">
        <v>8648696</v>
      </c>
      <c r="I963">
        <v>0</v>
      </c>
      <c r="J963">
        <v>71.512857600000004</v>
      </c>
      <c r="K963">
        <v>74.049237500000004</v>
      </c>
      <c r="L963">
        <v>24.712095999999999</v>
      </c>
      <c r="M963">
        <v>37.078712400000001</v>
      </c>
      <c r="N963">
        <v>38.5206029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1039</v>
      </c>
      <c r="C964" t="s">
        <v>1034</v>
      </c>
      <c r="D964">
        <v>2</v>
      </c>
      <c r="E964">
        <v>18660573</v>
      </c>
      <c r="F964">
        <v>21338408</v>
      </c>
      <c r="G964">
        <v>2200256</v>
      </c>
      <c r="H964">
        <v>19135352</v>
      </c>
      <c r="I964">
        <v>0</v>
      </c>
      <c r="J964">
        <v>76.778334400000006</v>
      </c>
      <c r="K964">
        <v>79.591677000000004</v>
      </c>
      <c r="L964">
        <v>27.033839400000002</v>
      </c>
      <c r="M964">
        <v>39.787417699999999</v>
      </c>
      <c r="N964">
        <v>41.196331700000002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1039</v>
      </c>
      <c r="C965" t="s">
        <v>1034</v>
      </c>
      <c r="D965">
        <v>3</v>
      </c>
      <c r="E965">
        <v>23218626</v>
      </c>
      <c r="F965">
        <v>48110504</v>
      </c>
      <c r="G965">
        <v>7411376</v>
      </c>
      <c r="H965">
        <v>40696328</v>
      </c>
      <c r="I965">
        <v>0</v>
      </c>
      <c r="J965">
        <v>80.154251200000004</v>
      </c>
      <c r="K965">
        <v>84.522926200000001</v>
      </c>
      <c r="L965">
        <v>28.820902400000001</v>
      </c>
      <c r="M965">
        <v>42.203665200000003</v>
      </c>
      <c r="N965">
        <v>43.5179799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1039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1039</v>
      </c>
      <c r="C968" t="s">
        <v>1034</v>
      </c>
      <c r="D968">
        <v>0</v>
      </c>
      <c r="E968">
        <v>179128</v>
      </c>
      <c r="F968">
        <v>49720</v>
      </c>
      <c r="G968">
        <v>1752</v>
      </c>
      <c r="H968">
        <v>47488</v>
      </c>
      <c r="I968">
        <v>0</v>
      </c>
      <c r="J968">
        <v>46.8989306</v>
      </c>
      <c r="K968">
        <v>50.293195099999998</v>
      </c>
      <c r="L968">
        <v>20.624364199999999</v>
      </c>
      <c r="M968">
        <v>29.540520900000001</v>
      </c>
      <c r="N968">
        <v>32.144945800000002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1039</v>
      </c>
      <c r="C969" t="s">
        <v>1034</v>
      </c>
      <c r="D969">
        <v>1</v>
      </c>
      <c r="E969">
        <v>189063</v>
      </c>
      <c r="F969">
        <v>152304</v>
      </c>
      <c r="G969">
        <v>6288</v>
      </c>
      <c r="H969">
        <v>145536</v>
      </c>
      <c r="I969">
        <v>0</v>
      </c>
      <c r="J969">
        <v>55.431299000000003</v>
      </c>
      <c r="K969">
        <v>57.8345713</v>
      </c>
      <c r="L969">
        <v>23.4699566</v>
      </c>
      <c r="M969">
        <v>32.443091600000002</v>
      </c>
      <c r="N969">
        <v>34.227623700000002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1039</v>
      </c>
      <c r="C970" t="s">
        <v>1034</v>
      </c>
      <c r="D970">
        <v>2</v>
      </c>
      <c r="E970">
        <v>221343</v>
      </c>
      <c r="F970">
        <v>420144</v>
      </c>
      <c r="G970">
        <v>25296</v>
      </c>
      <c r="H970">
        <v>394368</v>
      </c>
      <c r="I970">
        <v>0</v>
      </c>
      <c r="J970">
        <v>60.203992599999999</v>
      </c>
      <c r="K970">
        <v>62.684333700000003</v>
      </c>
      <c r="L970">
        <v>25.650928400000002</v>
      </c>
      <c r="M970">
        <v>34.962989100000001</v>
      </c>
      <c r="N970">
        <v>36.452720999999997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1039</v>
      </c>
      <c r="C971" t="s">
        <v>1034</v>
      </c>
      <c r="D971">
        <v>3</v>
      </c>
      <c r="E971">
        <v>278948</v>
      </c>
      <c r="F971">
        <v>1010256</v>
      </c>
      <c r="G971">
        <v>104120</v>
      </c>
      <c r="H971">
        <v>905656</v>
      </c>
      <c r="I971">
        <v>0</v>
      </c>
      <c r="J971">
        <v>61.758085800000003</v>
      </c>
      <c r="K971">
        <v>64.425036000000006</v>
      </c>
      <c r="L971">
        <v>27.2224775</v>
      </c>
      <c r="M971">
        <v>37.170701700000002</v>
      </c>
      <c r="N971">
        <v>38.6224366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1039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1039</v>
      </c>
      <c r="C974" t="s">
        <v>1034</v>
      </c>
      <c r="D974">
        <v>0</v>
      </c>
      <c r="E974">
        <v>17420776</v>
      </c>
      <c r="F974">
        <v>1931384</v>
      </c>
      <c r="G974">
        <v>266064</v>
      </c>
      <c r="H974">
        <v>1662840</v>
      </c>
      <c r="I974">
        <v>0</v>
      </c>
      <c r="J974">
        <v>67.267676800000004</v>
      </c>
      <c r="K974">
        <v>70.884035100000006</v>
      </c>
      <c r="L974">
        <v>27.092221800000001</v>
      </c>
      <c r="M974">
        <v>38.986384600000001</v>
      </c>
      <c r="N974">
        <v>37.439812500000002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1039</v>
      </c>
      <c r="C975" t="s">
        <v>1034</v>
      </c>
      <c r="D975">
        <v>1</v>
      </c>
      <c r="E975">
        <v>15038251</v>
      </c>
      <c r="F975">
        <v>4495408</v>
      </c>
      <c r="G975">
        <v>774208</v>
      </c>
      <c r="H975">
        <v>3718720</v>
      </c>
      <c r="I975">
        <v>0</v>
      </c>
      <c r="J975">
        <v>72.223116899999994</v>
      </c>
      <c r="K975">
        <v>76.594861100000003</v>
      </c>
      <c r="L975">
        <v>29.576706300000001</v>
      </c>
      <c r="M975">
        <v>41.752726799999998</v>
      </c>
      <c r="N975">
        <v>39.938677200000001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1039</v>
      </c>
      <c r="C976" t="s">
        <v>1034</v>
      </c>
      <c r="D976">
        <v>2</v>
      </c>
      <c r="E976">
        <v>16990914</v>
      </c>
      <c r="F976">
        <v>12513416</v>
      </c>
      <c r="G976">
        <v>3141112</v>
      </c>
      <c r="H976">
        <v>9369744</v>
      </c>
      <c r="I976">
        <v>0</v>
      </c>
      <c r="J976">
        <v>76.638013400000006</v>
      </c>
      <c r="K976">
        <v>80.999489400000002</v>
      </c>
      <c r="L976">
        <v>32.016514399999998</v>
      </c>
      <c r="M976">
        <v>44.695193799999998</v>
      </c>
      <c r="N976">
        <v>42.8268512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1039</v>
      </c>
      <c r="C977" t="s">
        <v>1034</v>
      </c>
      <c r="D977">
        <v>3</v>
      </c>
      <c r="E977">
        <v>20467460</v>
      </c>
      <c r="F977">
        <v>32919696</v>
      </c>
      <c r="G977">
        <v>11469824</v>
      </c>
      <c r="H977">
        <v>21447392</v>
      </c>
      <c r="I977">
        <v>0</v>
      </c>
      <c r="J977">
        <v>79.332207100000005</v>
      </c>
      <c r="K977">
        <v>84.097035500000004</v>
      </c>
      <c r="L977">
        <v>34.065140700000001</v>
      </c>
      <c r="M977">
        <v>47.244600200000001</v>
      </c>
      <c r="N977">
        <v>45.469904800000002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1039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1039</v>
      </c>
      <c r="C980" t="s">
        <v>1034</v>
      </c>
      <c r="D980">
        <v>0</v>
      </c>
      <c r="E980">
        <v>1614223</v>
      </c>
      <c r="F980">
        <v>460168</v>
      </c>
      <c r="G980">
        <v>75072</v>
      </c>
      <c r="H980">
        <v>384536</v>
      </c>
      <c r="I980">
        <v>0</v>
      </c>
      <c r="J980">
        <v>60.251482199999998</v>
      </c>
      <c r="K980">
        <v>61.134673499999998</v>
      </c>
      <c r="L980">
        <v>25.0195936</v>
      </c>
      <c r="M980">
        <v>36.1083377</v>
      </c>
      <c r="N980">
        <v>35.021937000000001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1039</v>
      </c>
      <c r="C981" t="s">
        <v>1034</v>
      </c>
      <c r="D981">
        <v>1</v>
      </c>
      <c r="E981">
        <v>1646436</v>
      </c>
      <c r="F981">
        <v>1226000</v>
      </c>
      <c r="G981">
        <v>292768</v>
      </c>
      <c r="H981">
        <v>932672</v>
      </c>
      <c r="I981">
        <v>0</v>
      </c>
      <c r="J981">
        <v>65.193117000000001</v>
      </c>
      <c r="K981">
        <v>68.409656499999997</v>
      </c>
      <c r="L981">
        <v>27.545340800000002</v>
      </c>
      <c r="M981">
        <v>38.862092699999998</v>
      </c>
      <c r="N981">
        <v>37.684565800000001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1039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kai yao</dc:creator>
  <cp:lastModifiedBy>kai yao</cp:lastModifiedBy>
  <dcterms:created xsi:type="dcterms:W3CDTF">2020-10-16T02:04:07Z</dcterms:created>
  <dcterms:modified xsi:type="dcterms:W3CDTF">2023-03-08T12:57:34Z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