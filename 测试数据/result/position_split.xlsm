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毕业设计\毕业设计\Trisoup\测试数据\result\"/>
    </mc:Choice>
  </mc:AlternateContent>
  <xr:revisionPtr revIDLastSave="0" documentId="13_ncr:1_{CDCE80DB-9DC2-40AC-929E-F09785FA8D3B}" xr6:coauthVersionLast="47" xr6:coauthVersionMax="47" xr10:uidLastSave="{00000000-0000-0000-0000-000000000000}"/>
  <bookViews>
    <workbookView xWindow="-120" yWindow="-120" windowWidth="38640" windowHeight="21120" tabRatio="742" xr2:uid="{00000000-000D-0000-FFFF-FFFF00000000}"/>
  </bookViews>
  <sheets>
    <sheet name="Summary" sheetId="1" r:id="rId1"/>
    <sheet name="Graphs" sheetId="2" r:id="rId2"/>
    <sheet name="C1 losslG,lossyA,intra" sheetId="3" r:id="rId3"/>
    <sheet name="names" sheetId="4" state="hidden" r:id="rId4"/>
    <sheet name="C2 lossyG,lossyA,intra" sheetId="5" r:id="rId5"/>
    <sheet name="CW losslG,losslA,intra" sheetId="6" r:id="rId6"/>
    <sheet name="CY losslG,nearllA,intra" sheetId="7" r:id="rId7"/>
    <sheet name="Reference" sheetId="8" r:id="rId8"/>
    <sheet name="Test" sheetId="9" r:id="rId9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1" l="1"/>
  <c r="AZ65" i="5"/>
  <c r="AZ107" i="5"/>
  <c r="AE1" i="7" l="1"/>
  <c r="I1" i="7"/>
  <c r="W1" i="6"/>
  <c r="H1" i="6"/>
  <c r="AC1" i="5"/>
  <c r="AA1" i="3"/>
  <c r="I1" i="5"/>
  <c r="I1" i="3"/>
  <c r="AY310" i="7"/>
  <c r="AX310" i="7"/>
  <c r="AC310" i="7"/>
  <c r="AB310" i="7"/>
  <c r="AY308" i="7"/>
  <c r="AX308" i="7"/>
  <c r="AC308" i="7"/>
  <c r="AB308" i="7"/>
  <c r="AJ74" i="6"/>
  <c r="AI74" i="6"/>
  <c r="U74" i="6"/>
  <c r="T74" i="6"/>
  <c r="U72" i="6"/>
  <c r="T72" i="6"/>
  <c r="AJ72" i="6"/>
  <c r="AI72" i="6"/>
  <c r="AA369" i="5"/>
  <c r="Z369" i="5"/>
  <c r="AU369" i="5"/>
  <c r="AT369" i="5"/>
  <c r="AT367" i="5"/>
  <c r="AU367" i="5"/>
  <c r="AA367" i="5"/>
  <c r="Z367" i="5"/>
  <c r="AQ369" i="3"/>
  <c r="AP369" i="3"/>
  <c r="Y369" i="3"/>
  <c r="X369" i="3"/>
  <c r="AQ367" i="3"/>
  <c r="AP367" i="3"/>
  <c r="Y367" i="3"/>
  <c r="X367" i="3"/>
  <c r="BA284" i="7"/>
  <c r="AJ284" i="7"/>
  <c r="AI284" i="7"/>
  <c r="AG284" i="7"/>
  <c r="AF284" i="7"/>
  <c r="AE284" i="7"/>
  <c r="N284" i="7"/>
  <c r="M284" i="7"/>
  <c r="K284" i="7"/>
  <c r="J284" i="7"/>
  <c r="I284" i="7"/>
  <c r="BA283" i="7"/>
  <c r="AJ283" i="7"/>
  <c r="AI283" i="7"/>
  <c r="AG283" i="7"/>
  <c r="AF283" i="7"/>
  <c r="AE283" i="7"/>
  <c r="N283" i="7"/>
  <c r="M283" i="7"/>
  <c r="K283" i="7"/>
  <c r="J283" i="7"/>
  <c r="I283" i="7"/>
  <c r="BA282" i="7"/>
  <c r="AJ282" i="7"/>
  <c r="AI282" i="7"/>
  <c r="AG282" i="7"/>
  <c r="AF282" i="7"/>
  <c r="AE282" i="7"/>
  <c r="N282" i="7"/>
  <c r="M282" i="7"/>
  <c r="K282" i="7"/>
  <c r="J282" i="7"/>
  <c r="I282" i="7"/>
  <c r="BA281" i="7"/>
  <c r="AJ281" i="7"/>
  <c r="AI281" i="7"/>
  <c r="AG281" i="7"/>
  <c r="AF281" i="7"/>
  <c r="AE281" i="7"/>
  <c r="N281" i="7"/>
  <c r="M281" i="7"/>
  <c r="K281" i="7"/>
  <c r="J281" i="7"/>
  <c r="I281" i="7"/>
  <c r="BB280" i="7" a="1"/>
  <c r="BB280" i="7" s="1"/>
  <c r="BA280" i="7"/>
  <c r="AJ280" i="7"/>
  <c r="AI280" i="7"/>
  <c r="AG280" i="7"/>
  <c r="AF280" i="7"/>
  <c r="AE280" i="7"/>
  <c r="N280" i="7"/>
  <c r="M280" i="7"/>
  <c r="K280" i="7"/>
  <c r="J280" i="7"/>
  <c r="I280" i="7"/>
  <c r="BA279" i="7"/>
  <c r="AJ279" i="7"/>
  <c r="AI279" i="7"/>
  <c r="AG279" i="7"/>
  <c r="AF279" i="7"/>
  <c r="AE279" i="7"/>
  <c r="N279" i="7"/>
  <c r="M279" i="7"/>
  <c r="K279" i="7"/>
  <c r="J279" i="7"/>
  <c r="I279" i="7"/>
  <c r="BA278" i="7"/>
  <c r="AJ278" i="7"/>
  <c r="AI278" i="7"/>
  <c r="AG278" i="7"/>
  <c r="AF278" i="7"/>
  <c r="AE278" i="7"/>
  <c r="N278" i="7"/>
  <c r="M278" i="7"/>
  <c r="K278" i="7"/>
  <c r="J278" i="7"/>
  <c r="I278" i="7"/>
  <c r="BA277" i="7"/>
  <c r="AJ277" i="7"/>
  <c r="AI277" i="7"/>
  <c r="AG277" i="7"/>
  <c r="AF277" i="7"/>
  <c r="AE277" i="7"/>
  <c r="N277" i="7"/>
  <c r="M277" i="7"/>
  <c r="K277" i="7"/>
  <c r="J277" i="7"/>
  <c r="I277" i="7"/>
  <c r="BA276" i="7"/>
  <c r="AJ276" i="7"/>
  <c r="AI276" i="7"/>
  <c r="AG276" i="7"/>
  <c r="AF276" i="7"/>
  <c r="AE276" i="7"/>
  <c r="N276" i="7"/>
  <c r="M276" i="7"/>
  <c r="K276" i="7"/>
  <c r="J276" i="7"/>
  <c r="I276" i="7"/>
  <c r="BB275" i="7" a="1"/>
  <c r="BB275" i="7" s="1"/>
  <c r="BA275" i="7"/>
  <c r="AJ275" i="7"/>
  <c r="AI275" i="7"/>
  <c r="AG275" i="7"/>
  <c r="AF275" i="7"/>
  <c r="AE275" i="7"/>
  <c r="N275" i="7"/>
  <c r="M275" i="7"/>
  <c r="K275" i="7"/>
  <c r="J275" i="7"/>
  <c r="I275" i="7"/>
  <c r="BA274" i="7"/>
  <c r="AJ274" i="7"/>
  <c r="AI274" i="7"/>
  <c r="AG274" i="7"/>
  <c r="AF274" i="7"/>
  <c r="AE274" i="7"/>
  <c r="N274" i="7"/>
  <c r="M274" i="7"/>
  <c r="K274" i="7"/>
  <c r="J274" i="7"/>
  <c r="I274" i="7"/>
  <c r="BA273" i="7"/>
  <c r="AJ273" i="7"/>
  <c r="AI273" i="7"/>
  <c r="AG273" i="7"/>
  <c r="AF273" i="7"/>
  <c r="AE273" i="7"/>
  <c r="N273" i="7"/>
  <c r="M273" i="7"/>
  <c r="K273" i="7"/>
  <c r="J273" i="7"/>
  <c r="I273" i="7"/>
  <c r="BA272" i="7"/>
  <c r="AJ272" i="7"/>
  <c r="AI272" i="7"/>
  <c r="AG272" i="7"/>
  <c r="AF272" i="7"/>
  <c r="AE272" i="7"/>
  <c r="N272" i="7"/>
  <c r="M272" i="7"/>
  <c r="K272" i="7"/>
  <c r="J272" i="7"/>
  <c r="I272" i="7"/>
  <c r="BA271" i="7"/>
  <c r="AJ271" i="7"/>
  <c r="AI271" i="7"/>
  <c r="AG271" i="7"/>
  <c r="AF271" i="7"/>
  <c r="AE271" i="7"/>
  <c r="N271" i="7"/>
  <c r="M271" i="7"/>
  <c r="K271" i="7"/>
  <c r="J271" i="7"/>
  <c r="I271" i="7"/>
  <c r="BB270" i="7" a="1"/>
  <c r="BB270" i="7" s="1"/>
  <c r="BA270" i="7"/>
  <c r="AJ270" i="7"/>
  <c r="AI270" i="7"/>
  <c r="AG270" i="7"/>
  <c r="AF270" i="7"/>
  <c r="AE270" i="7"/>
  <c r="N270" i="7"/>
  <c r="M270" i="7"/>
  <c r="K270" i="7"/>
  <c r="J270" i="7"/>
  <c r="I270" i="7"/>
  <c r="BA269" i="7"/>
  <c r="AJ269" i="7"/>
  <c r="AI269" i="7"/>
  <c r="AG269" i="7"/>
  <c r="AF269" i="7"/>
  <c r="AE269" i="7"/>
  <c r="N269" i="7"/>
  <c r="M269" i="7"/>
  <c r="K269" i="7"/>
  <c r="J269" i="7"/>
  <c r="I269" i="7"/>
  <c r="BA268" i="7"/>
  <c r="AJ268" i="7"/>
  <c r="AI268" i="7"/>
  <c r="AG268" i="7"/>
  <c r="AF268" i="7"/>
  <c r="AE268" i="7"/>
  <c r="N268" i="7"/>
  <c r="M268" i="7"/>
  <c r="K268" i="7"/>
  <c r="J268" i="7"/>
  <c r="I268" i="7"/>
  <c r="BA267" i="7"/>
  <c r="AJ267" i="7"/>
  <c r="AI267" i="7"/>
  <c r="AG267" i="7"/>
  <c r="AF267" i="7"/>
  <c r="AE267" i="7"/>
  <c r="N267" i="7"/>
  <c r="M267" i="7"/>
  <c r="K267" i="7"/>
  <c r="J267" i="7"/>
  <c r="I267" i="7"/>
  <c r="BA266" i="7"/>
  <c r="AJ266" i="7"/>
  <c r="AI266" i="7"/>
  <c r="AG266" i="7"/>
  <c r="AF266" i="7"/>
  <c r="AE266" i="7"/>
  <c r="N266" i="7"/>
  <c r="M266" i="7"/>
  <c r="K266" i="7"/>
  <c r="J266" i="7"/>
  <c r="I266" i="7"/>
  <c r="BB265" i="7" a="1"/>
  <c r="BB265" i="7" s="1"/>
  <c r="BA265" i="7"/>
  <c r="AJ265" i="7"/>
  <c r="AI265" i="7"/>
  <c r="AG265" i="7"/>
  <c r="AF265" i="7"/>
  <c r="AE265" i="7"/>
  <c r="N265" i="7"/>
  <c r="M265" i="7"/>
  <c r="K265" i="7"/>
  <c r="J265" i="7"/>
  <c r="I265" i="7"/>
  <c r="AQ60" i="6" a="1"/>
  <c r="AQ60" i="6" s="1"/>
  <c r="AP60" i="6"/>
  <c r="AC60" i="6"/>
  <c r="AB60" i="6"/>
  <c r="Z60" i="6"/>
  <c r="Y60" i="6"/>
  <c r="X60" i="6"/>
  <c r="W60" i="6"/>
  <c r="N60" i="6"/>
  <c r="M60" i="6"/>
  <c r="K60" i="6"/>
  <c r="J60" i="6"/>
  <c r="I60" i="6"/>
  <c r="H60" i="6"/>
  <c r="AQ59" i="6" a="1"/>
  <c r="AQ59" i="6" s="1"/>
  <c r="AP59" i="6"/>
  <c r="AC59" i="6"/>
  <c r="AB59" i="6"/>
  <c r="Z59" i="6"/>
  <c r="Y59" i="6"/>
  <c r="X59" i="6"/>
  <c r="W59" i="6"/>
  <c r="N59" i="6"/>
  <c r="M59" i="6"/>
  <c r="K59" i="6"/>
  <c r="J59" i="6"/>
  <c r="I59" i="6"/>
  <c r="H59" i="6"/>
  <c r="AQ58" i="6" a="1"/>
  <c r="AQ58" i="6" s="1"/>
  <c r="AP58" i="6"/>
  <c r="AC58" i="6"/>
  <c r="AB58" i="6"/>
  <c r="Z58" i="6"/>
  <c r="Y58" i="6"/>
  <c r="X58" i="6"/>
  <c r="W58" i="6"/>
  <c r="N58" i="6"/>
  <c r="M58" i="6"/>
  <c r="K58" i="6"/>
  <c r="J58" i="6"/>
  <c r="I58" i="6"/>
  <c r="H58" i="6"/>
  <c r="AQ57" i="6" a="1"/>
  <c r="AQ57" i="6" s="1"/>
  <c r="AP57" i="6"/>
  <c r="AC57" i="6"/>
  <c r="AB57" i="6"/>
  <c r="Z57" i="6"/>
  <c r="Y57" i="6"/>
  <c r="X57" i="6"/>
  <c r="W57" i="6"/>
  <c r="N57" i="6"/>
  <c r="M57" i="6"/>
  <c r="K57" i="6"/>
  <c r="J57" i="6"/>
  <c r="I57" i="6"/>
  <c r="H57" i="6"/>
  <c r="AW340" i="5"/>
  <c r="AH340" i="5"/>
  <c r="AG340" i="5"/>
  <c r="AE340" i="5"/>
  <c r="AD340" i="5"/>
  <c r="AC340" i="5"/>
  <c r="N340" i="5"/>
  <c r="M340" i="5"/>
  <c r="K340" i="5"/>
  <c r="J340" i="5"/>
  <c r="I340" i="5"/>
  <c r="AW339" i="5"/>
  <c r="AH339" i="5"/>
  <c r="AG339" i="5"/>
  <c r="AE339" i="5"/>
  <c r="AD339" i="5"/>
  <c r="AC339" i="5"/>
  <c r="N339" i="5"/>
  <c r="M339" i="5"/>
  <c r="K339" i="5"/>
  <c r="J339" i="5"/>
  <c r="I339" i="5"/>
  <c r="AW338" i="5"/>
  <c r="AH338" i="5"/>
  <c r="AG338" i="5"/>
  <c r="AE338" i="5"/>
  <c r="AD338" i="5"/>
  <c r="AC338" i="5"/>
  <c r="N338" i="5"/>
  <c r="M338" i="5"/>
  <c r="K338" i="5"/>
  <c r="J338" i="5"/>
  <c r="I338" i="5"/>
  <c r="AW337" i="5"/>
  <c r="AH337" i="5"/>
  <c r="AG337" i="5"/>
  <c r="AE337" i="5"/>
  <c r="AD337" i="5"/>
  <c r="AC337" i="5"/>
  <c r="N337" i="5"/>
  <c r="M337" i="5"/>
  <c r="K337" i="5"/>
  <c r="J337" i="5"/>
  <c r="I337" i="5"/>
  <c r="AW336" i="5"/>
  <c r="AH336" i="5"/>
  <c r="AG336" i="5"/>
  <c r="AE336" i="5"/>
  <c r="AD336" i="5"/>
  <c r="AC336" i="5"/>
  <c r="N336" i="5"/>
  <c r="M336" i="5"/>
  <c r="K336" i="5"/>
  <c r="J336" i="5"/>
  <c r="I336" i="5"/>
  <c r="AX335" i="5" a="1"/>
  <c r="AX335" i="5" s="1"/>
  <c r="AW335" i="5"/>
  <c r="AH335" i="5"/>
  <c r="AG335" i="5"/>
  <c r="AE335" i="5"/>
  <c r="AD335" i="5"/>
  <c r="AC335" i="5"/>
  <c r="N335" i="5"/>
  <c r="M335" i="5"/>
  <c r="K335" i="5"/>
  <c r="J335" i="5"/>
  <c r="I335" i="5"/>
  <c r="AW334" i="5"/>
  <c r="AH334" i="5"/>
  <c r="AG334" i="5"/>
  <c r="AE334" i="5"/>
  <c r="AD334" i="5"/>
  <c r="AC334" i="5"/>
  <c r="N334" i="5"/>
  <c r="M334" i="5"/>
  <c r="K334" i="5"/>
  <c r="J334" i="5"/>
  <c r="I334" i="5"/>
  <c r="AW333" i="5"/>
  <c r="AH333" i="5"/>
  <c r="AG333" i="5"/>
  <c r="AE333" i="5"/>
  <c r="AD333" i="5"/>
  <c r="AC333" i="5"/>
  <c r="N333" i="5"/>
  <c r="M333" i="5"/>
  <c r="K333" i="5"/>
  <c r="J333" i="5"/>
  <c r="I333" i="5"/>
  <c r="AW332" i="5"/>
  <c r="AH332" i="5"/>
  <c r="AG332" i="5"/>
  <c r="AE332" i="5"/>
  <c r="AD332" i="5"/>
  <c r="AC332" i="5"/>
  <c r="N332" i="5"/>
  <c r="M332" i="5"/>
  <c r="K332" i="5"/>
  <c r="J332" i="5"/>
  <c r="I332" i="5"/>
  <c r="AW331" i="5"/>
  <c r="AH331" i="5"/>
  <c r="AG331" i="5"/>
  <c r="AE331" i="5"/>
  <c r="AD331" i="5"/>
  <c r="AC331" i="5"/>
  <c r="N331" i="5"/>
  <c r="M331" i="5"/>
  <c r="K331" i="5"/>
  <c r="J331" i="5"/>
  <c r="I331" i="5"/>
  <c r="AW330" i="5"/>
  <c r="AH330" i="5"/>
  <c r="AG330" i="5"/>
  <c r="AE330" i="5"/>
  <c r="AD330" i="5"/>
  <c r="AC330" i="5"/>
  <c r="N330" i="5"/>
  <c r="M330" i="5"/>
  <c r="K330" i="5"/>
  <c r="J330" i="5"/>
  <c r="I330" i="5"/>
  <c r="AX329" i="5"/>
  <c r="AX329" i="5" a="1"/>
  <c r="AW329" i="5"/>
  <c r="AH329" i="5"/>
  <c r="AG329" i="5"/>
  <c r="AE329" i="5"/>
  <c r="AD329" i="5"/>
  <c r="AC329" i="5"/>
  <c r="N329" i="5"/>
  <c r="M329" i="5"/>
  <c r="K329" i="5"/>
  <c r="J329" i="5"/>
  <c r="I329" i="5"/>
  <c r="AW328" i="5"/>
  <c r="AH328" i="5"/>
  <c r="AG328" i="5"/>
  <c r="AE328" i="5"/>
  <c r="AD328" i="5"/>
  <c r="AC328" i="5"/>
  <c r="N328" i="5"/>
  <c r="M328" i="5"/>
  <c r="K328" i="5"/>
  <c r="J328" i="5"/>
  <c r="I328" i="5"/>
  <c r="AW327" i="5"/>
  <c r="AH327" i="5"/>
  <c r="AG327" i="5"/>
  <c r="AE327" i="5"/>
  <c r="AD327" i="5"/>
  <c r="AC327" i="5"/>
  <c r="N327" i="5"/>
  <c r="M327" i="5"/>
  <c r="K327" i="5"/>
  <c r="J327" i="5"/>
  <c r="I327" i="5"/>
  <c r="AW326" i="5"/>
  <c r="AH326" i="5"/>
  <c r="AG326" i="5"/>
  <c r="AE326" i="5"/>
  <c r="AD326" i="5"/>
  <c r="AC326" i="5"/>
  <c r="N326" i="5"/>
  <c r="M326" i="5"/>
  <c r="K326" i="5"/>
  <c r="J326" i="5"/>
  <c r="I326" i="5"/>
  <c r="AW325" i="5"/>
  <c r="AH325" i="5"/>
  <c r="AG325" i="5"/>
  <c r="AE325" i="5"/>
  <c r="AD325" i="5"/>
  <c r="AC325" i="5"/>
  <c r="N325" i="5"/>
  <c r="M325" i="5"/>
  <c r="K325" i="5"/>
  <c r="J325" i="5"/>
  <c r="I325" i="5"/>
  <c r="AW324" i="5"/>
  <c r="AH324" i="5"/>
  <c r="AG324" i="5"/>
  <c r="AE324" i="5"/>
  <c r="AD324" i="5"/>
  <c r="AC324" i="5"/>
  <c r="N324" i="5"/>
  <c r="M324" i="5"/>
  <c r="K324" i="5"/>
  <c r="J324" i="5"/>
  <c r="I324" i="5"/>
  <c r="AX323" i="5" a="1"/>
  <c r="AX323" i="5" s="1"/>
  <c r="AW323" i="5"/>
  <c r="AH323" i="5"/>
  <c r="AG323" i="5"/>
  <c r="AE323" i="5"/>
  <c r="AD323" i="5"/>
  <c r="AC323" i="5"/>
  <c r="N323" i="5"/>
  <c r="M323" i="5"/>
  <c r="K323" i="5"/>
  <c r="J323" i="5"/>
  <c r="I323" i="5"/>
  <c r="I353" i="5"/>
  <c r="J353" i="5"/>
  <c r="K353" i="5"/>
  <c r="M353" i="5"/>
  <c r="N353" i="5"/>
  <c r="AC353" i="5"/>
  <c r="AD353" i="5"/>
  <c r="AE353" i="5"/>
  <c r="AG353" i="5"/>
  <c r="AH353" i="5"/>
  <c r="AW353" i="5"/>
  <c r="AX353" i="5" a="1"/>
  <c r="AX353" i="5" s="1"/>
  <c r="I354" i="5"/>
  <c r="J354" i="5"/>
  <c r="K354" i="5"/>
  <c r="M354" i="5"/>
  <c r="N354" i="5"/>
  <c r="AC354" i="5"/>
  <c r="AD354" i="5"/>
  <c r="AE354" i="5"/>
  <c r="AG354" i="5"/>
  <c r="AH354" i="5"/>
  <c r="AW354" i="5"/>
  <c r="I355" i="5"/>
  <c r="J355" i="5"/>
  <c r="K355" i="5"/>
  <c r="M355" i="5"/>
  <c r="N355" i="5"/>
  <c r="AC355" i="5"/>
  <c r="AD355" i="5"/>
  <c r="AE355" i="5"/>
  <c r="AG355" i="5"/>
  <c r="AH355" i="5"/>
  <c r="AW355" i="5"/>
  <c r="I356" i="5"/>
  <c r="J356" i="5"/>
  <c r="K356" i="5"/>
  <c r="M356" i="5"/>
  <c r="N356" i="5"/>
  <c r="AC356" i="5"/>
  <c r="AD356" i="5"/>
  <c r="AE356" i="5"/>
  <c r="AG356" i="5"/>
  <c r="AH356" i="5"/>
  <c r="AW356" i="5"/>
  <c r="I357" i="5"/>
  <c r="J357" i="5"/>
  <c r="K357" i="5"/>
  <c r="M357" i="5"/>
  <c r="N357" i="5"/>
  <c r="AC357" i="5"/>
  <c r="AD357" i="5"/>
  <c r="AE357" i="5"/>
  <c r="AG357" i="5"/>
  <c r="AH357" i="5"/>
  <c r="AW357" i="5"/>
  <c r="I358" i="5"/>
  <c r="J358" i="5"/>
  <c r="K358" i="5"/>
  <c r="M358" i="5"/>
  <c r="N358" i="5"/>
  <c r="AC358" i="5"/>
  <c r="AD358" i="5"/>
  <c r="AE358" i="5"/>
  <c r="AG358" i="5"/>
  <c r="AH358" i="5"/>
  <c r="AW358" i="5"/>
  <c r="AS340" i="3"/>
  <c r="AF340" i="3"/>
  <c r="AE340" i="3"/>
  <c r="AC340" i="3"/>
  <c r="AB340" i="3"/>
  <c r="AA340" i="3"/>
  <c r="N340" i="3"/>
  <c r="M340" i="3"/>
  <c r="K340" i="3"/>
  <c r="J340" i="3"/>
  <c r="I340" i="3"/>
  <c r="AS339" i="3"/>
  <c r="AF339" i="3"/>
  <c r="AE339" i="3"/>
  <c r="AC339" i="3"/>
  <c r="AB339" i="3"/>
  <c r="AA339" i="3"/>
  <c r="N339" i="3"/>
  <c r="M339" i="3"/>
  <c r="K339" i="3"/>
  <c r="J339" i="3"/>
  <c r="I339" i="3"/>
  <c r="AS338" i="3"/>
  <c r="AF338" i="3"/>
  <c r="AE338" i="3"/>
  <c r="AC338" i="3"/>
  <c r="AB338" i="3"/>
  <c r="AA338" i="3"/>
  <c r="N338" i="3"/>
  <c r="M338" i="3"/>
  <c r="K338" i="3"/>
  <c r="J338" i="3"/>
  <c r="I338" i="3"/>
  <c r="AS337" i="3"/>
  <c r="AF337" i="3"/>
  <c r="AE337" i="3"/>
  <c r="AC337" i="3"/>
  <c r="AB337" i="3"/>
  <c r="AA337" i="3"/>
  <c r="N337" i="3"/>
  <c r="M337" i="3"/>
  <c r="K337" i="3"/>
  <c r="J337" i="3"/>
  <c r="I337" i="3"/>
  <c r="AS336" i="3"/>
  <c r="AF336" i="3"/>
  <c r="AE336" i="3"/>
  <c r="AC336" i="3"/>
  <c r="AB336" i="3"/>
  <c r="AA336" i="3"/>
  <c r="N336" i="3"/>
  <c r="M336" i="3"/>
  <c r="K336" i="3"/>
  <c r="J336" i="3"/>
  <c r="I336" i="3"/>
  <c r="AT335" i="3" a="1"/>
  <c r="AT335" i="3" s="1"/>
  <c r="AS335" i="3"/>
  <c r="AF335" i="3"/>
  <c r="AE335" i="3"/>
  <c r="AC335" i="3"/>
  <c r="AB335" i="3"/>
  <c r="AA335" i="3"/>
  <c r="N335" i="3"/>
  <c r="M335" i="3"/>
  <c r="K335" i="3"/>
  <c r="J335" i="3"/>
  <c r="I335" i="3"/>
  <c r="AS334" i="3"/>
  <c r="AF334" i="3"/>
  <c r="AE334" i="3"/>
  <c r="AC334" i="3"/>
  <c r="AB334" i="3"/>
  <c r="AA334" i="3"/>
  <c r="N334" i="3"/>
  <c r="M334" i="3"/>
  <c r="K334" i="3"/>
  <c r="J334" i="3"/>
  <c r="I334" i="3"/>
  <c r="AS333" i="3"/>
  <c r="AF333" i="3"/>
  <c r="AE333" i="3"/>
  <c r="AC333" i="3"/>
  <c r="AB333" i="3"/>
  <c r="AA333" i="3"/>
  <c r="N333" i="3"/>
  <c r="M333" i="3"/>
  <c r="K333" i="3"/>
  <c r="J333" i="3"/>
  <c r="I333" i="3"/>
  <c r="AS332" i="3"/>
  <c r="AF332" i="3"/>
  <c r="AE332" i="3"/>
  <c r="AC332" i="3"/>
  <c r="AB332" i="3"/>
  <c r="AA332" i="3"/>
  <c r="N332" i="3"/>
  <c r="M332" i="3"/>
  <c r="K332" i="3"/>
  <c r="J332" i="3"/>
  <c r="I332" i="3"/>
  <c r="AS331" i="3"/>
  <c r="AF331" i="3"/>
  <c r="AE331" i="3"/>
  <c r="AC331" i="3"/>
  <c r="AB331" i="3"/>
  <c r="AA331" i="3"/>
  <c r="N331" i="3"/>
  <c r="M331" i="3"/>
  <c r="K331" i="3"/>
  <c r="J331" i="3"/>
  <c r="I331" i="3"/>
  <c r="AS330" i="3"/>
  <c r="AF330" i="3"/>
  <c r="AE330" i="3"/>
  <c r="AC330" i="3"/>
  <c r="AB330" i="3"/>
  <c r="AA330" i="3"/>
  <c r="N330" i="3"/>
  <c r="M330" i="3"/>
  <c r="K330" i="3"/>
  <c r="J330" i="3"/>
  <c r="I330" i="3"/>
  <c r="AT329" i="3" a="1"/>
  <c r="AT329" i="3" s="1"/>
  <c r="AS329" i="3"/>
  <c r="AF329" i="3"/>
  <c r="AE329" i="3"/>
  <c r="AC329" i="3"/>
  <c r="AB329" i="3"/>
  <c r="AA329" i="3"/>
  <c r="N329" i="3"/>
  <c r="M329" i="3"/>
  <c r="K329" i="3"/>
  <c r="J329" i="3"/>
  <c r="I329" i="3"/>
  <c r="AS328" i="3"/>
  <c r="AF328" i="3"/>
  <c r="AE328" i="3"/>
  <c r="AC328" i="3"/>
  <c r="AB328" i="3"/>
  <c r="AA328" i="3"/>
  <c r="N328" i="3"/>
  <c r="M328" i="3"/>
  <c r="K328" i="3"/>
  <c r="J328" i="3"/>
  <c r="I328" i="3"/>
  <c r="AS327" i="3"/>
  <c r="AF327" i="3"/>
  <c r="AE327" i="3"/>
  <c r="AC327" i="3"/>
  <c r="AB327" i="3"/>
  <c r="AA327" i="3"/>
  <c r="N327" i="3"/>
  <c r="M327" i="3"/>
  <c r="K327" i="3"/>
  <c r="J327" i="3"/>
  <c r="I327" i="3"/>
  <c r="AS326" i="3"/>
  <c r="AF326" i="3"/>
  <c r="AE326" i="3"/>
  <c r="AC326" i="3"/>
  <c r="AB326" i="3"/>
  <c r="AA326" i="3"/>
  <c r="N326" i="3"/>
  <c r="M326" i="3"/>
  <c r="K326" i="3"/>
  <c r="J326" i="3"/>
  <c r="I326" i="3"/>
  <c r="AS325" i="3"/>
  <c r="AF325" i="3"/>
  <c r="AE325" i="3"/>
  <c r="AC325" i="3"/>
  <c r="AB325" i="3"/>
  <c r="AA325" i="3"/>
  <c r="N325" i="3"/>
  <c r="M325" i="3"/>
  <c r="K325" i="3"/>
  <c r="J325" i="3"/>
  <c r="I325" i="3"/>
  <c r="AS324" i="3"/>
  <c r="AF324" i="3"/>
  <c r="AE324" i="3"/>
  <c r="AC324" i="3"/>
  <c r="AB324" i="3"/>
  <c r="AA324" i="3"/>
  <c r="N324" i="3"/>
  <c r="M324" i="3"/>
  <c r="K324" i="3"/>
  <c r="J324" i="3"/>
  <c r="I324" i="3"/>
  <c r="AT323" i="3" a="1"/>
  <c r="AT323" i="3" s="1"/>
  <c r="AS323" i="3"/>
  <c r="AF323" i="3"/>
  <c r="AE323" i="3"/>
  <c r="AC323" i="3"/>
  <c r="AB323" i="3"/>
  <c r="AA323" i="3"/>
  <c r="N323" i="3"/>
  <c r="M323" i="3"/>
  <c r="K323" i="3"/>
  <c r="J323" i="3"/>
  <c r="I323" i="3"/>
  <c r="BA299" i="7"/>
  <c r="AJ299" i="7"/>
  <c r="AI299" i="7"/>
  <c r="AG299" i="7"/>
  <c r="AF299" i="7"/>
  <c r="AE299" i="7"/>
  <c r="N299" i="7"/>
  <c r="M299" i="7"/>
  <c r="K299" i="7"/>
  <c r="J299" i="7"/>
  <c r="I299" i="7"/>
  <c r="BA298" i="7"/>
  <c r="AJ298" i="7"/>
  <c r="AI298" i="7"/>
  <c r="AG298" i="7"/>
  <c r="AF298" i="7"/>
  <c r="AE298" i="7"/>
  <c r="N298" i="7"/>
  <c r="M298" i="7"/>
  <c r="K298" i="7"/>
  <c r="J298" i="7"/>
  <c r="I298" i="7"/>
  <c r="BA297" i="7"/>
  <c r="AJ297" i="7"/>
  <c r="AI297" i="7"/>
  <c r="AG297" i="7"/>
  <c r="AF297" i="7"/>
  <c r="AE297" i="7"/>
  <c r="N297" i="7"/>
  <c r="M297" i="7"/>
  <c r="K297" i="7"/>
  <c r="J297" i="7"/>
  <c r="I297" i="7"/>
  <c r="BA296" i="7"/>
  <c r="AJ296" i="7"/>
  <c r="AI296" i="7"/>
  <c r="AG296" i="7"/>
  <c r="AF296" i="7"/>
  <c r="AE296" i="7"/>
  <c r="N296" i="7"/>
  <c r="M296" i="7"/>
  <c r="K296" i="7"/>
  <c r="J296" i="7"/>
  <c r="I296" i="7"/>
  <c r="BB295" i="7" a="1"/>
  <c r="BB295" i="7" s="1"/>
  <c r="BA295" i="7"/>
  <c r="AJ295" i="7"/>
  <c r="AI295" i="7"/>
  <c r="AG295" i="7"/>
  <c r="AF295" i="7"/>
  <c r="AE295" i="7"/>
  <c r="N295" i="7"/>
  <c r="M295" i="7"/>
  <c r="K295" i="7"/>
  <c r="J295" i="7"/>
  <c r="I295" i="7"/>
  <c r="BA294" i="7"/>
  <c r="AJ294" i="7"/>
  <c r="AI294" i="7"/>
  <c r="AG294" i="7"/>
  <c r="AF294" i="7"/>
  <c r="AE294" i="7"/>
  <c r="N294" i="7"/>
  <c r="M294" i="7"/>
  <c r="K294" i="7"/>
  <c r="J294" i="7"/>
  <c r="I294" i="7"/>
  <c r="BA293" i="7"/>
  <c r="AJ293" i="7"/>
  <c r="AI293" i="7"/>
  <c r="AG293" i="7"/>
  <c r="AF293" i="7"/>
  <c r="AE293" i="7"/>
  <c r="N293" i="7"/>
  <c r="M293" i="7"/>
  <c r="K293" i="7"/>
  <c r="J293" i="7"/>
  <c r="I293" i="7"/>
  <c r="BA292" i="7"/>
  <c r="AJ292" i="7"/>
  <c r="AI292" i="7"/>
  <c r="AG292" i="7"/>
  <c r="AF292" i="7"/>
  <c r="AE292" i="7"/>
  <c r="N292" i="7"/>
  <c r="M292" i="7"/>
  <c r="K292" i="7"/>
  <c r="J292" i="7"/>
  <c r="I292" i="7"/>
  <c r="BA291" i="7"/>
  <c r="AJ291" i="7"/>
  <c r="AI291" i="7"/>
  <c r="AG291" i="7"/>
  <c r="AF291" i="7"/>
  <c r="AE291" i="7"/>
  <c r="N291" i="7"/>
  <c r="M291" i="7"/>
  <c r="K291" i="7"/>
  <c r="J291" i="7"/>
  <c r="I291" i="7"/>
  <c r="BB290" i="7" a="1"/>
  <c r="BB290" i="7" s="1"/>
  <c r="BA290" i="7"/>
  <c r="AJ290" i="7"/>
  <c r="AI290" i="7"/>
  <c r="AG290" i="7"/>
  <c r="AF290" i="7"/>
  <c r="AE290" i="7"/>
  <c r="N290" i="7"/>
  <c r="M290" i="7"/>
  <c r="K290" i="7"/>
  <c r="J290" i="7"/>
  <c r="I290" i="7"/>
  <c r="BA289" i="7"/>
  <c r="AJ289" i="7"/>
  <c r="AI289" i="7"/>
  <c r="AG289" i="7"/>
  <c r="AF289" i="7"/>
  <c r="AE289" i="7"/>
  <c r="N289" i="7"/>
  <c r="M289" i="7"/>
  <c r="K289" i="7"/>
  <c r="J289" i="7"/>
  <c r="I289" i="7"/>
  <c r="BA288" i="7"/>
  <c r="AJ288" i="7"/>
  <c r="AI288" i="7"/>
  <c r="AG288" i="7"/>
  <c r="AF288" i="7"/>
  <c r="AE288" i="7"/>
  <c r="N288" i="7"/>
  <c r="M288" i="7"/>
  <c r="K288" i="7"/>
  <c r="J288" i="7"/>
  <c r="I288" i="7"/>
  <c r="BA287" i="7"/>
  <c r="AJ287" i="7"/>
  <c r="AI287" i="7"/>
  <c r="AG287" i="7"/>
  <c r="AF287" i="7"/>
  <c r="AE287" i="7"/>
  <c r="N287" i="7"/>
  <c r="M287" i="7"/>
  <c r="K287" i="7"/>
  <c r="J287" i="7"/>
  <c r="I287" i="7"/>
  <c r="BA286" i="7"/>
  <c r="AJ286" i="7"/>
  <c r="AI286" i="7"/>
  <c r="AG286" i="7"/>
  <c r="AF286" i="7"/>
  <c r="AE286" i="7"/>
  <c r="N286" i="7"/>
  <c r="M286" i="7"/>
  <c r="K286" i="7"/>
  <c r="J286" i="7"/>
  <c r="I286" i="7"/>
  <c r="BB285" i="7" a="1"/>
  <c r="BB285" i="7" s="1"/>
  <c r="BA285" i="7"/>
  <c r="AJ285" i="7"/>
  <c r="AI285" i="7"/>
  <c r="AG285" i="7"/>
  <c r="AF285" i="7"/>
  <c r="AE285" i="7"/>
  <c r="N285" i="7"/>
  <c r="M285" i="7"/>
  <c r="K285" i="7"/>
  <c r="J285" i="7"/>
  <c r="I285" i="7"/>
  <c r="BA264" i="7"/>
  <c r="AJ264" i="7"/>
  <c r="AI264" i="7"/>
  <c r="AG264" i="7"/>
  <c r="AF264" i="7"/>
  <c r="AE264" i="7"/>
  <c r="N264" i="7"/>
  <c r="M264" i="7"/>
  <c r="K264" i="7"/>
  <c r="J264" i="7"/>
  <c r="I264" i="7"/>
  <c r="BA263" i="7"/>
  <c r="AJ263" i="7"/>
  <c r="AI263" i="7"/>
  <c r="AG263" i="7"/>
  <c r="AF263" i="7"/>
  <c r="AE263" i="7"/>
  <c r="N263" i="7"/>
  <c r="M263" i="7"/>
  <c r="K263" i="7"/>
  <c r="J263" i="7"/>
  <c r="I263" i="7"/>
  <c r="BA262" i="7"/>
  <c r="AJ262" i="7"/>
  <c r="AI262" i="7"/>
  <c r="AG262" i="7"/>
  <c r="AF262" i="7"/>
  <c r="AE262" i="7"/>
  <c r="N262" i="7"/>
  <c r="M262" i="7"/>
  <c r="K262" i="7"/>
  <c r="J262" i="7"/>
  <c r="I262" i="7"/>
  <c r="BA261" i="7"/>
  <c r="AJ261" i="7"/>
  <c r="AI261" i="7"/>
  <c r="AG261" i="7"/>
  <c r="AF261" i="7"/>
  <c r="AE261" i="7"/>
  <c r="N261" i="7"/>
  <c r="M261" i="7"/>
  <c r="K261" i="7"/>
  <c r="J261" i="7"/>
  <c r="I261" i="7"/>
  <c r="BB260" i="7" a="1"/>
  <c r="BB260" i="7" s="1"/>
  <c r="BA260" i="7"/>
  <c r="AJ260" i="7"/>
  <c r="AI260" i="7"/>
  <c r="AG260" i="7"/>
  <c r="AF260" i="7"/>
  <c r="AE260" i="7"/>
  <c r="N260" i="7"/>
  <c r="M260" i="7"/>
  <c r="K260" i="7"/>
  <c r="J260" i="7"/>
  <c r="I260" i="7"/>
  <c r="BA259" i="7"/>
  <c r="AJ259" i="7"/>
  <c r="AI259" i="7"/>
  <c r="AG259" i="7"/>
  <c r="AF259" i="7"/>
  <c r="AE259" i="7"/>
  <c r="N259" i="7"/>
  <c r="M259" i="7"/>
  <c r="K259" i="7"/>
  <c r="J259" i="7"/>
  <c r="I259" i="7"/>
  <c r="BA258" i="7"/>
  <c r="AJ258" i="7"/>
  <c r="AI258" i="7"/>
  <c r="AG258" i="7"/>
  <c r="AF258" i="7"/>
  <c r="AE258" i="7"/>
  <c r="N258" i="7"/>
  <c r="M258" i="7"/>
  <c r="K258" i="7"/>
  <c r="J258" i="7"/>
  <c r="I258" i="7"/>
  <c r="BA257" i="7"/>
  <c r="AJ257" i="7"/>
  <c r="AI257" i="7"/>
  <c r="AG257" i="7"/>
  <c r="AF257" i="7"/>
  <c r="AE257" i="7"/>
  <c r="N257" i="7"/>
  <c r="M257" i="7"/>
  <c r="K257" i="7"/>
  <c r="J257" i="7"/>
  <c r="I257" i="7"/>
  <c r="BA256" i="7"/>
  <c r="AJ256" i="7"/>
  <c r="AI256" i="7"/>
  <c r="AG256" i="7"/>
  <c r="AF256" i="7"/>
  <c r="AE256" i="7"/>
  <c r="N256" i="7"/>
  <c r="M256" i="7"/>
  <c r="K256" i="7"/>
  <c r="J256" i="7"/>
  <c r="I256" i="7"/>
  <c r="BB255" i="7" a="1"/>
  <c r="BB255" i="7" s="1"/>
  <c r="BA255" i="7"/>
  <c r="AJ255" i="7"/>
  <c r="AI255" i="7"/>
  <c r="AG255" i="7"/>
  <c r="AF255" i="7"/>
  <c r="AE255" i="7"/>
  <c r="N255" i="7"/>
  <c r="M255" i="7"/>
  <c r="K255" i="7"/>
  <c r="J255" i="7"/>
  <c r="I255" i="7"/>
  <c r="BA254" i="7"/>
  <c r="AJ254" i="7"/>
  <c r="AI254" i="7"/>
  <c r="AG254" i="7"/>
  <c r="AF254" i="7"/>
  <c r="AE254" i="7"/>
  <c r="N254" i="7"/>
  <c r="M254" i="7"/>
  <c r="K254" i="7"/>
  <c r="J254" i="7"/>
  <c r="I254" i="7"/>
  <c r="BA253" i="7"/>
  <c r="AJ253" i="7"/>
  <c r="AI253" i="7"/>
  <c r="AG253" i="7"/>
  <c r="AF253" i="7"/>
  <c r="AE253" i="7"/>
  <c r="N253" i="7"/>
  <c r="M253" i="7"/>
  <c r="K253" i="7"/>
  <c r="J253" i="7"/>
  <c r="I253" i="7"/>
  <c r="BA252" i="7"/>
  <c r="AJ252" i="7"/>
  <c r="AI252" i="7"/>
  <c r="AG252" i="7"/>
  <c r="AF252" i="7"/>
  <c r="AE252" i="7"/>
  <c r="N252" i="7"/>
  <c r="M252" i="7"/>
  <c r="K252" i="7"/>
  <c r="J252" i="7"/>
  <c r="I252" i="7"/>
  <c r="BA251" i="7"/>
  <c r="AJ251" i="7"/>
  <c r="AI251" i="7"/>
  <c r="AG251" i="7"/>
  <c r="AF251" i="7"/>
  <c r="AE251" i="7"/>
  <c r="N251" i="7"/>
  <c r="M251" i="7"/>
  <c r="K251" i="7"/>
  <c r="J251" i="7"/>
  <c r="I251" i="7"/>
  <c r="BB250" i="7" a="1"/>
  <c r="BB250" i="7" s="1"/>
  <c r="BB305" i="7" s="1"/>
  <c r="BA250" i="7"/>
  <c r="AJ250" i="7"/>
  <c r="AI250" i="7"/>
  <c r="AI305" i="7" s="1"/>
  <c r="AG250" i="7"/>
  <c r="AF250" i="7"/>
  <c r="AE250" i="7"/>
  <c r="N250" i="7"/>
  <c r="M250" i="7"/>
  <c r="K250" i="7"/>
  <c r="J250" i="7"/>
  <c r="I250" i="7"/>
  <c r="BA249" i="7"/>
  <c r="AJ249" i="7"/>
  <c r="AI249" i="7"/>
  <c r="AH249" i="7"/>
  <c r="AG249" i="7"/>
  <c r="AF249" i="7"/>
  <c r="AE249" i="7"/>
  <c r="N249" i="7"/>
  <c r="M249" i="7"/>
  <c r="L249" i="7"/>
  <c r="K249" i="7"/>
  <c r="J249" i="7"/>
  <c r="I249" i="7"/>
  <c r="BA248" i="7"/>
  <c r="AJ248" i="7"/>
  <c r="AI248" i="7"/>
  <c r="AH248" i="7"/>
  <c r="AG248" i="7"/>
  <c r="AF248" i="7"/>
  <c r="AE248" i="7"/>
  <c r="N248" i="7"/>
  <c r="M248" i="7"/>
  <c r="L248" i="7"/>
  <c r="K248" i="7"/>
  <c r="J248" i="7"/>
  <c r="I248" i="7"/>
  <c r="BA247" i="7"/>
  <c r="AJ247" i="7"/>
  <c r="AI247" i="7"/>
  <c r="AH247" i="7"/>
  <c r="AG247" i="7"/>
  <c r="AF247" i="7"/>
  <c r="AE247" i="7"/>
  <c r="N247" i="7"/>
  <c r="M247" i="7"/>
  <c r="L247" i="7"/>
  <c r="K247" i="7"/>
  <c r="J247" i="7"/>
  <c r="I247" i="7"/>
  <c r="BA246" i="7"/>
  <c r="AJ246" i="7"/>
  <c r="AI246" i="7"/>
  <c r="AH246" i="7"/>
  <c r="AG246" i="7"/>
  <c r="AF246" i="7"/>
  <c r="AE246" i="7"/>
  <c r="N246" i="7"/>
  <c r="M246" i="7"/>
  <c r="L246" i="7"/>
  <c r="K246" i="7"/>
  <c r="J246" i="7"/>
  <c r="I246" i="7"/>
  <c r="BB245" i="7" a="1"/>
  <c r="BB245" i="7" s="1"/>
  <c r="BA245" i="7"/>
  <c r="AJ245" i="7"/>
  <c r="AI245" i="7"/>
  <c r="AH245" i="7"/>
  <c r="AG245" i="7"/>
  <c r="AF245" i="7"/>
  <c r="AE245" i="7"/>
  <c r="N245" i="7"/>
  <c r="M245" i="7"/>
  <c r="L245" i="7"/>
  <c r="K245" i="7"/>
  <c r="J245" i="7"/>
  <c r="I245" i="7"/>
  <c r="BA244" i="7"/>
  <c r="AJ244" i="7"/>
  <c r="AI244" i="7"/>
  <c r="AH244" i="7"/>
  <c r="AG244" i="7"/>
  <c r="AF244" i="7"/>
  <c r="AE244" i="7"/>
  <c r="N244" i="7"/>
  <c r="M244" i="7"/>
  <c r="L244" i="7"/>
  <c r="K244" i="7"/>
  <c r="J244" i="7"/>
  <c r="I244" i="7"/>
  <c r="BA243" i="7"/>
  <c r="AJ243" i="7"/>
  <c r="AI243" i="7"/>
  <c r="AH243" i="7"/>
  <c r="AG243" i="7"/>
  <c r="AF243" i="7"/>
  <c r="AE243" i="7"/>
  <c r="N243" i="7"/>
  <c r="M243" i="7"/>
  <c r="L243" i="7"/>
  <c r="K243" i="7"/>
  <c r="J243" i="7"/>
  <c r="I243" i="7"/>
  <c r="BA242" i="7"/>
  <c r="AJ242" i="7"/>
  <c r="AI242" i="7"/>
  <c r="AH242" i="7"/>
  <c r="AG242" i="7"/>
  <c r="AF242" i="7"/>
  <c r="AE242" i="7"/>
  <c r="N242" i="7"/>
  <c r="M242" i="7"/>
  <c r="L242" i="7"/>
  <c r="K242" i="7"/>
  <c r="J242" i="7"/>
  <c r="I242" i="7"/>
  <c r="BA241" i="7"/>
  <c r="AJ241" i="7"/>
  <c r="AI241" i="7"/>
  <c r="AH241" i="7"/>
  <c r="AG241" i="7"/>
  <c r="AF241" i="7"/>
  <c r="AE241" i="7"/>
  <c r="N241" i="7"/>
  <c r="M241" i="7"/>
  <c r="L241" i="7"/>
  <c r="K241" i="7"/>
  <c r="J241" i="7"/>
  <c r="I241" i="7"/>
  <c r="BB240" i="7" a="1"/>
  <c r="BB240" i="7" s="1"/>
  <c r="BA240" i="7"/>
  <c r="AJ240" i="7"/>
  <c r="AI240" i="7"/>
  <c r="AH240" i="7"/>
  <c r="AG240" i="7"/>
  <c r="AF240" i="7"/>
  <c r="AE240" i="7"/>
  <c r="N240" i="7"/>
  <c r="M240" i="7"/>
  <c r="L240" i="7"/>
  <c r="K240" i="7"/>
  <c r="J240" i="7"/>
  <c r="I240" i="7"/>
  <c r="BA239" i="7"/>
  <c r="AJ239" i="7"/>
  <c r="AI239" i="7"/>
  <c r="AH239" i="7"/>
  <c r="AG239" i="7"/>
  <c r="AF239" i="7"/>
  <c r="AE239" i="7"/>
  <c r="N239" i="7"/>
  <c r="M239" i="7"/>
  <c r="L239" i="7"/>
  <c r="K239" i="7"/>
  <c r="J239" i="7"/>
  <c r="I239" i="7"/>
  <c r="BA238" i="7"/>
  <c r="AJ238" i="7"/>
  <c r="AI238" i="7"/>
  <c r="AH238" i="7"/>
  <c r="AG238" i="7"/>
  <c r="AF238" i="7"/>
  <c r="AE238" i="7"/>
  <c r="N238" i="7"/>
  <c r="M238" i="7"/>
  <c r="L238" i="7"/>
  <c r="K238" i="7"/>
  <c r="J238" i="7"/>
  <c r="I238" i="7"/>
  <c r="BA237" i="7"/>
  <c r="AJ237" i="7"/>
  <c r="AI237" i="7"/>
  <c r="AH237" i="7"/>
  <c r="AG237" i="7"/>
  <c r="AF237" i="7"/>
  <c r="AE237" i="7"/>
  <c r="N237" i="7"/>
  <c r="M237" i="7"/>
  <c r="L237" i="7"/>
  <c r="K237" i="7"/>
  <c r="J237" i="7"/>
  <c r="I237" i="7"/>
  <c r="BA236" i="7"/>
  <c r="AJ236" i="7"/>
  <c r="AI236" i="7"/>
  <c r="AH236" i="7"/>
  <c r="AG236" i="7"/>
  <c r="AF236" i="7"/>
  <c r="AE236" i="7"/>
  <c r="N236" i="7"/>
  <c r="M236" i="7"/>
  <c r="L236" i="7"/>
  <c r="K236" i="7"/>
  <c r="J236" i="7"/>
  <c r="I236" i="7"/>
  <c r="BB235" i="7" a="1"/>
  <c r="BB235" i="7" s="1"/>
  <c r="BA235" i="7"/>
  <c r="AJ235" i="7"/>
  <c r="AI235" i="7"/>
  <c r="AH235" i="7"/>
  <c r="AG235" i="7"/>
  <c r="AF235" i="7"/>
  <c r="AE235" i="7"/>
  <c r="N235" i="7"/>
  <c r="M235" i="7"/>
  <c r="L235" i="7"/>
  <c r="K235" i="7"/>
  <c r="J235" i="7"/>
  <c r="I235" i="7"/>
  <c r="BA234" i="7"/>
  <c r="AJ234" i="7"/>
  <c r="AH234" i="7"/>
  <c r="AG234" i="7"/>
  <c r="AF234" i="7"/>
  <c r="AE234" i="7"/>
  <c r="N234" i="7"/>
  <c r="L234" i="7"/>
  <c r="K234" i="7"/>
  <c r="J234" i="7"/>
  <c r="I234" i="7"/>
  <c r="BA233" i="7"/>
  <c r="AJ233" i="7"/>
  <c r="AH233" i="7"/>
  <c r="AG233" i="7"/>
  <c r="AF233" i="7"/>
  <c r="AE233" i="7"/>
  <c r="N233" i="7"/>
  <c r="L233" i="7"/>
  <c r="K233" i="7"/>
  <c r="J233" i="7"/>
  <c r="I233" i="7"/>
  <c r="BA232" i="7"/>
  <c r="AJ232" i="7"/>
  <c r="AH232" i="7"/>
  <c r="AG232" i="7"/>
  <c r="AF232" i="7"/>
  <c r="AE232" i="7"/>
  <c r="N232" i="7"/>
  <c r="L232" i="7"/>
  <c r="K232" i="7"/>
  <c r="J232" i="7"/>
  <c r="I232" i="7"/>
  <c r="BA231" i="7"/>
  <c r="AJ231" i="7"/>
  <c r="AH231" i="7"/>
  <c r="AG231" i="7"/>
  <c r="AF231" i="7"/>
  <c r="AE231" i="7"/>
  <c r="N231" i="7"/>
  <c r="L231" i="7"/>
  <c r="K231" i="7"/>
  <c r="J231" i="7"/>
  <c r="I231" i="7"/>
  <c r="BB230" i="7" a="1"/>
  <c r="BB230" i="7" s="1"/>
  <c r="BA230" i="7"/>
  <c r="AJ230" i="7"/>
  <c r="AH230" i="7"/>
  <c r="AG230" i="7"/>
  <c r="AF230" i="7"/>
  <c r="AE230" i="7"/>
  <c r="N230" i="7"/>
  <c r="L230" i="7"/>
  <c r="K230" i="7"/>
  <c r="J230" i="7"/>
  <c r="I230" i="7"/>
  <c r="BA229" i="7"/>
  <c r="AJ229" i="7"/>
  <c r="AH229" i="7"/>
  <c r="AG229" i="7"/>
  <c r="AF229" i="7"/>
  <c r="AE229" i="7"/>
  <c r="N229" i="7"/>
  <c r="L229" i="7"/>
  <c r="K229" i="7"/>
  <c r="J229" i="7"/>
  <c r="I229" i="7"/>
  <c r="BA228" i="7"/>
  <c r="AJ228" i="7"/>
  <c r="AH228" i="7"/>
  <c r="AG228" i="7"/>
  <c r="AF228" i="7"/>
  <c r="AE228" i="7"/>
  <c r="N228" i="7"/>
  <c r="L228" i="7"/>
  <c r="K228" i="7"/>
  <c r="J228" i="7"/>
  <c r="I228" i="7"/>
  <c r="BA227" i="7"/>
  <c r="AJ227" i="7"/>
  <c r="AH227" i="7"/>
  <c r="AG227" i="7"/>
  <c r="AF227" i="7"/>
  <c r="AE227" i="7"/>
  <c r="N227" i="7"/>
  <c r="L227" i="7"/>
  <c r="K227" i="7"/>
  <c r="J227" i="7"/>
  <c r="I227" i="7"/>
  <c r="BA226" i="7"/>
  <c r="AJ226" i="7"/>
  <c r="AH226" i="7"/>
  <c r="AG226" i="7"/>
  <c r="AF226" i="7"/>
  <c r="AE226" i="7"/>
  <c r="N226" i="7"/>
  <c r="L226" i="7"/>
  <c r="K226" i="7"/>
  <c r="J226" i="7"/>
  <c r="I226" i="7"/>
  <c r="BB225" i="7" a="1"/>
  <c r="BB225" i="7" s="1"/>
  <c r="BA225" i="7"/>
  <c r="AJ225" i="7"/>
  <c r="AH225" i="7"/>
  <c r="AG225" i="7"/>
  <c r="AF225" i="7"/>
  <c r="AE225" i="7"/>
  <c r="N225" i="7"/>
  <c r="L225" i="7"/>
  <c r="K225" i="7"/>
  <c r="J225" i="7"/>
  <c r="I225" i="7"/>
  <c r="BA224" i="7"/>
  <c r="AJ224" i="7"/>
  <c r="AH224" i="7"/>
  <c r="AG224" i="7"/>
  <c r="AF224" i="7"/>
  <c r="AE224" i="7"/>
  <c r="N224" i="7"/>
  <c r="L224" i="7"/>
  <c r="K224" i="7"/>
  <c r="J224" i="7"/>
  <c r="I224" i="7"/>
  <c r="BA223" i="7"/>
  <c r="AJ223" i="7"/>
  <c r="AH223" i="7"/>
  <c r="AG223" i="7"/>
  <c r="AF223" i="7"/>
  <c r="AE223" i="7"/>
  <c r="N223" i="7"/>
  <c r="L223" i="7"/>
  <c r="K223" i="7"/>
  <c r="J223" i="7"/>
  <c r="I223" i="7"/>
  <c r="BA222" i="7"/>
  <c r="AJ222" i="7"/>
  <c r="AH222" i="7"/>
  <c r="AG222" i="7"/>
  <c r="AF222" i="7"/>
  <c r="AE222" i="7"/>
  <c r="N222" i="7"/>
  <c r="L222" i="7"/>
  <c r="K222" i="7"/>
  <c r="J222" i="7"/>
  <c r="I222" i="7"/>
  <c r="BA221" i="7"/>
  <c r="AJ221" i="7"/>
  <c r="AH221" i="7"/>
  <c r="AG221" i="7"/>
  <c r="AF221" i="7"/>
  <c r="AE221" i="7"/>
  <c r="N221" i="7"/>
  <c r="L221" i="7"/>
  <c r="K221" i="7"/>
  <c r="J221" i="7"/>
  <c r="I221" i="7"/>
  <c r="BB220" i="7" a="1"/>
  <c r="BB220" i="7" s="1"/>
  <c r="BA220" i="7"/>
  <c r="AJ220" i="7"/>
  <c r="AH220" i="7"/>
  <c r="AG220" i="7"/>
  <c r="AF220" i="7"/>
  <c r="AE220" i="7"/>
  <c r="N220" i="7"/>
  <c r="L220" i="7"/>
  <c r="K220" i="7"/>
  <c r="J220" i="7"/>
  <c r="I220" i="7"/>
  <c r="BA219" i="7"/>
  <c r="AJ219" i="7"/>
  <c r="AH219" i="7"/>
  <c r="AG219" i="7"/>
  <c r="AF219" i="7"/>
  <c r="AE219" i="7"/>
  <c r="N219" i="7"/>
  <c r="L219" i="7"/>
  <c r="K219" i="7"/>
  <c r="J219" i="7"/>
  <c r="I219" i="7"/>
  <c r="BA218" i="7"/>
  <c r="AJ218" i="7"/>
  <c r="AH218" i="7"/>
  <c r="AG218" i="7"/>
  <c r="AF218" i="7"/>
  <c r="AE218" i="7"/>
  <c r="N218" i="7"/>
  <c r="L218" i="7"/>
  <c r="K218" i="7"/>
  <c r="J218" i="7"/>
  <c r="I218" i="7"/>
  <c r="BA217" i="7"/>
  <c r="AJ217" i="7"/>
  <c r="AH217" i="7"/>
  <c r="AG217" i="7"/>
  <c r="AF217" i="7"/>
  <c r="AE217" i="7"/>
  <c r="N217" i="7"/>
  <c r="L217" i="7"/>
  <c r="K217" i="7"/>
  <c r="J217" i="7"/>
  <c r="I217" i="7"/>
  <c r="BA216" i="7"/>
  <c r="AJ216" i="7"/>
  <c r="AH216" i="7"/>
  <c r="AG216" i="7"/>
  <c r="AF216" i="7"/>
  <c r="AE216" i="7"/>
  <c r="N216" i="7"/>
  <c r="L216" i="7"/>
  <c r="K216" i="7"/>
  <c r="J216" i="7"/>
  <c r="I216" i="7"/>
  <c r="BB215" i="7" a="1"/>
  <c r="BB215" i="7" s="1"/>
  <c r="BA215" i="7"/>
  <c r="AJ215" i="7"/>
  <c r="AH215" i="7"/>
  <c r="AG215" i="7"/>
  <c r="AF215" i="7"/>
  <c r="AE215" i="7"/>
  <c r="N215" i="7"/>
  <c r="L215" i="7"/>
  <c r="K215" i="7"/>
  <c r="J215" i="7"/>
  <c r="I215" i="7"/>
  <c r="BA214" i="7"/>
  <c r="AJ214" i="7"/>
  <c r="AH214" i="7"/>
  <c r="AG214" i="7"/>
  <c r="AF214" i="7"/>
  <c r="AE214" i="7"/>
  <c r="N214" i="7"/>
  <c r="L214" i="7"/>
  <c r="K214" i="7"/>
  <c r="J214" i="7"/>
  <c r="I214" i="7"/>
  <c r="BA213" i="7"/>
  <c r="AJ213" i="7"/>
  <c r="AH213" i="7"/>
  <c r="AG213" i="7"/>
  <c r="AF213" i="7"/>
  <c r="AE213" i="7"/>
  <c r="N213" i="7"/>
  <c r="L213" i="7"/>
  <c r="K213" i="7"/>
  <c r="J213" i="7"/>
  <c r="I213" i="7"/>
  <c r="BA212" i="7"/>
  <c r="AJ212" i="7"/>
  <c r="AH212" i="7"/>
  <c r="AG212" i="7"/>
  <c r="AF212" i="7"/>
  <c r="AE212" i="7"/>
  <c r="N212" i="7"/>
  <c r="L212" i="7"/>
  <c r="K212" i="7"/>
  <c r="J212" i="7"/>
  <c r="I212" i="7"/>
  <c r="BA211" i="7"/>
  <c r="AJ211" i="7"/>
  <c r="AH211" i="7"/>
  <c r="AG211" i="7"/>
  <c r="AF211" i="7"/>
  <c r="AE211" i="7"/>
  <c r="N211" i="7"/>
  <c r="L211" i="7"/>
  <c r="K211" i="7"/>
  <c r="J211" i="7"/>
  <c r="I211" i="7"/>
  <c r="BB210" i="7" a="1"/>
  <c r="BB210" i="7" s="1"/>
  <c r="BA210" i="7"/>
  <c r="AJ210" i="7"/>
  <c r="AH210" i="7"/>
  <c r="AG210" i="7"/>
  <c r="AF210" i="7"/>
  <c r="AE210" i="7"/>
  <c r="N210" i="7"/>
  <c r="L210" i="7"/>
  <c r="K210" i="7"/>
  <c r="J210" i="7"/>
  <c r="I210" i="7"/>
  <c r="BA209" i="7"/>
  <c r="AJ209" i="7"/>
  <c r="AH209" i="7"/>
  <c r="AG209" i="7"/>
  <c r="AF209" i="7"/>
  <c r="AE209" i="7"/>
  <c r="N209" i="7"/>
  <c r="L209" i="7"/>
  <c r="K209" i="7"/>
  <c r="J209" i="7"/>
  <c r="I209" i="7"/>
  <c r="BA208" i="7"/>
  <c r="AJ208" i="7"/>
  <c r="AH208" i="7"/>
  <c r="AG208" i="7"/>
  <c r="AF208" i="7"/>
  <c r="AE208" i="7"/>
  <c r="N208" i="7"/>
  <c r="L208" i="7"/>
  <c r="K208" i="7"/>
  <c r="J208" i="7"/>
  <c r="I208" i="7"/>
  <c r="BA207" i="7"/>
  <c r="AJ207" i="7"/>
  <c r="AH207" i="7"/>
  <c r="AG207" i="7"/>
  <c r="AF207" i="7"/>
  <c r="AE207" i="7"/>
  <c r="N207" i="7"/>
  <c r="L207" i="7"/>
  <c r="K207" i="7"/>
  <c r="J207" i="7"/>
  <c r="I207" i="7"/>
  <c r="BA206" i="7"/>
  <c r="AJ206" i="7"/>
  <c r="AH206" i="7"/>
  <c r="AG206" i="7"/>
  <c r="AF206" i="7"/>
  <c r="AE206" i="7"/>
  <c r="N206" i="7"/>
  <c r="L206" i="7"/>
  <c r="K206" i="7"/>
  <c r="J206" i="7"/>
  <c r="I206" i="7"/>
  <c r="BB205" i="7" a="1"/>
  <c r="BB205" i="7" s="1"/>
  <c r="BA205" i="7"/>
  <c r="AJ205" i="7"/>
  <c r="AH205" i="7"/>
  <c r="AG205" i="7"/>
  <c r="AF205" i="7"/>
  <c r="AE205" i="7"/>
  <c r="N205" i="7"/>
  <c r="L205" i="7"/>
  <c r="K205" i="7"/>
  <c r="J205" i="7"/>
  <c r="I205" i="7"/>
  <c r="BA204" i="7"/>
  <c r="AJ204" i="7"/>
  <c r="AH204" i="7"/>
  <c r="AG204" i="7"/>
  <c r="AF204" i="7"/>
  <c r="AE204" i="7"/>
  <c r="N204" i="7"/>
  <c r="L204" i="7"/>
  <c r="K204" i="7"/>
  <c r="J204" i="7"/>
  <c r="I204" i="7"/>
  <c r="BA203" i="7"/>
  <c r="AJ203" i="7"/>
  <c r="AH203" i="7"/>
  <c r="AG203" i="7"/>
  <c r="AF203" i="7"/>
  <c r="AE203" i="7"/>
  <c r="N203" i="7"/>
  <c r="L203" i="7"/>
  <c r="K203" i="7"/>
  <c r="J203" i="7"/>
  <c r="I203" i="7"/>
  <c r="BA202" i="7"/>
  <c r="AJ202" i="7"/>
  <c r="AH202" i="7"/>
  <c r="AG202" i="7"/>
  <c r="AF202" i="7"/>
  <c r="AE202" i="7"/>
  <c r="N202" i="7"/>
  <c r="L202" i="7"/>
  <c r="K202" i="7"/>
  <c r="J202" i="7"/>
  <c r="I202" i="7"/>
  <c r="BA201" i="7"/>
  <c r="AJ201" i="7"/>
  <c r="AH201" i="7"/>
  <c r="AG201" i="7"/>
  <c r="AF201" i="7"/>
  <c r="AE201" i="7"/>
  <c r="N201" i="7"/>
  <c r="L201" i="7"/>
  <c r="K201" i="7"/>
  <c r="J201" i="7"/>
  <c r="I201" i="7"/>
  <c r="BB200" i="7" a="1"/>
  <c r="BB200" i="7" s="1"/>
  <c r="BA200" i="7"/>
  <c r="AJ200" i="7"/>
  <c r="AH200" i="7"/>
  <c r="AG200" i="7"/>
  <c r="AF200" i="7"/>
  <c r="AE200" i="7"/>
  <c r="N200" i="7"/>
  <c r="L200" i="7"/>
  <c r="K200" i="7"/>
  <c r="J200" i="7"/>
  <c r="I200" i="7"/>
  <c r="BA199" i="7"/>
  <c r="AJ199" i="7"/>
  <c r="AH199" i="7"/>
  <c r="AG199" i="7"/>
  <c r="AF199" i="7"/>
  <c r="AE199" i="7"/>
  <c r="N199" i="7"/>
  <c r="L199" i="7"/>
  <c r="K199" i="7"/>
  <c r="J199" i="7"/>
  <c r="I199" i="7"/>
  <c r="BA198" i="7"/>
  <c r="AJ198" i="7"/>
  <c r="AH198" i="7"/>
  <c r="AG198" i="7"/>
  <c r="AF198" i="7"/>
  <c r="AE198" i="7"/>
  <c r="N198" i="7"/>
  <c r="L198" i="7"/>
  <c r="K198" i="7"/>
  <c r="J198" i="7"/>
  <c r="I198" i="7"/>
  <c r="BA197" i="7"/>
  <c r="AJ197" i="7"/>
  <c r="AH197" i="7"/>
  <c r="AG197" i="7"/>
  <c r="AF197" i="7"/>
  <c r="AE197" i="7"/>
  <c r="N197" i="7"/>
  <c r="L197" i="7"/>
  <c r="K197" i="7"/>
  <c r="J197" i="7"/>
  <c r="I197" i="7"/>
  <c r="BA196" i="7"/>
  <c r="AJ196" i="7"/>
  <c r="AH196" i="7"/>
  <c r="AG196" i="7"/>
  <c r="AF196" i="7"/>
  <c r="AE196" i="7"/>
  <c r="N196" i="7"/>
  <c r="L196" i="7"/>
  <c r="K196" i="7"/>
  <c r="J196" i="7"/>
  <c r="I196" i="7"/>
  <c r="BB195" i="7" a="1"/>
  <c r="BB195" i="7" s="1"/>
  <c r="BA195" i="7"/>
  <c r="AJ195" i="7"/>
  <c r="AH195" i="7"/>
  <c r="AG195" i="7"/>
  <c r="AF195" i="7"/>
  <c r="AE195" i="7"/>
  <c r="N195" i="7"/>
  <c r="L195" i="7"/>
  <c r="K195" i="7"/>
  <c r="J195" i="7"/>
  <c r="I195" i="7"/>
  <c r="BA194" i="7"/>
  <c r="AJ194" i="7"/>
  <c r="AH194" i="7"/>
  <c r="AG194" i="7"/>
  <c r="AF194" i="7"/>
  <c r="AE194" i="7"/>
  <c r="N194" i="7"/>
  <c r="L194" i="7"/>
  <c r="K194" i="7"/>
  <c r="J194" i="7"/>
  <c r="I194" i="7"/>
  <c r="BA193" i="7"/>
  <c r="AJ193" i="7"/>
  <c r="AH193" i="7"/>
  <c r="AG193" i="7"/>
  <c r="AF193" i="7"/>
  <c r="AE193" i="7"/>
  <c r="N193" i="7"/>
  <c r="L193" i="7"/>
  <c r="K193" i="7"/>
  <c r="J193" i="7"/>
  <c r="I193" i="7"/>
  <c r="BA192" i="7"/>
  <c r="AJ192" i="7"/>
  <c r="AH192" i="7"/>
  <c r="AG192" i="7"/>
  <c r="AF192" i="7"/>
  <c r="AE192" i="7"/>
  <c r="N192" i="7"/>
  <c r="L192" i="7"/>
  <c r="K192" i="7"/>
  <c r="J192" i="7"/>
  <c r="I192" i="7"/>
  <c r="BA191" i="7"/>
  <c r="AJ191" i="7"/>
  <c r="AH191" i="7"/>
  <c r="AG191" i="7"/>
  <c r="AF191" i="7"/>
  <c r="AE191" i="7"/>
  <c r="N191" i="7"/>
  <c r="L191" i="7"/>
  <c r="K191" i="7"/>
  <c r="J191" i="7"/>
  <c r="I191" i="7"/>
  <c r="BB190" i="7" a="1"/>
  <c r="BB190" i="7" s="1"/>
  <c r="BA190" i="7"/>
  <c r="AJ190" i="7"/>
  <c r="AH190" i="7"/>
  <c r="AG190" i="7"/>
  <c r="AF190" i="7"/>
  <c r="AE190" i="7"/>
  <c r="N190" i="7"/>
  <c r="L190" i="7"/>
  <c r="K190" i="7"/>
  <c r="J190" i="7"/>
  <c r="I190" i="7"/>
  <c r="BA189" i="7"/>
  <c r="AJ189" i="7"/>
  <c r="AH189" i="7"/>
  <c r="AG189" i="7"/>
  <c r="AF189" i="7"/>
  <c r="AE189" i="7"/>
  <c r="N189" i="7"/>
  <c r="L189" i="7"/>
  <c r="K189" i="7"/>
  <c r="J189" i="7"/>
  <c r="I189" i="7"/>
  <c r="BA188" i="7"/>
  <c r="AJ188" i="7"/>
  <c r="AH188" i="7"/>
  <c r="AG188" i="7"/>
  <c r="AF188" i="7"/>
  <c r="AE188" i="7"/>
  <c r="N188" i="7"/>
  <c r="L188" i="7"/>
  <c r="K188" i="7"/>
  <c r="J188" i="7"/>
  <c r="I188" i="7"/>
  <c r="BA187" i="7"/>
  <c r="AJ187" i="7"/>
  <c r="AH187" i="7"/>
  <c r="AG187" i="7"/>
  <c r="AF187" i="7"/>
  <c r="AE187" i="7"/>
  <c r="N187" i="7"/>
  <c r="L187" i="7"/>
  <c r="K187" i="7"/>
  <c r="J187" i="7"/>
  <c r="I187" i="7"/>
  <c r="BA186" i="7"/>
  <c r="AJ186" i="7"/>
  <c r="AH186" i="7"/>
  <c r="AG186" i="7"/>
  <c r="AF186" i="7"/>
  <c r="AE186" i="7"/>
  <c r="N186" i="7"/>
  <c r="L186" i="7"/>
  <c r="K186" i="7"/>
  <c r="J186" i="7"/>
  <c r="I186" i="7"/>
  <c r="BB185" i="7" a="1"/>
  <c r="BB185" i="7" s="1"/>
  <c r="BA185" i="7"/>
  <c r="AJ185" i="7"/>
  <c r="AH185" i="7"/>
  <c r="AG185" i="7"/>
  <c r="AF185" i="7"/>
  <c r="AE185" i="7"/>
  <c r="N185" i="7"/>
  <c r="L185" i="7"/>
  <c r="K185" i="7"/>
  <c r="J185" i="7"/>
  <c r="I185" i="7"/>
  <c r="BA184" i="7"/>
  <c r="AJ184" i="7"/>
  <c r="AH184" i="7"/>
  <c r="AG184" i="7"/>
  <c r="AF184" i="7"/>
  <c r="AE184" i="7"/>
  <c r="N184" i="7"/>
  <c r="L184" i="7"/>
  <c r="K184" i="7"/>
  <c r="J184" i="7"/>
  <c r="I184" i="7"/>
  <c r="BA183" i="7"/>
  <c r="AJ183" i="7"/>
  <c r="AH183" i="7"/>
  <c r="AG183" i="7"/>
  <c r="AF183" i="7"/>
  <c r="AE183" i="7"/>
  <c r="N183" i="7"/>
  <c r="L183" i="7"/>
  <c r="K183" i="7"/>
  <c r="J183" i="7"/>
  <c r="I183" i="7"/>
  <c r="BA182" i="7"/>
  <c r="AJ182" i="7"/>
  <c r="AH182" i="7"/>
  <c r="AG182" i="7"/>
  <c r="AF182" i="7"/>
  <c r="AE182" i="7"/>
  <c r="N182" i="7"/>
  <c r="L182" i="7"/>
  <c r="K182" i="7"/>
  <c r="J182" i="7"/>
  <c r="I182" i="7"/>
  <c r="BA181" i="7"/>
  <c r="AJ181" i="7"/>
  <c r="AH181" i="7"/>
  <c r="AG181" i="7"/>
  <c r="AF181" i="7"/>
  <c r="AE181" i="7"/>
  <c r="N181" i="7"/>
  <c r="L181" i="7"/>
  <c r="K181" i="7"/>
  <c r="J181" i="7"/>
  <c r="I181" i="7"/>
  <c r="BB180" i="7" a="1"/>
  <c r="BB180" i="7" s="1"/>
  <c r="BA180" i="7"/>
  <c r="AJ180" i="7"/>
  <c r="AH180" i="7"/>
  <c r="AG180" i="7"/>
  <c r="AF180" i="7"/>
  <c r="AE180" i="7"/>
  <c r="N180" i="7"/>
  <c r="L180" i="7"/>
  <c r="K180" i="7"/>
  <c r="J180" i="7"/>
  <c r="I180" i="7"/>
  <c r="BA179" i="7"/>
  <c r="AJ179" i="7"/>
  <c r="AH179" i="7"/>
  <c r="AG179" i="7"/>
  <c r="AF179" i="7"/>
  <c r="AE179" i="7"/>
  <c r="N179" i="7"/>
  <c r="L179" i="7"/>
  <c r="K179" i="7"/>
  <c r="J179" i="7"/>
  <c r="I179" i="7"/>
  <c r="BA178" i="7"/>
  <c r="AJ178" i="7"/>
  <c r="AH178" i="7"/>
  <c r="AG178" i="7"/>
  <c r="AF178" i="7"/>
  <c r="AE178" i="7"/>
  <c r="N178" i="7"/>
  <c r="L178" i="7"/>
  <c r="K178" i="7"/>
  <c r="J178" i="7"/>
  <c r="I178" i="7"/>
  <c r="BA177" i="7"/>
  <c r="AJ177" i="7"/>
  <c r="AH177" i="7"/>
  <c r="AG177" i="7"/>
  <c r="AF177" i="7"/>
  <c r="AE177" i="7"/>
  <c r="N177" i="7"/>
  <c r="L177" i="7"/>
  <c r="K177" i="7"/>
  <c r="J177" i="7"/>
  <c r="I177" i="7"/>
  <c r="BA176" i="7"/>
  <c r="AJ176" i="7"/>
  <c r="AH176" i="7"/>
  <c r="AG176" i="7"/>
  <c r="AF176" i="7"/>
  <c r="AE176" i="7"/>
  <c r="N176" i="7"/>
  <c r="L176" i="7"/>
  <c r="K176" i="7"/>
  <c r="J176" i="7"/>
  <c r="I176" i="7"/>
  <c r="BB175" i="7" a="1"/>
  <c r="BB175" i="7" s="1"/>
  <c r="BA175" i="7"/>
  <c r="AJ175" i="7"/>
  <c r="AH175" i="7"/>
  <c r="AG175" i="7"/>
  <c r="AF175" i="7"/>
  <c r="AE175" i="7"/>
  <c r="N175" i="7"/>
  <c r="L175" i="7"/>
  <c r="K175" i="7"/>
  <c r="J175" i="7"/>
  <c r="I175" i="7"/>
  <c r="BA174" i="7"/>
  <c r="AJ174" i="7"/>
  <c r="AH174" i="7"/>
  <c r="AG174" i="7"/>
  <c r="AF174" i="7"/>
  <c r="AE174" i="7"/>
  <c r="N174" i="7"/>
  <c r="L174" i="7"/>
  <c r="K174" i="7"/>
  <c r="J174" i="7"/>
  <c r="I174" i="7"/>
  <c r="BA173" i="7"/>
  <c r="AJ173" i="7"/>
  <c r="AH173" i="7"/>
  <c r="AG173" i="7"/>
  <c r="AF173" i="7"/>
  <c r="AE173" i="7"/>
  <c r="N173" i="7"/>
  <c r="L173" i="7"/>
  <c r="K173" i="7"/>
  <c r="J173" i="7"/>
  <c r="I173" i="7"/>
  <c r="BA172" i="7"/>
  <c r="AJ172" i="7"/>
  <c r="AH172" i="7"/>
  <c r="AG172" i="7"/>
  <c r="AF172" i="7"/>
  <c r="AE172" i="7"/>
  <c r="N172" i="7"/>
  <c r="L172" i="7"/>
  <c r="K172" i="7"/>
  <c r="J172" i="7"/>
  <c r="I172" i="7"/>
  <c r="BA171" i="7"/>
  <c r="AJ171" i="7"/>
  <c r="AH171" i="7"/>
  <c r="AG171" i="7"/>
  <c r="AF171" i="7"/>
  <c r="AE171" i="7"/>
  <c r="N171" i="7"/>
  <c r="L171" i="7"/>
  <c r="K171" i="7"/>
  <c r="J171" i="7"/>
  <c r="I171" i="7"/>
  <c r="BB170" i="7" a="1"/>
  <c r="BB170" i="7" s="1"/>
  <c r="BA170" i="7"/>
  <c r="AJ170" i="7"/>
  <c r="AH170" i="7"/>
  <c r="AG170" i="7"/>
  <c r="AF170" i="7"/>
  <c r="AE170" i="7"/>
  <c r="N170" i="7"/>
  <c r="L170" i="7"/>
  <c r="K170" i="7"/>
  <c r="J170" i="7"/>
  <c r="I170" i="7"/>
  <c r="BA169" i="7"/>
  <c r="AJ169" i="7"/>
  <c r="AH169" i="7"/>
  <c r="AG169" i="7"/>
  <c r="AF169" i="7"/>
  <c r="AE169" i="7"/>
  <c r="N169" i="7"/>
  <c r="L169" i="7"/>
  <c r="K169" i="7"/>
  <c r="J169" i="7"/>
  <c r="I169" i="7"/>
  <c r="BA168" i="7"/>
  <c r="AJ168" i="7"/>
  <c r="AH168" i="7"/>
  <c r="AG168" i="7"/>
  <c r="AF168" i="7"/>
  <c r="AE168" i="7"/>
  <c r="N168" i="7"/>
  <c r="L168" i="7"/>
  <c r="K168" i="7"/>
  <c r="J168" i="7"/>
  <c r="I168" i="7"/>
  <c r="BA167" i="7"/>
  <c r="AJ167" i="7"/>
  <c r="AH167" i="7"/>
  <c r="AG167" i="7"/>
  <c r="AF167" i="7"/>
  <c r="AE167" i="7"/>
  <c r="N167" i="7"/>
  <c r="L167" i="7"/>
  <c r="K167" i="7"/>
  <c r="J167" i="7"/>
  <c r="I167" i="7"/>
  <c r="BA166" i="7"/>
  <c r="AJ166" i="7"/>
  <c r="AH166" i="7"/>
  <c r="AG166" i="7"/>
  <c r="AF166" i="7"/>
  <c r="AE166" i="7"/>
  <c r="N166" i="7"/>
  <c r="L166" i="7"/>
  <c r="K166" i="7"/>
  <c r="J166" i="7"/>
  <c r="I166" i="7"/>
  <c r="BB165" i="7" a="1"/>
  <c r="BB165" i="7" s="1"/>
  <c r="BA165" i="7"/>
  <c r="AJ165" i="7"/>
  <c r="AH165" i="7"/>
  <c r="AG165" i="7"/>
  <c r="AF165" i="7"/>
  <c r="AE165" i="7"/>
  <c r="N165" i="7"/>
  <c r="L165" i="7"/>
  <c r="K165" i="7"/>
  <c r="J165" i="7"/>
  <c r="I165" i="7"/>
  <c r="BA164" i="7"/>
  <c r="AJ164" i="7"/>
  <c r="AH164" i="7"/>
  <c r="AG164" i="7"/>
  <c r="AF164" i="7"/>
  <c r="AE164" i="7"/>
  <c r="N164" i="7"/>
  <c r="L164" i="7"/>
  <c r="K164" i="7"/>
  <c r="J164" i="7"/>
  <c r="I164" i="7"/>
  <c r="BA163" i="7"/>
  <c r="AJ163" i="7"/>
  <c r="AH163" i="7"/>
  <c r="AG163" i="7"/>
  <c r="AF163" i="7"/>
  <c r="AE163" i="7"/>
  <c r="N163" i="7"/>
  <c r="L163" i="7"/>
  <c r="K163" i="7"/>
  <c r="J163" i="7"/>
  <c r="I163" i="7"/>
  <c r="BA162" i="7"/>
  <c r="AJ162" i="7"/>
  <c r="AH162" i="7"/>
  <c r="AG162" i="7"/>
  <c r="AF162" i="7"/>
  <c r="AE162" i="7"/>
  <c r="N162" i="7"/>
  <c r="L162" i="7"/>
  <c r="K162" i="7"/>
  <c r="J162" i="7"/>
  <c r="I162" i="7"/>
  <c r="BA161" i="7"/>
  <c r="AJ161" i="7"/>
  <c r="AH161" i="7"/>
  <c r="AG161" i="7"/>
  <c r="AF161" i="7"/>
  <c r="AE161" i="7"/>
  <c r="N161" i="7"/>
  <c r="L161" i="7"/>
  <c r="K161" i="7"/>
  <c r="J161" i="7"/>
  <c r="I161" i="7"/>
  <c r="BB160" i="7" a="1"/>
  <c r="BB160" i="7" s="1"/>
  <c r="BA160" i="7"/>
  <c r="AJ160" i="7"/>
  <c r="AH160" i="7"/>
  <c r="AG160" i="7"/>
  <c r="AF160" i="7"/>
  <c r="AE160" i="7"/>
  <c r="N160" i="7"/>
  <c r="L160" i="7"/>
  <c r="K160" i="7"/>
  <c r="J160" i="7"/>
  <c r="I160" i="7"/>
  <c r="BA159" i="7"/>
  <c r="AJ159" i="7"/>
  <c r="AH159" i="7"/>
  <c r="AG159" i="7"/>
  <c r="AF159" i="7"/>
  <c r="AE159" i="7"/>
  <c r="N159" i="7"/>
  <c r="L159" i="7"/>
  <c r="K159" i="7"/>
  <c r="J159" i="7"/>
  <c r="I159" i="7"/>
  <c r="BA158" i="7"/>
  <c r="AJ158" i="7"/>
  <c r="AH158" i="7"/>
  <c r="AG158" i="7"/>
  <c r="AF158" i="7"/>
  <c r="AE158" i="7"/>
  <c r="N158" i="7"/>
  <c r="L158" i="7"/>
  <c r="K158" i="7"/>
  <c r="J158" i="7"/>
  <c r="I158" i="7"/>
  <c r="BA157" i="7"/>
  <c r="AJ157" i="7"/>
  <c r="AH157" i="7"/>
  <c r="AG157" i="7"/>
  <c r="AF157" i="7"/>
  <c r="AE157" i="7"/>
  <c r="N157" i="7"/>
  <c r="L157" i="7"/>
  <c r="K157" i="7"/>
  <c r="J157" i="7"/>
  <c r="I157" i="7"/>
  <c r="BA156" i="7"/>
  <c r="AJ156" i="7"/>
  <c r="AH156" i="7"/>
  <c r="AG156" i="7"/>
  <c r="AF156" i="7"/>
  <c r="AE156" i="7"/>
  <c r="N156" i="7"/>
  <c r="L156" i="7"/>
  <c r="K156" i="7"/>
  <c r="J156" i="7"/>
  <c r="I156" i="7"/>
  <c r="BB155" i="7" a="1"/>
  <c r="BB155" i="7" s="1"/>
  <c r="BB303" i="7" s="1"/>
  <c r="BA155" i="7"/>
  <c r="AJ155" i="7"/>
  <c r="AH155" i="7"/>
  <c r="AG155" i="7"/>
  <c r="AF155" i="7"/>
  <c r="AE155" i="7"/>
  <c r="N155" i="7"/>
  <c r="L155" i="7"/>
  <c r="K155" i="7"/>
  <c r="J155" i="7"/>
  <c r="I155" i="7"/>
  <c r="BA154" i="7"/>
  <c r="AJ154" i="7"/>
  <c r="AH154" i="7"/>
  <c r="AG154" i="7"/>
  <c r="AF154" i="7"/>
  <c r="AE154" i="7"/>
  <c r="N154" i="7"/>
  <c r="L154" i="7"/>
  <c r="K154" i="7"/>
  <c r="J154" i="7"/>
  <c r="I154" i="7"/>
  <c r="BA153" i="7"/>
  <c r="AJ153" i="7"/>
  <c r="AH153" i="7"/>
  <c r="AG153" i="7"/>
  <c r="AF153" i="7"/>
  <c r="AE153" i="7"/>
  <c r="N153" i="7"/>
  <c r="L153" i="7"/>
  <c r="K153" i="7"/>
  <c r="J153" i="7"/>
  <c r="I153" i="7"/>
  <c r="BA152" i="7"/>
  <c r="AJ152" i="7"/>
  <c r="AH152" i="7"/>
  <c r="AG152" i="7"/>
  <c r="AF152" i="7"/>
  <c r="AE152" i="7"/>
  <c r="N152" i="7"/>
  <c r="L152" i="7"/>
  <c r="K152" i="7"/>
  <c r="J152" i="7"/>
  <c r="I152" i="7"/>
  <c r="BA151" i="7"/>
  <c r="AJ151" i="7"/>
  <c r="AH151" i="7"/>
  <c r="AG151" i="7"/>
  <c r="AF151" i="7"/>
  <c r="AE151" i="7"/>
  <c r="N151" i="7"/>
  <c r="L151" i="7"/>
  <c r="K151" i="7"/>
  <c r="J151" i="7"/>
  <c r="I151" i="7"/>
  <c r="BB150" i="7" a="1"/>
  <c r="BB150" i="7" s="1"/>
  <c r="BA150" i="7"/>
  <c r="AJ150" i="7"/>
  <c r="AH150" i="7"/>
  <c r="AG150" i="7"/>
  <c r="AF150" i="7"/>
  <c r="AE150" i="7"/>
  <c r="N150" i="7"/>
  <c r="L150" i="7"/>
  <c r="K150" i="7"/>
  <c r="J150" i="7"/>
  <c r="I150" i="7"/>
  <c r="BA149" i="7"/>
  <c r="AJ149" i="7"/>
  <c r="AH149" i="7"/>
  <c r="AG149" i="7"/>
  <c r="AF149" i="7"/>
  <c r="AE149" i="7"/>
  <c r="N149" i="7"/>
  <c r="L149" i="7"/>
  <c r="K149" i="7"/>
  <c r="J149" i="7"/>
  <c r="I149" i="7"/>
  <c r="BA148" i="7"/>
  <c r="AJ148" i="7"/>
  <c r="AH148" i="7"/>
  <c r="AG148" i="7"/>
  <c r="AF148" i="7"/>
  <c r="AE148" i="7"/>
  <c r="N148" i="7"/>
  <c r="L148" i="7"/>
  <c r="K148" i="7"/>
  <c r="J148" i="7"/>
  <c r="I148" i="7"/>
  <c r="BA147" i="7"/>
  <c r="AJ147" i="7"/>
  <c r="AH147" i="7"/>
  <c r="AG147" i="7"/>
  <c r="AF147" i="7"/>
  <c r="AE147" i="7"/>
  <c r="N147" i="7"/>
  <c r="L147" i="7"/>
  <c r="K147" i="7"/>
  <c r="J147" i="7"/>
  <c r="I147" i="7"/>
  <c r="BA146" i="7"/>
  <c r="AJ146" i="7"/>
  <c r="AH146" i="7"/>
  <c r="AG146" i="7"/>
  <c r="AF146" i="7"/>
  <c r="AE146" i="7"/>
  <c r="N146" i="7"/>
  <c r="L146" i="7"/>
  <c r="K146" i="7"/>
  <c r="J146" i="7"/>
  <c r="I146" i="7"/>
  <c r="BB145" i="7" a="1"/>
  <c r="BB145" i="7" s="1"/>
  <c r="BA145" i="7"/>
  <c r="AJ145" i="7"/>
  <c r="AH145" i="7"/>
  <c r="AG145" i="7"/>
  <c r="AF145" i="7"/>
  <c r="AE145" i="7"/>
  <c r="N145" i="7"/>
  <c r="L145" i="7"/>
  <c r="K145" i="7"/>
  <c r="J145" i="7"/>
  <c r="I145" i="7"/>
  <c r="BA144" i="7"/>
  <c r="AJ144" i="7"/>
  <c r="AH144" i="7"/>
  <c r="AG144" i="7"/>
  <c r="AF144" i="7"/>
  <c r="AE144" i="7"/>
  <c r="N144" i="7"/>
  <c r="L144" i="7"/>
  <c r="K144" i="7"/>
  <c r="J144" i="7"/>
  <c r="I144" i="7"/>
  <c r="BA143" i="7"/>
  <c r="AJ143" i="7"/>
  <c r="AH143" i="7"/>
  <c r="AG143" i="7"/>
  <c r="AF143" i="7"/>
  <c r="AE143" i="7"/>
  <c r="N143" i="7"/>
  <c r="L143" i="7"/>
  <c r="K143" i="7"/>
  <c r="J143" i="7"/>
  <c r="I143" i="7"/>
  <c r="BA142" i="7"/>
  <c r="AJ142" i="7"/>
  <c r="AH142" i="7"/>
  <c r="AG142" i="7"/>
  <c r="AF142" i="7"/>
  <c r="AE142" i="7"/>
  <c r="N142" i="7"/>
  <c r="L142" i="7"/>
  <c r="K142" i="7"/>
  <c r="J142" i="7"/>
  <c r="I142" i="7"/>
  <c r="BA141" i="7"/>
  <c r="AJ141" i="7"/>
  <c r="AH141" i="7"/>
  <c r="AG141" i="7"/>
  <c r="AF141" i="7"/>
  <c r="AE141" i="7"/>
  <c r="N141" i="7"/>
  <c r="L141" i="7"/>
  <c r="K141" i="7"/>
  <c r="J141" i="7"/>
  <c r="I141" i="7"/>
  <c r="BB140" i="7" a="1"/>
  <c r="BB140" i="7" s="1"/>
  <c r="BA140" i="7"/>
  <c r="AJ140" i="7"/>
  <c r="AH140" i="7"/>
  <c r="AG140" i="7"/>
  <c r="AF140" i="7"/>
  <c r="AE140" i="7"/>
  <c r="N140" i="7"/>
  <c r="L140" i="7"/>
  <c r="K140" i="7"/>
  <c r="J140" i="7"/>
  <c r="I140" i="7"/>
  <c r="BA139" i="7"/>
  <c r="AJ139" i="7"/>
  <c r="AH139" i="7"/>
  <c r="AG139" i="7"/>
  <c r="AF139" i="7"/>
  <c r="AE139" i="7"/>
  <c r="N139" i="7"/>
  <c r="L139" i="7"/>
  <c r="K139" i="7"/>
  <c r="J139" i="7"/>
  <c r="I139" i="7"/>
  <c r="BA138" i="7"/>
  <c r="AJ138" i="7"/>
  <c r="AH138" i="7"/>
  <c r="AG138" i="7"/>
  <c r="AF138" i="7"/>
  <c r="AE138" i="7"/>
  <c r="N138" i="7"/>
  <c r="L138" i="7"/>
  <c r="K138" i="7"/>
  <c r="J138" i="7"/>
  <c r="I138" i="7"/>
  <c r="BA137" i="7"/>
  <c r="AJ137" i="7"/>
  <c r="AH137" i="7"/>
  <c r="AG137" i="7"/>
  <c r="AF137" i="7"/>
  <c r="AE137" i="7"/>
  <c r="N137" i="7"/>
  <c r="L137" i="7"/>
  <c r="K137" i="7"/>
  <c r="J137" i="7"/>
  <c r="I137" i="7"/>
  <c r="BA136" i="7"/>
  <c r="AJ136" i="7"/>
  <c r="AH136" i="7"/>
  <c r="AG136" i="7"/>
  <c r="AF136" i="7"/>
  <c r="AE136" i="7"/>
  <c r="N136" i="7"/>
  <c r="L136" i="7"/>
  <c r="K136" i="7"/>
  <c r="J136" i="7"/>
  <c r="I136" i="7"/>
  <c r="BB135" i="7" a="1"/>
  <c r="BB135" i="7" s="1"/>
  <c r="BA135" i="7"/>
  <c r="AJ135" i="7"/>
  <c r="AH135" i="7"/>
  <c r="AG135" i="7"/>
  <c r="AF135" i="7"/>
  <c r="AE135" i="7"/>
  <c r="N135" i="7"/>
  <c r="L135" i="7"/>
  <c r="K135" i="7"/>
  <c r="J135" i="7"/>
  <c r="I135" i="7"/>
  <c r="BA134" i="7"/>
  <c r="AJ134" i="7"/>
  <c r="AH134" i="7"/>
  <c r="AG134" i="7"/>
  <c r="AF134" i="7"/>
  <c r="AE134" i="7"/>
  <c r="N134" i="7"/>
  <c r="L134" i="7"/>
  <c r="K134" i="7"/>
  <c r="J134" i="7"/>
  <c r="I134" i="7"/>
  <c r="BA133" i="7"/>
  <c r="AJ133" i="7"/>
  <c r="AH133" i="7"/>
  <c r="AG133" i="7"/>
  <c r="AF133" i="7"/>
  <c r="AE133" i="7"/>
  <c r="N133" i="7"/>
  <c r="L133" i="7"/>
  <c r="K133" i="7"/>
  <c r="J133" i="7"/>
  <c r="I133" i="7"/>
  <c r="BA132" i="7"/>
  <c r="AJ132" i="7"/>
  <c r="AH132" i="7"/>
  <c r="AG132" i="7"/>
  <c r="AF132" i="7"/>
  <c r="AE132" i="7"/>
  <c r="N132" i="7"/>
  <c r="L132" i="7"/>
  <c r="K132" i="7"/>
  <c r="J132" i="7"/>
  <c r="I132" i="7"/>
  <c r="BA131" i="7"/>
  <c r="AJ131" i="7"/>
  <c r="AH131" i="7"/>
  <c r="AG131" i="7"/>
  <c r="AF131" i="7"/>
  <c r="AE131" i="7"/>
  <c r="N131" i="7"/>
  <c r="L131" i="7"/>
  <c r="K131" i="7"/>
  <c r="J131" i="7"/>
  <c r="I131" i="7"/>
  <c r="BB130" i="7" a="1"/>
  <c r="BB130" i="7" s="1"/>
  <c r="BA130" i="7"/>
  <c r="AJ130" i="7"/>
  <c r="AH130" i="7"/>
  <c r="AG130" i="7"/>
  <c r="AF130" i="7"/>
  <c r="AE130" i="7"/>
  <c r="N130" i="7"/>
  <c r="L130" i="7"/>
  <c r="K130" i="7"/>
  <c r="J130" i="7"/>
  <c r="I130" i="7"/>
  <c r="BA129" i="7"/>
  <c r="AJ129" i="7"/>
  <c r="AH129" i="7"/>
  <c r="AG129" i="7"/>
  <c r="AF129" i="7"/>
  <c r="AE129" i="7"/>
  <c r="N129" i="7"/>
  <c r="L129" i="7"/>
  <c r="K129" i="7"/>
  <c r="J129" i="7"/>
  <c r="I129" i="7"/>
  <c r="BA128" i="7"/>
  <c r="AJ128" i="7"/>
  <c r="AH128" i="7"/>
  <c r="AG128" i="7"/>
  <c r="AF128" i="7"/>
  <c r="AE128" i="7"/>
  <c r="N128" i="7"/>
  <c r="L128" i="7"/>
  <c r="K128" i="7"/>
  <c r="J128" i="7"/>
  <c r="I128" i="7"/>
  <c r="BA127" i="7"/>
  <c r="AJ127" i="7"/>
  <c r="AH127" i="7"/>
  <c r="AG127" i="7"/>
  <c r="AF127" i="7"/>
  <c r="AE127" i="7"/>
  <c r="N127" i="7"/>
  <c r="L127" i="7"/>
  <c r="K127" i="7"/>
  <c r="J127" i="7"/>
  <c r="I127" i="7"/>
  <c r="BA126" i="7"/>
  <c r="AJ126" i="7"/>
  <c r="AH126" i="7"/>
  <c r="AG126" i="7"/>
  <c r="AF126" i="7"/>
  <c r="AE126" i="7"/>
  <c r="N126" i="7"/>
  <c r="L126" i="7"/>
  <c r="K126" i="7"/>
  <c r="J126" i="7"/>
  <c r="I126" i="7"/>
  <c r="BB125" i="7" a="1"/>
  <c r="BB125" i="7" s="1"/>
  <c r="BA125" i="7"/>
  <c r="AJ125" i="7"/>
  <c r="AH125" i="7"/>
  <c r="AG125" i="7"/>
  <c r="AF125" i="7"/>
  <c r="AE125" i="7"/>
  <c r="N125" i="7"/>
  <c r="L125" i="7"/>
  <c r="K125" i="7"/>
  <c r="J125" i="7"/>
  <c r="I125" i="7"/>
  <c r="BA124" i="7"/>
  <c r="AJ124" i="7"/>
  <c r="AH124" i="7"/>
  <c r="AG124" i="7"/>
  <c r="AF124" i="7"/>
  <c r="AE124" i="7"/>
  <c r="N124" i="7"/>
  <c r="L124" i="7"/>
  <c r="K124" i="7"/>
  <c r="J124" i="7"/>
  <c r="I124" i="7"/>
  <c r="BA123" i="7"/>
  <c r="AJ123" i="7"/>
  <c r="AH123" i="7"/>
  <c r="AG123" i="7"/>
  <c r="AF123" i="7"/>
  <c r="AE123" i="7"/>
  <c r="N123" i="7"/>
  <c r="L123" i="7"/>
  <c r="K123" i="7"/>
  <c r="J123" i="7"/>
  <c r="I123" i="7"/>
  <c r="BA122" i="7"/>
  <c r="AJ122" i="7"/>
  <c r="AH122" i="7"/>
  <c r="AG122" i="7"/>
  <c r="AF122" i="7"/>
  <c r="AE122" i="7"/>
  <c r="N122" i="7"/>
  <c r="L122" i="7"/>
  <c r="K122" i="7"/>
  <c r="J122" i="7"/>
  <c r="I122" i="7"/>
  <c r="BA121" i="7"/>
  <c r="AJ121" i="7"/>
  <c r="AH121" i="7"/>
  <c r="AG121" i="7"/>
  <c r="AF121" i="7"/>
  <c r="AE121" i="7"/>
  <c r="N121" i="7"/>
  <c r="L121" i="7"/>
  <c r="K121" i="7"/>
  <c r="J121" i="7"/>
  <c r="I121" i="7"/>
  <c r="BB120" i="7" a="1"/>
  <c r="BB120" i="7" s="1"/>
  <c r="BA120" i="7"/>
  <c r="AJ120" i="7"/>
  <c r="AH120" i="7"/>
  <c r="AG120" i="7"/>
  <c r="AF120" i="7"/>
  <c r="AE120" i="7"/>
  <c r="N120" i="7"/>
  <c r="L120" i="7"/>
  <c r="K120" i="7"/>
  <c r="J120" i="7"/>
  <c r="I120" i="7"/>
  <c r="BA119" i="7"/>
  <c r="AJ119" i="7"/>
  <c r="AH119" i="7"/>
  <c r="AG119" i="7"/>
  <c r="AF119" i="7"/>
  <c r="AE119" i="7"/>
  <c r="N119" i="7"/>
  <c r="L119" i="7"/>
  <c r="K119" i="7"/>
  <c r="J119" i="7"/>
  <c r="I119" i="7"/>
  <c r="BA118" i="7"/>
  <c r="AJ118" i="7"/>
  <c r="AH118" i="7"/>
  <c r="AG118" i="7"/>
  <c r="AF118" i="7"/>
  <c r="AE118" i="7"/>
  <c r="N118" i="7"/>
  <c r="L118" i="7"/>
  <c r="K118" i="7"/>
  <c r="J118" i="7"/>
  <c r="I118" i="7"/>
  <c r="BA117" i="7"/>
  <c r="AJ117" i="7"/>
  <c r="AH117" i="7"/>
  <c r="AG117" i="7"/>
  <c r="AF117" i="7"/>
  <c r="AE117" i="7"/>
  <c r="N117" i="7"/>
  <c r="L117" i="7"/>
  <c r="K117" i="7"/>
  <c r="J117" i="7"/>
  <c r="I117" i="7"/>
  <c r="BA116" i="7"/>
  <c r="AJ116" i="7"/>
  <c r="AH116" i="7"/>
  <c r="AG116" i="7"/>
  <c r="AF116" i="7"/>
  <c r="AE116" i="7"/>
  <c r="N116" i="7"/>
  <c r="L116" i="7"/>
  <c r="K116" i="7"/>
  <c r="J116" i="7"/>
  <c r="I116" i="7"/>
  <c r="BB115" i="7" a="1"/>
  <c r="BB115" i="7" s="1"/>
  <c r="BA115" i="7"/>
  <c r="AJ115" i="7"/>
  <c r="AH115" i="7"/>
  <c r="AG115" i="7"/>
  <c r="AF115" i="7"/>
  <c r="AE115" i="7"/>
  <c r="N115" i="7"/>
  <c r="L115" i="7"/>
  <c r="K115" i="7"/>
  <c r="J115" i="7"/>
  <c r="I115" i="7"/>
  <c r="BA114" i="7"/>
  <c r="AJ114" i="7"/>
  <c r="AH114" i="7"/>
  <c r="AG114" i="7"/>
  <c r="AF114" i="7"/>
  <c r="AE114" i="7"/>
  <c r="N114" i="7"/>
  <c r="L114" i="7"/>
  <c r="K114" i="7"/>
  <c r="J114" i="7"/>
  <c r="I114" i="7"/>
  <c r="BA113" i="7"/>
  <c r="AJ113" i="7"/>
  <c r="AH113" i="7"/>
  <c r="AG113" i="7"/>
  <c r="AF113" i="7"/>
  <c r="AE113" i="7"/>
  <c r="N113" i="7"/>
  <c r="L113" i="7"/>
  <c r="K113" i="7"/>
  <c r="J113" i="7"/>
  <c r="I113" i="7"/>
  <c r="BA112" i="7"/>
  <c r="AJ112" i="7"/>
  <c r="AH112" i="7"/>
  <c r="AG112" i="7"/>
  <c r="AF112" i="7"/>
  <c r="AE112" i="7"/>
  <c r="N112" i="7"/>
  <c r="L112" i="7"/>
  <c r="K112" i="7"/>
  <c r="J112" i="7"/>
  <c r="I112" i="7"/>
  <c r="BA111" i="7"/>
  <c r="AJ111" i="7"/>
  <c r="AH111" i="7"/>
  <c r="AG111" i="7"/>
  <c r="AF111" i="7"/>
  <c r="AE111" i="7"/>
  <c r="N111" i="7"/>
  <c r="L111" i="7"/>
  <c r="K111" i="7"/>
  <c r="J111" i="7"/>
  <c r="I111" i="7"/>
  <c r="BB110" i="7" a="1"/>
  <c r="BB110" i="7" s="1"/>
  <c r="BB302" i="7" s="1"/>
  <c r="BA110" i="7"/>
  <c r="AJ110" i="7"/>
  <c r="AH110" i="7"/>
  <c r="AG110" i="7"/>
  <c r="AF110" i="7"/>
  <c r="AE110" i="7"/>
  <c r="N110" i="7"/>
  <c r="L110" i="7"/>
  <c r="K110" i="7"/>
  <c r="J110" i="7"/>
  <c r="I110" i="7"/>
  <c r="BA109" i="7"/>
  <c r="AJ109" i="7"/>
  <c r="AH109" i="7"/>
  <c r="AG109" i="7"/>
  <c r="AF109" i="7"/>
  <c r="AE109" i="7"/>
  <c r="N109" i="7"/>
  <c r="L109" i="7"/>
  <c r="K109" i="7"/>
  <c r="J109" i="7"/>
  <c r="I109" i="7"/>
  <c r="BA108" i="7"/>
  <c r="AJ108" i="7"/>
  <c r="AH108" i="7"/>
  <c r="AG108" i="7"/>
  <c r="AF108" i="7"/>
  <c r="AE108" i="7"/>
  <c r="N108" i="7"/>
  <c r="L108" i="7"/>
  <c r="K108" i="7"/>
  <c r="J108" i="7"/>
  <c r="I108" i="7"/>
  <c r="BA107" i="7"/>
  <c r="AJ107" i="7"/>
  <c r="AH107" i="7"/>
  <c r="AG107" i="7"/>
  <c r="AF107" i="7"/>
  <c r="AE107" i="7"/>
  <c r="N107" i="7"/>
  <c r="L107" i="7"/>
  <c r="K107" i="7"/>
  <c r="J107" i="7"/>
  <c r="I107" i="7"/>
  <c r="BA106" i="7"/>
  <c r="AJ106" i="7"/>
  <c r="AH106" i="7"/>
  <c r="AG106" i="7"/>
  <c r="AF106" i="7"/>
  <c r="AE106" i="7"/>
  <c r="N106" i="7"/>
  <c r="L106" i="7"/>
  <c r="K106" i="7"/>
  <c r="J106" i="7"/>
  <c r="I106" i="7"/>
  <c r="BB105" i="7" a="1"/>
  <c r="BB105" i="7" s="1"/>
  <c r="BA105" i="7"/>
  <c r="AJ105" i="7"/>
  <c r="AH105" i="7"/>
  <c r="AG105" i="7"/>
  <c r="AF105" i="7"/>
  <c r="AE105" i="7"/>
  <c r="N105" i="7"/>
  <c r="L105" i="7"/>
  <c r="K105" i="7"/>
  <c r="J105" i="7"/>
  <c r="I105" i="7"/>
  <c r="BA104" i="7"/>
  <c r="AJ104" i="7"/>
  <c r="AH104" i="7"/>
  <c r="AG104" i="7"/>
  <c r="AF104" i="7"/>
  <c r="AE104" i="7"/>
  <c r="N104" i="7"/>
  <c r="L104" i="7"/>
  <c r="K104" i="7"/>
  <c r="J104" i="7"/>
  <c r="I104" i="7"/>
  <c r="BA103" i="7"/>
  <c r="AJ103" i="7"/>
  <c r="AH103" i="7"/>
  <c r="AG103" i="7"/>
  <c r="AF103" i="7"/>
  <c r="AE103" i="7"/>
  <c r="N103" i="7"/>
  <c r="L103" i="7"/>
  <c r="K103" i="7"/>
  <c r="J103" i="7"/>
  <c r="I103" i="7"/>
  <c r="BA102" i="7"/>
  <c r="AJ102" i="7"/>
  <c r="AH102" i="7"/>
  <c r="AG102" i="7"/>
  <c r="AF102" i="7"/>
  <c r="AE102" i="7"/>
  <c r="N102" i="7"/>
  <c r="L102" i="7"/>
  <c r="K102" i="7"/>
  <c r="J102" i="7"/>
  <c r="I102" i="7"/>
  <c r="BA101" i="7"/>
  <c r="AJ101" i="7"/>
  <c r="AH101" i="7"/>
  <c r="AG101" i="7"/>
  <c r="AF101" i="7"/>
  <c r="AE101" i="7"/>
  <c r="N101" i="7"/>
  <c r="L101" i="7"/>
  <c r="K101" i="7"/>
  <c r="J101" i="7"/>
  <c r="I101" i="7"/>
  <c r="BB100" i="7" a="1"/>
  <c r="BB100" i="7" s="1"/>
  <c r="BA100" i="7"/>
  <c r="AJ100" i="7"/>
  <c r="AH100" i="7"/>
  <c r="AG100" i="7"/>
  <c r="AF100" i="7"/>
  <c r="AE100" i="7"/>
  <c r="N100" i="7"/>
  <c r="L100" i="7"/>
  <c r="K100" i="7"/>
  <c r="J100" i="7"/>
  <c r="I100" i="7"/>
  <c r="BA99" i="7"/>
  <c r="AJ99" i="7"/>
  <c r="AH99" i="7"/>
  <c r="AG99" i="7"/>
  <c r="AF99" i="7"/>
  <c r="AE99" i="7"/>
  <c r="N99" i="7"/>
  <c r="L99" i="7"/>
  <c r="K99" i="7"/>
  <c r="J99" i="7"/>
  <c r="I99" i="7"/>
  <c r="BA98" i="7"/>
  <c r="AJ98" i="7"/>
  <c r="AH98" i="7"/>
  <c r="AG98" i="7"/>
  <c r="AF98" i="7"/>
  <c r="AE98" i="7"/>
  <c r="N98" i="7"/>
  <c r="L98" i="7"/>
  <c r="K98" i="7"/>
  <c r="J98" i="7"/>
  <c r="I98" i="7"/>
  <c r="BA97" i="7"/>
  <c r="AJ97" i="7"/>
  <c r="AH97" i="7"/>
  <c r="AG97" i="7"/>
  <c r="AF97" i="7"/>
  <c r="AE97" i="7"/>
  <c r="N97" i="7"/>
  <c r="L97" i="7"/>
  <c r="K97" i="7"/>
  <c r="J97" i="7"/>
  <c r="I97" i="7"/>
  <c r="BA96" i="7"/>
  <c r="AJ96" i="7"/>
  <c r="AH96" i="7"/>
  <c r="AG96" i="7"/>
  <c r="AF96" i="7"/>
  <c r="AE96" i="7"/>
  <c r="N96" i="7"/>
  <c r="L96" i="7"/>
  <c r="K96" i="7"/>
  <c r="J96" i="7"/>
  <c r="I96" i="7"/>
  <c r="BB95" i="7" a="1"/>
  <c r="BB95" i="7" s="1"/>
  <c r="BA95" i="7"/>
  <c r="AJ95" i="7"/>
  <c r="AH95" i="7"/>
  <c r="AG95" i="7"/>
  <c r="AF95" i="7"/>
  <c r="AE95" i="7"/>
  <c r="N95" i="7"/>
  <c r="L95" i="7"/>
  <c r="K95" i="7"/>
  <c r="J95" i="7"/>
  <c r="I95" i="7"/>
  <c r="BA94" i="7"/>
  <c r="AJ94" i="7"/>
  <c r="AH94" i="7"/>
  <c r="AG94" i="7"/>
  <c r="AF94" i="7"/>
  <c r="AE94" i="7"/>
  <c r="N94" i="7"/>
  <c r="L94" i="7"/>
  <c r="K94" i="7"/>
  <c r="J94" i="7"/>
  <c r="I94" i="7"/>
  <c r="BA93" i="7"/>
  <c r="AJ93" i="7"/>
  <c r="AH93" i="7"/>
  <c r="AG93" i="7"/>
  <c r="AF93" i="7"/>
  <c r="AE93" i="7"/>
  <c r="N93" i="7"/>
  <c r="L93" i="7"/>
  <c r="K93" i="7"/>
  <c r="J93" i="7"/>
  <c r="I93" i="7"/>
  <c r="BA92" i="7"/>
  <c r="AJ92" i="7"/>
  <c r="AH92" i="7"/>
  <c r="AG92" i="7"/>
  <c r="AF92" i="7"/>
  <c r="AE92" i="7"/>
  <c r="N92" i="7"/>
  <c r="L92" i="7"/>
  <c r="K92" i="7"/>
  <c r="J92" i="7"/>
  <c r="I92" i="7"/>
  <c r="BA91" i="7"/>
  <c r="AJ91" i="7"/>
  <c r="AH91" i="7"/>
  <c r="AG91" i="7"/>
  <c r="AF91" i="7"/>
  <c r="AE91" i="7"/>
  <c r="N91" i="7"/>
  <c r="L91" i="7"/>
  <c r="K91" i="7"/>
  <c r="J91" i="7"/>
  <c r="I91" i="7"/>
  <c r="BB90" i="7" a="1"/>
  <c r="BB90" i="7" s="1"/>
  <c r="BA90" i="7"/>
  <c r="AJ90" i="7"/>
  <c r="AH90" i="7"/>
  <c r="AG90" i="7"/>
  <c r="AF90" i="7"/>
  <c r="AE90" i="7"/>
  <c r="N90" i="7"/>
  <c r="L90" i="7"/>
  <c r="K90" i="7"/>
  <c r="J90" i="7"/>
  <c r="I90" i="7"/>
  <c r="BA89" i="7"/>
  <c r="AJ89" i="7"/>
  <c r="AH89" i="7"/>
  <c r="AG89" i="7"/>
  <c r="AF89" i="7"/>
  <c r="AE89" i="7"/>
  <c r="N89" i="7"/>
  <c r="L89" i="7"/>
  <c r="K89" i="7"/>
  <c r="J89" i="7"/>
  <c r="I89" i="7"/>
  <c r="BA88" i="7"/>
  <c r="AJ88" i="7"/>
  <c r="AH88" i="7"/>
  <c r="AG88" i="7"/>
  <c r="AF88" i="7"/>
  <c r="AE88" i="7"/>
  <c r="N88" i="7"/>
  <c r="L88" i="7"/>
  <c r="K88" i="7"/>
  <c r="J88" i="7"/>
  <c r="I88" i="7"/>
  <c r="BA87" i="7"/>
  <c r="AJ87" i="7"/>
  <c r="AH87" i="7"/>
  <c r="AG87" i="7"/>
  <c r="AF87" i="7"/>
  <c r="AE87" i="7"/>
  <c r="N87" i="7"/>
  <c r="L87" i="7"/>
  <c r="K87" i="7"/>
  <c r="J87" i="7"/>
  <c r="I87" i="7"/>
  <c r="BA86" i="7"/>
  <c r="AJ86" i="7"/>
  <c r="AH86" i="7"/>
  <c r="AG86" i="7"/>
  <c r="AF86" i="7"/>
  <c r="AE86" i="7"/>
  <c r="N86" i="7"/>
  <c r="L86" i="7"/>
  <c r="K86" i="7"/>
  <c r="J86" i="7"/>
  <c r="I86" i="7"/>
  <c r="BB85" i="7" a="1"/>
  <c r="BB85" i="7" s="1"/>
  <c r="BA85" i="7"/>
  <c r="AJ85" i="7"/>
  <c r="AH85" i="7"/>
  <c r="AG85" i="7"/>
  <c r="AF85" i="7"/>
  <c r="AE85" i="7"/>
  <c r="N85" i="7"/>
  <c r="L85" i="7"/>
  <c r="K85" i="7"/>
  <c r="J85" i="7"/>
  <c r="I85" i="7"/>
  <c r="BA84" i="7"/>
  <c r="AJ84" i="7"/>
  <c r="AH84" i="7"/>
  <c r="AG84" i="7"/>
  <c r="AF84" i="7"/>
  <c r="AE84" i="7"/>
  <c r="N84" i="7"/>
  <c r="L84" i="7"/>
  <c r="K84" i="7"/>
  <c r="J84" i="7"/>
  <c r="I84" i="7"/>
  <c r="BA83" i="7"/>
  <c r="AJ83" i="7"/>
  <c r="AH83" i="7"/>
  <c r="AG83" i="7"/>
  <c r="AF83" i="7"/>
  <c r="AE83" i="7"/>
  <c r="N83" i="7"/>
  <c r="L83" i="7"/>
  <c r="K83" i="7"/>
  <c r="J83" i="7"/>
  <c r="I83" i="7"/>
  <c r="BA82" i="7"/>
  <c r="AJ82" i="7"/>
  <c r="AH82" i="7"/>
  <c r="AG82" i="7"/>
  <c r="AF82" i="7"/>
  <c r="AE82" i="7"/>
  <c r="N82" i="7"/>
  <c r="L82" i="7"/>
  <c r="K82" i="7"/>
  <c r="J82" i="7"/>
  <c r="I82" i="7"/>
  <c r="BA81" i="7"/>
  <c r="AJ81" i="7"/>
  <c r="AH81" i="7"/>
  <c r="AG81" i="7"/>
  <c r="AF81" i="7"/>
  <c r="AE81" i="7"/>
  <c r="N81" i="7"/>
  <c r="L81" i="7"/>
  <c r="K81" i="7"/>
  <c r="J81" i="7"/>
  <c r="I81" i="7"/>
  <c r="BB80" i="7" a="1"/>
  <c r="BB80" i="7" s="1"/>
  <c r="BA80" i="7"/>
  <c r="AJ80" i="7"/>
  <c r="AH80" i="7"/>
  <c r="AG80" i="7"/>
  <c r="AF80" i="7"/>
  <c r="AE80" i="7"/>
  <c r="N80" i="7"/>
  <c r="L80" i="7"/>
  <c r="K80" i="7"/>
  <c r="J80" i="7"/>
  <c r="I80" i="7"/>
  <c r="BA79" i="7"/>
  <c r="AJ79" i="7"/>
  <c r="AH79" i="7"/>
  <c r="AG79" i="7"/>
  <c r="AF79" i="7"/>
  <c r="AE79" i="7"/>
  <c r="N79" i="7"/>
  <c r="L79" i="7"/>
  <c r="K79" i="7"/>
  <c r="J79" i="7"/>
  <c r="I79" i="7"/>
  <c r="BA78" i="7"/>
  <c r="AJ78" i="7"/>
  <c r="AH78" i="7"/>
  <c r="AG78" i="7"/>
  <c r="AF78" i="7"/>
  <c r="AE78" i="7"/>
  <c r="N78" i="7"/>
  <c r="L78" i="7"/>
  <c r="K78" i="7"/>
  <c r="J78" i="7"/>
  <c r="I78" i="7"/>
  <c r="BA77" i="7"/>
  <c r="AJ77" i="7"/>
  <c r="AH77" i="7"/>
  <c r="AG77" i="7"/>
  <c r="AF77" i="7"/>
  <c r="AE77" i="7"/>
  <c r="N77" i="7"/>
  <c r="L77" i="7"/>
  <c r="K77" i="7"/>
  <c r="J77" i="7"/>
  <c r="I77" i="7"/>
  <c r="BA76" i="7"/>
  <c r="AJ76" i="7"/>
  <c r="AH76" i="7"/>
  <c r="AG76" i="7"/>
  <c r="AF76" i="7"/>
  <c r="AE76" i="7"/>
  <c r="N76" i="7"/>
  <c r="L76" i="7"/>
  <c r="K76" i="7"/>
  <c r="J76" i="7"/>
  <c r="I76" i="7"/>
  <c r="BB75" i="7" a="1"/>
  <c r="BB75" i="7" s="1"/>
  <c r="BA75" i="7"/>
  <c r="AJ75" i="7"/>
  <c r="AH75" i="7"/>
  <c r="AG75" i="7"/>
  <c r="AF75" i="7"/>
  <c r="AE75" i="7"/>
  <c r="N75" i="7"/>
  <c r="L75" i="7"/>
  <c r="K75" i="7"/>
  <c r="J75" i="7"/>
  <c r="I75" i="7"/>
  <c r="BA74" i="7"/>
  <c r="AJ74" i="7"/>
  <c r="AH74" i="7"/>
  <c r="AG74" i="7"/>
  <c r="AF74" i="7"/>
  <c r="AE74" i="7"/>
  <c r="N74" i="7"/>
  <c r="L74" i="7"/>
  <c r="K74" i="7"/>
  <c r="J74" i="7"/>
  <c r="I74" i="7"/>
  <c r="BA73" i="7"/>
  <c r="AJ73" i="7"/>
  <c r="AH73" i="7"/>
  <c r="AG73" i="7"/>
  <c r="AF73" i="7"/>
  <c r="AE73" i="7"/>
  <c r="N73" i="7"/>
  <c r="L73" i="7"/>
  <c r="K73" i="7"/>
  <c r="J73" i="7"/>
  <c r="I73" i="7"/>
  <c r="BA72" i="7"/>
  <c r="AJ72" i="7"/>
  <c r="AH72" i="7"/>
  <c r="AG72" i="7"/>
  <c r="AF72" i="7"/>
  <c r="AE72" i="7"/>
  <c r="N72" i="7"/>
  <c r="L72" i="7"/>
  <c r="K72" i="7"/>
  <c r="J72" i="7"/>
  <c r="I72" i="7"/>
  <c r="BA71" i="7"/>
  <c r="AJ71" i="7"/>
  <c r="AH71" i="7"/>
  <c r="AG71" i="7"/>
  <c r="AF71" i="7"/>
  <c r="AE71" i="7"/>
  <c r="N71" i="7"/>
  <c r="L71" i="7"/>
  <c r="K71" i="7"/>
  <c r="J71" i="7"/>
  <c r="I71" i="7"/>
  <c r="BB70" i="7" a="1"/>
  <c r="BB70" i="7" s="1"/>
  <c r="BA70" i="7"/>
  <c r="AJ70" i="7"/>
  <c r="AH70" i="7"/>
  <c r="AG70" i="7"/>
  <c r="AF70" i="7"/>
  <c r="AE70" i="7"/>
  <c r="N70" i="7"/>
  <c r="L70" i="7"/>
  <c r="K70" i="7"/>
  <c r="J70" i="7"/>
  <c r="I70" i="7"/>
  <c r="BA69" i="7"/>
  <c r="AJ69" i="7"/>
  <c r="AH69" i="7"/>
  <c r="AG69" i="7"/>
  <c r="AF69" i="7"/>
  <c r="AE69" i="7"/>
  <c r="N69" i="7"/>
  <c r="L69" i="7"/>
  <c r="K69" i="7"/>
  <c r="J69" i="7"/>
  <c r="I69" i="7"/>
  <c r="BA68" i="7"/>
  <c r="AJ68" i="7"/>
  <c r="AH68" i="7"/>
  <c r="AG68" i="7"/>
  <c r="AF68" i="7"/>
  <c r="AE68" i="7"/>
  <c r="N68" i="7"/>
  <c r="L68" i="7"/>
  <c r="K68" i="7"/>
  <c r="J68" i="7"/>
  <c r="I68" i="7"/>
  <c r="BA67" i="7"/>
  <c r="AJ67" i="7"/>
  <c r="AH67" i="7"/>
  <c r="AG67" i="7"/>
  <c r="AF67" i="7"/>
  <c r="AE67" i="7"/>
  <c r="N67" i="7"/>
  <c r="L67" i="7"/>
  <c r="K67" i="7"/>
  <c r="J67" i="7"/>
  <c r="I67" i="7"/>
  <c r="BA66" i="7"/>
  <c r="AJ66" i="7"/>
  <c r="AH66" i="7"/>
  <c r="AG66" i="7"/>
  <c r="AF66" i="7"/>
  <c r="AE66" i="7"/>
  <c r="N66" i="7"/>
  <c r="L66" i="7"/>
  <c r="K66" i="7"/>
  <c r="J66" i="7"/>
  <c r="I66" i="7"/>
  <c r="BB65" i="7" a="1"/>
  <c r="BB65" i="7" s="1"/>
  <c r="BA65" i="7"/>
  <c r="AJ65" i="7"/>
  <c r="AH65" i="7"/>
  <c r="AG65" i="7"/>
  <c r="AF65" i="7"/>
  <c r="AE65" i="7"/>
  <c r="N65" i="7"/>
  <c r="L65" i="7"/>
  <c r="K65" i="7"/>
  <c r="J65" i="7"/>
  <c r="I65" i="7"/>
  <c r="BA64" i="7"/>
  <c r="AJ64" i="7"/>
  <c r="AH64" i="7"/>
  <c r="AG64" i="7"/>
  <c r="AF64" i="7"/>
  <c r="AE64" i="7"/>
  <c r="N64" i="7"/>
  <c r="L64" i="7"/>
  <c r="K64" i="7"/>
  <c r="J64" i="7"/>
  <c r="I64" i="7"/>
  <c r="BA63" i="7"/>
  <c r="AJ63" i="7"/>
  <c r="AH63" i="7"/>
  <c r="AG63" i="7"/>
  <c r="AF63" i="7"/>
  <c r="AE63" i="7"/>
  <c r="N63" i="7"/>
  <c r="L63" i="7"/>
  <c r="K63" i="7"/>
  <c r="J63" i="7"/>
  <c r="I63" i="7"/>
  <c r="BA62" i="7"/>
  <c r="AJ62" i="7"/>
  <c r="AH62" i="7"/>
  <c r="AG62" i="7"/>
  <c r="AF62" i="7"/>
  <c r="AE62" i="7"/>
  <c r="N62" i="7"/>
  <c r="L62" i="7"/>
  <c r="K62" i="7"/>
  <c r="J62" i="7"/>
  <c r="I62" i="7"/>
  <c r="BA61" i="7"/>
  <c r="AJ61" i="7"/>
  <c r="AH61" i="7"/>
  <c r="AG61" i="7"/>
  <c r="AF61" i="7"/>
  <c r="AE61" i="7"/>
  <c r="N61" i="7"/>
  <c r="L61" i="7"/>
  <c r="K61" i="7"/>
  <c r="J61" i="7"/>
  <c r="I61" i="7"/>
  <c r="BB60" i="7" a="1"/>
  <c r="BB60" i="7" s="1"/>
  <c r="BA60" i="7"/>
  <c r="AJ60" i="7"/>
  <c r="AH60" i="7"/>
  <c r="AG60" i="7"/>
  <c r="AF60" i="7"/>
  <c r="AE60" i="7"/>
  <c r="N60" i="7"/>
  <c r="L60" i="7"/>
  <c r="K60" i="7"/>
  <c r="J60" i="7"/>
  <c r="I60" i="7"/>
  <c r="BA59" i="7"/>
  <c r="AJ59" i="7"/>
  <c r="AH59" i="7"/>
  <c r="AG59" i="7"/>
  <c r="AF59" i="7"/>
  <c r="AE59" i="7"/>
  <c r="N59" i="7"/>
  <c r="L59" i="7"/>
  <c r="K59" i="7"/>
  <c r="J59" i="7"/>
  <c r="I59" i="7"/>
  <c r="BA58" i="7"/>
  <c r="AJ58" i="7"/>
  <c r="AH58" i="7"/>
  <c r="AG58" i="7"/>
  <c r="AF58" i="7"/>
  <c r="AE58" i="7"/>
  <c r="N58" i="7"/>
  <c r="L58" i="7"/>
  <c r="K58" i="7"/>
  <c r="J58" i="7"/>
  <c r="I58" i="7"/>
  <c r="BA57" i="7"/>
  <c r="AJ57" i="7"/>
  <c r="AH57" i="7"/>
  <c r="AG57" i="7"/>
  <c r="AF57" i="7"/>
  <c r="AE57" i="7"/>
  <c r="N57" i="7"/>
  <c r="L57" i="7"/>
  <c r="K57" i="7"/>
  <c r="J57" i="7"/>
  <c r="I57" i="7"/>
  <c r="BA56" i="7"/>
  <c r="AJ56" i="7"/>
  <c r="AH56" i="7"/>
  <c r="AG56" i="7"/>
  <c r="AF56" i="7"/>
  <c r="AE56" i="7"/>
  <c r="N56" i="7"/>
  <c r="L56" i="7"/>
  <c r="K56" i="7"/>
  <c r="J56" i="7"/>
  <c r="I56" i="7"/>
  <c r="BB55" i="7" a="1"/>
  <c r="BB55" i="7" s="1"/>
  <c r="BA55" i="7"/>
  <c r="AJ55" i="7"/>
  <c r="AH55" i="7"/>
  <c r="AG55" i="7"/>
  <c r="AF55" i="7"/>
  <c r="AE55" i="7"/>
  <c r="N55" i="7"/>
  <c r="L55" i="7"/>
  <c r="K55" i="7"/>
  <c r="J55" i="7"/>
  <c r="I55" i="7"/>
  <c r="BA54" i="7"/>
  <c r="AJ54" i="7"/>
  <c r="AH54" i="7"/>
  <c r="AG54" i="7"/>
  <c r="AF54" i="7"/>
  <c r="AE54" i="7"/>
  <c r="N54" i="7"/>
  <c r="L54" i="7"/>
  <c r="K54" i="7"/>
  <c r="J54" i="7"/>
  <c r="I54" i="7"/>
  <c r="BA53" i="7"/>
  <c r="AJ53" i="7"/>
  <c r="AH53" i="7"/>
  <c r="AG53" i="7"/>
  <c r="AF53" i="7"/>
  <c r="AE53" i="7"/>
  <c r="N53" i="7"/>
  <c r="L53" i="7"/>
  <c r="K53" i="7"/>
  <c r="J53" i="7"/>
  <c r="I53" i="7"/>
  <c r="BA52" i="7"/>
  <c r="AJ52" i="7"/>
  <c r="AH52" i="7"/>
  <c r="AG52" i="7"/>
  <c r="AF52" i="7"/>
  <c r="AE52" i="7"/>
  <c r="N52" i="7"/>
  <c r="L52" i="7"/>
  <c r="K52" i="7"/>
  <c r="J52" i="7"/>
  <c r="I52" i="7"/>
  <c r="BA51" i="7"/>
  <c r="AJ51" i="7"/>
  <c r="AH51" i="7"/>
  <c r="AG51" i="7"/>
  <c r="AF51" i="7"/>
  <c r="AE51" i="7"/>
  <c r="N51" i="7"/>
  <c r="L51" i="7"/>
  <c r="K51" i="7"/>
  <c r="J51" i="7"/>
  <c r="I51" i="7"/>
  <c r="BB50" i="7" a="1"/>
  <c r="BB50" i="7" s="1"/>
  <c r="BA50" i="7"/>
  <c r="AJ50" i="7"/>
  <c r="AH50" i="7"/>
  <c r="AG50" i="7"/>
  <c r="AF50" i="7"/>
  <c r="AE50" i="7"/>
  <c r="N50" i="7"/>
  <c r="L50" i="7"/>
  <c r="K50" i="7"/>
  <c r="J50" i="7"/>
  <c r="I50" i="7"/>
  <c r="BA49" i="7"/>
  <c r="AJ49" i="7"/>
  <c r="AH49" i="7"/>
  <c r="AG49" i="7"/>
  <c r="AF49" i="7"/>
  <c r="AE49" i="7"/>
  <c r="N49" i="7"/>
  <c r="L49" i="7"/>
  <c r="K49" i="7"/>
  <c r="J49" i="7"/>
  <c r="I49" i="7"/>
  <c r="BA48" i="7"/>
  <c r="AJ48" i="7"/>
  <c r="AH48" i="7"/>
  <c r="AG48" i="7"/>
  <c r="AF48" i="7"/>
  <c r="AE48" i="7"/>
  <c r="N48" i="7"/>
  <c r="L48" i="7"/>
  <c r="K48" i="7"/>
  <c r="J48" i="7"/>
  <c r="I48" i="7"/>
  <c r="BA47" i="7"/>
  <c r="AJ47" i="7"/>
  <c r="AH47" i="7"/>
  <c r="AG47" i="7"/>
  <c r="AF47" i="7"/>
  <c r="AE47" i="7"/>
  <c r="N47" i="7"/>
  <c r="L47" i="7"/>
  <c r="K47" i="7"/>
  <c r="J47" i="7"/>
  <c r="I47" i="7"/>
  <c r="BA46" i="7"/>
  <c r="AJ46" i="7"/>
  <c r="AH46" i="7"/>
  <c r="AG46" i="7"/>
  <c r="AF46" i="7"/>
  <c r="AE46" i="7"/>
  <c r="N46" i="7"/>
  <c r="L46" i="7"/>
  <c r="K46" i="7"/>
  <c r="J46" i="7"/>
  <c r="I46" i="7"/>
  <c r="BB45" i="7" a="1"/>
  <c r="BB45" i="7" s="1"/>
  <c r="BA45" i="7"/>
  <c r="AJ45" i="7"/>
  <c r="AH45" i="7"/>
  <c r="AG45" i="7"/>
  <c r="AF45" i="7"/>
  <c r="AE45" i="7"/>
  <c r="N45" i="7"/>
  <c r="L45" i="7"/>
  <c r="K45" i="7"/>
  <c r="J45" i="7"/>
  <c r="I45" i="7"/>
  <c r="BA44" i="7"/>
  <c r="AJ44" i="7"/>
  <c r="AH44" i="7"/>
  <c r="AG44" i="7"/>
  <c r="AF44" i="7"/>
  <c r="AE44" i="7"/>
  <c r="N44" i="7"/>
  <c r="L44" i="7"/>
  <c r="K44" i="7"/>
  <c r="J44" i="7"/>
  <c r="I44" i="7"/>
  <c r="BA43" i="7"/>
  <c r="AJ43" i="7"/>
  <c r="AH43" i="7"/>
  <c r="AG43" i="7"/>
  <c r="AF43" i="7"/>
  <c r="AE43" i="7"/>
  <c r="N43" i="7"/>
  <c r="L43" i="7"/>
  <c r="K43" i="7"/>
  <c r="J43" i="7"/>
  <c r="I43" i="7"/>
  <c r="BA42" i="7"/>
  <c r="AJ42" i="7"/>
  <c r="AH42" i="7"/>
  <c r="AG42" i="7"/>
  <c r="AF42" i="7"/>
  <c r="AE42" i="7"/>
  <c r="N42" i="7"/>
  <c r="L42" i="7"/>
  <c r="K42" i="7"/>
  <c r="J42" i="7"/>
  <c r="I42" i="7"/>
  <c r="BA41" i="7"/>
  <c r="AJ41" i="7"/>
  <c r="AH41" i="7"/>
  <c r="AG41" i="7"/>
  <c r="AF41" i="7"/>
  <c r="AE41" i="7"/>
  <c r="N41" i="7"/>
  <c r="L41" i="7"/>
  <c r="K41" i="7"/>
  <c r="J41" i="7"/>
  <c r="I41" i="7"/>
  <c r="BB40" i="7" a="1"/>
  <c r="BB40" i="7" s="1"/>
  <c r="BA40" i="7"/>
  <c r="AJ40" i="7"/>
  <c r="AH40" i="7"/>
  <c r="AG40" i="7"/>
  <c r="AF40" i="7"/>
  <c r="AE40" i="7"/>
  <c r="N40" i="7"/>
  <c r="L40" i="7"/>
  <c r="K40" i="7"/>
  <c r="J40" i="7"/>
  <c r="I40" i="7"/>
  <c r="BA39" i="7"/>
  <c r="AJ39" i="7"/>
  <c r="AH39" i="7"/>
  <c r="AG39" i="7"/>
  <c r="AF39" i="7"/>
  <c r="AE39" i="7"/>
  <c r="N39" i="7"/>
  <c r="L39" i="7"/>
  <c r="K39" i="7"/>
  <c r="J39" i="7"/>
  <c r="I39" i="7"/>
  <c r="BA38" i="7"/>
  <c r="AJ38" i="7"/>
  <c r="AH38" i="7"/>
  <c r="AG38" i="7"/>
  <c r="AF38" i="7"/>
  <c r="AE38" i="7"/>
  <c r="N38" i="7"/>
  <c r="L38" i="7"/>
  <c r="K38" i="7"/>
  <c r="J38" i="7"/>
  <c r="I38" i="7"/>
  <c r="BA37" i="7"/>
  <c r="AJ37" i="7"/>
  <c r="AH37" i="7"/>
  <c r="AG37" i="7"/>
  <c r="AF37" i="7"/>
  <c r="AE37" i="7"/>
  <c r="N37" i="7"/>
  <c r="L37" i="7"/>
  <c r="K37" i="7"/>
  <c r="J37" i="7"/>
  <c r="I37" i="7"/>
  <c r="BA36" i="7"/>
  <c r="AJ36" i="7"/>
  <c r="AH36" i="7"/>
  <c r="AG36" i="7"/>
  <c r="AF36" i="7"/>
  <c r="AE36" i="7"/>
  <c r="N36" i="7"/>
  <c r="L36" i="7"/>
  <c r="K36" i="7"/>
  <c r="J36" i="7"/>
  <c r="I36" i="7"/>
  <c r="BB35" i="7" a="1"/>
  <c r="BB35" i="7" s="1"/>
  <c r="BA35" i="7"/>
  <c r="AJ35" i="7"/>
  <c r="AH35" i="7"/>
  <c r="AG35" i="7"/>
  <c r="AF35" i="7"/>
  <c r="AE35" i="7"/>
  <c r="N35" i="7"/>
  <c r="L35" i="7"/>
  <c r="K35" i="7"/>
  <c r="J35" i="7"/>
  <c r="I35" i="7"/>
  <c r="BA34" i="7"/>
  <c r="AJ34" i="7"/>
  <c r="AH34" i="7"/>
  <c r="AG34" i="7"/>
  <c r="AF34" i="7"/>
  <c r="AE34" i="7"/>
  <c r="N34" i="7"/>
  <c r="L34" i="7"/>
  <c r="K34" i="7"/>
  <c r="J34" i="7"/>
  <c r="I34" i="7"/>
  <c r="BA33" i="7"/>
  <c r="AJ33" i="7"/>
  <c r="AH33" i="7"/>
  <c r="AG33" i="7"/>
  <c r="AF33" i="7"/>
  <c r="AE33" i="7"/>
  <c r="N33" i="7"/>
  <c r="L33" i="7"/>
  <c r="K33" i="7"/>
  <c r="J33" i="7"/>
  <c r="I33" i="7"/>
  <c r="BA32" i="7"/>
  <c r="AJ32" i="7"/>
  <c r="AH32" i="7"/>
  <c r="AG32" i="7"/>
  <c r="AF32" i="7"/>
  <c r="AE32" i="7"/>
  <c r="N32" i="7"/>
  <c r="L32" i="7"/>
  <c r="K32" i="7"/>
  <c r="J32" i="7"/>
  <c r="I32" i="7"/>
  <c r="BA31" i="7"/>
  <c r="AJ31" i="7"/>
  <c r="AH31" i="7"/>
  <c r="AG31" i="7"/>
  <c r="AF31" i="7"/>
  <c r="AE31" i="7"/>
  <c r="N31" i="7"/>
  <c r="L31" i="7"/>
  <c r="K31" i="7"/>
  <c r="J31" i="7"/>
  <c r="I31" i="7"/>
  <c r="BB30" i="7" a="1"/>
  <c r="BB30" i="7" s="1"/>
  <c r="BA30" i="7"/>
  <c r="AJ30" i="7"/>
  <c r="AH30" i="7"/>
  <c r="AG30" i="7"/>
  <c r="AF30" i="7"/>
  <c r="AE30" i="7"/>
  <c r="N30" i="7"/>
  <c r="L30" i="7"/>
  <c r="K30" i="7"/>
  <c r="J30" i="7"/>
  <c r="I30" i="7"/>
  <c r="BA29" i="7"/>
  <c r="AJ29" i="7"/>
  <c r="AH29" i="7"/>
  <c r="AG29" i="7"/>
  <c r="AF29" i="7"/>
  <c r="AE29" i="7"/>
  <c r="N29" i="7"/>
  <c r="L29" i="7"/>
  <c r="K29" i="7"/>
  <c r="J29" i="7"/>
  <c r="I29" i="7"/>
  <c r="BA28" i="7"/>
  <c r="AJ28" i="7"/>
  <c r="AH28" i="7"/>
  <c r="AG28" i="7"/>
  <c r="AF28" i="7"/>
  <c r="AE28" i="7"/>
  <c r="N28" i="7"/>
  <c r="L28" i="7"/>
  <c r="K28" i="7"/>
  <c r="J28" i="7"/>
  <c r="I28" i="7"/>
  <c r="BA27" i="7"/>
  <c r="AJ27" i="7"/>
  <c r="AH27" i="7"/>
  <c r="AG27" i="7"/>
  <c r="AF27" i="7"/>
  <c r="AE27" i="7"/>
  <c r="N27" i="7"/>
  <c r="L27" i="7"/>
  <c r="K27" i="7"/>
  <c r="J27" i="7"/>
  <c r="I27" i="7"/>
  <c r="BA26" i="7"/>
  <c r="AJ26" i="7"/>
  <c r="AH26" i="7"/>
  <c r="AG26" i="7"/>
  <c r="AF26" i="7"/>
  <c r="AE26" i="7"/>
  <c r="N26" i="7"/>
  <c r="L26" i="7"/>
  <c r="K26" i="7"/>
  <c r="J26" i="7"/>
  <c r="I26" i="7"/>
  <c r="BB25" i="7" a="1"/>
  <c r="BB25" i="7" s="1"/>
  <c r="BA25" i="7"/>
  <c r="AJ25" i="7"/>
  <c r="AH25" i="7"/>
  <c r="AG25" i="7"/>
  <c r="AF25" i="7"/>
  <c r="AE25" i="7"/>
  <c r="N25" i="7"/>
  <c r="L25" i="7"/>
  <c r="K25" i="7"/>
  <c r="J25" i="7"/>
  <c r="I25" i="7"/>
  <c r="BA24" i="7"/>
  <c r="AJ24" i="7"/>
  <c r="AH24" i="7"/>
  <c r="AG24" i="7"/>
  <c r="AF24" i="7"/>
  <c r="AE24" i="7"/>
  <c r="N24" i="7"/>
  <c r="L24" i="7"/>
  <c r="K24" i="7"/>
  <c r="J24" i="7"/>
  <c r="I24" i="7"/>
  <c r="BA23" i="7"/>
  <c r="AJ23" i="7"/>
  <c r="AH23" i="7"/>
  <c r="AG23" i="7"/>
  <c r="AF23" i="7"/>
  <c r="AE23" i="7"/>
  <c r="N23" i="7"/>
  <c r="L23" i="7"/>
  <c r="K23" i="7"/>
  <c r="J23" i="7"/>
  <c r="I23" i="7"/>
  <c r="BA22" i="7"/>
  <c r="AJ22" i="7"/>
  <c r="AH22" i="7"/>
  <c r="AG22" i="7"/>
  <c r="AF22" i="7"/>
  <c r="AE22" i="7"/>
  <c r="N22" i="7"/>
  <c r="L22" i="7"/>
  <c r="K22" i="7"/>
  <c r="J22" i="7"/>
  <c r="I22" i="7"/>
  <c r="BA21" i="7"/>
  <c r="AJ21" i="7"/>
  <c r="AH21" i="7"/>
  <c r="AG21" i="7"/>
  <c r="AF21" i="7"/>
  <c r="AE21" i="7"/>
  <c r="N21" i="7"/>
  <c r="L21" i="7"/>
  <c r="K21" i="7"/>
  <c r="J21" i="7"/>
  <c r="I21" i="7"/>
  <c r="BB20" i="7" a="1"/>
  <c r="BB20" i="7" s="1"/>
  <c r="BA20" i="7"/>
  <c r="AJ20" i="7"/>
  <c r="AH20" i="7"/>
  <c r="AG20" i="7"/>
  <c r="AF20" i="7"/>
  <c r="AE20" i="7"/>
  <c r="N20" i="7"/>
  <c r="L20" i="7"/>
  <c r="K20" i="7"/>
  <c r="J20" i="7"/>
  <c r="I20" i="7"/>
  <c r="BA19" i="7"/>
  <c r="AJ19" i="7"/>
  <c r="AH19" i="7"/>
  <c r="AG19" i="7"/>
  <c r="AF19" i="7"/>
  <c r="AE19" i="7"/>
  <c r="N19" i="7"/>
  <c r="L19" i="7"/>
  <c r="K19" i="7"/>
  <c r="J19" i="7"/>
  <c r="I19" i="7"/>
  <c r="BA18" i="7"/>
  <c r="AJ18" i="7"/>
  <c r="AH18" i="7"/>
  <c r="AG18" i="7"/>
  <c r="AF18" i="7"/>
  <c r="AE18" i="7"/>
  <c r="N18" i="7"/>
  <c r="L18" i="7"/>
  <c r="K18" i="7"/>
  <c r="J18" i="7"/>
  <c r="I18" i="7"/>
  <c r="BA17" i="7"/>
  <c r="AJ17" i="7"/>
  <c r="AH17" i="7"/>
  <c r="AG17" i="7"/>
  <c r="AF17" i="7"/>
  <c r="AE17" i="7"/>
  <c r="N17" i="7"/>
  <c r="L17" i="7"/>
  <c r="K17" i="7"/>
  <c r="J17" i="7"/>
  <c r="I17" i="7"/>
  <c r="BA16" i="7"/>
  <c r="AJ16" i="7"/>
  <c r="AH16" i="7"/>
  <c r="AG16" i="7"/>
  <c r="AF16" i="7"/>
  <c r="AE16" i="7"/>
  <c r="N16" i="7"/>
  <c r="L16" i="7"/>
  <c r="K16" i="7"/>
  <c r="J16" i="7"/>
  <c r="I16" i="7"/>
  <c r="BB15" i="7" a="1"/>
  <c r="BB15" i="7" s="1"/>
  <c r="BA15" i="7"/>
  <c r="AJ15" i="7"/>
  <c r="AH15" i="7"/>
  <c r="AG15" i="7"/>
  <c r="AF15" i="7"/>
  <c r="AE15" i="7"/>
  <c r="N15" i="7"/>
  <c r="L15" i="7"/>
  <c r="K15" i="7"/>
  <c r="J15" i="7"/>
  <c r="I15" i="7"/>
  <c r="BA14" i="7"/>
  <c r="AJ14" i="7"/>
  <c r="AH14" i="7"/>
  <c r="AG14" i="7"/>
  <c r="AF14" i="7"/>
  <c r="AE14" i="7"/>
  <c r="N14" i="7"/>
  <c r="L14" i="7"/>
  <c r="K14" i="7"/>
  <c r="J14" i="7"/>
  <c r="I14" i="7"/>
  <c r="BA13" i="7"/>
  <c r="AJ13" i="7"/>
  <c r="AH13" i="7"/>
  <c r="AG13" i="7"/>
  <c r="AF13" i="7"/>
  <c r="AE13" i="7"/>
  <c r="N13" i="7"/>
  <c r="L13" i="7"/>
  <c r="K13" i="7"/>
  <c r="J13" i="7"/>
  <c r="I13" i="7"/>
  <c r="BA12" i="7"/>
  <c r="AJ12" i="7"/>
  <c r="AH12" i="7"/>
  <c r="AG12" i="7"/>
  <c r="AF12" i="7"/>
  <c r="AE12" i="7"/>
  <c r="N12" i="7"/>
  <c r="L12" i="7"/>
  <c r="K12" i="7"/>
  <c r="J12" i="7"/>
  <c r="I12" i="7"/>
  <c r="BA11" i="7"/>
  <c r="AJ11" i="7"/>
  <c r="AH11" i="7"/>
  <c r="AG11" i="7"/>
  <c r="AF11" i="7"/>
  <c r="AE11" i="7"/>
  <c r="N11" i="7"/>
  <c r="L11" i="7"/>
  <c r="K11" i="7"/>
  <c r="J11" i="7"/>
  <c r="I11" i="7"/>
  <c r="BB10" i="7" a="1"/>
  <c r="BB10" i="7" s="1"/>
  <c r="BA10" i="7"/>
  <c r="AJ10" i="7"/>
  <c r="AH10" i="7"/>
  <c r="AG10" i="7"/>
  <c r="AF10" i="7"/>
  <c r="AE10" i="7"/>
  <c r="N10" i="7"/>
  <c r="L10" i="7"/>
  <c r="K10" i="7"/>
  <c r="J10" i="7"/>
  <c r="I10" i="7"/>
  <c r="BA9" i="7"/>
  <c r="AJ9" i="7"/>
  <c r="AH9" i="7"/>
  <c r="AG9" i="7"/>
  <c r="AF9" i="7"/>
  <c r="AE9" i="7"/>
  <c r="N9" i="7"/>
  <c r="L9" i="7"/>
  <c r="K9" i="7"/>
  <c r="J9" i="7"/>
  <c r="I9" i="7"/>
  <c r="BA8" i="7"/>
  <c r="AJ8" i="7"/>
  <c r="AH8" i="7"/>
  <c r="AG8" i="7"/>
  <c r="AF8" i="7"/>
  <c r="AE8" i="7"/>
  <c r="N8" i="7"/>
  <c r="L8" i="7"/>
  <c r="K8" i="7"/>
  <c r="J8" i="7"/>
  <c r="I8" i="7"/>
  <c r="BA7" i="7"/>
  <c r="AJ7" i="7"/>
  <c r="AH7" i="7"/>
  <c r="AG7" i="7"/>
  <c r="AF7" i="7"/>
  <c r="AE7" i="7"/>
  <c r="N7" i="7"/>
  <c r="L7" i="7"/>
  <c r="K7" i="7"/>
  <c r="J7" i="7"/>
  <c r="I7" i="7"/>
  <c r="BA6" i="7"/>
  <c r="AJ6" i="7"/>
  <c r="AH6" i="7"/>
  <c r="AG6" i="7"/>
  <c r="AF6" i="7"/>
  <c r="AE6" i="7"/>
  <c r="N6" i="7"/>
  <c r="L6" i="7"/>
  <c r="K6" i="7"/>
  <c r="J6" i="7"/>
  <c r="I6" i="7"/>
  <c r="BB5" i="7" a="1"/>
  <c r="BB5" i="7" s="1"/>
  <c r="BA5" i="7"/>
  <c r="AJ5" i="7"/>
  <c r="AH5" i="7"/>
  <c r="AG5" i="7"/>
  <c r="AF5" i="7"/>
  <c r="AE5" i="7"/>
  <c r="N5" i="7"/>
  <c r="L5" i="7"/>
  <c r="K5" i="7"/>
  <c r="J5" i="7"/>
  <c r="I5" i="7"/>
  <c r="AQ63" i="6" a="1"/>
  <c r="AQ63" i="6" s="1"/>
  <c r="AP63" i="6"/>
  <c r="AC63" i="6"/>
  <c r="AB63" i="6"/>
  <c r="Z63" i="6"/>
  <c r="Y63" i="6"/>
  <c r="X63" i="6"/>
  <c r="W63" i="6"/>
  <c r="N63" i="6"/>
  <c r="M63" i="6"/>
  <c r="K63" i="6"/>
  <c r="J63" i="6"/>
  <c r="I63" i="6"/>
  <c r="H63" i="6"/>
  <c r="AQ62" i="6" a="1"/>
  <c r="AQ62" i="6" s="1"/>
  <c r="AP62" i="6"/>
  <c r="AC62" i="6"/>
  <c r="AB62" i="6"/>
  <c r="Z62" i="6"/>
  <c r="Y62" i="6"/>
  <c r="X62" i="6"/>
  <c r="W62" i="6"/>
  <c r="N62" i="6"/>
  <c r="M62" i="6"/>
  <c r="K62" i="6"/>
  <c r="J62" i="6"/>
  <c r="I62" i="6"/>
  <c r="H62" i="6"/>
  <c r="AQ61" i="6" a="1"/>
  <c r="AQ61" i="6" s="1"/>
  <c r="AP61" i="6"/>
  <c r="AC61" i="6"/>
  <c r="AB61" i="6"/>
  <c r="Z61" i="6"/>
  <c r="Y61" i="6"/>
  <c r="X61" i="6"/>
  <c r="W61" i="6"/>
  <c r="N61" i="6"/>
  <c r="M61" i="6"/>
  <c r="K61" i="6"/>
  <c r="J61" i="6"/>
  <c r="I61" i="6"/>
  <c r="H61" i="6"/>
  <c r="AQ56" i="6" a="1"/>
  <c r="AQ56" i="6" s="1"/>
  <c r="AP56" i="6"/>
  <c r="AC56" i="6"/>
  <c r="AB56" i="6"/>
  <c r="Z56" i="6"/>
  <c r="Y56" i="6"/>
  <c r="X56" i="6"/>
  <c r="W56" i="6"/>
  <c r="N56" i="6"/>
  <c r="M56" i="6"/>
  <c r="K56" i="6"/>
  <c r="J56" i="6"/>
  <c r="I56" i="6"/>
  <c r="H56" i="6"/>
  <c r="AQ55" i="6" a="1"/>
  <c r="AQ55" i="6" s="1"/>
  <c r="AP55" i="6"/>
  <c r="AC55" i="6"/>
  <c r="AB55" i="6"/>
  <c r="Z55" i="6"/>
  <c r="Y55" i="6"/>
  <c r="X55" i="6"/>
  <c r="W55" i="6"/>
  <c r="N55" i="6"/>
  <c r="M55" i="6"/>
  <c r="K55" i="6"/>
  <c r="J55" i="6"/>
  <c r="I55" i="6"/>
  <c r="H55" i="6"/>
  <c r="AQ54" i="6" a="1"/>
  <c r="AQ54" i="6" s="1"/>
  <c r="AP54" i="6"/>
  <c r="AC54" i="6"/>
  <c r="AB54" i="6"/>
  <c r="Z54" i="6"/>
  <c r="Y54" i="6"/>
  <c r="X54" i="6"/>
  <c r="W54" i="6"/>
  <c r="N54" i="6"/>
  <c r="M54" i="6"/>
  <c r="K54" i="6"/>
  <c r="J54" i="6"/>
  <c r="I54" i="6"/>
  <c r="H54" i="6"/>
  <c r="AQ53" i="6" a="1"/>
  <c r="AQ53" i="6" s="1"/>
  <c r="AP53" i="6"/>
  <c r="AC53" i="6"/>
  <c r="AB53" i="6"/>
  <c r="AA53" i="6"/>
  <c r="Z53" i="6"/>
  <c r="Y53" i="6"/>
  <c r="X53" i="6"/>
  <c r="W53" i="6"/>
  <c r="N53" i="6"/>
  <c r="M53" i="6"/>
  <c r="L53" i="6"/>
  <c r="K53" i="6"/>
  <c r="J53" i="6"/>
  <c r="I53" i="6"/>
  <c r="H53" i="6"/>
  <c r="AQ52" i="6" a="1"/>
  <c r="AQ52" i="6" s="1"/>
  <c r="AP52" i="6"/>
  <c r="AC52" i="6"/>
  <c r="AB52" i="6"/>
  <c r="AA52" i="6"/>
  <c r="Z52" i="6"/>
  <c r="Y52" i="6"/>
  <c r="X52" i="6"/>
  <c r="W52" i="6"/>
  <c r="N52" i="6"/>
  <c r="M52" i="6"/>
  <c r="L52" i="6"/>
  <c r="K52" i="6"/>
  <c r="J52" i="6"/>
  <c r="I52" i="6"/>
  <c r="H52" i="6"/>
  <c r="AQ51" i="6" a="1"/>
  <c r="AQ51" i="6" s="1"/>
  <c r="AQ68" i="6" s="1"/>
  <c r="AP51" i="6"/>
  <c r="AC51" i="6"/>
  <c r="AB51" i="6"/>
  <c r="AA51" i="6"/>
  <c r="Z51" i="6"/>
  <c r="Y51" i="6"/>
  <c r="X51" i="6"/>
  <c r="W51" i="6"/>
  <c r="N51" i="6"/>
  <c r="M51" i="6"/>
  <c r="L51" i="6"/>
  <c r="K51" i="6"/>
  <c r="J51" i="6"/>
  <c r="I51" i="6"/>
  <c r="H51" i="6"/>
  <c r="AQ50" i="6" a="1"/>
  <c r="AQ50" i="6" s="1"/>
  <c r="AP50" i="6"/>
  <c r="AC50" i="6"/>
  <c r="AA50" i="6"/>
  <c r="Z50" i="6"/>
  <c r="Y50" i="6"/>
  <c r="X50" i="6"/>
  <c r="W50" i="6"/>
  <c r="N50" i="6"/>
  <c r="L50" i="6"/>
  <c r="K50" i="6"/>
  <c r="J50" i="6"/>
  <c r="I50" i="6"/>
  <c r="H50" i="6"/>
  <c r="AQ49" i="6" a="1"/>
  <c r="AQ49" i="6" s="1"/>
  <c r="AP49" i="6"/>
  <c r="AC49" i="6"/>
  <c r="AA49" i="6"/>
  <c r="Z49" i="6"/>
  <c r="Y49" i="6"/>
  <c r="X49" i="6"/>
  <c r="W49" i="6"/>
  <c r="N49" i="6"/>
  <c r="L49" i="6"/>
  <c r="K49" i="6"/>
  <c r="J49" i="6"/>
  <c r="I49" i="6"/>
  <c r="H49" i="6"/>
  <c r="AQ48" i="6" a="1"/>
  <c r="AQ48" i="6" s="1"/>
  <c r="AP48" i="6"/>
  <c r="AC48" i="6"/>
  <c r="AA48" i="6"/>
  <c r="Z48" i="6"/>
  <c r="Y48" i="6"/>
  <c r="X48" i="6"/>
  <c r="W48" i="6"/>
  <c r="N48" i="6"/>
  <c r="L48" i="6"/>
  <c r="K48" i="6"/>
  <c r="J48" i="6"/>
  <c r="I48" i="6"/>
  <c r="H48" i="6"/>
  <c r="AQ47" i="6" a="1"/>
  <c r="AQ47" i="6" s="1"/>
  <c r="AP47" i="6"/>
  <c r="AC47" i="6"/>
  <c r="AA47" i="6"/>
  <c r="Z47" i="6"/>
  <c r="Y47" i="6"/>
  <c r="X47" i="6"/>
  <c r="W47" i="6"/>
  <c r="N47" i="6"/>
  <c r="L47" i="6"/>
  <c r="K47" i="6"/>
  <c r="J47" i="6"/>
  <c r="I47" i="6"/>
  <c r="H47" i="6"/>
  <c r="AQ46" i="6" a="1"/>
  <c r="AQ46" i="6" s="1"/>
  <c r="AP46" i="6"/>
  <c r="AC46" i="6"/>
  <c r="AA46" i="6"/>
  <c r="Z46" i="6"/>
  <c r="Y46" i="6"/>
  <c r="X46" i="6"/>
  <c r="W46" i="6"/>
  <c r="N46" i="6"/>
  <c r="L46" i="6"/>
  <c r="K46" i="6"/>
  <c r="J46" i="6"/>
  <c r="I46" i="6"/>
  <c r="H46" i="6"/>
  <c r="AQ45" i="6" a="1"/>
  <c r="AQ45" i="6" s="1"/>
  <c r="AP45" i="6"/>
  <c r="AC45" i="6"/>
  <c r="AA45" i="6"/>
  <c r="Z45" i="6"/>
  <c r="Y45" i="6"/>
  <c r="X45" i="6"/>
  <c r="W45" i="6"/>
  <c r="N45" i="6"/>
  <c r="L45" i="6"/>
  <c r="K45" i="6"/>
  <c r="J45" i="6"/>
  <c r="I45" i="6"/>
  <c r="H45" i="6"/>
  <c r="AQ44" i="6" a="1"/>
  <c r="AQ44" i="6" s="1"/>
  <c r="AP44" i="6"/>
  <c r="AC44" i="6"/>
  <c r="AA44" i="6"/>
  <c r="Z44" i="6"/>
  <c r="Y44" i="6"/>
  <c r="X44" i="6"/>
  <c r="W44" i="6"/>
  <c r="N44" i="6"/>
  <c r="L44" i="6"/>
  <c r="K44" i="6"/>
  <c r="J44" i="6"/>
  <c r="I44" i="6"/>
  <c r="H44" i="6"/>
  <c r="AQ43" i="6" a="1"/>
  <c r="AQ43" i="6" s="1"/>
  <c r="AP43" i="6"/>
  <c r="AC43" i="6"/>
  <c r="AA43" i="6"/>
  <c r="Z43" i="6"/>
  <c r="Y43" i="6"/>
  <c r="X43" i="6"/>
  <c r="W43" i="6"/>
  <c r="N43" i="6"/>
  <c r="L43" i="6"/>
  <c r="K43" i="6"/>
  <c r="J43" i="6"/>
  <c r="I43" i="6"/>
  <c r="H43" i="6"/>
  <c r="AQ42" i="6" a="1"/>
  <c r="AQ42" i="6" s="1"/>
  <c r="AP42" i="6"/>
  <c r="AC42" i="6"/>
  <c r="AA42" i="6"/>
  <c r="Z42" i="6"/>
  <c r="Y42" i="6"/>
  <c r="X42" i="6"/>
  <c r="W42" i="6"/>
  <c r="N42" i="6"/>
  <c r="L42" i="6"/>
  <c r="K42" i="6"/>
  <c r="J42" i="6"/>
  <c r="I42" i="6"/>
  <c r="H42" i="6"/>
  <c r="AQ41" i="6" a="1"/>
  <c r="AQ41" i="6" s="1"/>
  <c r="AP41" i="6"/>
  <c r="AC41" i="6"/>
  <c r="AA41" i="6"/>
  <c r="Z41" i="6"/>
  <c r="Y41" i="6"/>
  <c r="X41" i="6"/>
  <c r="W41" i="6"/>
  <c r="N41" i="6"/>
  <c r="L41" i="6"/>
  <c r="K41" i="6"/>
  <c r="J41" i="6"/>
  <c r="I41" i="6"/>
  <c r="H41" i="6"/>
  <c r="AQ40" i="6" a="1"/>
  <c r="AQ40" i="6" s="1"/>
  <c r="AP40" i="6"/>
  <c r="AC40" i="6"/>
  <c r="AA40" i="6"/>
  <c r="Z40" i="6"/>
  <c r="Y40" i="6"/>
  <c r="X40" i="6"/>
  <c r="W40" i="6"/>
  <c r="N40" i="6"/>
  <c r="L40" i="6"/>
  <c r="K40" i="6"/>
  <c r="J40" i="6"/>
  <c r="I40" i="6"/>
  <c r="H40" i="6"/>
  <c r="AQ39" i="6" a="1"/>
  <c r="AQ39" i="6" s="1"/>
  <c r="AP39" i="6"/>
  <c r="AC39" i="6"/>
  <c r="AA39" i="6"/>
  <c r="AN39" i="6" s="1"/>
  <c r="Z39" i="6"/>
  <c r="Y39" i="6"/>
  <c r="X39" i="6"/>
  <c r="W39" i="6"/>
  <c r="N39" i="6"/>
  <c r="L39" i="6"/>
  <c r="K39" i="6"/>
  <c r="J39" i="6"/>
  <c r="I39" i="6"/>
  <c r="H39" i="6"/>
  <c r="AQ38" i="6" a="1"/>
  <c r="AQ38" i="6" s="1"/>
  <c r="AP38" i="6"/>
  <c r="AC38" i="6"/>
  <c r="AA38" i="6"/>
  <c r="Z38" i="6"/>
  <c r="Y38" i="6"/>
  <c r="X38" i="6"/>
  <c r="W38" i="6"/>
  <c r="N38" i="6"/>
  <c r="L38" i="6"/>
  <c r="K38" i="6"/>
  <c r="J38" i="6"/>
  <c r="I38" i="6"/>
  <c r="H38" i="6"/>
  <c r="AQ37" i="6" a="1"/>
  <c r="AQ37" i="6" s="1"/>
  <c r="AP37" i="6"/>
  <c r="AC37" i="6"/>
  <c r="AA37" i="6"/>
  <c r="Z37" i="6"/>
  <c r="Y37" i="6"/>
  <c r="X37" i="6"/>
  <c r="W37" i="6"/>
  <c r="N37" i="6"/>
  <c r="L37" i="6"/>
  <c r="K37" i="6"/>
  <c r="J37" i="6"/>
  <c r="I37" i="6"/>
  <c r="H37" i="6"/>
  <c r="AQ36" i="6" a="1"/>
  <c r="AQ36" i="6"/>
  <c r="AP36" i="6"/>
  <c r="AC36" i="6"/>
  <c r="AA36" i="6"/>
  <c r="Z36" i="6"/>
  <c r="Y36" i="6"/>
  <c r="X36" i="6"/>
  <c r="W36" i="6"/>
  <c r="N36" i="6"/>
  <c r="L36" i="6"/>
  <c r="K36" i="6"/>
  <c r="J36" i="6"/>
  <c r="I36" i="6"/>
  <c r="H36" i="6"/>
  <c r="AQ35" i="6" a="1"/>
  <c r="AQ35" i="6" s="1"/>
  <c r="AP35" i="6"/>
  <c r="AC35" i="6"/>
  <c r="AA35" i="6"/>
  <c r="Z35" i="6"/>
  <c r="Y35" i="6"/>
  <c r="X35" i="6"/>
  <c r="W35" i="6"/>
  <c r="N35" i="6"/>
  <c r="L35" i="6"/>
  <c r="K35" i="6"/>
  <c r="J35" i="6"/>
  <c r="I35" i="6"/>
  <c r="H35" i="6"/>
  <c r="AQ34" i="6" a="1"/>
  <c r="AQ34" i="6" s="1"/>
  <c r="AP34" i="6"/>
  <c r="AC34" i="6"/>
  <c r="AA34" i="6"/>
  <c r="Z34" i="6"/>
  <c r="Y34" i="6"/>
  <c r="X34" i="6"/>
  <c r="W34" i="6"/>
  <c r="N34" i="6"/>
  <c r="L34" i="6"/>
  <c r="K34" i="6"/>
  <c r="J34" i="6"/>
  <c r="I34" i="6"/>
  <c r="H34" i="6"/>
  <c r="AQ33" i="6" a="1"/>
  <c r="AQ33" i="6" s="1"/>
  <c r="AP33" i="6"/>
  <c r="AC33" i="6"/>
  <c r="AA33" i="6"/>
  <c r="Z33" i="6"/>
  <c r="Y33" i="6"/>
  <c r="X33" i="6"/>
  <c r="W33" i="6"/>
  <c r="N33" i="6"/>
  <c r="L33" i="6"/>
  <c r="K33" i="6"/>
  <c r="J33" i="6"/>
  <c r="I33" i="6"/>
  <c r="H33" i="6"/>
  <c r="AQ32" i="6" a="1"/>
  <c r="AQ32" i="6" s="1"/>
  <c r="AP32" i="6"/>
  <c r="AC32" i="6"/>
  <c r="AA32" i="6"/>
  <c r="Z32" i="6"/>
  <c r="Y32" i="6"/>
  <c r="X32" i="6"/>
  <c r="W32" i="6"/>
  <c r="N32" i="6"/>
  <c r="L32" i="6"/>
  <c r="K32" i="6"/>
  <c r="J32" i="6"/>
  <c r="I32" i="6"/>
  <c r="H32" i="6"/>
  <c r="AQ31" i="6" a="1"/>
  <c r="AQ31" i="6" s="1"/>
  <c r="AP31" i="6"/>
  <c r="AC31" i="6"/>
  <c r="AA31" i="6"/>
  <c r="Z31" i="6"/>
  <c r="Y31" i="6"/>
  <c r="X31" i="6"/>
  <c r="W31" i="6"/>
  <c r="N31" i="6"/>
  <c r="L31" i="6"/>
  <c r="K31" i="6"/>
  <c r="J31" i="6"/>
  <c r="I31" i="6"/>
  <c r="H31" i="6"/>
  <c r="AQ30" i="6" a="1"/>
  <c r="AQ30" i="6" s="1"/>
  <c r="AP30" i="6"/>
  <c r="AC30" i="6"/>
  <c r="AA30" i="6"/>
  <c r="Z30" i="6"/>
  <c r="Y30" i="6"/>
  <c r="X30" i="6"/>
  <c r="W30" i="6"/>
  <c r="N30" i="6"/>
  <c r="L30" i="6"/>
  <c r="K30" i="6"/>
  <c r="J30" i="6"/>
  <c r="I30" i="6"/>
  <c r="H30" i="6"/>
  <c r="AQ29" i="6" a="1"/>
  <c r="AQ29" i="6" s="1"/>
  <c r="AP29" i="6"/>
  <c r="AC29" i="6"/>
  <c r="AA29" i="6"/>
  <c r="Z29" i="6"/>
  <c r="Y29" i="6"/>
  <c r="X29" i="6"/>
  <c r="W29" i="6"/>
  <c r="N29" i="6"/>
  <c r="L29" i="6"/>
  <c r="K29" i="6"/>
  <c r="J29" i="6"/>
  <c r="I29" i="6"/>
  <c r="H29" i="6"/>
  <c r="AQ28" i="6" a="1"/>
  <c r="AQ28" i="6" s="1"/>
  <c r="AP28" i="6"/>
  <c r="AC28" i="6"/>
  <c r="AA28" i="6"/>
  <c r="Z28" i="6"/>
  <c r="Y28" i="6"/>
  <c r="X28" i="6"/>
  <c r="W28" i="6"/>
  <c r="N28" i="6"/>
  <c r="L28" i="6"/>
  <c r="K28" i="6"/>
  <c r="J28" i="6"/>
  <c r="I28" i="6"/>
  <c r="H28" i="6"/>
  <c r="AQ27" i="6" a="1"/>
  <c r="AQ27" i="6" s="1"/>
  <c r="AP27" i="6"/>
  <c r="AC27" i="6"/>
  <c r="AA27" i="6"/>
  <c r="Z27" i="6"/>
  <c r="Y27" i="6"/>
  <c r="X27" i="6"/>
  <c r="W27" i="6"/>
  <c r="N27" i="6"/>
  <c r="L27" i="6"/>
  <c r="K27" i="6"/>
  <c r="J27" i="6"/>
  <c r="I27" i="6"/>
  <c r="H27" i="6"/>
  <c r="AQ26" i="6" a="1"/>
  <c r="AQ26" i="6" s="1"/>
  <c r="AP26" i="6"/>
  <c r="AC26" i="6"/>
  <c r="AA26" i="6"/>
  <c r="Z26" i="6"/>
  <c r="Y26" i="6"/>
  <c r="X26" i="6"/>
  <c r="W26" i="6"/>
  <c r="N26" i="6"/>
  <c r="L26" i="6"/>
  <c r="K26" i="6"/>
  <c r="J26" i="6"/>
  <c r="I26" i="6"/>
  <c r="H26" i="6"/>
  <c r="AQ25" i="6" a="1"/>
  <c r="AQ25" i="6" s="1"/>
  <c r="AP25" i="6"/>
  <c r="AC25" i="6"/>
  <c r="AA25" i="6"/>
  <c r="Z25" i="6"/>
  <c r="Y25" i="6"/>
  <c r="X25" i="6"/>
  <c r="W25" i="6"/>
  <c r="N25" i="6"/>
  <c r="L25" i="6"/>
  <c r="K25" i="6"/>
  <c r="J25" i="6"/>
  <c r="I25" i="6"/>
  <c r="H25" i="6"/>
  <c r="AQ24" i="6" a="1"/>
  <c r="AQ24" i="6" s="1"/>
  <c r="AP24" i="6"/>
  <c r="AC24" i="6"/>
  <c r="AA24" i="6"/>
  <c r="Z24" i="6"/>
  <c r="Y24" i="6"/>
  <c r="X24" i="6"/>
  <c r="W24" i="6"/>
  <c r="N24" i="6"/>
  <c r="L24" i="6"/>
  <c r="K24" i="6"/>
  <c r="J24" i="6"/>
  <c r="I24" i="6"/>
  <c r="H24" i="6"/>
  <c r="AQ23" i="6" a="1"/>
  <c r="AQ23" i="6" s="1"/>
  <c r="AP23" i="6"/>
  <c r="AC23" i="6"/>
  <c r="AA23" i="6"/>
  <c r="Z23" i="6"/>
  <c r="Y23" i="6"/>
  <c r="X23" i="6"/>
  <c r="W23" i="6"/>
  <c r="N23" i="6"/>
  <c r="L23" i="6"/>
  <c r="K23" i="6"/>
  <c r="J23" i="6"/>
  <c r="I23" i="6"/>
  <c r="H23" i="6"/>
  <c r="AQ22" i="6" a="1"/>
  <c r="AQ22" i="6" s="1"/>
  <c r="AP22" i="6"/>
  <c r="AC22" i="6"/>
  <c r="AA22" i="6"/>
  <c r="Z22" i="6"/>
  <c r="Y22" i="6"/>
  <c r="X22" i="6"/>
  <c r="W22" i="6"/>
  <c r="N22" i="6"/>
  <c r="L22" i="6"/>
  <c r="K22" i="6"/>
  <c r="J22" i="6"/>
  <c r="I22" i="6"/>
  <c r="H22" i="6"/>
  <c r="AQ21" i="6" a="1"/>
  <c r="AQ21" i="6" s="1"/>
  <c r="AP21" i="6"/>
  <c r="AC21" i="6"/>
  <c r="AA21" i="6"/>
  <c r="Z21" i="6"/>
  <c r="Y21" i="6"/>
  <c r="X21" i="6"/>
  <c r="W21" i="6"/>
  <c r="N21" i="6"/>
  <c r="L21" i="6"/>
  <c r="K21" i="6"/>
  <c r="J21" i="6"/>
  <c r="I21" i="6"/>
  <c r="H21" i="6"/>
  <c r="AQ20" i="6" a="1"/>
  <c r="AQ20" i="6" s="1"/>
  <c r="AP20" i="6"/>
  <c r="AC20" i="6"/>
  <c r="AA20" i="6"/>
  <c r="Z20" i="6"/>
  <c r="Y20" i="6"/>
  <c r="X20" i="6"/>
  <c r="W20" i="6"/>
  <c r="N20" i="6"/>
  <c r="L20" i="6"/>
  <c r="K20" i="6"/>
  <c r="J20" i="6"/>
  <c r="I20" i="6"/>
  <c r="H20" i="6"/>
  <c r="AQ19" i="6" a="1"/>
  <c r="AQ19" i="6" s="1"/>
  <c r="AP19" i="6"/>
  <c r="AC19" i="6"/>
  <c r="AA19" i="6"/>
  <c r="Z19" i="6"/>
  <c r="Y19" i="6"/>
  <c r="X19" i="6"/>
  <c r="W19" i="6"/>
  <c r="N19" i="6"/>
  <c r="L19" i="6"/>
  <c r="K19" i="6"/>
  <c r="J19" i="6"/>
  <c r="I19" i="6"/>
  <c r="H19" i="6"/>
  <c r="AQ18" i="6" a="1"/>
  <c r="AQ18" i="6" s="1"/>
  <c r="AP18" i="6"/>
  <c r="AC18" i="6"/>
  <c r="AA18" i="6"/>
  <c r="Z18" i="6"/>
  <c r="Y18" i="6"/>
  <c r="X18" i="6"/>
  <c r="W18" i="6"/>
  <c r="N18" i="6"/>
  <c r="L18" i="6"/>
  <c r="K18" i="6"/>
  <c r="J18" i="6"/>
  <c r="I18" i="6"/>
  <c r="H18" i="6"/>
  <c r="AQ17" i="6" a="1"/>
  <c r="AQ17" i="6" s="1"/>
  <c r="AP17" i="6"/>
  <c r="AC17" i="6"/>
  <c r="AA17" i="6"/>
  <c r="Z17" i="6"/>
  <c r="Y17" i="6"/>
  <c r="X17" i="6"/>
  <c r="W17" i="6"/>
  <c r="N17" i="6"/>
  <c r="L17" i="6"/>
  <c r="K17" i="6"/>
  <c r="J17" i="6"/>
  <c r="I17" i="6"/>
  <c r="H17" i="6"/>
  <c r="AQ16" i="6" a="1"/>
  <c r="AQ16" i="6" s="1"/>
  <c r="AP16" i="6"/>
  <c r="AC16" i="6"/>
  <c r="AA16" i="6"/>
  <c r="Z16" i="6"/>
  <c r="Y16" i="6"/>
  <c r="X16" i="6"/>
  <c r="W16" i="6"/>
  <c r="N16" i="6"/>
  <c r="L16" i="6"/>
  <c r="K16" i="6"/>
  <c r="J16" i="6"/>
  <c r="I16" i="6"/>
  <c r="H16" i="6"/>
  <c r="AQ15" i="6" a="1"/>
  <c r="AQ15" i="6" s="1"/>
  <c r="AP15" i="6"/>
  <c r="AC15" i="6"/>
  <c r="AA15" i="6"/>
  <c r="Z15" i="6"/>
  <c r="Y15" i="6"/>
  <c r="X15" i="6"/>
  <c r="W15" i="6"/>
  <c r="N15" i="6"/>
  <c r="L15" i="6"/>
  <c r="K15" i="6"/>
  <c r="J15" i="6"/>
  <c r="I15" i="6"/>
  <c r="H15" i="6"/>
  <c r="AQ14" i="6" a="1"/>
  <c r="AQ14" i="6" s="1"/>
  <c r="AP14" i="6"/>
  <c r="AC14" i="6"/>
  <c r="AA14" i="6"/>
  <c r="Z14" i="6"/>
  <c r="Y14" i="6"/>
  <c r="X14" i="6"/>
  <c r="W14" i="6"/>
  <c r="N14" i="6"/>
  <c r="L14" i="6"/>
  <c r="K14" i="6"/>
  <c r="J14" i="6"/>
  <c r="I14" i="6"/>
  <c r="H14" i="6"/>
  <c r="AQ13" i="6" a="1"/>
  <c r="AQ13" i="6" s="1"/>
  <c r="AP13" i="6"/>
  <c r="AC13" i="6"/>
  <c r="AA13" i="6"/>
  <c r="Z13" i="6"/>
  <c r="Y13" i="6"/>
  <c r="X13" i="6"/>
  <c r="W13" i="6"/>
  <c r="N13" i="6"/>
  <c r="L13" i="6"/>
  <c r="K13" i="6"/>
  <c r="J13" i="6"/>
  <c r="I13" i="6"/>
  <c r="H13" i="6"/>
  <c r="AQ12" i="6" a="1"/>
  <c r="AQ12" i="6"/>
  <c r="AP12" i="6"/>
  <c r="AC12" i="6"/>
  <c r="AA12" i="6"/>
  <c r="Z12" i="6"/>
  <c r="Y12" i="6"/>
  <c r="X12" i="6"/>
  <c r="W12" i="6"/>
  <c r="N12" i="6"/>
  <c r="L12" i="6"/>
  <c r="K12" i="6"/>
  <c r="J12" i="6"/>
  <c r="I12" i="6"/>
  <c r="H12" i="6"/>
  <c r="AQ11" i="6" a="1"/>
  <c r="AQ11" i="6" s="1"/>
  <c r="AP11" i="6"/>
  <c r="AC11" i="6"/>
  <c r="AA11" i="6"/>
  <c r="Z11" i="6"/>
  <c r="Y11" i="6"/>
  <c r="X11" i="6"/>
  <c r="W11" i="6"/>
  <c r="N11" i="6"/>
  <c r="L11" i="6"/>
  <c r="K11" i="6"/>
  <c r="J11" i="6"/>
  <c r="I11" i="6"/>
  <c r="H11" i="6"/>
  <c r="AQ10" i="6" a="1"/>
  <c r="AQ10" i="6" s="1"/>
  <c r="AP10" i="6"/>
  <c r="AC10" i="6"/>
  <c r="AA10" i="6"/>
  <c r="Z10" i="6"/>
  <c r="Y10" i="6"/>
  <c r="X10" i="6"/>
  <c r="W10" i="6"/>
  <c r="N10" i="6"/>
  <c r="L10" i="6"/>
  <c r="K10" i="6"/>
  <c r="J10" i="6"/>
  <c r="I10" i="6"/>
  <c r="H10" i="6"/>
  <c r="AQ9" i="6" a="1"/>
  <c r="AQ9" i="6" s="1"/>
  <c r="AP9" i="6"/>
  <c r="AC9" i="6"/>
  <c r="AA9" i="6"/>
  <c r="Z9" i="6"/>
  <c r="Y9" i="6"/>
  <c r="X9" i="6"/>
  <c r="W9" i="6"/>
  <c r="N9" i="6"/>
  <c r="L9" i="6"/>
  <c r="K9" i="6"/>
  <c r="J9" i="6"/>
  <c r="I9" i="6"/>
  <c r="H9" i="6"/>
  <c r="AQ8" i="6" a="1"/>
  <c r="AQ8" i="6" s="1"/>
  <c r="AP8" i="6"/>
  <c r="AC8" i="6"/>
  <c r="AA8" i="6"/>
  <c r="Z8" i="6"/>
  <c r="Y8" i="6"/>
  <c r="X8" i="6"/>
  <c r="W8" i="6"/>
  <c r="N8" i="6"/>
  <c r="L8" i="6"/>
  <c r="K8" i="6"/>
  <c r="J8" i="6"/>
  <c r="I8" i="6"/>
  <c r="H8" i="6"/>
  <c r="AQ7" i="6" a="1"/>
  <c r="AQ7" i="6" s="1"/>
  <c r="AP7" i="6"/>
  <c r="AC7" i="6"/>
  <c r="AA7" i="6"/>
  <c r="Z7" i="6"/>
  <c r="Y7" i="6"/>
  <c r="X7" i="6"/>
  <c r="W7" i="6"/>
  <c r="N7" i="6"/>
  <c r="L7" i="6"/>
  <c r="K7" i="6"/>
  <c r="J7" i="6"/>
  <c r="I7" i="6"/>
  <c r="H7" i="6"/>
  <c r="AQ6" i="6" a="1"/>
  <c r="AQ6" i="6" s="1"/>
  <c r="AP6" i="6"/>
  <c r="AC6" i="6"/>
  <c r="AA6" i="6"/>
  <c r="Z6" i="6"/>
  <c r="Y6" i="6"/>
  <c r="X6" i="6"/>
  <c r="W6" i="6"/>
  <c r="N6" i="6"/>
  <c r="L6" i="6"/>
  <c r="K6" i="6"/>
  <c r="J6" i="6"/>
  <c r="I6" i="6"/>
  <c r="H6" i="6"/>
  <c r="AQ5" i="6" a="1"/>
  <c r="AQ5" i="6" s="1"/>
  <c r="AP5" i="6"/>
  <c r="AC5" i="6"/>
  <c r="AA5" i="6"/>
  <c r="Z5" i="6"/>
  <c r="Y5" i="6"/>
  <c r="X5" i="6"/>
  <c r="W5" i="6"/>
  <c r="N5" i="6"/>
  <c r="L5" i="6"/>
  <c r="K5" i="6"/>
  <c r="J5" i="6"/>
  <c r="I5" i="6"/>
  <c r="H5" i="6"/>
  <c r="AW352" i="5"/>
  <c r="AH352" i="5"/>
  <c r="AG352" i="5"/>
  <c r="AE352" i="5"/>
  <c r="AD352" i="5"/>
  <c r="AC352" i="5"/>
  <c r="N352" i="5"/>
  <c r="M352" i="5"/>
  <c r="K352" i="5"/>
  <c r="J352" i="5"/>
  <c r="I352" i="5"/>
  <c r="AW351" i="5"/>
  <c r="AH351" i="5"/>
  <c r="AG351" i="5"/>
  <c r="AE351" i="5"/>
  <c r="AD351" i="5"/>
  <c r="AC351" i="5"/>
  <c r="N351" i="5"/>
  <c r="M351" i="5"/>
  <c r="K351" i="5"/>
  <c r="J351" i="5"/>
  <c r="I351" i="5"/>
  <c r="AW350" i="5"/>
  <c r="AH350" i="5"/>
  <c r="AG350" i="5"/>
  <c r="AE350" i="5"/>
  <c r="AD350" i="5"/>
  <c r="AC350" i="5"/>
  <c r="N350" i="5"/>
  <c r="M350" i="5"/>
  <c r="K350" i="5"/>
  <c r="J350" i="5"/>
  <c r="I350" i="5"/>
  <c r="AW349" i="5"/>
  <c r="AH349" i="5"/>
  <c r="AG349" i="5"/>
  <c r="AE349" i="5"/>
  <c r="AD349" i="5"/>
  <c r="AC349" i="5"/>
  <c r="N349" i="5"/>
  <c r="M349" i="5"/>
  <c r="K349" i="5"/>
  <c r="J349" i="5"/>
  <c r="I349" i="5"/>
  <c r="AW348" i="5"/>
  <c r="AH348" i="5"/>
  <c r="AG348" i="5"/>
  <c r="AE348" i="5"/>
  <c r="AD348" i="5"/>
  <c r="AC348" i="5"/>
  <c r="N348" i="5"/>
  <c r="M348" i="5"/>
  <c r="K348" i="5"/>
  <c r="J348" i="5"/>
  <c r="I348" i="5"/>
  <c r="AX347" i="5" a="1"/>
  <c r="AX347" i="5" s="1"/>
  <c r="AW347" i="5"/>
  <c r="AH347" i="5"/>
  <c r="AG347" i="5"/>
  <c r="AE347" i="5"/>
  <c r="AD347" i="5"/>
  <c r="AC347" i="5"/>
  <c r="N347" i="5"/>
  <c r="M347" i="5"/>
  <c r="K347" i="5"/>
  <c r="J347" i="5"/>
  <c r="I347" i="5"/>
  <c r="AW346" i="5"/>
  <c r="AH346" i="5"/>
  <c r="AG346" i="5"/>
  <c r="AE346" i="5"/>
  <c r="AD346" i="5"/>
  <c r="AC346" i="5"/>
  <c r="N346" i="5"/>
  <c r="M346" i="5"/>
  <c r="K346" i="5"/>
  <c r="J346" i="5"/>
  <c r="I346" i="5"/>
  <c r="AW345" i="5"/>
  <c r="AH345" i="5"/>
  <c r="AG345" i="5"/>
  <c r="AE345" i="5"/>
  <c r="AD345" i="5"/>
  <c r="AC345" i="5"/>
  <c r="N345" i="5"/>
  <c r="M345" i="5"/>
  <c r="K345" i="5"/>
  <c r="J345" i="5"/>
  <c r="I345" i="5"/>
  <c r="AW344" i="5"/>
  <c r="AH344" i="5"/>
  <c r="AG344" i="5"/>
  <c r="AE344" i="5"/>
  <c r="AD344" i="5"/>
  <c r="AC344" i="5"/>
  <c r="N344" i="5"/>
  <c r="M344" i="5"/>
  <c r="K344" i="5"/>
  <c r="J344" i="5"/>
  <c r="I344" i="5"/>
  <c r="AW343" i="5"/>
  <c r="AH343" i="5"/>
  <c r="AG343" i="5"/>
  <c r="AE343" i="5"/>
  <c r="AD343" i="5"/>
  <c r="AC343" i="5"/>
  <c r="N343" i="5"/>
  <c r="M343" i="5"/>
  <c r="K343" i="5"/>
  <c r="J343" i="5"/>
  <c r="I343" i="5"/>
  <c r="AW342" i="5"/>
  <c r="AH342" i="5"/>
  <c r="AG342" i="5"/>
  <c r="AE342" i="5"/>
  <c r="AD342" i="5"/>
  <c r="AC342" i="5"/>
  <c r="N342" i="5"/>
  <c r="M342" i="5"/>
  <c r="K342" i="5"/>
  <c r="J342" i="5"/>
  <c r="I342" i="5"/>
  <c r="AX341" i="5" a="1"/>
  <c r="AX341" i="5" s="1"/>
  <c r="AW341" i="5"/>
  <c r="AH341" i="5"/>
  <c r="AG341" i="5"/>
  <c r="AE341" i="5"/>
  <c r="AD341" i="5"/>
  <c r="AC341" i="5"/>
  <c r="N341" i="5"/>
  <c r="M341" i="5"/>
  <c r="K341" i="5"/>
  <c r="J341" i="5"/>
  <c r="I341" i="5"/>
  <c r="AW322" i="5"/>
  <c r="AH322" i="5"/>
  <c r="AG322" i="5"/>
  <c r="AE322" i="5"/>
  <c r="AD322" i="5"/>
  <c r="AC322" i="5"/>
  <c r="N322" i="5"/>
  <c r="M322" i="5"/>
  <c r="K322" i="5"/>
  <c r="J322" i="5"/>
  <c r="I322" i="5"/>
  <c r="AW321" i="5"/>
  <c r="AH321" i="5"/>
  <c r="AG321" i="5"/>
  <c r="AE321" i="5"/>
  <c r="AD321" i="5"/>
  <c r="AC321" i="5"/>
  <c r="N321" i="5"/>
  <c r="M321" i="5"/>
  <c r="K321" i="5"/>
  <c r="J321" i="5"/>
  <c r="I321" i="5"/>
  <c r="AW320" i="5"/>
  <c r="AH320" i="5"/>
  <c r="AG320" i="5"/>
  <c r="AE320" i="5"/>
  <c r="AD320" i="5"/>
  <c r="AC320" i="5"/>
  <c r="N320" i="5"/>
  <c r="M320" i="5"/>
  <c r="K320" i="5"/>
  <c r="J320" i="5"/>
  <c r="I320" i="5"/>
  <c r="AW319" i="5"/>
  <c r="AH319" i="5"/>
  <c r="AG319" i="5"/>
  <c r="AE319" i="5"/>
  <c r="AD319" i="5"/>
  <c r="AC319" i="5"/>
  <c r="N319" i="5"/>
  <c r="M319" i="5"/>
  <c r="K319" i="5"/>
  <c r="J319" i="5"/>
  <c r="I319" i="5"/>
  <c r="AW318" i="5"/>
  <c r="AH318" i="5"/>
  <c r="AG318" i="5"/>
  <c r="AE318" i="5"/>
  <c r="AD318" i="5"/>
  <c r="AC318" i="5"/>
  <c r="N318" i="5"/>
  <c r="M318" i="5"/>
  <c r="K318" i="5"/>
  <c r="J318" i="5"/>
  <c r="I318" i="5"/>
  <c r="AX317" i="5" a="1"/>
  <c r="AX317" i="5" s="1"/>
  <c r="AW317" i="5"/>
  <c r="AH317" i="5"/>
  <c r="AG317" i="5"/>
  <c r="AE317" i="5"/>
  <c r="AD317" i="5"/>
  <c r="AC317" i="5"/>
  <c r="N317" i="5"/>
  <c r="M317" i="5"/>
  <c r="K317" i="5"/>
  <c r="J317" i="5"/>
  <c r="I317" i="5"/>
  <c r="AW316" i="5"/>
  <c r="AH316" i="5"/>
  <c r="AG316" i="5"/>
  <c r="AE316" i="5"/>
  <c r="AD316" i="5"/>
  <c r="AC316" i="5"/>
  <c r="N316" i="5"/>
  <c r="M316" i="5"/>
  <c r="K316" i="5"/>
  <c r="J316" i="5"/>
  <c r="I316" i="5"/>
  <c r="AW315" i="5"/>
  <c r="AH315" i="5"/>
  <c r="AG315" i="5"/>
  <c r="AE315" i="5"/>
  <c r="AD315" i="5"/>
  <c r="AC315" i="5"/>
  <c r="N315" i="5"/>
  <c r="M315" i="5"/>
  <c r="K315" i="5"/>
  <c r="J315" i="5"/>
  <c r="I315" i="5"/>
  <c r="AW314" i="5"/>
  <c r="AH314" i="5"/>
  <c r="AG314" i="5"/>
  <c r="AE314" i="5"/>
  <c r="AD314" i="5"/>
  <c r="AC314" i="5"/>
  <c r="N314" i="5"/>
  <c r="M314" i="5"/>
  <c r="K314" i="5"/>
  <c r="J314" i="5"/>
  <c r="I314" i="5"/>
  <c r="AW313" i="5"/>
  <c r="AH313" i="5"/>
  <c r="AG313" i="5"/>
  <c r="AE313" i="5"/>
  <c r="AD313" i="5"/>
  <c r="AC313" i="5"/>
  <c r="N313" i="5"/>
  <c r="M313" i="5"/>
  <c r="K313" i="5"/>
  <c r="J313" i="5"/>
  <c r="I313" i="5"/>
  <c r="AW312" i="5"/>
  <c r="AH312" i="5"/>
  <c r="AG312" i="5"/>
  <c r="AE312" i="5"/>
  <c r="AD312" i="5"/>
  <c r="AC312" i="5"/>
  <c r="N312" i="5"/>
  <c r="M312" i="5"/>
  <c r="K312" i="5"/>
  <c r="J312" i="5"/>
  <c r="I312" i="5"/>
  <c r="AX311" i="5" a="1"/>
  <c r="AX311" i="5" s="1"/>
  <c r="AW311" i="5"/>
  <c r="AH311" i="5"/>
  <c r="AG311" i="5"/>
  <c r="AE311" i="5"/>
  <c r="AD311" i="5"/>
  <c r="AC311" i="5"/>
  <c r="N311" i="5"/>
  <c r="M311" i="5"/>
  <c r="K311" i="5"/>
  <c r="J311" i="5"/>
  <c r="I311" i="5"/>
  <c r="AW310" i="5"/>
  <c r="AH310" i="5"/>
  <c r="AG310" i="5"/>
  <c r="AE310" i="5"/>
  <c r="AD310" i="5"/>
  <c r="AC310" i="5"/>
  <c r="N310" i="5"/>
  <c r="M310" i="5"/>
  <c r="K310" i="5"/>
  <c r="J310" i="5"/>
  <c r="I310" i="5"/>
  <c r="AW309" i="5"/>
  <c r="AH309" i="5"/>
  <c r="AG309" i="5"/>
  <c r="AE309" i="5"/>
  <c r="AD309" i="5"/>
  <c r="AC309" i="5"/>
  <c r="N309" i="5"/>
  <c r="M309" i="5"/>
  <c r="K309" i="5"/>
  <c r="J309" i="5"/>
  <c r="I309" i="5"/>
  <c r="AW308" i="5"/>
  <c r="AH308" i="5"/>
  <c r="AG308" i="5"/>
  <c r="AE308" i="5"/>
  <c r="AD308" i="5"/>
  <c r="AC308" i="5"/>
  <c r="N308" i="5"/>
  <c r="M308" i="5"/>
  <c r="K308" i="5"/>
  <c r="J308" i="5"/>
  <c r="I308" i="5"/>
  <c r="AW307" i="5"/>
  <c r="AH307" i="5"/>
  <c r="AG307" i="5"/>
  <c r="AE307" i="5"/>
  <c r="AD307" i="5"/>
  <c r="AC307" i="5"/>
  <c r="N307" i="5"/>
  <c r="M307" i="5"/>
  <c r="K307" i="5"/>
  <c r="J307" i="5"/>
  <c r="I307" i="5"/>
  <c r="AW306" i="5"/>
  <c r="AH306" i="5"/>
  <c r="AG306" i="5"/>
  <c r="AE306" i="5"/>
  <c r="AD306" i="5"/>
  <c r="AC306" i="5"/>
  <c r="N306" i="5"/>
  <c r="M306" i="5"/>
  <c r="K306" i="5"/>
  <c r="J306" i="5"/>
  <c r="I306" i="5"/>
  <c r="AX305" i="5" a="1"/>
  <c r="AX305" i="5" s="1"/>
  <c r="AW305" i="5"/>
  <c r="AH305" i="5"/>
  <c r="AG305" i="5"/>
  <c r="AE305" i="5"/>
  <c r="AD305" i="5"/>
  <c r="AC305" i="5"/>
  <c r="N305" i="5"/>
  <c r="M305" i="5"/>
  <c r="K305" i="5"/>
  <c r="J305" i="5"/>
  <c r="I305" i="5"/>
  <c r="AW304" i="5"/>
  <c r="AH304" i="5"/>
  <c r="AG304" i="5"/>
  <c r="AE304" i="5"/>
  <c r="AD304" i="5"/>
  <c r="AC304" i="5"/>
  <c r="N304" i="5"/>
  <c r="M304" i="5"/>
  <c r="K304" i="5"/>
  <c r="J304" i="5"/>
  <c r="I304" i="5"/>
  <c r="AW303" i="5"/>
  <c r="AH303" i="5"/>
  <c r="AG303" i="5"/>
  <c r="AE303" i="5"/>
  <c r="AD303" i="5"/>
  <c r="AC303" i="5"/>
  <c r="N303" i="5"/>
  <c r="M303" i="5"/>
  <c r="K303" i="5"/>
  <c r="J303" i="5"/>
  <c r="I303" i="5"/>
  <c r="AW302" i="5"/>
  <c r="AH302" i="5"/>
  <c r="AG302" i="5"/>
  <c r="AE302" i="5"/>
  <c r="AD302" i="5"/>
  <c r="AC302" i="5"/>
  <c r="N302" i="5"/>
  <c r="M302" i="5"/>
  <c r="K302" i="5"/>
  <c r="J302" i="5"/>
  <c r="I302" i="5"/>
  <c r="AW301" i="5"/>
  <c r="AH301" i="5"/>
  <c r="AG301" i="5"/>
  <c r="AE301" i="5"/>
  <c r="AD301" i="5"/>
  <c r="AC301" i="5"/>
  <c r="N301" i="5"/>
  <c r="M301" i="5"/>
  <c r="K301" i="5"/>
  <c r="J301" i="5"/>
  <c r="I301" i="5"/>
  <c r="AW300" i="5"/>
  <c r="AH300" i="5"/>
  <c r="AG300" i="5"/>
  <c r="AE300" i="5"/>
  <c r="AD300" i="5"/>
  <c r="AC300" i="5"/>
  <c r="N300" i="5"/>
  <c r="M300" i="5"/>
  <c r="K300" i="5"/>
  <c r="J300" i="5"/>
  <c r="I300" i="5"/>
  <c r="AX299" i="5" a="1"/>
  <c r="AX299" i="5" s="1"/>
  <c r="AW299" i="5"/>
  <c r="AH299" i="5"/>
  <c r="AG299" i="5"/>
  <c r="AE299" i="5"/>
  <c r="AD299" i="5"/>
  <c r="AC299" i="5"/>
  <c r="N299" i="5"/>
  <c r="M299" i="5"/>
  <c r="K299" i="5"/>
  <c r="J299" i="5"/>
  <c r="I299" i="5"/>
  <c r="AW298" i="5"/>
  <c r="AH298" i="5"/>
  <c r="AG298" i="5"/>
  <c r="AF298" i="5"/>
  <c r="AE298" i="5"/>
  <c r="AD298" i="5"/>
  <c r="AC298" i="5"/>
  <c r="N298" i="5"/>
  <c r="M298" i="5"/>
  <c r="L298" i="5"/>
  <c r="K298" i="5"/>
  <c r="J298" i="5"/>
  <c r="I298" i="5"/>
  <c r="AW297" i="5"/>
  <c r="AH297" i="5"/>
  <c r="AG297" i="5"/>
  <c r="AF297" i="5"/>
  <c r="AE297" i="5"/>
  <c r="AD297" i="5"/>
  <c r="AC297" i="5"/>
  <c r="N297" i="5"/>
  <c r="M297" i="5"/>
  <c r="L297" i="5"/>
  <c r="K297" i="5"/>
  <c r="J297" i="5"/>
  <c r="I297" i="5"/>
  <c r="AW296" i="5"/>
  <c r="AH296" i="5"/>
  <c r="AG296" i="5"/>
  <c r="AF296" i="5"/>
  <c r="AE296" i="5"/>
  <c r="AD296" i="5"/>
  <c r="AC296" i="5"/>
  <c r="N296" i="5"/>
  <c r="M296" i="5"/>
  <c r="L296" i="5"/>
  <c r="K296" i="5"/>
  <c r="J296" i="5"/>
  <c r="I296" i="5"/>
  <c r="AW295" i="5"/>
  <c r="AH295" i="5"/>
  <c r="AG295" i="5"/>
  <c r="AF295" i="5"/>
  <c r="AE295" i="5"/>
  <c r="AD295" i="5"/>
  <c r="AC295" i="5"/>
  <c r="N295" i="5"/>
  <c r="M295" i="5"/>
  <c r="L295" i="5"/>
  <c r="K295" i="5"/>
  <c r="J295" i="5"/>
  <c r="I295" i="5"/>
  <c r="AW294" i="5"/>
  <c r="AH294" i="5"/>
  <c r="AG294" i="5"/>
  <c r="AF294" i="5"/>
  <c r="AE294" i="5"/>
  <c r="AD294" i="5"/>
  <c r="AC294" i="5"/>
  <c r="N294" i="5"/>
  <c r="M294" i="5"/>
  <c r="L294" i="5"/>
  <c r="K294" i="5"/>
  <c r="J294" i="5"/>
  <c r="I294" i="5"/>
  <c r="AX293" i="5" a="1"/>
  <c r="AX293" i="5" s="1"/>
  <c r="AW293" i="5"/>
  <c r="AH293" i="5"/>
  <c r="AG293" i="5"/>
  <c r="AF293" i="5"/>
  <c r="AE293" i="5"/>
  <c r="AD293" i="5"/>
  <c r="AC293" i="5"/>
  <c r="N293" i="5"/>
  <c r="M293" i="5"/>
  <c r="L293" i="5"/>
  <c r="K293" i="5"/>
  <c r="J293" i="5"/>
  <c r="I293" i="5"/>
  <c r="AW292" i="5"/>
  <c r="AH292" i="5"/>
  <c r="AG292" i="5"/>
  <c r="AF292" i="5"/>
  <c r="AE292" i="5"/>
  <c r="AD292" i="5"/>
  <c r="AC292" i="5"/>
  <c r="N292" i="5"/>
  <c r="M292" i="5"/>
  <c r="L292" i="5"/>
  <c r="K292" i="5"/>
  <c r="J292" i="5"/>
  <c r="I292" i="5"/>
  <c r="AW291" i="5"/>
  <c r="AH291" i="5"/>
  <c r="AG291" i="5"/>
  <c r="AF291" i="5"/>
  <c r="AE291" i="5"/>
  <c r="AD291" i="5"/>
  <c r="AC291" i="5"/>
  <c r="N291" i="5"/>
  <c r="M291" i="5"/>
  <c r="L291" i="5"/>
  <c r="K291" i="5"/>
  <c r="J291" i="5"/>
  <c r="I291" i="5"/>
  <c r="AW290" i="5"/>
  <c r="AH290" i="5"/>
  <c r="AG290" i="5"/>
  <c r="AF290" i="5"/>
  <c r="AE290" i="5"/>
  <c r="AD290" i="5"/>
  <c r="AC290" i="5"/>
  <c r="N290" i="5"/>
  <c r="M290" i="5"/>
  <c r="L290" i="5"/>
  <c r="K290" i="5"/>
  <c r="J290" i="5"/>
  <c r="I290" i="5"/>
  <c r="AW289" i="5"/>
  <c r="AH289" i="5"/>
  <c r="AG289" i="5"/>
  <c r="AF289" i="5"/>
  <c r="AE289" i="5"/>
  <c r="AD289" i="5"/>
  <c r="AC289" i="5"/>
  <c r="N289" i="5"/>
  <c r="M289" i="5"/>
  <c r="L289" i="5"/>
  <c r="K289" i="5"/>
  <c r="J289" i="5"/>
  <c r="I289" i="5"/>
  <c r="AW288" i="5"/>
  <c r="AH288" i="5"/>
  <c r="AG288" i="5"/>
  <c r="AF288" i="5"/>
  <c r="AE288" i="5"/>
  <c r="AD288" i="5"/>
  <c r="AC288" i="5"/>
  <c r="N288" i="5"/>
  <c r="M288" i="5"/>
  <c r="L288" i="5"/>
  <c r="K288" i="5"/>
  <c r="J288" i="5"/>
  <c r="I288" i="5"/>
  <c r="AX287" i="5" a="1"/>
  <c r="AX287" i="5" s="1"/>
  <c r="AW287" i="5"/>
  <c r="AH287" i="5"/>
  <c r="AG287" i="5"/>
  <c r="AF287" i="5"/>
  <c r="AE287" i="5"/>
  <c r="AD287" i="5"/>
  <c r="AC287" i="5"/>
  <c r="N287" i="5"/>
  <c r="M287" i="5"/>
  <c r="L287" i="5"/>
  <c r="K287" i="5"/>
  <c r="J287" i="5"/>
  <c r="I287" i="5"/>
  <c r="AW286" i="5"/>
  <c r="AH286" i="5"/>
  <c r="AG286" i="5"/>
  <c r="AF286" i="5"/>
  <c r="AE286" i="5"/>
  <c r="AD286" i="5"/>
  <c r="AC286" i="5"/>
  <c r="N286" i="5"/>
  <c r="M286" i="5"/>
  <c r="L286" i="5"/>
  <c r="K286" i="5"/>
  <c r="J286" i="5"/>
  <c r="I286" i="5"/>
  <c r="AW285" i="5"/>
  <c r="AH285" i="5"/>
  <c r="AG285" i="5"/>
  <c r="AF285" i="5"/>
  <c r="AE285" i="5"/>
  <c r="AD285" i="5"/>
  <c r="AC285" i="5"/>
  <c r="N285" i="5"/>
  <c r="M285" i="5"/>
  <c r="L285" i="5"/>
  <c r="K285" i="5"/>
  <c r="J285" i="5"/>
  <c r="I285" i="5"/>
  <c r="AW284" i="5"/>
  <c r="AH284" i="5"/>
  <c r="AG284" i="5"/>
  <c r="AF284" i="5"/>
  <c r="AE284" i="5"/>
  <c r="AD284" i="5"/>
  <c r="AC284" i="5"/>
  <c r="N284" i="5"/>
  <c r="M284" i="5"/>
  <c r="L284" i="5"/>
  <c r="K284" i="5"/>
  <c r="J284" i="5"/>
  <c r="I284" i="5"/>
  <c r="AW283" i="5"/>
  <c r="AH283" i="5"/>
  <c r="AG283" i="5"/>
  <c r="AF283" i="5"/>
  <c r="AE283" i="5"/>
  <c r="AD283" i="5"/>
  <c r="AC283" i="5"/>
  <c r="N283" i="5"/>
  <c r="M283" i="5"/>
  <c r="L283" i="5"/>
  <c r="K283" i="5"/>
  <c r="J283" i="5"/>
  <c r="I283" i="5"/>
  <c r="AW282" i="5"/>
  <c r="AH282" i="5"/>
  <c r="AG282" i="5"/>
  <c r="AF282" i="5"/>
  <c r="AE282" i="5"/>
  <c r="AD282" i="5"/>
  <c r="AC282" i="5"/>
  <c r="N282" i="5"/>
  <c r="M282" i="5"/>
  <c r="L282" i="5"/>
  <c r="K282" i="5"/>
  <c r="J282" i="5"/>
  <c r="I282" i="5"/>
  <c r="AX281" i="5" a="1"/>
  <c r="AX281" i="5" s="1"/>
  <c r="AX363" i="5" s="1"/>
  <c r="AW281" i="5"/>
  <c r="AH281" i="5"/>
  <c r="AG281" i="5"/>
  <c r="AF281" i="5"/>
  <c r="AE281" i="5"/>
  <c r="AD281" i="5"/>
  <c r="AC281" i="5"/>
  <c r="N281" i="5"/>
  <c r="M281" i="5"/>
  <c r="L281" i="5"/>
  <c r="K281" i="5"/>
  <c r="J281" i="5"/>
  <c r="I281" i="5"/>
  <c r="AW280" i="5"/>
  <c r="AH280" i="5"/>
  <c r="AF280" i="5"/>
  <c r="AE280" i="5"/>
  <c r="AD280" i="5"/>
  <c r="AC280" i="5"/>
  <c r="N280" i="5"/>
  <c r="L280" i="5"/>
  <c r="K280" i="5"/>
  <c r="J280" i="5"/>
  <c r="I280" i="5"/>
  <c r="AW279" i="5"/>
  <c r="AH279" i="5"/>
  <c r="AF279" i="5"/>
  <c r="AE279" i="5"/>
  <c r="AD279" i="5"/>
  <c r="AC279" i="5"/>
  <c r="N279" i="5"/>
  <c r="L279" i="5"/>
  <c r="K279" i="5"/>
  <c r="J279" i="5"/>
  <c r="I279" i="5"/>
  <c r="AW278" i="5"/>
  <c r="AH278" i="5"/>
  <c r="AF278" i="5"/>
  <c r="AE278" i="5"/>
  <c r="AD278" i="5"/>
  <c r="AC278" i="5"/>
  <c r="N278" i="5"/>
  <c r="L278" i="5"/>
  <c r="K278" i="5"/>
  <c r="J278" i="5"/>
  <c r="I278" i="5"/>
  <c r="AW277" i="5"/>
  <c r="AH277" i="5"/>
  <c r="AF277" i="5"/>
  <c r="AE277" i="5"/>
  <c r="AD277" i="5"/>
  <c r="AC277" i="5"/>
  <c r="N277" i="5"/>
  <c r="L277" i="5"/>
  <c r="K277" i="5"/>
  <c r="J277" i="5"/>
  <c r="I277" i="5"/>
  <c r="AW276" i="5"/>
  <c r="AH276" i="5"/>
  <c r="AF276" i="5"/>
  <c r="AE276" i="5"/>
  <c r="AD276" i="5"/>
  <c r="AC276" i="5"/>
  <c r="N276" i="5"/>
  <c r="L276" i="5"/>
  <c r="K276" i="5"/>
  <c r="J276" i="5"/>
  <c r="I276" i="5"/>
  <c r="AX275" i="5" a="1"/>
  <c r="AX275" i="5" s="1"/>
  <c r="AW275" i="5"/>
  <c r="AH275" i="5"/>
  <c r="AF275" i="5"/>
  <c r="AE275" i="5"/>
  <c r="AD275" i="5"/>
  <c r="AC275" i="5"/>
  <c r="N275" i="5"/>
  <c r="L275" i="5"/>
  <c r="K275" i="5"/>
  <c r="J275" i="5"/>
  <c r="I275" i="5"/>
  <c r="AW274" i="5"/>
  <c r="AH274" i="5"/>
  <c r="AF274" i="5"/>
  <c r="AE274" i="5"/>
  <c r="AD274" i="5"/>
  <c r="AC274" i="5"/>
  <c r="N274" i="5"/>
  <c r="L274" i="5"/>
  <c r="K274" i="5"/>
  <c r="J274" i="5"/>
  <c r="I274" i="5"/>
  <c r="AW273" i="5"/>
  <c r="AH273" i="5"/>
  <c r="AF273" i="5"/>
  <c r="AE273" i="5"/>
  <c r="AD273" i="5"/>
  <c r="AC273" i="5"/>
  <c r="N273" i="5"/>
  <c r="L273" i="5"/>
  <c r="K273" i="5"/>
  <c r="J273" i="5"/>
  <c r="I273" i="5"/>
  <c r="AW272" i="5"/>
  <c r="AH272" i="5"/>
  <c r="AF272" i="5"/>
  <c r="AE272" i="5"/>
  <c r="AD272" i="5"/>
  <c r="AC272" i="5"/>
  <c r="N272" i="5"/>
  <c r="L272" i="5"/>
  <c r="K272" i="5"/>
  <c r="J272" i="5"/>
  <c r="I272" i="5"/>
  <c r="AW271" i="5"/>
  <c r="AH271" i="5"/>
  <c r="AF271" i="5"/>
  <c r="AE271" i="5"/>
  <c r="AD271" i="5"/>
  <c r="AC271" i="5"/>
  <c r="N271" i="5"/>
  <c r="L271" i="5"/>
  <c r="K271" i="5"/>
  <c r="J271" i="5"/>
  <c r="I271" i="5"/>
  <c r="AW270" i="5"/>
  <c r="AH270" i="5"/>
  <c r="AF270" i="5"/>
  <c r="AE270" i="5"/>
  <c r="AD270" i="5"/>
  <c r="AC270" i="5"/>
  <c r="N270" i="5"/>
  <c r="L270" i="5"/>
  <c r="K270" i="5"/>
  <c r="J270" i="5"/>
  <c r="I270" i="5"/>
  <c r="AX269" i="5" a="1"/>
  <c r="AX269" i="5" s="1"/>
  <c r="AW269" i="5"/>
  <c r="AH269" i="5"/>
  <c r="AF269" i="5"/>
  <c r="AE269" i="5"/>
  <c r="AD269" i="5"/>
  <c r="AC269" i="5"/>
  <c r="N269" i="5"/>
  <c r="L269" i="5"/>
  <c r="K269" i="5"/>
  <c r="J269" i="5"/>
  <c r="I269" i="5"/>
  <c r="AW268" i="5"/>
  <c r="AH268" i="5"/>
  <c r="AF268" i="5"/>
  <c r="AE268" i="5"/>
  <c r="AD268" i="5"/>
  <c r="AC268" i="5"/>
  <c r="N268" i="5"/>
  <c r="L268" i="5"/>
  <c r="K268" i="5"/>
  <c r="J268" i="5"/>
  <c r="I268" i="5"/>
  <c r="AW267" i="5"/>
  <c r="AH267" i="5"/>
  <c r="AF267" i="5"/>
  <c r="AE267" i="5"/>
  <c r="AD267" i="5"/>
  <c r="AC267" i="5"/>
  <c r="N267" i="5"/>
  <c r="L267" i="5"/>
  <c r="K267" i="5"/>
  <c r="J267" i="5"/>
  <c r="I267" i="5"/>
  <c r="AW266" i="5"/>
  <c r="AH266" i="5"/>
  <c r="AF266" i="5"/>
  <c r="AE266" i="5"/>
  <c r="AD266" i="5"/>
  <c r="AC266" i="5"/>
  <c r="N266" i="5"/>
  <c r="L266" i="5"/>
  <c r="K266" i="5"/>
  <c r="J266" i="5"/>
  <c r="I266" i="5"/>
  <c r="AW265" i="5"/>
  <c r="AH265" i="5"/>
  <c r="AF265" i="5"/>
  <c r="AE265" i="5"/>
  <c r="AD265" i="5"/>
  <c r="AC265" i="5"/>
  <c r="N265" i="5"/>
  <c r="L265" i="5"/>
  <c r="K265" i="5"/>
  <c r="J265" i="5"/>
  <c r="I265" i="5"/>
  <c r="AW264" i="5"/>
  <c r="AH264" i="5"/>
  <c r="AF264" i="5"/>
  <c r="AE264" i="5"/>
  <c r="AD264" i="5"/>
  <c r="AC264" i="5"/>
  <c r="N264" i="5"/>
  <c r="L264" i="5"/>
  <c r="K264" i="5"/>
  <c r="J264" i="5"/>
  <c r="I264" i="5"/>
  <c r="AX263" i="5" a="1"/>
  <c r="AX263" i="5" s="1"/>
  <c r="AW263" i="5"/>
  <c r="AH263" i="5"/>
  <c r="AF263" i="5"/>
  <c r="AE263" i="5"/>
  <c r="AD263" i="5"/>
  <c r="AC263" i="5"/>
  <c r="N263" i="5"/>
  <c r="L263" i="5"/>
  <c r="K263" i="5"/>
  <c r="J263" i="5"/>
  <c r="I263" i="5"/>
  <c r="AW262" i="5"/>
  <c r="AH262" i="5"/>
  <c r="AF262" i="5"/>
  <c r="AE262" i="5"/>
  <c r="AD262" i="5"/>
  <c r="AC262" i="5"/>
  <c r="N262" i="5"/>
  <c r="L262" i="5"/>
  <c r="K262" i="5"/>
  <c r="J262" i="5"/>
  <c r="I262" i="5"/>
  <c r="AW261" i="5"/>
  <c r="AH261" i="5"/>
  <c r="AF261" i="5"/>
  <c r="AE261" i="5"/>
  <c r="AD261" i="5"/>
  <c r="AC261" i="5"/>
  <c r="N261" i="5"/>
  <c r="L261" i="5"/>
  <c r="K261" i="5"/>
  <c r="J261" i="5"/>
  <c r="I261" i="5"/>
  <c r="AW260" i="5"/>
  <c r="AH260" i="5"/>
  <c r="AF260" i="5"/>
  <c r="AE260" i="5"/>
  <c r="AD260" i="5"/>
  <c r="AC260" i="5"/>
  <c r="N260" i="5"/>
  <c r="L260" i="5"/>
  <c r="K260" i="5"/>
  <c r="J260" i="5"/>
  <c r="I260" i="5"/>
  <c r="AW259" i="5"/>
  <c r="AH259" i="5"/>
  <c r="AF259" i="5"/>
  <c r="AE259" i="5"/>
  <c r="AD259" i="5"/>
  <c r="AC259" i="5"/>
  <c r="N259" i="5"/>
  <c r="L259" i="5"/>
  <c r="K259" i="5"/>
  <c r="J259" i="5"/>
  <c r="I259" i="5"/>
  <c r="AW258" i="5"/>
  <c r="AH258" i="5"/>
  <c r="AF258" i="5"/>
  <c r="AE258" i="5"/>
  <c r="AD258" i="5"/>
  <c r="AC258" i="5"/>
  <c r="N258" i="5"/>
  <c r="L258" i="5"/>
  <c r="K258" i="5"/>
  <c r="J258" i="5"/>
  <c r="I258" i="5"/>
  <c r="AX257" i="5" a="1"/>
  <c r="AX257" i="5" s="1"/>
  <c r="AW257" i="5"/>
  <c r="AH257" i="5"/>
  <c r="AF257" i="5"/>
  <c r="AE257" i="5"/>
  <c r="AD257" i="5"/>
  <c r="AC257" i="5"/>
  <c r="N257" i="5"/>
  <c r="L257" i="5"/>
  <c r="K257" i="5"/>
  <c r="J257" i="5"/>
  <c r="I257" i="5"/>
  <c r="AW256" i="5"/>
  <c r="AH256" i="5"/>
  <c r="AF256" i="5"/>
  <c r="AE256" i="5"/>
  <c r="AD256" i="5"/>
  <c r="AC256" i="5"/>
  <c r="N256" i="5"/>
  <c r="L256" i="5"/>
  <c r="K256" i="5"/>
  <c r="J256" i="5"/>
  <c r="I256" i="5"/>
  <c r="AW255" i="5"/>
  <c r="AH255" i="5"/>
  <c r="AF255" i="5"/>
  <c r="AE255" i="5"/>
  <c r="AD255" i="5"/>
  <c r="AC255" i="5"/>
  <c r="N255" i="5"/>
  <c r="L255" i="5"/>
  <c r="K255" i="5"/>
  <c r="J255" i="5"/>
  <c r="I255" i="5"/>
  <c r="AW254" i="5"/>
  <c r="AH254" i="5"/>
  <c r="AF254" i="5"/>
  <c r="AE254" i="5"/>
  <c r="AD254" i="5"/>
  <c r="AC254" i="5"/>
  <c r="N254" i="5"/>
  <c r="L254" i="5"/>
  <c r="K254" i="5"/>
  <c r="J254" i="5"/>
  <c r="I254" i="5"/>
  <c r="AW253" i="5"/>
  <c r="AH253" i="5"/>
  <c r="AF253" i="5"/>
  <c r="AE253" i="5"/>
  <c r="AD253" i="5"/>
  <c r="AC253" i="5"/>
  <c r="N253" i="5"/>
  <c r="L253" i="5"/>
  <c r="K253" i="5"/>
  <c r="J253" i="5"/>
  <c r="I253" i="5"/>
  <c r="AW252" i="5"/>
  <c r="AH252" i="5"/>
  <c r="AF252" i="5"/>
  <c r="AE252" i="5"/>
  <c r="AD252" i="5"/>
  <c r="AC252" i="5"/>
  <c r="N252" i="5"/>
  <c r="L252" i="5"/>
  <c r="K252" i="5"/>
  <c r="J252" i="5"/>
  <c r="I252" i="5"/>
  <c r="AX251" i="5" a="1"/>
  <c r="AX251" i="5" s="1"/>
  <c r="AW251" i="5"/>
  <c r="AH251" i="5"/>
  <c r="AF251" i="5"/>
  <c r="AE251" i="5"/>
  <c r="AD251" i="5"/>
  <c r="AC251" i="5"/>
  <c r="N251" i="5"/>
  <c r="L251" i="5"/>
  <c r="K251" i="5"/>
  <c r="J251" i="5"/>
  <c r="I251" i="5"/>
  <c r="AW250" i="5"/>
  <c r="AH250" i="5"/>
  <c r="AF250" i="5"/>
  <c r="AE250" i="5"/>
  <c r="AD250" i="5"/>
  <c r="AC250" i="5"/>
  <c r="N250" i="5"/>
  <c r="L250" i="5"/>
  <c r="K250" i="5"/>
  <c r="J250" i="5"/>
  <c r="I250" i="5"/>
  <c r="AW249" i="5"/>
  <c r="AH249" i="5"/>
  <c r="AF249" i="5"/>
  <c r="AE249" i="5"/>
  <c r="AD249" i="5"/>
  <c r="AC249" i="5"/>
  <c r="N249" i="5"/>
  <c r="L249" i="5"/>
  <c r="K249" i="5"/>
  <c r="J249" i="5"/>
  <c r="I249" i="5"/>
  <c r="AW248" i="5"/>
  <c r="AH248" i="5"/>
  <c r="AF248" i="5"/>
  <c r="AE248" i="5"/>
  <c r="AD248" i="5"/>
  <c r="AC248" i="5"/>
  <c r="N248" i="5"/>
  <c r="L248" i="5"/>
  <c r="K248" i="5"/>
  <c r="J248" i="5"/>
  <c r="I248" i="5"/>
  <c r="AW247" i="5"/>
  <c r="AH247" i="5"/>
  <c r="AF247" i="5"/>
  <c r="AE247" i="5"/>
  <c r="AD247" i="5"/>
  <c r="AC247" i="5"/>
  <c r="N247" i="5"/>
  <c r="L247" i="5"/>
  <c r="K247" i="5"/>
  <c r="J247" i="5"/>
  <c r="I247" i="5"/>
  <c r="AW246" i="5"/>
  <c r="AH246" i="5"/>
  <c r="AF246" i="5"/>
  <c r="AE246" i="5"/>
  <c r="AD246" i="5"/>
  <c r="AC246" i="5"/>
  <c r="N246" i="5"/>
  <c r="L246" i="5"/>
  <c r="K246" i="5"/>
  <c r="J246" i="5"/>
  <c r="I246" i="5"/>
  <c r="AX245" i="5" a="1"/>
  <c r="AX245" i="5" s="1"/>
  <c r="AW245" i="5"/>
  <c r="AH245" i="5"/>
  <c r="AF245" i="5"/>
  <c r="AE245" i="5"/>
  <c r="AD245" i="5"/>
  <c r="AC245" i="5"/>
  <c r="N245" i="5"/>
  <c r="L245" i="5"/>
  <c r="K245" i="5"/>
  <c r="J245" i="5"/>
  <c r="I245" i="5"/>
  <c r="AW244" i="5"/>
  <c r="AH244" i="5"/>
  <c r="AF244" i="5"/>
  <c r="AE244" i="5"/>
  <c r="AD244" i="5"/>
  <c r="AC244" i="5"/>
  <c r="N244" i="5"/>
  <c r="L244" i="5"/>
  <c r="K244" i="5"/>
  <c r="J244" i="5"/>
  <c r="I244" i="5"/>
  <c r="AW243" i="5"/>
  <c r="AH243" i="5"/>
  <c r="AF243" i="5"/>
  <c r="AE243" i="5"/>
  <c r="AD243" i="5"/>
  <c r="AC243" i="5"/>
  <c r="N243" i="5"/>
  <c r="L243" i="5"/>
  <c r="K243" i="5"/>
  <c r="J243" i="5"/>
  <c r="I243" i="5"/>
  <c r="AW242" i="5"/>
  <c r="AH242" i="5"/>
  <c r="AF242" i="5"/>
  <c r="AE242" i="5"/>
  <c r="AD242" i="5"/>
  <c r="AC242" i="5"/>
  <c r="N242" i="5"/>
  <c r="L242" i="5"/>
  <c r="K242" i="5"/>
  <c r="J242" i="5"/>
  <c r="I242" i="5"/>
  <c r="AW241" i="5"/>
  <c r="AH241" i="5"/>
  <c r="AF241" i="5"/>
  <c r="AE241" i="5"/>
  <c r="AD241" i="5"/>
  <c r="AC241" i="5"/>
  <c r="N241" i="5"/>
  <c r="L241" i="5"/>
  <c r="K241" i="5"/>
  <c r="J241" i="5"/>
  <c r="I241" i="5"/>
  <c r="AW240" i="5"/>
  <c r="AH240" i="5"/>
  <c r="AF240" i="5"/>
  <c r="AE240" i="5"/>
  <c r="AD240" i="5"/>
  <c r="AC240" i="5"/>
  <c r="N240" i="5"/>
  <c r="L240" i="5"/>
  <c r="K240" i="5"/>
  <c r="J240" i="5"/>
  <c r="I240" i="5"/>
  <c r="AX239" i="5" a="1"/>
  <c r="AX239" i="5" s="1"/>
  <c r="AW239" i="5"/>
  <c r="AH239" i="5"/>
  <c r="AF239" i="5"/>
  <c r="AE239" i="5"/>
  <c r="AD239" i="5"/>
  <c r="AC239" i="5"/>
  <c r="N239" i="5"/>
  <c r="L239" i="5"/>
  <c r="K239" i="5"/>
  <c r="J239" i="5"/>
  <c r="I239" i="5"/>
  <c r="AW238" i="5"/>
  <c r="AH238" i="5"/>
  <c r="AF238" i="5"/>
  <c r="AE238" i="5"/>
  <c r="AD238" i="5"/>
  <c r="AC238" i="5"/>
  <c r="N238" i="5"/>
  <c r="L238" i="5"/>
  <c r="K238" i="5"/>
  <c r="J238" i="5"/>
  <c r="I238" i="5"/>
  <c r="AW237" i="5"/>
  <c r="AH237" i="5"/>
  <c r="AF237" i="5"/>
  <c r="AE237" i="5"/>
  <c r="AD237" i="5"/>
  <c r="AC237" i="5"/>
  <c r="N237" i="5"/>
  <c r="L237" i="5"/>
  <c r="K237" i="5"/>
  <c r="J237" i="5"/>
  <c r="I237" i="5"/>
  <c r="AW236" i="5"/>
  <c r="AH236" i="5"/>
  <c r="AF236" i="5"/>
  <c r="AE236" i="5"/>
  <c r="AD236" i="5"/>
  <c r="AC236" i="5"/>
  <c r="N236" i="5"/>
  <c r="L236" i="5"/>
  <c r="K236" i="5"/>
  <c r="J236" i="5"/>
  <c r="I236" i="5"/>
  <c r="AW235" i="5"/>
  <c r="AH235" i="5"/>
  <c r="AF235" i="5"/>
  <c r="AE235" i="5"/>
  <c r="AD235" i="5"/>
  <c r="AC235" i="5"/>
  <c r="N235" i="5"/>
  <c r="L235" i="5"/>
  <c r="K235" i="5"/>
  <c r="J235" i="5"/>
  <c r="I235" i="5"/>
  <c r="AW234" i="5"/>
  <c r="AH234" i="5"/>
  <c r="AF234" i="5"/>
  <c r="AE234" i="5"/>
  <c r="AD234" i="5"/>
  <c r="AC234" i="5"/>
  <c r="N234" i="5"/>
  <c r="L234" i="5"/>
  <c r="K234" i="5"/>
  <c r="J234" i="5"/>
  <c r="I234" i="5"/>
  <c r="AX233" i="5" a="1"/>
  <c r="AX233" i="5" s="1"/>
  <c r="AW233" i="5"/>
  <c r="AH233" i="5"/>
  <c r="AF233" i="5"/>
  <c r="AE233" i="5"/>
  <c r="AD233" i="5"/>
  <c r="AC233" i="5"/>
  <c r="N233" i="5"/>
  <c r="L233" i="5"/>
  <c r="K233" i="5"/>
  <c r="J233" i="5"/>
  <c r="I233" i="5"/>
  <c r="AW232" i="5"/>
  <c r="AH232" i="5"/>
  <c r="AF232" i="5"/>
  <c r="AE232" i="5"/>
  <c r="AD232" i="5"/>
  <c r="AC232" i="5"/>
  <c r="N232" i="5"/>
  <c r="L232" i="5"/>
  <c r="K232" i="5"/>
  <c r="J232" i="5"/>
  <c r="I232" i="5"/>
  <c r="AW231" i="5"/>
  <c r="AH231" i="5"/>
  <c r="AF231" i="5"/>
  <c r="AE231" i="5"/>
  <c r="AD231" i="5"/>
  <c r="AC231" i="5"/>
  <c r="N231" i="5"/>
  <c r="L231" i="5"/>
  <c r="K231" i="5"/>
  <c r="J231" i="5"/>
  <c r="I231" i="5"/>
  <c r="AW230" i="5"/>
  <c r="AH230" i="5"/>
  <c r="AF230" i="5"/>
  <c r="AE230" i="5"/>
  <c r="AD230" i="5"/>
  <c r="AC230" i="5"/>
  <c r="N230" i="5"/>
  <c r="L230" i="5"/>
  <c r="K230" i="5"/>
  <c r="J230" i="5"/>
  <c r="I230" i="5"/>
  <c r="AW229" i="5"/>
  <c r="AH229" i="5"/>
  <c r="AF229" i="5"/>
  <c r="AE229" i="5"/>
  <c r="AD229" i="5"/>
  <c r="AC229" i="5"/>
  <c r="N229" i="5"/>
  <c r="L229" i="5"/>
  <c r="K229" i="5"/>
  <c r="J229" i="5"/>
  <c r="I229" i="5"/>
  <c r="AW228" i="5"/>
  <c r="AH228" i="5"/>
  <c r="AF228" i="5"/>
  <c r="AE228" i="5"/>
  <c r="AD228" i="5"/>
  <c r="AC228" i="5"/>
  <c r="N228" i="5"/>
  <c r="L228" i="5"/>
  <c r="K228" i="5"/>
  <c r="J228" i="5"/>
  <c r="I228" i="5"/>
  <c r="AX227" i="5" a="1"/>
  <c r="AX227" i="5" s="1"/>
  <c r="AW227" i="5"/>
  <c r="AH227" i="5"/>
  <c r="AF227" i="5"/>
  <c r="AE227" i="5"/>
  <c r="AD227" i="5"/>
  <c r="AC227" i="5"/>
  <c r="N227" i="5"/>
  <c r="L227" i="5"/>
  <c r="K227" i="5"/>
  <c r="J227" i="5"/>
  <c r="I227" i="5"/>
  <c r="AW226" i="5"/>
  <c r="AH226" i="5"/>
  <c r="AF226" i="5"/>
  <c r="AE226" i="5"/>
  <c r="AD226" i="5"/>
  <c r="AC226" i="5"/>
  <c r="N226" i="5"/>
  <c r="L226" i="5"/>
  <c r="K226" i="5"/>
  <c r="J226" i="5"/>
  <c r="I226" i="5"/>
  <c r="AW225" i="5"/>
  <c r="AH225" i="5"/>
  <c r="AF225" i="5"/>
  <c r="AE225" i="5"/>
  <c r="AD225" i="5"/>
  <c r="AC225" i="5"/>
  <c r="N225" i="5"/>
  <c r="L225" i="5"/>
  <c r="K225" i="5"/>
  <c r="J225" i="5"/>
  <c r="I225" i="5"/>
  <c r="AW224" i="5"/>
  <c r="AH224" i="5"/>
  <c r="AF224" i="5"/>
  <c r="AE224" i="5"/>
  <c r="AD224" i="5"/>
  <c r="AC224" i="5"/>
  <c r="N224" i="5"/>
  <c r="L224" i="5"/>
  <c r="K224" i="5"/>
  <c r="J224" i="5"/>
  <c r="I224" i="5"/>
  <c r="AW223" i="5"/>
  <c r="AH223" i="5"/>
  <c r="AF223" i="5"/>
  <c r="AE223" i="5"/>
  <c r="AD223" i="5"/>
  <c r="AC223" i="5"/>
  <c r="N223" i="5"/>
  <c r="L223" i="5"/>
  <c r="K223" i="5"/>
  <c r="J223" i="5"/>
  <c r="I223" i="5"/>
  <c r="AW222" i="5"/>
  <c r="AH222" i="5"/>
  <c r="AF222" i="5"/>
  <c r="AE222" i="5"/>
  <c r="AD222" i="5"/>
  <c r="AC222" i="5"/>
  <c r="N222" i="5"/>
  <c r="L222" i="5"/>
  <c r="K222" i="5"/>
  <c r="J222" i="5"/>
  <c r="I222" i="5"/>
  <c r="AX221" i="5" a="1"/>
  <c r="AX221" i="5" s="1"/>
  <c r="AW221" i="5"/>
  <c r="AH221" i="5"/>
  <c r="AF221" i="5"/>
  <c r="AE221" i="5"/>
  <c r="AD221" i="5"/>
  <c r="AC221" i="5"/>
  <c r="N221" i="5"/>
  <c r="L221" i="5"/>
  <c r="K221" i="5"/>
  <c r="J221" i="5"/>
  <c r="I221" i="5"/>
  <c r="AW220" i="5"/>
  <c r="AH220" i="5"/>
  <c r="AF220" i="5"/>
  <c r="AE220" i="5"/>
  <c r="AD220" i="5"/>
  <c r="AC220" i="5"/>
  <c r="N220" i="5"/>
  <c r="L220" i="5"/>
  <c r="K220" i="5"/>
  <c r="J220" i="5"/>
  <c r="I220" i="5"/>
  <c r="AW219" i="5"/>
  <c r="AH219" i="5"/>
  <c r="AF219" i="5"/>
  <c r="AE219" i="5"/>
  <c r="AD219" i="5"/>
  <c r="AC219" i="5"/>
  <c r="N219" i="5"/>
  <c r="L219" i="5"/>
  <c r="K219" i="5"/>
  <c r="J219" i="5"/>
  <c r="I219" i="5"/>
  <c r="AW218" i="5"/>
  <c r="AH218" i="5"/>
  <c r="AF218" i="5"/>
  <c r="AE218" i="5"/>
  <c r="AD218" i="5"/>
  <c r="AC218" i="5"/>
  <c r="N218" i="5"/>
  <c r="L218" i="5"/>
  <c r="K218" i="5"/>
  <c r="J218" i="5"/>
  <c r="I218" i="5"/>
  <c r="AW217" i="5"/>
  <c r="AH217" i="5"/>
  <c r="AF217" i="5"/>
  <c r="AE217" i="5"/>
  <c r="AD217" i="5"/>
  <c r="AC217" i="5"/>
  <c r="N217" i="5"/>
  <c r="L217" i="5"/>
  <c r="K217" i="5"/>
  <c r="J217" i="5"/>
  <c r="I217" i="5"/>
  <c r="AW216" i="5"/>
  <c r="AH216" i="5"/>
  <c r="AF216" i="5"/>
  <c r="AE216" i="5"/>
  <c r="AD216" i="5"/>
  <c r="AC216" i="5"/>
  <c r="N216" i="5"/>
  <c r="L216" i="5"/>
  <c r="K216" i="5"/>
  <c r="J216" i="5"/>
  <c r="I216" i="5"/>
  <c r="AX215" i="5" a="1"/>
  <c r="AX215" i="5" s="1"/>
  <c r="AW215" i="5"/>
  <c r="AH215" i="5"/>
  <c r="AF215" i="5"/>
  <c r="AE215" i="5"/>
  <c r="AD215" i="5"/>
  <c r="AC215" i="5"/>
  <c r="N215" i="5"/>
  <c r="L215" i="5"/>
  <c r="K215" i="5"/>
  <c r="J215" i="5"/>
  <c r="I215" i="5"/>
  <c r="AW214" i="5"/>
  <c r="AH214" i="5"/>
  <c r="AF214" i="5"/>
  <c r="AE214" i="5"/>
  <c r="AD214" i="5"/>
  <c r="AC214" i="5"/>
  <c r="N214" i="5"/>
  <c r="L214" i="5"/>
  <c r="K214" i="5"/>
  <c r="J214" i="5"/>
  <c r="I214" i="5"/>
  <c r="AW213" i="5"/>
  <c r="AH213" i="5"/>
  <c r="AF213" i="5"/>
  <c r="AE213" i="5"/>
  <c r="AD213" i="5"/>
  <c r="AC213" i="5"/>
  <c r="N213" i="5"/>
  <c r="L213" i="5"/>
  <c r="K213" i="5"/>
  <c r="J213" i="5"/>
  <c r="I213" i="5"/>
  <c r="AW212" i="5"/>
  <c r="AH212" i="5"/>
  <c r="AF212" i="5"/>
  <c r="AE212" i="5"/>
  <c r="AD212" i="5"/>
  <c r="AC212" i="5"/>
  <c r="N212" i="5"/>
  <c r="L212" i="5"/>
  <c r="K212" i="5"/>
  <c r="J212" i="5"/>
  <c r="I212" i="5"/>
  <c r="AW211" i="5"/>
  <c r="AH211" i="5"/>
  <c r="AF211" i="5"/>
  <c r="AE211" i="5"/>
  <c r="AD211" i="5"/>
  <c r="AC211" i="5"/>
  <c r="N211" i="5"/>
  <c r="L211" i="5"/>
  <c r="K211" i="5"/>
  <c r="J211" i="5"/>
  <c r="I211" i="5"/>
  <c r="AW210" i="5"/>
  <c r="AH210" i="5"/>
  <c r="AF210" i="5"/>
  <c r="AE210" i="5"/>
  <c r="AD210" i="5"/>
  <c r="AC210" i="5"/>
  <c r="N210" i="5"/>
  <c r="L210" i="5"/>
  <c r="K210" i="5"/>
  <c r="J210" i="5"/>
  <c r="I210" i="5"/>
  <c r="AX209" i="5" a="1"/>
  <c r="AX209" i="5" s="1"/>
  <c r="AW209" i="5"/>
  <c r="AH209" i="5"/>
  <c r="AF209" i="5"/>
  <c r="AE209" i="5"/>
  <c r="AD209" i="5"/>
  <c r="AC209" i="5"/>
  <c r="N209" i="5"/>
  <c r="L209" i="5"/>
  <c r="K209" i="5"/>
  <c r="J209" i="5"/>
  <c r="I209" i="5"/>
  <c r="AW208" i="5"/>
  <c r="AH208" i="5"/>
  <c r="AF208" i="5"/>
  <c r="AE208" i="5"/>
  <c r="AD208" i="5"/>
  <c r="AC208" i="5"/>
  <c r="N208" i="5"/>
  <c r="L208" i="5"/>
  <c r="K208" i="5"/>
  <c r="J208" i="5"/>
  <c r="I208" i="5"/>
  <c r="AW207" i="5"/>
  <c r="AH207" i="5"/>
  <c r="AF207" i="5"/>
  <c r="AE207" i="5"/>
  <c r="AD207" i="5"/>
  <c r="AC207" i="5"/>
  <c r="N207" i="5"/>
  <c r="L207" i="5"/>
  <c r="K207" i="5"/>
  <c r="J207" i="5"/>
  <c r="I207" i="5"/>
  <c r="AW206" i="5"/>
  <c r="AH206" i="5"/>
  <c r="AF206" i="5"/>
  <c r="AE206" i="5"/>
  <c r="AD206" i="5"/>
  <c r="AC206" i="5"/>
  <c r="N206" i="5"/>
  <c r="L206" i="5"/>
  <c r="K206" i="5"/>
  <c r="J206" i="5"/>
  <c r="I206" i="5"/>
  <c r="AW205" i="5"/>
  <c r="AH205" i="5"/>
  <c r="AF205" i="5"/>
  <c r="AE205" i="5"/>
  <c r="AD205" i="5"/>
  <c r="AC205" i="5"/>
  <c r="N205" i="5"/>
  <c r="L205" i="5"/>
  <c r="K205" i="5"/>
  <c r="J205" i="5"/>
  <c r="I205" i="5"/>
  <c r="AW204" i="5"/>
  <c r="AH204" i="5"/>
  <c r="AF204" i="5"/>
  <c r="AE204" i="5"/>
  <c r="AD204" i="5"/>
  <c r="AC204" i="5"/>
  <c r="N204" i="5"/>
  <c r="L204" i="5"/>
  <c r="K204" i="5"/>
  <c r="J204" i="5"/>
  <c r="I204" i="5"/>
  <c r="AX203" i="5" a="1"/>
  <c r="AX203" i="5" s="1"/>
  <c r="AW203" i="5"/>
  <c r="AH203" i="5"/>
  <c r="AF203" i="5"/>
  <c r="AE203" i="5"/>
  <c r="AD203" i="5"/>
  <c r="AC203" i="5"/>
  <c r="N203" i="5"/>
  <c r="L203" i="5"/>
  <c r="K203" i="5"/>
  <c r="J203" i="5"/>
  <c r="I203" i="5"/>
  <c r="AW202" i="5"/>
  <c r="AH202" i="5"/>
  <c r="AF202" i="5"/>
  <c r="AE202" i="5"/>
  <c r="AD202" i="5"/>
  <c r="AC202" i="5"/>
  <c r="N202" i="5"/>
  <c r="L202" i="5"/>
  <c r="K202" i="5"/>
  <c r="J202" i="5"/>
  <c r="I202" i="5"/>
  <c r="AW201" i="5"/>
  <c r="AH201" i="5"/>
  <c r="AF201" i="5"/>
  <c r="AE201" i="5"/>
  <c r="AD201" i="5"/>
  <c r="AC201" i="5"/>
  <c r="N201" i="5"/>
  <c r="L201" i="5"/>
  <c r="K201" i="5"/>
  <c r="J201" i="5"/>
  <c r="I201" i="5"/>
  <c r="AW200" i="5"/>
  <c r="AH200" i="5"/>
  <c r="AF200" i="5"/>
  <c r="AE200" i="5"/>
  <c r="AD200" i="5"/>
  <c r="AC200" i="5"/>
  <c r="N200" i="5"/>
  <c r="L200" i="5"/>
  <c r="K200" i="5"/>
  <c r="J200" i="5"/>
  <c r="I200" i="5"/>
  <c r="AW199" i="5"/>
  <c r="AH199" i="5"/>
  <c r="AF199" i="5"/>
  <c r="AE199" i="5"/>
  <c r="AD199" i="5"/>
  <c r="AC199" i="5"/>
  <c r="N199" i="5"/>
  <c r="L199" i="5"/>
  <c r="K199" i="5"/>
  <c r="J199" i="5"/>
  <c r="I199" i="5"/>
  <c r="AW198" i="5"/>
  <c r="AH198" i="5"/>
  <c r="AF198" i="5"/>
  <c r="AE198" i="5"/>
  <c r="AD198" i="5"/>
  <c r="AC198" i="5"/>
  <c r="N198" i="5"/>
  <c r="L198" i="5"/>
  <c r="K198" i="5"/>
  <c r="J198" i="5"/>
  <c r="I198" i="5"/>
  <c r="AX197" i="5" a="1"/>
  <c r="AX197" i="5" s="1"/>
  <c r="AW197" i="5"/>
  <c r="AH197" i="5"/>
  <c r="AF197" i="5"/>
  <c r="AE197" i="5"/>
  <c r="AD197" i="5"/>
  <c r="AC197" i="5"/>
  <c r="N197" i="5"/>
  <c r="L197" i="5"/>
  <c r="K197" i="5"/>
  <c r="J197" i="5"/>
  <c r="I197" i="5"/>
  <c r="AW196" i="5"/>
  <c r="AH196" i="5"/>
  <c r="AF196" i="5"/>
  <c r="AE196" i="5"/>
  <c r="AD196" i="5"/>
  <c r="AC196" i="5"/>
  <c r="N196" i="5"/>
  <c r="L196" i="5"/>
  <c r="K196" i="5"/>
  <c r="J196" i="5"/>
  <c r="I196" i="5"/>
  <c r="AW195" i="5"/>
  <c r="AH195" i="5"/>
  <c r="AF195" i="5"/>
  <c r="AE195" i="5"/>
  <c r="AD195" i="5"/>
  <c r="AC195" i="5"/>
  <c r="N195" i="5"/>
  <c r="L195" i="5"/>
  <c r="K195" i="5"/>
  <c r="J195" i="5"/>
  <c r="I195" i="5"/>
  <c r="AW194" i="5"/>
  <c r="AH194" i="5"/>
  <c r="AF194" i="5"/>
  <c r="AE194" i="5"/>
  <c r="AD194" i="5"/>
  <c r="AC194" i="5"/>
  <c r="N194" i="5"/>
  <c r="L194" i="5"/>
  <c r="K194" i="5"/>
  <c r="J194" i="5"/>
  <c r="I194" i="5"/>
  <c r="AW193" i="5"/>
  <c r="AH193" i="5"/>
  <c r="AF193" i="5"/>
  <c r="AE193" i="5"/>
  <c r="AD193" i="5"/>
  <c r="AC193" i="5"/>
  <c r="N193" i="5"/>
  <c r="L193" i="5"/>
  <c r="K193" i="5"/>
  <c r="J193" i="5"/>
  <c r="I193" i="5"/>
  <c r="AW192" i="5"/>
  <c r="AH192" i="5"/>
  <c r="AF192" i="5"/>
  <c r="AE192" i="5"/>
  <c r="AD192" i="5"/>
  <c r="AC192" i="5"/>
  <c r="N192" i="5"/>
  <c r="L192" i="5"/>
  <c r="K192" i="5"/>
  <c r="J192" i="5"/>
  <c r="I192" i="5"/>
  <c r="AX191" i="5" a="1"/>
  <c r="AX191" i="5" s="1"/>
  <c r="AW191" i="5"/>
  <c r="AH191" i="5"/>
  <c r="AF191" i="5"/>
  <c r="AE191" i="5"/>
  <c r="AD191" i="5"/>
  <c r="AC191" i="5"/>
  <c r="N191" i="5"/>
  <c r="L191" i="5"/>
  <c r="K191" i="5"/>
  <c r="J191" i="5"/>
  <c r="I191" i="5"/>
  <c r="AW190" i="5"/>
  <c r="AH190" i="5"/>
  <c r="AF190" i="5"/>
  <c r="AE190" i="5"/>
  <c r="AD190" i="5"/>
  <c r="AC190" i="5"/>
  <c r="N190" i="5"/>
  <c r="L190" i="5"/>
  <c r="K190" i="5"/>
  <c r="J190" i="5"/>
  <c r="I190" i="5"/>
  <c r="AW189" i="5"/>
  <c r="AH189" i="5"/>
  <c r="AF189" i="5"/>
  <c r="AE189" i="5"/>
  <c r="AD189" i="5"/>
  <c r="AC189" i="5"/>
  <c r="N189" i="5"/>
  <c r="L189" i="5"/>
  <c r="K189" i="5"/>
  <c r="J189" i="5"/>
  <c r="I189" i="5"/>
  <c r="AW188" i="5"/>
  <c r="AH188" i="5"/>
  <c r="AF188" i="5"/>
  <c r="AE188" i="5"/>
  <c r="AD188" i="5"/>
  <c r="AC188" i="5"/>
  <c r="N188" i="5"/>
  <c r="L188" i="5"/>
  <c r="K188" i="5"/>
  <c r="J188" i="5"/>
  <c r="I188" i="5"/>
  <c r="AW187" i="5"/>
  <c r="AH187" i="5"/>
  <c r="AF187" i="5"/>
  <c r="AE187" i="5"/>
  <c r="AD187" i="5"/>
  <c r="AC187" i="5"/>
  <c r="N187" i="5"/>
  <c r="L187" i="5"/>
  <c r="K187" i="5"/>
  <c r="J187" i="5"/>
  <c r="I187" i="5"/>
  <c r="AW186" i="5"/>
  <c r="AH186" i="5"/>
  <c r="AF186" i="5"/>
  <c r="AE186" i="5"/>
  <c r="AD186" i="5"/>
  <c r="AC186" i="5"/>
  <c r="N186" i="5"/>
  <c r="L186" i="5"/>
  <c r="K186" i="5"/>
  <c r="J186" i="5"/>
  <c r="I186" i="5"/>
  <c r="AX185" i="5" a="1"/>
  <c r="AX185" i="5" s="1"/>
  <c r="AW185" i="5"/>
  <c r="AH185" i="5"/>
  <c r="AF185" i="5"/>
  <c r="AE185" i="5"/>
  <c r="AD185" i="5"/>
  <c r="AC185" i="5"/>
  <c r="N185" i="5"/>
  <c r="L185" i="5"/>
  <c r="K185" i="5"/>
  <c r="J185" i="5"/>
  <c r="I185" i="5"/>
  <c r="AW184" i="5"/>
  <c r="AH184" i="5"/>
  <c r="AF184" i="5"/>
  <c r="AE184" i="5"/>
  <c r="AD184" i="5"/>
  <c r="AC184" i="5"/>
  <c r="N184" i="5"/>
  <c r="L184" i="5"/>
  <c r="K184" i="5"/>
  <c r="J184" i="5"/>
  <c r="I184" i="5"/>
  <c r="AW183" i="5"/>
  <c r="AH183" i="5"/>
  <c r="AF183" i="5"/>
  <c r="AE183" i="5"/>
  <c r="AD183" i="5"/>
  <c r="AC183" i="5"/>
  <c r="N183" i="5"/>
  <c r="L183" i="5"/>
  <c r="K183" i="5"/>
  <c r="J183" i="5"/>
  <c r="I183" i="5"/>
  <c r="AW182" i="5"/>
  <c r="AH182" i="5"/>
  <c r="AF182" i="5"/>
  <c r="AE182" i="5"/>
  <c r="AD182" i="5"/>
  <c r="AC182" i="5"/>
  <c r="N182" i="5"/>
  <c r="L182" i="5"/>
  <c r="K182" i="5"/>
  <c r="J182" i="5"/>
  <c r="I182" i="5"/>
  <c r="AW181" i="5"/>
  <c r="AH181" i="5"/>
  <c r="AF181" i="5"/>
  <c r="AE181" i="5"/>
  <c r="AD181" i="5"/>
  <c r="AC181" i="5"/>
  <c r="N181" i="5"/>
  <c r="L181" i="5"/>
  <c r="K181" i="5"/>
  <c r="J181" i="5"/>
  <c r="I181" i="5"/>
  <c r="AW180" i="5"/>
  <c r="AH180" i="5"/>
  <c r="AF180" i="5"/>
  <c r="AE180" i="5"/>
  <c r="AD180" i="5"/>
  <c r="AC180" i="5"/>
  <c r="N180" i="5"/>
  <c r="L180" i="5"/>
  <c r="K180" i="5"/>
  <c r="J180" i="5"/>
  <c r="I180" i="5"/>
  <c r="AX179" i="5" a="1"/>
  <c r="AX179" i="5" s="1"/>
  <c r="AW179" i="5"/>
  <c r="AH179" i="5"/>
  <c r="AF179" i="5"/>
  <c r="AE179" i="5"/>
  <c r="AD179" i="5"/>
  <c r="AC179" i="5"/>
  <c r="N179" i="5"/>
  <c r="L179" i="5"/>
  <c r="K179" i="5"/>
  <c r="J179" i="5"/>
  <c r="I179" i="5"/>
  <c r="AW178" i="5"/>
  <c r="AH178" i="5"/>
  <c r="AF178" i="5"/>
  <c r="AE178" i="5"/>
  <c r="AD178" i="5"/>
  <c r="AC178" i="5"/>
  <c r="N178" i="5"/>
  <c r="L178" i="5"/>
  <c r="K178" i="5"/>
  <c r="J178" i="5"/>
  <c r="I178" i="5"/>
  <c r="AW177" i="5"/>
  <c r="AH177" i="5"/>
  <c r="AF177" i="5"/>
  <c r="AE177" i="5"/>
  <c r="AD177" i="5"/>
  <c r="AC177" i="5"/>
  <c r="N177" i="5"/>
  <c r="L177" i="5"/>
  <c r="K177" i="5"/>
  <c r="J177" i="5"/>
  <c r="I177" i="5"/>
  <c r="AW176" i="5"/>
  <c r="AH176" i="5"/>
  <c r="AF176" i="5"/>
  <c r="AE176" i="5"/>
  <c r="AD176" i="5"/>
  <c r="AC176" i="5"/>
  <c r="N176" i="5"/>
  <c r="L176" i="5"/>
  <c r="K176" i="5"/>
  <c r="J176" i="5"/>
  <c r="I176" i="5"/>
  <c r="AW175" i="5"/>
  <c r="AH175" i="5"/>
  <c r="AF175" i="5"/>
  <c r="AE175" i="5"/>
  <c r="AD175" i="5"/>
  <c r="AC175" i="5"/>
  <c r="N175" i="5"/>
  <c r="L175" i="5"/>
  <c r="K175" i="5"/>
  <c r="J175" i="5"/>
  <c r="I175" i="5"/>
  <c r="AW174" i="5"/>
  <c r="AH174" i="5"/>
  <c r="AF174" i="5"/>
  <c r="AE174" i="5"/>
  <c r="AD174" i="5"/>
  <c r="AC174" i="5"/>
  <c r="N174" i="5"/>
  <c r="L174" i="5"/>
  <c r="K174" i="5"/>
  <c r="J174" i="5"/>
  <c r="I174" i="5"/>
  <c r="AX173" i="5" a="1"/>
  <c r="AX173" i="5" s="1"/>
  <c r="AW173" i="5"/>
  <c r="AH173" i="5"/>
  <c r="AF173" i="5"/>
  <c r="AE173" i="5"/>
  <c r="AD173" i="5"/>
  <c r="AC173" i="5"/>
  <c r="N173" i="5"/>
  <c r="L173" i="5"/>
  <c r="K173" i="5"/>
  <c r="J173" i="5"/>
  <c r="I173" i="5"/>
  <c r="AW172" i="5"/>
  <c r="AH172" i="5"/>
  <c r="AF172" i="5"/>
  <c r="AE172" i="5"/>
  <c r="AD172" i="5"/>
  <c r="AC172" i="5"/>
  <c r="N172" i="5"/>
  <c r="L172" i="5"/>
  <c r="K172" i="5"/>
  <c r="J172" i="5"/>
  <c r="I172" i="5"/>
  <c r="AW171" i="5"/>
  <c r="AH171" i="5"/>
  <c r="AF171" i="5"/>
  <c r="AE171" i="5"/>
  <c r="AD171" i="5"/>
  <c r="AC171" i="5"/>
  <c r="N171" i="5"/>
  <c r="L171" i="5"/>
  <c r="K171" i="5"/>
  <c r="J171" i="5"/>
  <c r="I171" i="5"/>
  <c r="AW170" i="5"/>
  <c r="AH170" i="5"/>
  <c r="AF170" i="5"/>
  <c r="AE170" i="5"/>
  <c r="AD170" i="5"/>
  <c r="AC170" i="5"/>
  <c r="N170" i="5"/>
  <c r="L170" i="5"/>
  <c r="K170" i="5"/>
  <c r="J170" i="5"/>
  <c r="I170" i="5"/>
  <c r="AW169" i="5"/>
  <c r="AH169" i="5"/>
  <c r="AF169" i="5"/>
  <c r="AE169" i="5"/>
  <c r="AD169" i="5"/>
  <c r="AC169" i="5"/>
  <c r="N169" i="5"/>
  <c r="L169" i="5"/>
  <c r="K169" i="5"/>
  <c r="J169" i="5"/>
  <c r="I169" i="5"/>
  <c r="AW168" i="5"/>
  <c r="AH168" i="5"/>
  <c r="AF168" i="5"/>
  <c r="AE168" i="5"/>
  <c r="AD168" i="5"/>
  <c r="AC168" i="5"/>
  <c r="N168" i="5"/>
  <c r="L168" i="5"/>
  <c r="K168" i="5"/>
  <c r="J168" i="5"/>
  <c r="I168" i="5"/>
  <c r="AX167" i="5" a="1"/>
  <c r="AX167" i="5" s="1"/>
  <c r="AW167" i="5"/>
  <c r="AH167" i="5"/>
  <c r="AF167" i="5"/>
  <c r="AE167" i="5"/>
  <c r="AD167" i="5"/>
  <c r="AC167" i="5"/>
  <c r="N167" i="5"/>
  <c r="L167" i="5"/>
  <c r="K167" i="5"/>
  <c r="J167" i="5"/>
  <c r="I167" i="5"/>
  <c r="AW166" i="5"/>
  <c r="AH166" i="5"/>
  <c r="AF166" i="5"/>
  <c r="AE166" i="5"/>
  <c r="AD166" i="5"/>
  <c r="AC166" i="5"/>
  <c r="N166" i="5"/>
  <c r="L166" i="5"/>
  <c r="K166" i="5"/>
  <c r="J166" i="5"/>
  <c r="I166" i="5"/>
  <c r="AW165" i="5"/>
  <c r="AH165" i="5"/>
  <c r="AF165" i="5"/>
  <c r="AE165" i="5"/>
  <c r="AD165" i="5"/>
  <c r="AC165" i="5"/>
  <c r="N165" i="5"/>
  <c r="L165" i="5"/>
  <c r="K165" i="5"/>
  <c r="J165" i="5"/>
  <c r="I165" i="5"/>
  <c r="AW164" i="5"/>
  <c r="AH164" i="5"/>
  <c r="AF164" i="5"/>
  <c r="AE164" i="5"/>
  <c r="AD164" i="5"/>
  <c r="AC164" i="5"/>
  <c r="N164" i="5"/>
  <c r="L164" i="5"/>
  <c r="K164" i="5"/>
  <c r="J164" i="5"/>
  <c r="I164" i="5"/>
  <c r="AW163" i="5"/>
  <c r="AH163" i="5"/>
  <c r="AF163" i="5"/>
  <c r="AE163" i="5"/>
  <c r="AD163" i="5"/>
  <c r="AC163" i="5"/>
  <c r="N163" i="5"/>
  <c r="L163" i="5"/>
  <c r="K163" i="5"/>
  <c r="J163" i="5"/>
  <c r="I163" i="5"/>
  <c r="AW162" i="5"/>
  <c r="AH162" i="5"/>
  <c r="AF162" i="5"/>
  <c r="AE162" i="5"/>
  <c r="AD162" i="5"/>
  <c r="AC162" i="5"/>
  <c r="N162" i="5"/>
  <c r="L162" i="5"/>
  <c r="K162" i="5"/>
  <c r="J162" i="5"/>
  <c r="I162" i="5"/>
  <c r="AX161" i="5" a="1"/>
  <c r="AX161" i="5" s="1"/>
  <c r="AW161" i="5"/>
  <c r="AH161" i="5"/>
  <c r="AF161" i="5"/>
  <c r="AE161" i="5"/>
  <c r="AD161" i="5"/>
  <c r="AC161" i="5"/>
  <c r="N161" i="5"/>
  <c r="L161" i="5"/>
  <c r="K161" i="5"/>
  <c r="J161" i="5"/>
  <c r="I161" i="5"/>
  <c r="AW160" i="5"/>
  <c r="AH160" i="5"/>
  <c r="AF160" i="5"/>
  <c r="AE160" i="5"/>
  <c r="AD160" i="5"/>
  <c r="AC160" i="5"/>
  <c r="N160" i="5"/>
  <c r="L160" i="5"/>
  <c r="K160" i="5"/>
  <c r="J160" i="5"/>
  <c r="I160" i="5"/>
  <c r="AW159" i="5"/>
  <c r="AH159" i="5"/>
  <c r="AF159" i="5"/>
  <c r="AE159" i="5"/>
  <c r="AD159" i="5"/>
  <c r="AC159" i="5"/>
  <c r="N159" i="5"/>
  <c r="L159" i="5"/>
  <c r="K159" i="5"/>
  <c r="J159" i="5"/>
  <c r="I159" i="5"/>
  <c r="AW158" i="5"/>
  <c r="AH158" i="5"/>
  <c r="AF158" i="5"/>
  <c r="AE158" i="5"/>
  <c r="AD158" i="5"/>
  <c r="AC158" i="5"/>
  <c r="N158" i="5"/>
  <c r="L158" i="5"/>
  <c r="K158" i="5"/>
  <c r="J158" i="5"/>
  <c r="I158" i="5"/>
  <c r="AW157" i="5"/>
  <c r="AH157" i="5"/>
  <c r="AF157" i="5"/>
  <c r="AE157" i="5"/>
  <c r="AD157" i="5"/>
  <c r="AC157" i="5"/>
  <c r="N157" i="5"/>
  <c r="L157" i="5"/>
  <c r="K157" i="5"/>
  <c r="J157" i="5"/>
  <c r="I157" i="5"/>
  <c r="AW156" i="5"/>
  <c r="AH156" i="5"/>
  <c r="AF156" i="5"/>
  <c r="AE156" i="5"/>
  <c r="AD156" i="5"/>
  <c r="AC156" i="5"/>
  <c r="N156" i="5"/>
  <c r="L156" i="5"/>
  <c r="K156" i="5"/>
  <c r="J156" i="5"/>
  <c r="I156" i="5"/>
  <c r="AX155" i="5" a="1"/>
  <c r="AX155" i="5" s="1"/>
  <c r="AW155" i="5"/>
  <c r="AH155" i="5"/>
  <c r="AF155" i="5"/>
  <c r="AE155" i="5"/>
  <c r="AD155" i="5"/>
  <c r="AC155" i="5"/>
  <c r="N155" i="5"/>
  <c r="L155" i="5"/>
  <c r="K155" i="5"/>
  <c r="J155" i="5"/>
  <c r="I155" i="5"/>
  <c r="AW154" i="5"/>
  <c r="AH154" i="5"/>
  <c r="AF154" i="5"/>
  <c r="AE154" i="5"/>
  <c r="AD154" i="5"/>
  <c r="AC154" i="5"/>
  <c r="N154" i="5"/>
  <c r="L154" i="5"/>
  <c r="K154" i="5"/>
  <c r="J154" i="5"/>
  <c r="I154" i="5"/>
  <c r="AW153" i="5"/>
  <c r="AH153" i="5"/>
  <c r="AF153" i="5"/>
  <c r="AE153" i="5"/>
  <c r="AD153" i="5"/>
  <c r="AC153" i="5"/>
  <c r="N153" i="5"/>
  <c r="L153" i="5"/>
  <c r="K153" i="5"/>
  <c r="J153" i="5"/>
  <c r="I153" i="5"/>
  <c r="AW152" i="5"/>
  <c r="AH152" i="5"/>
  <c r="AF152" i="5"/>
  <c r="AE152" i="5"/>
  <c r="AD152" i="5"/>
  <c r="AC152" i="5"/>
  <c r="N152" i="5"/>
  <c r="L152" i="5"/>
  <c r="K152" i="5"/>
  <c r="J152" i="5"/>
  <c r="I152" i="5"/>
  <c r="AW151" i="5"/>
  <c r="AH151" i="5"/>
  <c r="AF151" i="5"/>
  <c r="AE151" i="5"/>
  <c r="AD151" i="5"/>
  <c r="AC151" i="5"/>
  <c r="N151" i="5"/>
  <c r="L151" i="5"/>
  <c r="K151" i="5"/>
  <c r="J151" i="5"/>
  <c r="I151" i="5"/>
  <c r="AW150" i="5"/>
  <c r="AH150" i="5"/>
  <c r="AF150" i="5"/>
  <c r="AE150" i="5"/>
  <c r="AD150" i="5"/>
  <c r="AC150" i="5"/>
  <c r="N150" i="5"/>
  <c r="L150" i="5"/>
  <c r="K150" i="5"/>
  <c r="J150" i="5"/>
  <c r="I150" i="5"/>
  <c r="AX149" i="5" a="1"/>
  <c r="AX149" i="5" s="1"/>
  <c r="AW149" i="5"/>
  <c r="AH149" i="5"/>
  <c r="AF149" i="5"/>
  <c r="AE149" i="5"/>
  <c r="AD149" i="5"/>
  <c r="AC149" i="5"/>
  <c r="N149" i="5"/>
  <c r="L149" i="5"/>
  <c r="K149" i="5"/>
  <c r="J149" i="5"/>
  <c r="I149" i="5"/>
  <c r="AW148" i="5"/>
  <c r="AH148" i="5"/>
  <c r="AF148" i="5"/>
  <c r="AE148" i="5"/>
  <c r="AD148" i="5"/>
  <c r="AC148" i="5"/>
  <c r="N148" i="5"/>
  <c r="L148" i="5"/>
  <c r="K148" i="5"/>
  <c r="J148" i="5"/>
  <c r="I148" i="5"/>
  <c r="AW147" i="5"/>
  <c r="AH147" i="5"/>
  <c r="AF147" i="5"/>
  <c r="AE147" i="5"/>
  <c r="AD147" i="5"/>
  <c r="AC147" i="5"/>
  <c r="N147" i="5"/>
  <c r="L147" i="5"/>
  <c r="K147" i="5"/>
  <c r="J147" i="5"/>
  <c r="I147" i="5"/>
  <c r="AW146" i="5"/>
  <c r="AH146" i="5"/>
  <c r="AF146" i="5"/>
  <c r="AE146" i="5"/>
  <c r="AD146" i="5"/>
  <c r="AC146" i="5"/>
  <c r="N146" i="5"/>
  <c r="L146" i="5"/>
  <c r="K146" i="5"/>
  <c r="J146" i="5"/>
  <c r="I146" i="5"/>
  <c r="AW145" i="5"/>
  <c r="AH145" i="5"/>
  <c r="AF145" i="5"/>
  <c r="AE145" i="5"/>
  <c r="AD145" i="5"/>
  <c r="AC145" i="5"/>
  <c r="N145" i="5"/>
  <c r="L145" i="5"/>
  <c r="K145" i="5"/>
  <c r="J145" i="5"/>
  <c r="I145" i="5"/>
  <c r="AW144" i="5"/>
  <c r="AH144" i="5"/>
  <c r="AF144" i="5"/>
  <c r="AE144" i="5"/>
  <c r="AD144" i="5"/>
  <c r="AC144" i="5"/>
  <c r="N144" i="5"/>
  <c r="L144" i="5"/>
  <c r="K144" i="5"/>
  <c r="J144" i="5"/>
  <c r="I144" i="5"/>
  <c r="AX143" i="5" a="1"/>
  <c r="AX143" i="5" s="1"/>
  <c r="AW143" i="5"/>
  <c r="AH143" i="5"/>
  <c r="AF143" i="5"/>
  <c r="AE143" i="5"/>
  <c r="AD143" i="5"/>
  <c r="AC143" i="5"/>
  <c r="N143" i="5"/>
  <c r="L143" i="5"/>
  <c r="K143" i="5"/>
  <c r="J143" i="5"/>
  <c r="I143" i="5"/>
  <c r="AW142" i="5"/>
  <c r="AH142" i="5"/>
  <c r="AF142" i="5"/>
  <c r="AE142" i="5"/>
  <c r="AD142" i="5"/>
  <c r="AC142" i="5"/>
  <c r="N142" i="5"/>
  <c r="L142" i="5"/>
  <c r="K142" i="5"/>
  <c r="J142" i="5"/>
  <c r="I142" i="5"/>
  <c r="AW141" i="5"/>
  <c r="AH141" i="5"/>
  <c r="AF141" i="5"/>
  <c r="AE141" i="5"/>
  <c r="AD141" i="5"/>
  <c r="AC141" i="5"/>
  <c r="N141" i="5"/>
  <c r="L141" i="5"/>
  <c r="K141" i="5"/>
  <c r="J141" i="5"/>
  <c r="I141" i="5"/>
  <c r="AW140" i="5"/>
  <c r="AH140" i="5"/>
  <c r="AF140" i="5"/>
  <c r="AE140" i="5"/>
  <c r="AD140" i="5"/>
  <c r="AC140" i="5"/>
  <c r="N140" i="5"/>
  <c r="L140" i="5"/>
  <c r="K140" i="5"/>
  <c r="J140" i="5"/>
  <c r="I140" i="5"/>
  <c r="AW139" i="5"/>
  <c r="AH139" i="5"/>
  <c r="AF139" i="5"/>
  <c r="AE139" i="5"/>
  <c r="AD139" i="5"/>
  <c r="AC139" i="5"/>
  <c r="N139" i="5"/>
  <c r="L139" i="5"/>
  <c r="K139" i="5"/>
  <c r="J139" i="5"/>
  <c r="I139" i="5"/>
  <c r="AW138" i="5"/>
  <c r="AH138" i="5"/>
  <c r="AF138" i="5"/>
  <c r="AE138" i="5"/>
  <c r="AD138" i="5"/>
  <c r="AC138" i="5"/>
  <c r="N138" i="5"/>
  <c r="L138" i="5"/>
  <c r="K138" i="5"/>
  <c r="J138" i="5"/>
  <c r="I138" i="5"/>
  <c r="AX137" i="5" a="1"/>
  <c r="AX137" i="5" s="1"/>
  <c r="AW137" i="5"/>
  <c r="AH137" i="5"/>
  <c r="AF137" i="5"/>
  <c r="AE137" i="5"/>
  <c r="AD137" i="5"/>
  <c r="AC137" i="5"/>
  <c r="N137" i="5"/>
  <c r="L137" i="5"/>
  <c r="K137" i="5"/>
  <c r="J137" i="5"/>
  <c r="I137" i="5"/>
  <c r="AW136" i="5"/>
  <c r="AH136" i="5"/>
  <c r="AF136" i="5"/>
  <c r="AE136" i="5"/>
  <c r="AD136" i="5"/>
  <c r="AC136" i="5"/>
  <c r="N136" i="5"/>
  <c r="L136" i="5"/>
  <c r="K136" i="5"/>
  <c r="J136" i="5"/>
  <c r="I136" i="5"/>
  <c r="AW135" i="5"/>
  <c r="AH135" i="5"/>
  <c r="AF135" i="5"/>
  <c r="AE135" i="5"/>
  <c r="AD135" i="5"/>
  <c r="AC135" i="5"/>
  <c r="N135" i="5"/>
  <c r="L135" i="5"/>
  <c r="K135" i="5"/>
  <c r="J135" i="5"/>
  <c r="I135" i="5"/>
  <c r="AW134" i="5"/>
  <c r="AH134" i="5"/>
  <c r="AF134" i="5"/>
  <c r="AE134" i="5"/>
  <c r="AD134" i="5"/>
  <c r="AC134" i="5"/>
  <c r="N134" i="5"/>
  <c r="L134" i="5"/>
  <c r="K134" i="5"/>
  <c r="J134" i="5"/>
  <c r="I134" i="5"/>
  <c r="AW133" i="5"/>
  <c r="AH133" i="5"/>
  <c r="AF133" i="5"/>
  <c r="AE133" i="5"/>
  <c r="AD133" i="5"/>
  <c r="AC133" i="5"/>
  <c r="N133" i="5"/>
  <c r="L133" i="5"/>
  <c r="K133" i="5"/>
  <c r="J133" i="5"/>
  <c r="I133" i="5"/>
  <c r="AW132" i="5"/>
  <c r="AH132" i="5"/>
  <c r="AF132" i="5"/>
  <c r="AE132" i="5"/>
  <c r="AD132" i="5"/>
  <c r="AC132" i="5"/>
  <c r="N132" i="5"/>
  <c r="L132" i="5"/>
  <c r="K132" i="5"/>
  <c r="J132" i="5"/>
  <c r="I132" i="5"/>
  <c r="AX131" i="5" a="1"/>
  <c r="AX131" i="5" s="1"/>
  <c r="AW131" i="5"/>
  <c r="AH131" i="5"/>
  <c r="AF131" i="5"/>
  <c r="AE131" i="5"/>
  <c r="AD131" i="5"/>
  <c r="AC131" i="5"/>
  <c r="N131" i="5"/>
  <c r="L131" i="5"/>
  <c r="K131" i="5"/>
  <c r="J131" i="5"/>
  <c r="I131" i="5"/>
  <c r="AW130" i="5"/>
  <c r="AH130" i="5"/>
  <c r="AF130" i="5"/>
  <c r="AE130" i="5"/>
  <c r="AD130" i="5"/>
  <c r="AC130" i="5"/>
  <c r="N130" i="5"/>
  <c r="L130" i="5"/>
  <c r="K130" i="5"/>
  <c r="J130" i="5"/>
  <c r="I130" i="5"/>
  <c r="AW129" i="5"/>
  <c r="AH129" i="5"/>
  <c r="AF129" i="5"/>
  <c r="AE129" i="5"/>
  <c r="AD129" i="5"/>
  <c r="AC129" i="5"/>
  <c r="N129" i="5"/>
  <c r="L129" i="5"/>
  <c r="K129" i="5"/>
  <c r="J129" i="5"/>
  <c r="I129" i="5"/>
  <c r="AW128" i="5"/>
  <c r="AH128" i="5"/>
  <c r="AF128" i="5"/>
  <c r="AE128" i="5"/>
  <c r="AD128" i="5"/>
  <c r="AC128" i="5"/>
  <c r="N128" i="5"/>
  <c r="L128" i="5"/>
  <c r="K128" i="5"/>
  <c r="J128" i="5"/>
  <c r="I128" i="5"/>
  <c r="AW127" i="5"/>
  <c r="AH127" i="5"/>
  <c r="AF127" i="5"/>
  <c r="AE127" i="5"/>
  <c r="AD127" i="5"/>
  <c r="AC127" i="5"/>
  <c r="N127" i="5"/>
  <c r="L127" i="5"/>
  <c r="K127" i="5"/>
  <c r="J127" i="5"/>
  <c r="I127" i="5"/>
  <c r="AW126" i="5"/>
  <c r="AH126" i="5"/>
  <c r="AF126" i="5"/>
  <c r="AE126" i="5"/>
  <c r="AD126" i="5"/>
  <c r="AC126" i="5"/>
  <c r="N126" i="5"/>
  <c r="L126" i="5"/>
  <c r="K126" i="5"/>
  <c r="J126" i="5"/>
  <c r="I126" i="5"/>
  <c r="AX125" i="5" a="1"/>
  <c r="AX125" i="5" s="1"/>
  <c r="AW125" i="5"/>
  <c r="AH125" i="5"/>
  <c r="AF125" i="5"/>
  <c r="AE125" i="5"/>
  <c r="AD125" i="5"/>
  <c r="AC125" i="5"/>
  <c r="N125" i="5"/>
  <c r="L125" i="5"/>
  <c r="K125" i="5"/>
  <c r="J125" i="5"/>
  <c r="I125" i="5"/>
  <c r="AW124" i="5"/>
  <c r="AH124" i="5"/>
  <c r="AF124" i="5"/>
  <c r="AE124" i="5"/>
  <c r="AD124" i="5"/>
  <c r="AC124" i="5"/>
  <c r="N124" i="5"/>
  <c r="L124" i="5"/>
  <c r="K124" i="5"/>
  <c r="J124" i="5"/>
  <c r="I124" i="5"/>
  <c r="AW123" i="5"/>
  <c r="AH123" i="5"/>
  <c r="AF123" i="5"/>
  <c r="AE123" i="5"/>
  <c r="AD123" i="5"/>
  <c r="AC123" i="5"/>
  <c r="N123" i="5"/>
  <c r="L123" i="5"/>
  <c r="K123" i="5"/>
  <c r="J123" i="5"/>
  <c r="I123" i="5"/>
  <c r="AW122" i="5"/>
  <c r="AH122" i="5"/>
  <c r="AF122" i="5"/>
  <c r="AE122" i="5"/>
  <c r="AD122" i="5"/>
  <c r="AC122" i="5"/>
  <c r="N122" i="5"/>
  <c r="L122" i="5"/>
  <c r="K122" i="5"/>
  <c r="J122" i="5"/>
  <c r="I122" i="5"/>
  <c r="AW121" i="5"/>
  <c r="AH121" i="5"/>
  <c r="AF121" i="5"/>
  <c r="AE121" i="5"/>
  <c r="AD121" i="5"/>
  <c r="AC121" i="5"/>
  <c r="N121" i="5"/>
  <c r="L121" i="5"/>
  <c r="K121" i="5"/>
  <c r="J121" i="5"/>
  <c r="I121" i="5"/>
  <c r="AW120" i="5"/>
  <c r="AH120" i="5"/>
  <c r="AF120" i="5"/>
  <c r="AE120" i="5"/>
  <c r="AD120" i="5"/>
  <c r="AC120" i="5"/>
  <c r="N120" i="5"/>
  <c r="L120" i="5"/>
  <c r="K120" i="5"/>
  <c r="J120" i="5"/>
  <c r="I120" i="5"/>
  <c r="AX119" i="5" a="1"/>
  <c r="AX119" i="5" s="1"/>
  <c r="AW119" i="5"/>
  <c r="AH119" i="5"/>
  <c r="AF119" i="5"/>
  <c r="AE119" i="5"/>
  <c r="AD119" i="5"/>
  <c r="AC119" i="5"/>
  <c r="N119" i="5"/>
  <c r="L119" i="5"/>
  <c r="K119" i="5"/>
  <c r="J119" i="5"/>
  <c r="I119" i="5"/>
  <c r="AW118" i="5"/>
  <c r="AH118" i="5"/>
  <c r="AF118" i="5"/>
  <c r="AE118" i="5"/>
  <c r="AD118" i="5"/>
  <c r="AC118" i="5"/>
  <c r="N118" i="5"/>
  <c r="L118" i="5"/>
  <c r="K118" i="5"/>
  <c r="J118" i="5"/>
  <c r="I118" i="5"/>
  <c r="AW117" i="5"/>
  <c r="AH117" i="5"/>
  <c r="AF117" i="5"/>
  <c r="AE117" i="5"/>
  <c r="AD117" i="5"/>
  <c r="AC117" i="5"/>
  <c r="N117" i="5"/>
  <c r="L117" i="5"/>
  <c r="K117" i="5"/>
  <c r="J117" i="5"/>
  <c r="I117" i="5"/>
  <c r="AW116" i="5"/>
  <c r="AH116" i="5"/>
  <c r="AF116" i="5"/>
  <c r="AE116" i="5"/>
  <c r="AD116" i="5"/>
  <c r="AC116" i="5"/>
  <c r="N116" i="5"/>
  <c r="L116" i="5"/>
  <c r="K116" i="5"/>
  <c r="J116" i="5"/>
  <c r="I116" i="5"/>
  <c r="AW115" i="5"/>
  <c r="AH115" i="5"/>
  <c r="AF115" i="5"/>
  <c r="AE115" i="5"/>
  <c r="AD115" i="5"/>
  <c r="AC115" i="5"/>
  <c r="N115" i="5"/>
  <c r="L115" i="5"/>
  <c r="K115" i="5"/>
  <c r="J115" i="5"/>
  <c r="I115" i="5"/>
  <c r="AW114" i="5"/>
  <c r="AH114" i="5"/>
  <c r="AF114" i="5"/>
  <c r="AE114" i="5"/>
  <c r="AD114" i="5"/>
  <c r="AC114" i="5"/>
  <c r="N114" i="5"/>
  <c r="L114" i="5"/>
  <c r="K114" i="5"/>
  <c r="J114" i="5"/>
  <c r="I114" i="5"/>
  <c r="AX113" i="5" a="1"/>
  <c r="AX113" i="5" s="1"/>
  <c r="AW113" i="5"/>
  <c r="AH113" i="5"/>
  <c r="AF113" i="5"/>
  <c r="AE113" i="5"/>
  <c r="AD113" i="5"/>
  <c r="AC113" i="5"/>
  <c r="N113" i="5"/>
  <c r="L113" i="5"/>
  <c r="K113" i="5"/>
  <c r="J113" i="5"/>
  <c r="I113" i="5"/>
  <c r="AW112" i="5"/>
  <c r="AH112" i="5"/>
  <c r="AF112" i="5"/>
  <c r="AE112" i="5"/>
  <c r="AD112" i="5"/>
  <c r="AC112" i="5"/>
  <c r="N112" i="5"/>
  <c r="L112" i="5"/>
  <c r="K112" i="5"/>
  <c r="J112" i="5"/>
  <c r="I112" i="5"/>
  <c r="AW111" i="5"/>
  <c r="AH111" i="5"/>
  <c r="AF111" i="5"/>
  <c r="AE111" i="5"/>
  <c r="AD111" i="5"/>
  <c r="AC111" i="5"/>
  <c r="N111" i="5"/>
  <c r="L111" i="5"/>
  <c r="K111" i="5"/>
  <c r="J111" i="5"/>
  <c r="I111" i="5"/>
  <c r="AW110" i="5"/>
  <c r="AH110" i="5"/>
  <c r="AF110" i="5"/>
  <c r="AE110" i="5"/>
  <c r="AD110" i="5"/>
  <c r="AC110" i="5"/>
  <c r="N110" i="5"/>
  <c r="L110" i="5"/>
  <c r="K110" i="5"/>
  <c r="J110" i="5"/>
  <c r="I110" i="5"/>
  <c r="AW109" i="5"/>
  <c r="AH109" i="5"/>
  <c r="AF109" i="5"/>
  <c r="AE109" i="5"/>
  <c r="AD109" i="5"/>
  <c r="AC109" i="5"/>
  <c r="N109" i="5"/>
  <c r="L109" i="5"/>
  <c r="K109" i="5"/>
  <c r="J109" i="5"/>
  <c r="I109" i="5"/>
  <c r="AW108" i="5"/>
  <c r="AH108" i="5"/>
  <c r="AF108" i="5"/>
  <c r="AE108" i="5"/>
  <c r="AD108" i="5"/>
  <c r="AC108" i="5"/>
  <c r="N108" i="5"/>
  <c r="L108" i="5"/>
  <c r="K108" i="5"/>
  <c r="J108" i="5"/>
  <c r="I108" i="5"/>
  <c r="AX107" i="5" a="1"/>
  <c r="AX107" i="5" s="1"/>
  <c r="AW107" i="5"/>
  <c r="AH107" i="5"/>
  <c r="AF107" i="5"/>
  <c r="AE107" i="5"/>
  <c r="AD107" i="5"/>
  <c r="AC107" i="5"/>
  <c r="N107" i="5"/>
  <c r="L107" i="5"/>
  <c r="K107" i="5"/>
  <c r="J107" i="5"/>
  <c r="I107" i="5"/>
  <c r="AW106" i="5"/>
  <c r="AH106" i="5"/>
  <c r="AF106" i="5"/>
  <c r="AE106" i="5"/>
  <c r="AD106" i="5"/>
  <c r="AC106" i="5"/>
  <c r="N106" i="5"/>
  <c r="L106" i="5"/>
  <c r="K106" i="5"/>
  <c r="J106" i="5"/>
  <c r="I106" i="5"/>
  <c r="AW105" i="5"/>
  <c r="AH105" i="5"/>
  <c r="AF105" i="5"/>
  <c r="AE105" i="5"/>
  <c r="AD105" i="5"/>
  <c r="AC105" i="5"/>
  <c r="N105" i="5"/>
  <c r="L105" i="5"/>
  <c r="K105" i="5"/>
  <c r="J105" i="5"/>
  <c r="I105" i="5"/>
  <c r="AW104" i="5"/>
  <c r="AH104" i="5"/>
  <c r="AF104" i="5"/>
  <c r="AE104" i="5"/>
  <c r="AD104" i="5"/>
  <c r="AC104" i="5"/>
  <c r="N104" i="5"/>
  <c r="L104" i="5"/>
  <c r="K104" i="5"/>
  <c r="J104" i="5"/>
  <c r="I104" i="5"/>
  <c r="AW103" i="5"/>
  <c r="AH103" i="5"/>
  <c r="AF103" i="5"/>
  <c r="AE103" i="5"/>
  <c r="AD103" i="5"/>
  <c r="AC103" i="5"/>
  <c r="N103" i="5"/>
  <c r="L103" i="5"/>
  <c r="K103" i="5"/>
  <c r="J103" i="5"/>
  <c r="I103" i="5"/>
  <c r="AW102" i="5"/>
  <c r="AH102" i="5"/>
  <c r="AF102" i="5"/>
  <c r="AE102" i="5"/>
  <c r="AD102" i="5"/>
  <c r="AC102" i="5"/>
  <c r="N102" i="5"/>
  <c r="L102" i="5"/>
  <c r="K102" i="5"/>
  <c r="J102" i="5"/>
  <c r="I102" i="5"/>
  <c r="AX101" i="5" a="1"/>
  <c r="AX101" i="5" s="1"/>
  <c r="AW101" i="5"/>
  <c r="AH101" i="5"/>
  <c r="AF101" i="5"/>
  <c r="AE101" i="5"/>
  <c r="AD101" i="5"/>
  <c r="AC101" i="5"/>
  <c r="N101" i="5"/>
  <c r="L101" i="5"/>
  <c r="K101" i="5"/>
  <c r="J101" i="5"/>
  <c r="I101" i="5"/>
  <c r="AW100" i="5"/>
  <c r="AH100" i="5"/>
  <c r="AF100" i="5"/>
  <c r="AE100" i="5"/>
  <c r="AD100" i="5"/>
  <c r="AC100" i="5"/>
  <c r="N100" i="5"/>
  <c r="L100" i="5"/>
  <c r="K100" i="5"/>
  <c r="J100" i="5"/>
  <c r="I100" i="5"/>
  <c r="AW99" i="5"/>
  <c r="AH99" i="5"/>
  <c r="AF99" i="5"/>
  <c r="AE99" i="5"/>
  <c r="AD99" i="5"/>
  <c r="AC99" i="5"/>
  <c r="N99" i="5"/>
  <c r="L99" i="5"/>
  <c r="K99" i="5"/>
  <c r="J99" i="5"/>
  <c r="I99" i="5"/>
  <c r="AW98" i="5"/>
  <c r="AH98" i="5"/>
  <c r="AF98" i="5"/>
  <c r="AE98" i="5"/>
  <c r="AD98" i="5"/>
  <c r="AC98" i="5"/>
  <c r="N98" i="5"/>
  <c r="L98" i="5"/>
  <c r="K98" i="5"/>
  <c r="J98" i="5"/>
  <c r="I98" i="5"/>
  <c r="AW97" i="5"/>
  <c r="AH97" i="5"/>
  <c r="AF97" i="5"/>
  <c r="AE97" i="5"/>
  <c r="AD97" i="5"/>
  <c r="AC97" i="5"/>
  <c r="N97" i="5"/>
  <c r="L97" i="5"/>
  <c r="K97" i="5"/>
  <c r="J97" i="5"/>
  <c r="I97" i="5"/>
  <c r="AW96" i="5"/>
  <c r="AH96" i="5"/>
  <c r="AF96" i="5"/>
  <c r="AE96" i="5"/>
  <c r="AD96" i="5"/>
  <c r="AC96" i="5"/>
  <c r="N96" i="5"/>
  <c r="L96" i="5"/>
  <c r="K96" i="5"/>
  <c r="J96" i="5"/>
  <c r="I96" i="5"/>
  <c r="AX95" i="5" a="1"/>
  <c r="AX95" i="5" s="1"/>
  <c r="AW95" i="5"/>
  <c r="AH95" i="5"/>
  <c r="AF95" i="5"/>
  <c r="AE95" i="5"/>
  <c r="AD95" i="5"/>
  <c r="AC95" i="5"/>
  <c r="N95" i="5"/>
  <c r="L95" i="5"/>
  <c r="K95" i="5"/>
  <c r="J95" i="5"/>
  <c r="I95" i="5"/>
  <c r="AW94" i="5"/>
  <c r="AH94" i="5"/>
  <c r="AF94" i="5"/>
  <c r="AE94" i="5"/>
  <c r="AD94" i="5"/>
  <c r="AC94" i="5"/>
  <c r="N94" i="5"/>
  <c r="L94" i="5"/>
  <c r="K94" i="5"/>
  <c r="J94" i="5"/>
  <c r="I94" i="5"/>
  <c r="AW93" i="5"/>
  <c r="AH93" i="5"/>
  <c r="AF93" i="5"/>
  <c r="AE93" i="5"/>
  <c r="AD93" i="5"/>
  <c r="AC93" i="5"/>
  <c r="N93" i="5"/>
  <c r="L93" i="5"/>
  <c r="K93" i="5"/>
  <c r="J93" i="5"/>
  <c r="I93" i="5"/>
  <c r="AW92" i="5"/>
  <c r="AH92" i="5"/>
  <c r="AF92" i="5"/>
  <c r="AE92" i="5"/>
  <c r="AD92" i="5"/>
  <c r="AC92" i="5"/>
  <c r="N92" i="5"/>
  <c r="L92" i="5"/>
  <c r="K92" i="5"/>
  <c r="J92" i="5"/>
  <c r="I92" i="5"/>
  <c r="AW91" i="5"/>
  <c r="AH91" i="5"/>
  <c r="AF91" i="5"/>
  <c r="AE91" i="5"/>
  <c r="AD91" i="5"/>
  <c r="AC91" i="5"/>
  <c r="N91" i="5"/>
  <c r="L91" i="5"/>
  <c r="K91" i="5"/>
  <c r="J91" i="5"/>
  <c r="I91" i="5"/>
  <c r="AW90" i="5"/>
  <c r="AH90" i="5"/>
  <c r="AF90" i="5"/>
  <c r="AE90" i="5"/>
  <c r="AD90" i="5"/>
  <c r="AC90" i="5"/>
  <c r="N90" i="5"/>
  <c r="L90" i="5"/>
  <c r="K90" i="5"/>
  <c r="J90" i="5"/>
  <c r="I90" i="5"/>
  <c r="AX89" i="5" a="1"/>
  <c r="AX89" i="5" s="1"/>
  <c r="AW89" i="5"/>
  <c r="AH89" i="5"/>
  <c r="AF89" i="5"/>
  <c r="AE89" i="5"/>
  <c r="AD89" i="5"/>
  <c r="AC89" i="5"/>
  <c r="N89" i="5"/>
  <c r="L89" i="5"/>
  <c r="K89" i="5"/>
  <c r="J89" i="5"/>
  <c r="I89" i="5"/>
  <c r="AW88" i="5"/>
  <c r="AH88" i="5"/>
  <c r="AF88" i="5"/>
  <c r="AE88" i="5"/>
  <c r="AD88" i="5"/>
  <c r="AC88" i="5"/>
  <c r="N88" i="5"/>
  <c r="L88" i="5"/>
  <c r="K88" i="5"/>
  <c r="J88" i="5"/>
  <c r="I88" i="5"/>
  <c r="AW87" i="5"/>
  <c r="AH87" i="5"/>
  <c r="AF87" i="5"/>
  <c r="AE87" i="5"/>
  <c r="AD87" i="5"/>
  <c r="AC87" i="5"/>
  <c r="N87" i="5"/>
  <c r="L87" i="5"/>
  <c r="K87" i="5"/>
  <c r="J87" i="5"/>
  <c r="I87" i="5"/>
  <c r="AW86" i="5"/>
  <c r="AH86" i="5"/>
  <c r="AF86" i="5"/>
  <c r="AE86" i="5"/>
  <c r="AD86" i="5"/>
  <c r="AC86" i="5"/>
  <c r="N86" i="5"/>
  <c r="L86" i="5"/>
  <c r="K86" i="5"/>
  <c r="J86" i="5"/>
  <c r="I86" i="5"/>
  <c r="AW85" i="5"/>
  <c r="AH85" i="5"/>
  <c r="AF85" i="5"/>
  <c r="AE85" i="5"/>
  <c r="AD85" i="5"/>
  <c r="AC85" i="5"/>
  <c r="N85" i="5"/>
  <c r="L85" i="5"/>
  <c r="K85" i="5"/>
  <c r="J85" i="5"/>
  <c r="I85" i="5"/>
  <c r="AW84" i="5"/>
  <c r="AH84" i="5"/>
  <c r="AF84" i="5"/>
  <c r="AE84" i="5"/>
  <c r="AD84" i="5"/>
  <c r="AC84" i="5"/>
  <c r="N84" i="5"/>
  <c r="L84" i="5"/>
  <c r="K84" i="5"/>
  <c r="J84" i="5"/>
  <c r="I84" i="5"/>
  <c r="AX83" i="5" a="1"/>
  <c r="AX83" i="5" s="1"/>
  <c r="AW83" i="5"/>
  <c r="AH83" i="5"/>
  <c r="AF83" i="5"/>
  <c r="AE83" i="5"/>
  <c r="AD83" i="5"/>
  <c r="AC83" i="5"/>
  <c r="N83" i="5"/>
  <c r="L83" i="5"/>
  <c r="K83" i="5"/>
  <c r="J83" i="5"/>
  <c r="I83" i="5"/>
  <c r="AW82" i="5"/>
  <c r="AH82" i="5"/>
  <c r="AF82" i="5"/>
  <c r="AE82" i="5"/>
  <c r="AD82" i="5"/>
  <c r="AC82" i="5"/>
  <c r="N82" i="5"/>
  <c r="L82" i="5"/>
  <c r="K82" i="5"/>
  <c r="J82" i="5"/>
  <c r="I82" i="5"/>
  <c r="AW81" i="5"/>
  <c r="AH81" i="5"/>
  <c r="AF81" i="5"/>
  <c r="AE81" i="5"/>
  <c r="AD81" i="5"/>
  <c r="AC81" i="5"/>
  <c r="N81" i="5"/>
  <c r="L81" i="5"/>
  <c r="K81" i="5"/>
  <c r="J81" i="5"/>
  <c r="I81" i="5"/>
  <c r="AW80" i="5"/>
  <c r="AH80" i="5"/>
  <c r="AF80" i="5"/>
  <c r="AE80" i="5"/>
  <c r="AD80" i="5"/>
  <c r="AC80" i="5"/>
  <c r="N80" i="5"/>
  <c r="L80" i="5"/>
  <c r="K80" i="5"/>
  <c r="J80" i="5"/>
  <c r="I80" i="5"/>
  <c r="AW79" i="5"/>
  <c r="AH79" i="5"/>
  <c r="AF79" i="5"/>
  <c r="AE79" i="5"/>
  <c r="AD79" i="5"/>
  <c r="AC79" i="5"/>
  <c r="N79" i="5"/>
  <c r="L79" i="5"/>
  <c r="K79" i="5"/>
  <c r="J79" i="5"/>
  <c r="I79" i="5"/>
  <c r="AW78" i="5"/>
  <c r="AH78" i="5"/>
  <c r="AF78" i="5"/>
  <c r="AE78" i="5"/>
  <c r="AD78" i="5"/>
  <c r="AC78" i="5"/>
  <c r="N78" i="5"/>
  <c r="L78" i="5"/>
  <c r="K78" i="5"/>
  <c r="J78" i="5"/>
  <c r="I78" i="5"/>
  <c r="AX77" i="5" a="1"/>
  <c r="AX77" i="5" s="1"/>
  <c r="AW77" i="5"/>
  <c r="AH77" i="5"/>
  <c r="AF77" i="5"/>
  <c r="AE77" i="5"/>
  <c r="AD77" i="5"/>
  <c r="AC77" i="5"/>
  <c r="N77" i="5"/>
  <c r="L77" i="5"/>
  <c r="K77" i="5"/>
  <c r="J77" i="5"/>
  <c r="I77" i="5"/>
  <c r="AW76" i="5"/>
  <c r="AH76" i="5"/>
  <c r="AF76" i="5"/>
  <c r="AE76" i="5"/>
  <c r="AD76" i="5"/>
  <c r="AC76" i="5"/>
  <c r="N76" i="5"/>
  <c r="L76" i="5"/>
  <c r="K76" i="5"/>
  <c r="J76" i="5"/>
  <c r="I76" i="5"/>
  <c r="AW75" i="5"/>
  <c r="AH75" i="5"/>
  <c r="AF75" i="5"/>
  <c r="AE75" i="5"/>
  <c r="AD75" i="5"/>
  <c r="AC75" i="5"/>
  <c r="N75" i="5"/>
  <c r="L75" i="5"/>
  <c r="K75" i="5"/>
  <c r="J75" i="5"/>
  <c r="I75" i="5"/>
  <c r="AW74" i="5"/>
  <c r="AH74" i="5"/>
  <c r="AF74" i="5"/>
  <c r="AE74" i="5"/>
  <c r="AD74" i="5"/>
  <c r="AC74" i="5"/>
  <c r="N74" i="5"/>
  <c r="L74" i="5"/>
  <c r="K74" i="5"/>
  <c r="J74" i="5"/>
  <c r="I74" i="5"/>
  <c r="AW73" i="5"/>
  <c r="AH73" i="5"/>
  <c r="AF73" i="5"/>
  <c r="AE73" i="5"/>
  <c r="AD73" i="5"/>
  <c r="AC73" i="5"/>
  <c r="N73" i="5"/>
  <c r="L73" i="5"/>
  <c r="K73" i="5"/>
  <c r="J73" i="5"/>
  <c r="I73" i="5"/>
  <c r="AW72" i="5"/>
  <c r="AH72" i="5"/>
  <c r="AF72" i="5"/>
  <c r="AE72" i="5"/>
  <c r="AD72" i="5"/>
  <c r="AC72" i="5"/>
  <c r="N72" i="5"/>
  <c r="L72" i="5"/>
  <c r="K72" i="5"/>
  <c r="J72" i="5"/>
  <c r="I72" i="5"/>
  <c r="AX71" i="5" a="1"/>
  <c r="AX71" i="5" s="1"/>
  <c r="AW71" i="5"/>
  <c r="AH71" i="5"/>
  <c r="AF71" i="5"/>
  <c r="AE71" i="5"/>
  <c r="AD71" i="5"/>
  <c r="AC71" i="5"/>
  <c r="N71" i="5"/>
  <c r="L71" i="5"/>
  <c r="K71" i="5"/>
  <c r="J71" i="5"/>
  <c r="I71" i="5"/>
  <c r="AW70" i="5"/>
  <c r="AH70" i="5"/>
  <c r="AF70" i="5"/>
  <c r="AE70" i="5"/>
  <c r="AD70" i="5"/>
  <c r="AC70" i="5"/>
  <c r="N70" i="5"/>
  <c r="L70" i="5"/>
  <c r="K70" i="5"/>
  <c r="J70" i="5"/>
  <c r="I70" i="5"/>
  <c r="AW69" i="5"/>
  <c r="AH69" i="5"/>
  <c r="AF69" i="5"/>
  <c r="AE69" i="5"/>
  <c r="AD69" i="5"/>
  <c r="AC69" i="5"/>
  <c r="N69" i="5"/>
  <c r="L69" i="5"/>
  <c r="K69" i="5"/>
  <c r="J69" i="5"/>
  <c r="I69" i="5"/>
  <c r="AW68" i="5"/>
  <c r="AH68" i="5"/>
  <c r="AF68" i="5"/>
  <c r="AE68" i="5"/>
  <c r="AD68" i="5"/>
  <c r="AC68" i="5"/>
  <c r="N68" i="5"/>
  <c r="L68" i="5"/>
  <c r="K68" i="5"/>
  <c r="J68" i="5"/>
  <c r="I68" i="5"/>
  <c r="AW67" i="5"/>
  <c r="AH67" i="5"/>
  <c r="AF67" i="5"/>
  <c r="AE67" i="5"/>
  <c r="AD67" i="5"/>
  <c r="AC67" i="5"/>
  <c r="N67" i="5"/>
  <c r="L67" i="5"/>
  <c r="K67" i="5"/>
  <c r="J67" i="5"/>
  <c r="I67" i="5"/>
  <c r="AW66" i="5"/>
  <c r="AH66" i="5"/>
  <c r="AF66" i="5"/>
  <c r="AE66" i="5"/>
  <c r="AD66" i="5"/>
  <c r="AC66" i="5"/>
  <c r="N66" i="5"/>
  <c r="L66" i="5"/>
  <c r="K66" i="5"/>
  <c r="J66" i="5"/>
  <c r="I66" i="5"/>
  <c r="AX65" i="5" a="1"/>
  <c r="AX65" i="5" s="1"/>
  <c r="AW65" i="5"/>
  <c r="AH65" i="5"/>
  <c r="AF65" i="5"/>
  <c r="AE65" i="5"/>
  <c r="AD65" i="5"/>
  <c r="AC65" i="5"/>
  <c r="N65" i="5"/>
  <c r="L65" i="5"/>
  <c r="K65" i="5"/>
  <c r="J65" i="5"/>
  <c r="I65" i="5"/>
  <c r="AW64" i="5"/>
  <c r="AH64" i="5"/>
  <c r="AF64" i="5"/>
  <c r="AE64" i="5"/>
  <c r="AD64" i="5"/>
  <c r="AC64" i="5"/>
  <c r="N64" i="5"/>
  <c r="L64" i="5"/>
  <c r="K64" i="5"/>
  <c r="J64" i="5"/>
  <c r="I64" i="5"/>
  <c r="AW63" i="5"/>
  <c r="AH63" i="5"/>
  <c r="AF63" i="5"/>
  <c r="AE63" i="5"/>
  <c r="AD63" i="5"/>
  <c r="AC63" i="5"/>
  <c r="N63" i="5"/>
  <c r="L63" i="5"/>
  <c r="K63" i="5"/>
  <c r="J63" i="5"/>
  <c r="I63" i="5"/>
  <c r="AW62" i="5"/>
  <c r="AH62" i="5"/>
  <c r="AF62" i="5"/>
  <c r="AE62" i="5"/>
  <c r="AD62" i="5"/>
  <c r="AC62" i="5"/>
  <c r="N62" i="5"/>
  <c r="L62" i="5"/>
  <c r="K62" i="5"/>
  <c r="J62" i="5"/>
  <c r="I62" i="5"/>
  <c r="AW61" i="5"/>
  <c r="AH61" i="5"/>
  <c r="AF61" i="5"/>
  <c r="AE61" i="5"/>
  <c r="AD61" i="5"/>
  <c r="AC61" i="5"/>
  <c r="N61" i="5"/>
  <c r="L61" i="5"/>
  <c r="K61" i="5"/>
  <c r="J61" i="5"/>
  <c r="I61" i="5"/>
  <c r="AW60" i="5"/>
  <c r="AH60" i="5"/>
  <c r="AF60" i="5"/>
  <c r="AE60" i="5"/>
  <c r="AD60" i="5"/>
  <c r="AC60" i="5"/>
  <c r="N60" i="5"/>
  <c r="L60" i="5"/>
  <c r="K60" i="5"/>
  <c r="J60" i="5"/>
  <c r="I60" i="5"/>
  <c r="AX59" i="5" a="1"/>
  <c r="AX59" i="5" s="1"/>
  <c r="AW59" i="5"/>
  <c r="AH59" i="5"/>
  <c r="AF59" i="5"/>
  <c r="AE59" i="5"/>
  <c r="AD59" i="5"/>
  <c r="AC59" i="5"/>
  <c r="N59" i="5"/>
  <c r="L59" i="5"/>
  <c r="K59" i="5"/>
  <c r="J59" i="5"/>
  <c r="I59" i="5"/>
  <c r="AW58" i="5"/>
  <c r="AH58" i="5"/>
  <c r="AF58" i="5"/>
  <c r="AE58" i="5"/>
  <c r="AD58" i="5"/>
  <c r="AC58" i="5"/>
  <c r="N58" i="5"/>
  <c r="L58" i="5"/>
  <c r="K58" i="5"/>
  <c r="J58" i="5"/>
  <c r="I58" i="5"/>
  <c r="AW57" i="5"/>
  <c r="AH57" i="5"/>
  <c r="AF57" i="5"/>
  <c r="AE57" i="5"/>
  <c r="AD57" i="5"/>
  <c r="AC57" i="5"/>
  <c r="N57" i="5"/>
  <c r="L57" i="5"/>
  <c r="K57" i="5"/>
  <c r="J57" i="5"/>
  <c r="I57" i="5"/>
  <c r="AW56" i="5"/>
  <c r="AH56" i="5"/>
  <c r="AF56" i="5"/>
  <c r="AE56" i="5"/>
  <c r="AD56" i="5"/>
  <c r="AC56" i="5"/>
  <c r="N56" i="5"/>
  <c r="L56" i="5"/>
  <c r="K56" i="5"/>
  <c r="J56" i="5"/>
  <c r="I56" i="5"/>
  <c r="AW55" i="5"/>
  <c r="AH55" i="5"/>
  <c r="AF55" i="5"/>
  <c r="AE55" i="5"/>
  <c r="AD55" i="5"/>
  <c r="AC55" i="5"/>
  <c r="N55" i="5"/>
  <c r="L55" i="5"/>
  <c r="K55" i="5"/>
  <c r="J55" i="5"/>
  <c r="I55" i="5"/>
  <c r="AW54" i="5"/>
  <c r="AH54" i="5"/>
  <c r="AF54" i="5"/>
  <c r="AE54" i="5"/>
  <c r="AD54" i="5"/>
  <c r="AC54" i="5"/>
  <c r="N54" i="5"/>
  <c r="L54" i="5"/>
  <c r="K54" i="5"/>
  <c r="J54" i="5"/>
  <c r="I54" i="5"/>
  <c r="AX53" i="5" a="1"/>
  <c r="AX53" i="5" s="1"/>
  <c r="AW53" i="5"/>
  <c r="AH53" i="5"/>
  <c r="AF53" i="5"/>
  <c r="AE53" i="5"/>
  <c r="AD53" i="5"/>
  <c r="AC53" i="5"/>
  <c r="N53" i="5"/>
  <c r="L53" i="5"/>
  <c r="K53" i="5"/>
  <c r="J53" i="5"/>
  <c r="I53" i="5"/>
  <c r="AW52" i="5"/>
  <c r="AH52" i="5"/>
  <c r="AF52" i="5"/>
  <c r="AE52" i="5"/>
  <c r="AD52" i="5"/>
  <c r="AC52" i="5"/>
  <c r="N52" i="5"/>
  <c r="L52" i="5"/>
  <c r="K52" i="5"/>
  <c r="J52" i="5"/>
  <c r="I52" i="5"/>
  <c r="AW51" i="5"/>
  <c r="AH51" i="5"/>
  <c r="AF51" i="5"/>
  <c r="AE51" i="5"/>
  <c r="AD51" i="5"/>
  <c r="AC51" i="5"/>
  <c r="N51" i="5"/>
  <c r="L51" i="5"/>
  <c r="K51" i="5"/>
  <c r="J51" i="5"/>
  <c r="I51" i="5"/>
  <c r="AW50" i="5"/>
  <c r="AH50" i="5"/>
  <c r="AF50" i="5"/>
  <c r="AE50" i="5"/>
  <c r="AD50" i="5"/>
  <c r="AC50" i="5"/>
  <c r="N50" i="5"/>
  <c r="L50" i="5"/>
  <c r="K50" i="5"/>
  <c r="J50" i="5"/>
  <c r="I50" i="5"/>
  <c r="AW49" i="5"/>
  <c r="AH49" i="5"/>
  <c r="AF49" i="5"/>
  <c r="AE49" i="5"/>
  <c r="AD49" i="5"/>
  <c r="AC49" i="5"/>
  <c r="N49" i="5"/>
  <c r="L49" i="5"/>
  <c r="K49" i="5"/>
  <c r="J49" i="5"/>
  <c r="I49" i="5"/>
  <c r="AW48" i="5"/>
  <c r="AH48" i="5"/>
  <c r="AF48" i="5"/>
  <c r="AE48" i="5"/>
  <c r="AD48" i="5"/>
  <c r="AC48" i="5"/>
  <c r="N48" i="5"/>
  <c r="L48" i="5"/>
  <c r="K48" i="5"/>
  <c r="J48" i="5"/>
  <c r="I48" i="5"/>
  <c r="AX47" i="5" a="1"/>
  <c r="AX47" i="5" s="1"/>
  <c r="AW47" i="5"/>
  <c r="AH47" i="5"/>
  <c r="AF47" i="5"/>
  <c r="AE47" i="5"/>
  <c r="AD47" i="5"/>
  <c r="AC47" i="5"/>
  <c r="N47" i="5"/>
  <c r="L47" i="5"/>
  <c r="K47" i="5"/>
  <c r="J47" i="5"/>
  <c r="I47" i="5"/>
  <c r="AW46" i="5"/>
  <c r="AH46" i="5"/>
  <c r="AF46" i="5"/>
  <c r="AE46" i="5"/>
  <c r="AD46" i="5"/>
  <c r="AC46" i="5"/>
  <c r="N46" i="5"/>
  <c r="L46" i="5"/>
  <c r="K46" i="5"/>
  <c r="J46" i="5"/>
  <c r="I46" i="5"/>
  <c r="AW45" i="5"/>
  <c r="AH45" i="5"/>
  <c r="AF45" i="5"/>
  <c r="AE45" i="5"/>
  <c r="AD45" i="5"/>
  <c r="AC45" i="5"/>
  <c r="N45" i="5"/>
  <c r="L45" i="5"/>
  <c r="K45" i="5"/>
  <c r="J45" i="5"/>
  <c r="I45" i="5"/>
  <c r="AW44" i="5"/>
  <c r="AH44" i="5"/>
  <c r="AF44" i="5"/>
  <c r="AE44" i="5"/>
  <c r="AD44" i="5"/>
  <c r="AC44" i="5"/>
  <c r="N44" i="5"/>
  <c r="L44" i="5"/>
  <c r="K44" i="5"/>
  <c r="J44" i="5"/>
  <c r="I44" i="5"/>
  <c r="AW43" i="5"/>
  <c r="AH43" i="5"/>
  <c r="AF43" i="5"/>
  <c r="AE43" i="5"/>
  <c r="AD43" i="5"/>
  <c r="AC43" i="5"/>
  <c r="N43" i="5"/>
  <c r="L43" i="5"/>
  <c r="K43" i="5"/>
  <c r="J43" i="5"/>
  <c r="I43" i="5"/>
  <c r="AW42" i="5"/>
  <c r="AH42" i="5"/>
  <c r="AF42" i="5"/>
  <c r="AE42" i="5"/>
  <c r="AD42" i="5"/>
  <c r="AC42" i="5"/>
  <c r="N42" i="5"/>
  <c r="L42" i="5"/>
  <c r="K42" i="5"/>
  <c r="J42" i="5"/>
  <c r="I42" i="5"/>
  <c r="AX41" i="5" a="1"/>
  <c r="AX41" i="5" s="1"/>
  <c r="AW41" i="5"/>
  <c r="AH41" i="5"/>
  <c r="AF41" i="5"/>
  <c r="AE41" i="5"/>
  <c r="AD41" i="5"/>
  <c r="AC41" i="5"/>
  <c r="N41" i="5"/>
  <c r="L41" i="5"/>
  <c r="K41" i="5"/>
  <c r="J41" i="5"/>
  <c r="I41" i="5"/>
  <c r="AW40" i="5"/>
  <c r="AH40" i="5"/>
  <c r="AF40" i="5"/>
  <c r="AE40" i="5"/>
  <c r="AD40" i="5"/>
  <c r="AC40" i="5"/>
  <c r="N40" i="5"/>
  <c r="L40" i="5"/>
  <c r="K40" i="5"/>
  <c r="J40" i="5"/>
  <c r="I40" i="5"/>
  <c r="AW39" i="5"/>
  <c r="AH39" i="5"/>
  <c r="AF39" i="5"/>
  <c r="AE39" i="5"/>
  <c r="AD39" i="5"/>
  <c r="AC39" i="5"/>
  <c r="N39" i="5"/>
  <c r="L39" i="5"/>
  <c r="K39" i="5"/>
  <c r="J39" i="5"/>
  <c r="I39" i="5"/>
  <c r="AW38" i="5"/>
  <c r="AH38" i="5"/>
  <c r="AF38" i="5"/>
  <c r="AE38" i="5"/>
  <c r="AD38" i="5"/>
  <c r="AC38" i="5"/>
  <c r="N38" i="5"/>
  <c r="L38" i="5"/>
  <c r="K38" i="5"/>
  <c r="J38" i="5"/>
  <c r="I38" i="5"/>
  <c r="AW37" i="5"/>
  <c r="AH37" i="5"/>
  <c r="AF37" i="5"/>
  <c r="AE37" i="5"/>
  <c r="AD37" i="5"/>
  <c r="AC37" i="5"/>
  <c r="N37" i="5"/>
  <c r="L37" i="5"/>
  <c r="K37" i="5"/>
  <c r="J37" i="5"/>
  <c r="I37" i="5"/>
  <c r="AW36" i="5"/>
  <c r="AH36" i="5"/>
  <c r="AF36" i="5"/>
  <c r="AE36" i="5"/>
  <c r="AD36" i="5"/>
  <c r="AC36" i="5"/>
  <c r="N36" i="5"/>
  <c r="L36" i="5"/>
  <c r="K36" i="5"/>
  <c r="J36" i="5"/>
  <c r="I36" i="5"/>
  <c r="AX35" i="5" a="1"/>
  <c r="AX35" i="5" s="1"/>
  <c r="AW35" i="5"/>
  <c r="AH35" i="5"/>
  <c r="AF35" i="5"/>
  <c r="AE35" i="5"/>
  <c r="AD35" i="5"/>
  <c r="AC35" i="5"/>
  <c r="N35" i="5"/>
  <c r="L35" i="5"/>
  <c r="K35" i="5"/>
  <c r="J35" i="5"/>
  <c r="I35" i="5"/>
  <c r="AW34" i="5"/>
  <c r="AH34" i="5"/>
  <c r="AF34" i="5"/>
  <c r="AE34" i="5"/>
  <c r="AD34" i="5"/>
  <c r="AC34" i="5"/>
  <c r="N34" i="5"/>
  <c r="L34" i="5"/>
  <c r="K34" i="5"/>
  <c r="J34" i="5"/>
  <c r="I34" i="5"/>
  <c r="AW33" i="5"/>
  <c r="AH33" i="5"/>
  <c r="AF33" i="5"/>
  <c r="AE33" i="5"/>
  <c r="AD33" i="5"/>
  <c r="AC33" i="5"/>
  <c r="N33" i="5"/>
  <c r="L33" i="5"/>
  <c r="K33" i="5"/>
  <c r="J33" i="5"/>
  <c r="I33" i="5"/>
  <c r="AW32" i="5"/>
  <c r="AH32" i="5"/>
  <c r="AF32" i="5"/>
  <c r="AE32" i="5"/>
  <c r="AD32" i="5"/>
  <c r="AC32" i="5"/>
  <c r="N32" i="5"/>
  <c r="L32" i="5"/>
  <c r="K32" i="5"/>
  <c r="J32" i="5"/>
  <c r="I32" i="5"/>
  <c r="AW31" i="5"/>
  <c r="AH31" i="5"/>
  <c r="AF31" i="5"/>
  <c r="AE31" i="5"/>
  <c r="AD31" i="5"/>
  <c r="AC31" i="5"/>
  <c r="N31" i="5"/>
  <c r="L31" i="5"/>
  <c r="K31" i="5"/>
  <c r="J31" i="5"/>
  <c r="I31" i="5"/>
  <c r="AW30" i="5"/>
  <c r="AH30" i="5"/>
  <c r="AF30" i="5"/>
  <c r="AE30" i="5"/>
  <c r="AD30" i="5"/>
  <c r="AC30" i="5"/>
  <c r="N30" i="5"/>
  <c r="L30" i="5"/>
  <c r="K30" i="5"/>
  <c r="J30" i="5"/>
  <c r="I30" i="5"/>
  <c r="AX29" i="5" a="1"/>
  <c r="AX29" i="5" s="1"/>
  <c r="AW29" i="5"/>
  <c r="AH29" i="5"/>
  <c r="AF29" i="5"/>
  <c r="AE29" i="5"/>
  <c r="AD29" i="5"/>
  <c r="AC29" i="5"/>
  <c r="N29" i="5"/>
  <c r="L29" i="5"/>
  <c r="K29" i="5"/>
  <c r="J29" i="5"/>
  <c r="I29" i="5"/>
  <c r="AW28" i="5"/>
  <c r="AH28" i="5"/>
  <c r="AF28" i="5"/>
  <c r="AE28" i="5"/>
  <c r="AD28" i="5"/>
  <c r="AC28" i="5"/>
  <c r="N28" i="5"/>
  <c r="L28" i="5"/>
  <c r="K28" i="5"/>
  <c r="J28" i="5"/>
  <c r="I28" i="5"/>
  <c r="AW27" i="5"/>
  <c r="AH27" i="5"/>
  <c r="AF27" i="5"/>
  <c r="AE27" i="5"/>
  <c r="AD27" i="5"/>
  <c r="AC27" i="5"/>
  <c r="N27" i="5"/>
  <c r="L27" i="5"/>
  <c r="K27" i="5"/>
  <c r="J27" i="5"/>
  <c r="I27" i="5"/>
  <c r="AW26" i="5"/>
  <c r="AH26" i="5"/>
  <c r="AF26" i="5"/>
  <c r="AE26" i="5"/>
  <c r="AD26" i="5"/>
  <c r="AC26" i="5"/>
  <c r="N26" i="5"/>
  <c r="L26" i="5"/>
  <c r="K26" i="5"/>
  <c r="J26" i="5"/>
  <c r="I26" i="5"/>
  <c r="AW25" i="5"/>
  <c r="AH25" i="5"/>
  <c r="AF25" i="5"/>
  <c r="AE25" i="5"/>
  <c r="AD25" i="5"/>
  <c r="AC25" i="5"/>
  <c r="N25" i="5"/>
  <c r="L25" i="5"/>
  <c r="K25" i="5"/>
  <c r="J25" i="5"/>
  <c r="I25" i="5"/>
  <c r="AW24" i="5"/>
  <c r="AH24" i="5"/>
  <c r="AF24" i="5"/>
  <c r="AE24" i="5"/>
  <c r="AD24" i="5"/>
  <c r="AC24" i="5"/>
  <c r="N24" i="5"/>
  <c r="L24" i="5"/>
  <c r="K24" i="5"/>
  <c r="J24" i="5"/>
  <c r="I24" i="5"/>
  <c r="AX23" i="5" a="1"/>
  <c r="AX23" i="5" s="1"/>
  <c r="AW23" i="5"/>
  <c r="AH23" i="5"/>
  <c r="AF23" i="5"/>
  <c r="AE23" i="5"/>
  <c r="AD23" i="5"/>
  <c r="AC23" i="5"/>
  <c r="N23" i="5"/>
  <c r="L23" i="5"/>
  <c r="K23" i="5"/>
  <c r="J23" i="5"/>
  <c r="I23" i="5"/>
  <c r="AW22" i="5"/>
  <c r="AH22" i="5"/>
  <c r="AF22" i="5"/>
  <c r="AE22" i="5"/>
  <c r="AD22" i="5"/>
  <c r="AC22" i="5"/>
  <c r="N22" i="5"/>
  <c r="L22" i="5"/>
  <c r="K22" i="5"/>
  <c r="J22" i="5"/>
  <c r="I22" i="5"/>
  <c r="AW21" i="5"/>
  <c r="AH21" i="5"/>
  <c r="AF21" i="5"/>
  <c r="AE21" i="5"/>
  <c r="AD21" i="5"/>
  <c r="AC21" i="5"/>
  <c r="N21" i="5"/>
  <c r="L21" i="5"/>
  <c r="K21" i="5"/>
  <c r="J21" i="5"/>
  <c r="I21" i="5"/>
  <c r="AW20" i="5"/>
  <c r="AH20" i="5"/>
  <c r="AF20" i="5"/>
  <c r="AE20" i="5"/>
  <c r="AD20" i="5"/>
  <c r="AC20" i="5"/>
  <c r="N20" i="5"/>
  <c r="L20" i="5"/>
  <c r="K20" i="5"/>
  <c r="J20" i="5"/>
  <c r="I20" i="5"/>
  <c r="AW19" i="5"/>
  <c r="AH19" i="5"/>
  <c r="AF19" i="5"/>
  <c r="AE19" i="5"/>
  <c r="AD19" i="5"/>
  <c r="AC19" i="5"/>
  <c r="N19" i="5"/>
  <c r="L19" i="5"/>
  <c r="K19" i="5"/>
  <c r="J19" i="5"/>
  <c r="I19" i="5"/>
  <c r="AW18" i="5"/>
  <c r="AH18" i="5"/>
  <c r="AF18" i="5"/>
  <c r="AE18" i="5"/>
  <c r="AD18" i="5"/>
  <c r="AC18" i="5"/>
  <c r="N18" i="5"/>
  <c r="L18" i="5"/>
  <c r="K18" i="5"/>
  <c r="J18" i="5"/>
  <c r="I18" i="5"/>
  <c r="AX17" i="5" a="1"/>
  <c r="AX17" i="5" s="1"/>
  <c r="AW17" i="5"/>
  <c r="AH17" i="5"/>
  <c r="AF17" i="5"/>
  <c r="AE17" i="5"/>
  <c r="AD17" i="5"/>
  <c r="AC17" i="5"/>
  <c r="N17" i="5"/>
  <c r="L17" i="5"/>
  <c r="K17" i="5"/>
  <c r="J17" i="5"/>
  <c r="I17" i="5"/>
  <c r="AW16" i="5"/>
  <c r="AH16" i="5"/>
  <c r="AF16" i="5"/>
  <c r="AE16" i="5"/>
  <c r="AD16" i="5"/>
  <c r="AC16" i="5"/>
  <c r="N16" i="5"/>
  <c r="L16" i="5"/>
  <c r="K16" i="5"/>
  <c r="J16" i="5"/>
  <c r="I16" i="5"/>
  <c r="AW15" i="5"/>
  <c r="AH15" i="5"/>
  <c r="AF15" i="5"/>
  <c r="AE15" i="5"/>
  <c r="AD15" i="5"/>
  <c r="AC15" i="5"/>
  <c r="N15" i="5"/>
  <c r="L15" i="5"/>
  <c r="K15" i="5"/>
  <c r="J15" i="5"/>
  <c r="I15" i="5"/>
  <c r="AW14" i="5"/>
  <c r="AH14" i="5"/>
  <c r="AF14" i="5"/>
  <c r="AE14" i="5"/>
  <c r="AD14" i="5"/>
  <c r="AC14" i="5"/>
  <c r="N14" i="5"/>
  <c r="L14" i="5"/>
  <c r="K14" i="5"/>
  <c r="J14" i="5"/>
  <c r="I14" i="5"/>
  <c r="AW13" i="5"/>
  <c r="AH13" i="5"/>
  <c r="AF13" i="5"/>
  <c r="AE13" i="5"/>
  <c r="AD13" i="5"/>
  <c r="AC13" i="5"/>
  <c r="N13" i="5"/>
  <c r="L13" i="5"/>
  <c r="K13" i="5"/>
  <c r="J13" i="5"/>
  <c r="I13" i="5"/>
  <c r="AW12" i="5"/>
  <c r="AH12" i="5"/>
  <c r="AF12" i="5"/>
  <c r="AE12" i="5"/>
  <c r="AD12" i="5"/>
  <c r="AC12" i="5"/>
  <c r="N12" i="5"/>
  <c r="L12" i="5"/>
  <c r="K12" i="5"/>
  <c r="J12" i="5"/>
  <c r="I12" i="5"/>
  <c r="AX11" i="5" a="1"/>
  <c r="AX11" i="5" s="1"/>
  <c r="AW11" i="5"/>
  <c r="AH11" i="5"/>
  <c r="AF11" i="5"/>
  <c r="AE11" i="5"/>
  <c r="AD11" i="5"/>
  <c r="AC11" i="5"/>
  <c r="N11" i="5"/>
  <c r="L11" i="5"/>
  <c r="K11" i="5"/>
  <c r="J11" i="5"/>
  <c r="I11" i="5"/>
  <c r="AW10" i="5"/>
  <c r="AH10" i="5"/>
  <c r="AF10" i="5"/>
  <c r="AE10" i="5"/>
  <c r="AD10" i="5"/>
  <c r="AC10" i="5"/>
  <c r="N10" i="5"/>
  <c r="L10" i="5"/>
  <c r="K10" i="5"/>
  <c r="J10" i="5"/>
  <c r="I10" i="5"/>
  <c r="AW9" i="5"/>
  <c r="AH9" i="5"/>
  <c r="AF9" i="5"/>
  <c r="AE9" i="5"/>
  <c r="AD9" i="5"/>
  <c r="AC9" i="5"/>
  <c r="N9" i="5"/>
  <c r="L9" i="5"/>
  <c r="K9" i="5"/>
  <c r="J9" i="5"/>
  <c r="I9" i="5"/>
  <c r="AW8" i="5"/>
  <c r="AH8" i="5"/>
  <c r="AF8" i="5"/>
  <c r="AE8" i="5"/>
  <c r="AD8" i="5"/>
  <c r="AC8" i="5"/>
  <c r="N8" i="5"/>
  <c r="L8" i="5"/>
  <c r="K8" i="5"/>
  <c r="J8" i="5"/>
  <c r="I8" i="5"/>
  <c r="AW7" i="5"/>
  <c r="AH7" i="5"/>
  <c r="AF7" i="5"/>
  <c r="AE7" i="5"/>
  <c r="AD7" i="5"/>
  <c r="AC7" i="5"/>
  <c r="N7" i="5"/>
  <c r="L7" i="5"/>
  <c r="K7" i="5"/>
  <c r="J7" i="5"/>
  <c r="I7" i="5"/>
  <c r="AW6" i="5"/>
  <c r="AH6" i="5"/>
  <c r="AF6" i="5"/>
  <c r="AE6" i="5"/>
  <c r="AD6" i="5"/>
  <c r="AC6" i="5"/>
  <c r="N6" i="5"/>
  <c r="L6" i="5"/>
  <c r="K6" i="5"/>
  <c r="J6" i="5"/>
  <c r="I6" i="5"/>
  <c r="AX5" i="5" a="1"/>
  <c r="AX5" i="5" s="1"/>
  <c r="AW5" i="5"/>
  <c r="AH5" i="5"/>
  <c r="AF5" i="5"/>
  <c r="AE5" i="5"/>
  <c r="AD5" i="5"/>
  <c r="AC5" i="5"/>
  <c r="N5" i="5"/>
  <c r="L5" i="5"/>
  <c r="K5" i="5"/>
  <c r="J5" i="5"/>
  <c r="I5" i="5"/>
  <c r="AQ370" i="3"/>
  <c r="C18" i="1" s="1"/>
  <c r="AS358" i="3"/>
  <c r="AF358" i="3"/>
  <c r="AE358" i="3"/>
  <c r="AC358" i="3"/>
  <c r="AB358" i="3"/>
  <c r="AA358" i="3"/>
  <c r="N358" i="3"/>
  <c r="M358" i="3"/>
  <c r="K358" i="3"/>
  <c r="J358" i="3"/>
  <c r="I358" i="3"/>
  <c r="AS357" i="3"/>
  <c r="AF357" i="3"/>
  <c r="AE357" i="3"/>
  <c r="AC357" i="3"/>
  <c r="AB357" i="3"/>
  <c r="AA357" i="3"/>
  <c r="N357" i="3"/>
  <c r="M357" i="3"/>
  <c r="K357" i="3"/>
  <c r="J357" i="3"/>
  <c r="I357" i="3"/>
  <c r="AS356" i="3"/>
  <c r="AF356" i="3"/>
  <c r="AE356" i="3"/>
  <c r="AC356" i="3"/>
  <c r="AB356" i="3"/>
  <c r="AA356" i="3"/>
  <c r="N356" i="3"/>
  <c r="M356" i="3"/>
  <c r="K356" i="3"/>
  <c r="J356" i="3"/>
  <c r="I356" i="3"/>
  <c r="AS355" i="3"/>
  <c r="AF355" i="3"/>
  <c r="AE355" i="3"/>
  <c r="AC355" i="3"/>
  <c r="AB355" i="3"/>
  <c r="AA355" i="3"/>
  <c r="N355" i="3"/>
  <c r="M355" i="3"/>
  <c r="K355" i="3"/>
  <c r="J355" i="3"/>
  <c r="I355" i="3"/>
  <c r="AS354" i="3"/>
  <c r="AF354" i="3"/>
  <c r="AE354" i="3"/>
  <c r="AC354" i="3"/>
  <c r="AB354" i="3"/>
  <c r="AA354" i="3"/>
  <c r="N354" i="3"/>
  <c r="M354" i="3"/>
  <c r="K354" i="3"/>
  <c r="J354" i="3"/>
  <c r="I354" i="3"/>
  <c r="AT353" i="3" a="1"/>
  <c r="AT353" i="3" s="1"/>
  <c r="AS353" i="3"/>
  <c r="AF353" i="3"/>
  <c r="AE353" i="3"/>
  <c r="AC353" i="3"/>
  <c r="AB353" i="3"/>
  <c r="AA353" i="3"/>
  <c r="N353" i="3"/>
  <c r="M353" i="3"/>
  <c r="K353" i="3"/>
  <c r="J353" i="3"/>
  <c r="I353" i="3"/>
  <c r="AS352" i="3"/>
  <c r="AF352" i="3"/>
  <c r="AE352" i="3"/>
  <c r="AC352" i="3"/>
  <c r="AB352" i="3"/>
  <c r="AA352" i="3"/>
  <c r="N352" i="3"/>
  <c r="M352" i="3"/>
  <c r="K352" i="3"/>
  <c r="J352" i="3"/>
  <c r="I352" i="3"/>
  <c r="AS351" i="3"/>
  <c r="AF351" i="3"/>
  <c r="AE351" i="3"/>
  <c r="AC351" i="3"/>
  <c r="AB351" i="3"/>
  <c r="AA351" i="3"/>
  <c r="N351" i="3"/>
  <c r="M351" i="3"/>
  <c r="K351" i="3"/>
  <c r="J351" i="3"/>
  <c r="I351" i="3"/>
  <c r="AS350" i="3"/>
  <c r="AF350" i="3"/>
  <c r="AE350" i="3"/>
  <c r="AC350" i="3"/>
  <c r="AB350" i="3"/>
  <c r="AA350" i="3"/>
  <c r="N350" i="3"/>
  <c r="M350" i="3"/>
  <c r="K350" i="3"/>
  <c r="J350" i="3"/>
  <c r="I350" i="3"/>
  <c r="AS349" i="3"/>
  <c r="AF349" i="3"/>
  <c r="AE349" i="3"/>
  <c r="AC349" i="3"/>
  <c r="AB349" i="3"/>
  <c r="AA349" i="3"/>
  <c r="N349" i="3"/>
  <c r="M349" i="3"/>
  <c r="K349" i="3"/>
  <c r="J349" i="3"/>
  <c r="I349" i="3"/>
  <c r="AS348" i="3"/>
  <c r="AF348" i="3"/>
  <c r="AE348" i="3"/>
  <c r="AC348" i="3"/>
  <c r="AB348" i="3"/>
  <c r="AA348" i="3"/>
  <c r="N348" i="3"/>
  <c r="M348" i="3"/>
  <c r="K348" i="3"/>
  <c r="J348" i="3"/>
  <c r="I348" i="3"/>
  <c r="AT347" i="3" a="1"/>
  <c r="AT347" i="3" s="1"/>
  <c r="AS347" i="3"/>
  <c r="AF347" i="3"/>
  <c r="AE347" i="3"/>
  <c r="AC347" i="3"/>
  <c r="AB347" i="3"/>
  <c r="AA347" i="3"/>
  <c r="N347" i="3"/>
  <c r="M347" i="3"/>
  <c r="K347" i="3"/>
  <c r="J347" i="3"/>
  <c r="I347" i="3"/>
  <c r="AS346" i="3"/>
  <c r="AF346" i="3"/>
  <c r="AE346" i="3"/>
  <c r="AC346" i="3"/>
  <c r="AB346" i="3"/>
  <c r="AA346" i="3"/>
  <c r="N346" i="3"/>
  <c r="M346" i="3"/>
  <c r="K346" i="3"/>
  <c r="J346" i="3"/>
  <c r="I346" i="3"/>
  <c r="AS345" i="3"/>
  <c r="AF345" i="3"/>
  <c r="AE345" i="3"/>
  <c r="AC345" i="3"/>
  <c r="AB345" i="3"/>
  <c r="AA345" i="3"/>
  <c r="N345" i="3"/>
  <c r="M345" i="3"/>
  <c r="K345" i="3"/>
  <c r="J345" i="3"/>
  <c r="I345" i="3"/>
  <c r="AS344" i="3"/>
  <c r="AF344" i="3"/>
  <c r="AE344" i="3"/>
  <c r="AC344" i="3"/>
  <c r="AB344" i="3"/>
  <c r="AA344" i="3"/>
  <c r="N344" i="3"/>
  <c r="M344" i="3"/>
  <c r="K344" i="3"/>
  <c r="J344" i="3"/>
  <c r="I344" i="3"/>
  <c r="AS343" i="3"/>
  <c r="AF343" i="3"/>
  <c r="AE343" i="3"/>
  <c r="AC343" i="3"/>
  <c r="AB343" i="3"/>
  <c r="AA343" i="3"/>
  <c r="N343" i="3"/>
  <c r="M343" i="3"/>
  <c r="K343" i="3"/>
  <c r="J343" i="3"/>
  <c r="I343" i="3"/>
  <c r="AS342" i="3"/>
  <c r="AF342" i="3"/>
  <c r="AE342" i="3"/>
  <c r="AC342" i="3"/>
  <c r="AB342" i="3"/>
  <c r="AA342" i="3"/>
  <c r="N342" i="3"/>
  <c r="M342" i="3"/>
  <c r="K342" i="3"/>
  <c r="J342" i="3"/>
  <c r="I342" i="3"/>
  <c r="AT341" i="3" a="1"/>
  <c r="AT341" i="3" s="1"/>
  <c r="AS341" i="3"/>
  <c r="AF341" i="3"/>
  <c r="AE341" i="3"/>
  <c r="AC341" i="3"/>
  <c r="AB341" i="3"/>
  <c r="AA341" i="3"/>
  <c r="N341" i="3"/>
  <c r="M341" i="3"/>
  <c r="K341" i="3"/>
  <c r="J341" i="3"/>
  <c r="I341" i="3"/>
  <c r="AS322" i="3"/>
  <c r="AF322" i="3"/>
  <c r="AE322" i="3"/>
  <c r="AC322" i="3"/>
  <c r="AB322" i="3"/>
  <c r="AA322" i="3"/>
  <c r="N322" i="3"/>
  <c r="M322" i="3"/>
  <c r="K322" i="3"/>
  <c r="J322" i="3"/>
  <c r="I322" i="3"/>
  <c r="AS321" i="3"/>
  <c r="AF321" i="3"/>
  <c r="AE321" i="3"/>
  <c r="AC321" i="3"/>
  <c r="AB321" i="3"/>
  <c r="AA321" i="3"/>
  <c r="N321" i="3"/>
  <c r="M321" i="3"/>
  <c r="K321" i="3"/>
  <c r="J321" i="3"/>
  <c r="I321" i="3"/>
  <c r="AS320" i="3"/>
  <c r="AF320" i="3"/>
  <c r="AE320" i="3"/>
  <c r="AC320" i="3"/>
  <c r="AB320" i="3"/>
  <c r="AA320" i="3"/>
  <c r="N320" i="3"/>
  <c r="M320" i="3"/>
  <c r="K320" i="3"/>
  <c r="J320" i="3"/>
  <c r="I320" i="3"/>
  <c r="AS319" i="3"/>
  <c r="AF319" i="3"/>
  <c r="AE319" i="3"/>
  <c r="AC319" i="3"/>
  <c r="AB319" i="3"/>
  <c r="AA319" i="3"/>
  <c r="N319" i="3"/>
  <c r="M319" i="3"/>
  <c r="K319" i="3"/>
  <c r="J319" i="3"/>
  <c r="I319" i="3"/>
  <c r="AS318" i="3"/>
  <c r="AF318" i="3"/>
  <c r="AE318" i="3"/>
  <c r="AC318" i="3"/>
  <c r="AB318" i="3"/>
  <c r="AA318" i="3"/>
  <c r="N318" i="3"/>
  <c r="M318" i="3"/>
  <c r="K318" i="3"/>
  <c r="J318" i="3"/>
  <c r="I318" i="3"/>
  <c r="AT317" i="3" a="1"/>
  <c r="AT317" i="3" s="1"/>
  <c r="AS317" i="3"/>
  <c r="AF317" i="3"/>
  <c r="AE317" i="3"/>
  <c r="AC317" i="3"/>
  <c r="AB317" i="3"/>
  <c r="AA317" i="3"/>
  <c r="N317" i="3"/>
  <c r="M317" i="3"/>
  <c r="K317" i="3"/>
  <c r="J317" i="3"/>
  <c r="I317" i="3"/>
  <c r="AS316" i="3"/>
  <c r="AF316" i="3"/>
  <c r="AE316" i="3"/>
  <c r="AC316" i="3"/>
  <c r="AB316" i="3"/>
  <c r="AA316" i="3"/>
  <c r="N316" i="3"/>
  <c r="M316" i="3"/>
  <c r="K316" i="3"/>
  <c r="J316" i="3"/>
  <c r="I316" i="3"/>
  <c r="AS315" i="3"/>
  <c r="AF315" i="3"/>
  <c r="AE315" i="3"/>
  <c r="AC315" i="3"/>
  <c r="AB315" i="3"/>
  <c r="AA315" i="3"/>
  <c r="N315" i="3"/>
  <c r="M315" i="3"/>
  <c r="K315" i="3"/>
  <c r="J315" i="3"/>
  <c r="I315" i="3"/>
  <c r="AS314" i="3"/>
  <c r="AF314" i="3"/>
  <c r="AE314" i="3"/>
  <c r="AC314" i="3"/>
  <c r="AB314" i="3"/>
  <c r="AA314" i="3"/>
  <c r="N314" i="3"/>
  <c r="M314" i="3"/>
  <c r="K314" i="3"/>
  <c r="J314" i="3"/>
  <c r="I314" i="3"/>
  <c r="AS313" i="3"/>
  <c r="AF313" i="3"/>
  <c r="AE313" i="3"/>
  <c r="AC313" i="3"/>
  <c r="AB313" i="3"/>
  <c r="AA313" i="3"/>
  <c r="N313" i="3"/>
  <c r="M313" i="3"/>
  <c r="K313" i="3"/>
  <c r="J313" i="3"/>
  <c r="I313" i="3"/>
  <c r="AS312" i="3"/>
  <c r="AF312" i="3"/>
  <c r="AE312" i="3"/>
  <c r="AC312" i="3"/>
  <c r="AB312" i="3"/>
  <c r="AA312" i="3"/>
  <c r="N312" i="3"/>
  <c r="M312" i="3"/>
  <c r="K312" i="3"/>
  <c r="J312" i="3"/>
  <c r="I312" i="3"/>
  <c r="AT311" i="3" a="1"/>
  <c r="AT311" i="3" s="1"/>
  <c r="AS311" i="3"/>
  <c r="AF311" i="3"/>
  <c r="AE311" i="3"/>
  <c r="AC311" i="3"/>
  <c r="AB311" i="3"/>
  <c r="AA311" i="3"/>
  <c r="N311" i="3"/>
  <c r="M311" i="3"/>
  <c r="K311" i="3"/>
  <c r="J311" i="3"/>
  <c r="I311" i="3"/>
  <c r="AS310" i="3"/>
  <c r="AF310" i="3"/>
  <c r="AE310" i="3"/>
  <c r="AC310" i="3"/>
  <c r="AB310" i="3"/>
  <c r="AA310" i="3"/>
  <c r="N310" i="3"/>
  <c r="M310" i="3"/>
  <c r="K310" i="3"/>
  <c r="J310" i="3"/>
  <c r="I310" i="3"/>
  <c r="AS309" i="3"/>
  <c r="AF309" i="3"/>
  <c r="AE309" i="3"/>
  <c r="AC309" i="3"/>
  <c r="AB309" i="3"/>
  <c r="AA309" i="3"/>
  <c r="N309" i="3"/>
  <c r="M309" i="3"/>
  <c r="K309" i="3"/>
  <c r="J309" i="3"/>
  <c r="I309" i="3"/>
  <c r="AS308" i="3"/>
  <c r="AF308" i="3"/>
  <c r="AE308" i="3"/>
  <c r="AC308" i="3"/>
  <c r="AB308" i="3"/>
  <c r="AA308" i="3"/>
  <c r="N308" i="3"/>
  <c r="M308" i="3"/>
  <c r="K308" i="3"/>
  <c r="J308" i="3"/>
  <c r="I308" i="3"/>
  <c r="AS307" i="3"/>
  <c r="AF307" i="3"/>
  <c r="AE307" i="3"/>
  <c r="AC307" i="3"/>
  <c r="AB307" i="3"/>
  <c r="AA307" i="3"/>
  <c r="N307" i="3"/>
  <c r="M307" i="3"/>
  <c r="K307" i="3"/>
  <c r="J307" i="3"/>
  <c r="I307" i="3"/>
  <c r="AS306" i="3"/>
  <c r="AF306" i="3"/>
  <c r="AE306" i="3"/>
  <c r="AC306" i="3"/>
  <c r="AB306" i="3"/>
  <c r="AA306" i="3"/>
  <c r="N306" i="3"/>
  <c r="M306" i="3"/>
  <c r="K306" i="3"/>
  <c r="J306" i="3"/>
  <c r="I306" i="3"/>
  <c r="AT305" i="3" a="1"/>
  <c r="AT305" i="3" s="1"/>
  <c r="AS305" i="3"/>
  <c r="AF305" i="3"/>
  <c r="AE305" i="3"/>
  <c r="AC305" i="3"/>
  <c r="AB305" i="3"/>
  <c r="AA305" i="3"/>
  <c r="N305" i="3"/>
  <c r="M305" i="3"/>
  <c r="K305" i="3"/>
  <c r="J305" i="3"/>
  <c r="I305" i="3"/>
  <c r="AS304" i="3"/>
  <c r="AF304" i="3"/>
  <c r="AE304" i="3"/>
  <c r="AC304" i="3"/>
  <c r="AB304" i="3"/>
  <c r="AA304" i="3"/>
  <c r="N304" i="3"/>
  <c r="M304" i="3"/>
  <c r="K304" i="3"/>
  <c r="J304" i="3"/>
  <c r="I304" i="3"/>
  <c r="AS303" i="3"/>
  <c r="AF303" i="3"/>
  <c r="AE303" i="3"/>
  <c r="AC303" i="3"/>
  <c r="AB303" i="3"/>
  <c r="AA303" i="3"/>
  <c r="N303" i="3"/>
  <c r="M303" i="3"/>
  <c r="K303" i="3"/>
  <c r="J303" i="3"/>
  <c r="I303" i="3"/>
  <c r="AS302" i="3"/>
  <c r="AF302" i="3"/>
  <c r="AE302" i="3"/>
  <c r="AC302" i="3"/>
  <c r="AB302" i="3"/>
  <c r="AA302" i="3"/>
  <c r="N302" i="3"/>
  <c r="M302" i="3"/>
  <c r="K302" i="3"/>
  <c r="J302" i="3"/>
  <c r="I302" i="3"/>
  <c r="AS301" i="3"/>
  <c r="AF301" i="3"/>
  <c r="AE301" i="3"/>
  <c r="AC301" i="3"/>
  <c r="AB301" i="3"/>
  <c r="AA301" i="3"/>
  <c r="N301" i="3"/>
  <c r="M301" i="3"/>
  <c r="K301" i="3"/>
  <c r="J301" i="3"/>
  <c r="I301" i="3"/>
  <c r="AS300" i="3"/>
  <c r="AF300" i="3"/>
  <c r="AE300" i="3"/>
  <c r="AC300" i="3"/>
  <c r="AB300" i="3"/>
  <c r="AA300" i="3"/>
  <c r="N300" i="3"/>
  <c r="M300" i="3"/>
  <c r="K300" i="3"/>
  <c r="J300" i="3"/>
  <c r="I300" i="3"/>
  <c r="AT299" i="3" a="1"/>
  <c r="AT299" i="3" s="1"/>
  <c r="AS299" i="3"/>
  <c r="AF299" i="3"/>
  <c r="AE299" i="3"/>
  <c r="AC299" i="3"/>
  <c r="AB299" i="3"/>
  <c r="AA299" i="3"/>
  <c r="N299" i="3"/>
  <c r="M299" i="3"/>
  <c r="K299" i="3"/>
  <c r="J299" i="3"/>
  <c r="I299" i="3"/>
  <c r="AS298" i="3"/>
  <c r="AF298" i="3"/>
  <c r="AE298" i="3"/>
  <c r="AD298" i="3"/>
  <c r="AC298" i="3"/>
  <c r="AB298" i="3"/>
  <c r="AA298" i="3"/>
  <c r="N298" i="3"/>
  <c r="M298" i="3"/>
  <c r="L298" i="3"/>
  <c r="K298" i="3"/>
  <c r="J298" i="3"/>
  <c r="I298" i="3"/>
  <c r="AS297" i="3"/>
  <c r="AF297" i="3"/>
  <c r="AE297" i="3"/>
  <c r="AD297" i="3"/>
  <c r="AC297" i="3"/>
  <c r="AB297" i="3"/>
  <c r="AA297" i="3"/>
  <c r="N297" i="3"/>
  <c r="M297" i="3"/>
  <c r="L297" i="3"/>
  <c r="K297" i="3"/>
  <c r="J297" i="3"/>
  <c r="I297" i="3"/>
  <c r="AS296" i="3"/>
  <c r="AF296" i="3"/>
  <c r="AE296" i="3"/>
  <c r="AD296" i="3"/>
  <c r="AC296" i="3"/>
  <c r="AB296" i="3"/>
  <c r="AA296" i="3"/>
  <c r="N296" i="3"/>
  <c r="M296" i="3"/>
  <c r="L296" i="3"/>
  <c r="K296" i="3"/>
  <c r="J296" i="3"/>
  <c r="I296" i="3"/>
  <c r="AS295" i="3"/>
  <c r="AF295" i="3"/>
  <c r="AE295" i="3"/>
  <c r="AD295" i="3"/>
  <c r="AC295" i="3"/>
  <c r="AB295" i="3"/>
  <c r="AA295" i="3"/>
  <c r="N295" i="3"/>
  <c r="M295" i="3"/>
  <c r="L295" i="3"/>
  <c r="K295" i="3"/>
  <c r="J295" i="3"/>
  <c r="I295" i="3"/>
  <c r="AS294" i="3"/>
  <c r="AF294" i="3"/>
  <c r="AE294" i="3"/>
  <c r="AD294" i="3"/>
  <c r="AC294" i="3"/>
  <c r="AB294" i="3"/>
  <c r="AA294" i="3"/>
  <c r="N294" i="3"/>
  <c r="M294" i="3"/>
  <c r="L294" i="3"/>
  <c r="K294" i="3"/>
  <c r="J294" i="3"/>
  <c r="I294" i="3"/>
  <c r="AT293" i="3" a="1"/>
  <c r="AT293" i="3"/>
  <c r="AS293" i="3"/>
  <c r="AF293" i="3"/>
  <c r="AE293" i="3"/>
  <c r="AD293" i="3"/>
  <c r="AC293" i="3"/>
  <c r="AB293" i="3"/>
  <c r="AA293" i="3"/>
  <c r="N293" i="3"/>
  <c r="M293" i="3"/>
  <c r="L293" i="3"/>
  <c r="K293" i="3"/>
  <c r="J293" i="3"/>
  <c r="I293" i="3"/>
  <c r="AS292" i="3"/>
  <c r="AF292" i="3"/>
  <c r="AE292" i="3"/>
  <c r="AD292" i="3"/>
  <c r="AC292" i="3"/>
  <c r="AB292" i="3"/>
  <c r="AA292" i="3"/>
  <c r="N292" i="3"/>
  <c r="M292" i="3"/>
  <c r="L292" i="3"/>
  <c r="K292" i="3"/>
  <c r="J292" i="3"/>
  <c r="I292" i="3"/>
  <c r="AS291" i="3"/>
  <c r="AF291" i="3"/>
  <c r="AE291" i="3"/>
  <c r="AD291" i="3"/>
  <c r="AC291" i="3"/>
  <c r="AB291" i="3"/>
  <c r="AA291" i="3"/>
  <c r="N291" i="3"/>
  <c r="M291" i="3"/>
  <c r="L291" i="3"/>
  <c r="K291" i="3"/>
  <c r="J291" i="3"/>
  <c r="I291" i="3"/>
  <c r="AS290" i="3"/>
  <c r="AF290" i="3"/>
  <c r="AE290" i="3"/>
  <c r="AD290" i="3"/>
  <c r="AC290" i="3"/>
  <c r="AB290" i="3"/>
  <c r="AA290" i="3"/>
  <c r="N290" i="3"/>
  <c r="M290" i="3"/>
  <c r="L290" i="3"/>
  <c r="K290" i="3"/>
  <c r="J290" i="3"/>
  <c r="I290" i="3"/>
  <c r="AS289" i="3"/>
  <c r="AF289" i="3"/>
  <c r="AE289" i="3"/>
  <c r="AD289" i="3"/>
  <c r="AC289" i="3"/>
  <c r="AB289" i="3"/>
  <c r="AA289" i="3"/>
  <c r="N289" i="3"/>
  <c r="M289" i="3"/>
  <c r="L289" i="3"/>
  <c r="K289" i="3"/>
  <c r="J289" i="3"/>
  <c r="I289" i="3"/>
  <c r="AS288" i="3"/>
  <c r="AF288" i="3"/>
  <c r="AE288" i="3"/>
  <c r="AD288" i="3"/>
  <c r="AC288" i="3"/>
  <c r="AB288" i="3"/>
  <c r="AA288" i="3"/>
  <c r="N288" i="3"/>
  <c r="M288" i="3"/>
  <c r="L288" i="3"/>
  <c r="K288" i="3"/>
  <c r="J288" i="3"/>
  <c r="I288" i="3"/>
  <c r="AT287" i="3" a="1"/>
  <c r="AT287" i="3"/>
  <c r="AS287" i="3"/>
  <c r="AF287" i="3"/>
  <c r="AE287" i="3"/>
  <c r="AD287" i="3"/>
  <c r="AC287" i="3"/>
  <c r="AB287" i="3"/>
  <c r="AA287" i="3"/>
  <c r="N287" i="3"/>
  <c r="M287" i="3"/>
  <c r="L287" i="3"/>
  <c r="K287" i="3"/>
  <c r="J287" i="3"/>
  <c r="I287" i="3"/>
  <c r="AS286" i="3"/>
  <c r="AF286" i="3"/>
  <c r="AE286" i="3"/>
  <c r="AD286" i="3"/>
  <c r="AC286" i="3"/>
  <c r="AB286" i="3"/>
  <c r="AA286" i="3"/>
  <c r="N286" i="3"/>
  <c r="M286" i="3"/>
  <c r="L286" i="3"/>
  <c r="K286" i="3"/>
  <c r="J286" i="3"/>
  <c r="I286" i="3"/>
  <c r="AS285" i="3"/>
  <c r="AF285" i="3"/>
  <c r="AE285" i="3"/>
  <c r="AD285" i="3"/>
  <c r="AC285" i="3"/>
  <c r="AB285" i="3"/>
  <c r="AA285" i="3"/>
  <c r="N285" i="3"/>
  <c r="M285" i="3"/>
  <c r="L285" i="3"/>
  <c r="K285" i="3"/>
  <c r="J285" i="3"/>
  <c r="I285" i="3"/>
  <c r="AS284" i="3"/>
  <c r="AF284" i="3"/>
  <c r="AE284" i="3"/>
  <c r="AD284" i="3"/>
  <c r="AC284" i="3"/>
  <c r="AB284" i="3"/>
  <c r="AA284" i="3"/>
  <c r="N284" i="3"/>
  <c r="M284" i="3"/>
  <c r="L284" i="3"/>
  <c r="K284" i="3"/>
  <c r="J284" i="3"/>
  <c r="I284" i="3"/>
  <c r="AS283" i="3"/>
  <c r="AF283" i="3"/>
  <c r="AE283" i="3"/>
  <c r="AD283" i="3"/>
  <c r="AC283" i="3"/>
  <c r="AB283" i="3"/>
  <c r="AA283" i="3"/>
  <c r="N283" i="3"/>
  <c r="M283" i="3"/>
  <c r="L283" i="3"/>
  <c r="K283" i="3"/>
  <c r="J283" i="3"/>
  <c r="I283" i="3"/>
  <c r="AS282" i="3"/>
  <c r="AF282" i="3"/>
  <c r="AE282" i="3"/>
  <c r="AD282" i="3"/>
  <c r="AC282" i="3"/>
  <c r="AB282" i="3"/>
  <c r="AA282" i="3"/>
  <c r="N282" i="3"/>
  <c r="M282" i="3"/>
  <c r="L282" i="3"/>
  <c r="K282" i="3"/>
  <c r="J282" i="3"/>
  <c r="I282" i="3"/>
  <c r="AT281" i="3" a="1"/>
  <c r="AT281" i="3"/>
  <c r="AT363" i="3" s="1"/>
  <c r="AS281" i="3"/>
  <c r="AF281" i="3"/>
  <c r="AE281" i="3"/>
  <c r="AD281" i="3"/>
  <c r="AC281" i="3"/>
  <c r="AB281" i="3"/>
  <c r="AA281" i="3"/>
  <c r="N281" i="3"/>
  <c r="M281" i="3"/>
  <c r="L281" i="3"/>
  <c r="K281" i="3"/>
  <c r="J281" i="3"/>
  <c r="I281" i="3"/>
  <c r="AS280" i="3"/>
  <c r="AF280" i="3"/>
  <c r="AD280" i="3"/>
  <c r="AC280" i="3"/>
  <c r="AB280" i="3"/>
  <c r="AA280" i="3"/>
  <c r="N280" i="3"/>
  <c r="L280" i="3"/>
  <c r="K280" i="3"/>
  <c r="J280" i="3"/>
  <c r="I280" i="3"/>
  <c r="AS279" i="3"/>
  <c r="AF279" i="3"/>
  <c r="AD279" i="3"/>
  <c r="AC279" i="3"/>
  <c r="AB279" i="3"/>
  <c r="AA279" i="3"/>
  <c r="N279" i="3"/>
  <c r="L279" i="3"/>
  <c r="K279" i="3"/>
  <c r="J279" i="3"/>
  <c r="I279" i="3"/>
  <c r="AS278" i="3"/>
  <c r="AF278" i="3"/>
  <c r="AD278" i="3"/>
  <c r="AC278" i="3"/>
  <c r="AB278" i="3"/>
  <c r="AA278" i="3"/>
  <c r="N278" i="3"/>
  <c r="L278" i="3"/>
  <c r="K278" i="3"/>
  <c r="J278" i="3"/>
  <c r="I278" i="3"/>
  <c r="AS277" i="3"/>
  <c r="AF277" i="3"/>
  <c r="AD277" i="3"/>
  <c r="AC277" i="3"/>
  <c r="AB277" i="3"/>
  <c r="AA277" i="3"/>
  <c r="N277" i="3"/>
  <c r="L277" i="3"/>
  <c r="K277" i="3"/>
  <c r="J277" i="3"/>
  <c r="I277" i="3"/>
  <c r="AS276" i="3"/>
  <c r="AF276" i="3"/>
  <c r="AD276" i="3"/>
  <c r="AC276" i="3"/>
  <c r="AB276" i="3"/>
  <c r="AA276" i="3"/>
  <c r="N276" i="3"/>
  <c r="L276" i="3"/>
  <c r="K276" i="3"/>
  <c r="J276" i="3"/>
  <c r="I276" i="3"/>
  <c r="AT275" i="3" a="1"/>
  <c r="AT275" i="3" s="1"/>
  <c r="AS275" i="3"/>
  <c r="AF275" i="3"/>
  <c r="AD275" i="3"/>
  <c r="AC275" i="3"/>
  <c r="AB275" i="3"/>
  <c r="AA275" i="3"/>
  <c r="N275" i="3"/>
  <c r="L275" i="3"/>
  <c r="K275" i="3"/>
  <c r="J275" i="3"/>
  <c r="I275" i="3"/>
  <c r="AS274" i="3"/>
  <c r="AF274" i="3"/>
  <c r="AD274" i="3"/>
  <c r="AC274" i="3"/>
  <c r="AB274" i="3"/>
  <c r="AA274" i="3"/>
  <c r="N274" i="3"/>
  <c r="L274" i="3"/>
  <c r="K274" i="3"/>
  <c r="J274" i="3"/>
  <c r="I274" i="3"/>
  <c r="AS273" i="3"/>
  <c r="AF273" i="3"/>
  <c r="AD273" i="3"/>
  <c r="AC273" i="3"/>
  <c r="AB273" i="3"/>
  <c r="AA273" i="3"/>
  <c r="N273" i="3"/>
  <c r="L273" i="3"/>
  <c r="K273" i="3"/>
  <c r="J273" i="3"/>
  <c r="I273" i="3"/>
  <c r="AS272" i="3"/>
  <c r="AF272" i="3"/>
  <c r="AD272" i="3"/>
  <c r="AC272" i="3"/>
  <c r="AB272" i="3"/>
  <c r="AA272" i="3"/>
  <c r="N272" i="3"/>
  <c r="L272" i="3"/>
  <c r="K272" i="3"/>
  <c r="J272" i="3"/>
  <c r="I272" i="3"/>
  <c r="AS271" i="3"/>
  <c r="AF271" i="3"/>
  <c r="AD271" i="3"/>
  <c r="AC271" i="3"/>
  <c r="AB271" i="3"/>
  <c r="AA271" i="3"/>
  <c r="N271" i="3"/>
  <c r="L271" i="3"/>
  <c r="K271" i="3"/>
  <c r="J271" i="3"/>
  <c r="I271" i="3"/>
  <c r="AS270" i="3"/>
  <c r="AF270" i="3"/>
  <c r="AD270" i="3"/>
  <c r="AC270" i="3"/>
  <c r="AB270" i="3"/>
  <c r="AA270" i="3"/>
  <c r="N270" i="3"/>
  <c r="L270" i="3"/>
  <c r="K270" i="3"/>
  <c r="J270" i="3"/>
  <c r="I270" i="3"/>
  <c r="AT269" i="3" a="1"/>
  <c r="AT269" i="3" s="1"/>
  <c r="AS269" i="3"/>
  <c r="AF269" i="3"/>
  <c r="AD269" i="3"/>
  <c r="AC269" i="3"/>
  <c r="AB269" i="3"/>
  <c r="AA269" i="3"/>
  <c r="N269" i="3"/>
  <c r="L269" i="3"/>
  <c r="K269" i="3"/>
  <c r="J269" i="3"/>
  <c r="I269" i="3"/>
  <c r="AS268" i="3"/>
  <c r="AF268" i="3"/>
  <c r="AD268" i="3"/>
  <c r="AC268" i="3"/>
  <c r="AB268" i="3"/>
  <c r="AA268" i="3"/>
  <c r="N268" i="3"/>
  <c r="L268" i="3"/>
  <c r="K268" i="3"/>
  <c r="J268" i="3"/>
  <c r="I268" i="3"/>
  <c r="AS267" i="3"/>
  <c r="AF267" i="3"/>
  <c r="AD267" i="3"/>
  <c r="AC267" i="3"/>
  <c r="AB267" i="3"/>
  <c r="AA267" i="3"/>
  <c r="N267" i="3"/>
  <c r="L267" i="3"/>
  <c r="K267" i="3"/>
  <c r="J267" i="3"/>
  <c r="I267" i="3"/>
  <c r="AS266" i="3"/>
  <c r="AF266" i="3"/>
  <c r="AD266" i="3"/>
  <c r="AC266" i="3"/>
  <c r="AB266" i="3"/>
  <c r="AA266" i="3"/>
  <c r="N266" i="3"/>
  <c r="L266" i="3"/>
  <c r="K266" i="3"/>
  <c r="J266" i="3"/>
  <c r="I266" i="3"/>
  <c r="AS265" i="3"/>
  <c r="AF265" i="3"/>
  <c r="AD265" i="3"/>
  <c r="AC265" i="3"/>
  <c r="AB265" i="3"/>
  <c r="AA265" i="3"/>
  <c r="N265" i="3"/>
  <c r="L265" i="3"/>
  <c r="K265" i="3"/>
  <c r="J265" i="3"/>
  <c r="I265" i="3"/>
  <c r="AS264" i="3"/>
  <c r="AF264" i="3"/>
  <c r="AD264" i="3"/>
  <c r="AC264" i="3"/>
  <c r="AB264" i="3"/>
  <c r="AA264" i="3"/>
  <c r="N264" i="3"/>
  <c r="L264" i="3"/>
  <c r="K264" i="3"/>
  <c r="J264" i="3"/>
  <c r="I264" i="3"/>
  <c r="AT263" i="3" a="1"/>
  <c r="AT263" i="3" s="1"/>
  <c r="AS263" i="3"/>
  <c r="AF263" i="3"/>
  <c r="AD263" i="3"/>
  <c r="AC263" i="3"/>
  <c r="AB263" i="3"/>
  <c r="AA263" i="3"/>
  <c r="N263" i="3"/>
  <c r="L263" i="3"/>
  <c r="K263" i="3"/>
  <c r="J263" i="3"/>
  <c r="I263" i="3"/>
  <c r="AS262" i="3"/>
  <c r="AF262" i="3"/>
  <c r="AD262" i="3"/>
  <c r="AC262" i="3"/>
  <c r="AB262" i="3"/>
  <c r="AA262" i="3"/>
  <c r="N262" i="3"/>
  <c r="L262" i="3"/>
  <c r="K262" i="3"/>
  <c r="J262" i="3"/>
  <c r="I262" i="3"/>
  <c r="AS261" i="3"/>
  <c r="AF261" i="3"/>
  <c r="AD261" i="3"/>
  <c r="AC261" i="3"/>
  <c r="AB261" i="3"/>
  <c r="AA261" i="3"/>
  <c r="N261" i="3"/>
  <c r="L261" i="3"/>
  <c r="K261" i="3"/>
  <c r="J261" i="3"/>
  <c r="I261" i="3"/>
  <c r="AS260" i="3"/>
  <c r="AF260" i="3"/>
  <c r="AD260" i="3"/>
  <c r="AC260" i="3"/>
  <c r="AB260" i="3"/>
  <c r="AA260" i="3"/>
  <c r="N260" i="3"/>
  <c r="L260" i="3"/>
  <c r="K260" i="3"/>
  <c r="J260" i="3"/>
  <c r="I260" i="3"/>
  <c r="AS259" i="3"/>
  <c r="AF259" i="3"/>
  <c r="AD259" i="3"/>
  <c r="AC259" i="3"/>
  <c r="AB259" i="3"/>
  <c r="AA259" i="3"/>
  <c r="N259" i="3"/>
  <c r="L259" i="3"/>
  <c r="K259" i="3"/>
  <c r="J259" i="3"/>
  <c r="I259" i="3"/>
  <c r="AS258" i="3"/>
  <c r="AF258" i="3"/>
  <c r="AD258" i="3"/>
  <c r="AC258" i="3"/>
  <c r="AB258" i="3"/>
  <c r="AA258" i="3"/>
  <c r="N258" i="3"/>
  <c r="L258" i="3"/>
  <c r="K258" i="3"/>
  <c r="J258" i="3"/>
  <c r="I258" i="3"/>
  <c r="AT257" i="3" a="1"/>
  <c r="AT257" i="3" s="1"/>
  <c r="AS257" i="3"/>
  <c r="AF257" i="3"/>
  <c r="AD257" i="3"/>
  <c r="AC257" i="3"/>
  <c r="AB257" i="3"/>
  <c r="AA257" i="3"/>
  <c r="N257" i="3"/>
  <c r="L257" i="3"/>
  <c r="K257" i="3"/>
  <c r="J257" i="3"/>
  <c r="I257" i="3"/>
  <c r="AS256" i="3"/>
  <c r="AF256" i="3"/>
  <c r="AD256" i="3"/>
  <c r="AC256" i="3"/>
  <c r="AB256" i="3"/>
  <c r="AA256" i="3"/>
  <c r="N256" i="3"/>
  <c r="L256" i="3"/>
  <c r="K256" i="3"/>
  <c r="J256" i="3"/>
  <c r="I256" i="3"/>
  <c r="AS255" i="3"/>
  <c r="AF255" i="3"/>
  <c r="AD255" i="3"/>
  <c r="AC255" i="3"/>
  <c r="AB255" i="3"/>
  <c r="AA255" i="3"/>
  <c r="N255" i="3"/>
  <c r="L255" i="3"/>
  <c r="K255" i="3"/>
  <c r="J255" i="3"/>
  <c r="I255" i="3"/>
  <c r="AS254" i="3"/>
  <c r="AF254" i="3"/>
  <c r="AD254" i="3"/>
  <c r="AC254" i="3"/>
  <c r="AB254" i="3"/>
  <c r="AA254" i="3"/>
  <c r="N254" i="3"/>
  <c r="L254" i="3"/>
  <c r="K254" i="3"/>
  <c r="J254" i="3"/>
  <c r="I254" i="3"/>
  <c r="AS253" i="3"/>
  <c r="AF253" i="3"/>
  <c r="AD253" i="3"/>
  <c r="AC253" i="3"/>
  <c r="AB253" i="3"/>
  <c r="AA253" i="3"/>
  <c r="N253" i="3"/>
  <c r="L253" i="3"/>
  <c r="K253" i="3"/>
  <c r="J253" i="3"/>
  <c r="I253" i="3"/>
  <c r="AS252" i="3"/>
  <c r="AF252" i="3"/>
  <c r="AD252" i="3"/>
  <c r="AC252" i="3"/>
  <c r="AB252" i="3"/>
  <c r="AA252" i="3"/>
  <c r="N252" i="3"/>
  <c r="L252" i="3"/>
  <c r="K252" i="3"/>
  <c r="J252" i="3"/>
  <c r="I252" i="3"/>
  <c r="AT251" i="3" a="1"/>
  <c r="AT251" i="3" s="1"/>
  <c r="AS251" i="3"/>
  <c r="AF251" i="3"/>
  <c r="AD251" i="3"/>
  <c r="AC251" i="3"/>
  <c r="AB251" i="3"/>
  <c r="AA251" i="3"/>
  <c r="N251" i="3"/>
  <c r="L251" i="3"/>
  <c r="K251" i="3"/>
  <c r="J251" i="3"/>
  <c r="I251" i="3"/>
  <c r="AS250" i="3"/>
  <c r="AF250" i="3"/>
  <c r="AD250" i="3"/>
  <c r="AC250" i="3"/>
  <c r="AB250" i="3"/>
  <c r="AA250" i="3"/>
  <c r="N250" i="3"/>
  <c r="L250" i="3"/>
  <c r="K250" i="3"/>
  <c r="J250" i="3"/>
  <c r="I250" i="3"/>
  <c r="AS249" i="3"/>
  <c r="AF249" i="3"/>
  <c r="AD249" i="3"/>
  <c r="AC249" i="3"/>
  <c r="AB249" i="3"/>
  <c r="AA249" i="3"/>
  <c r="N249" i="3"/>
  <c r="L249" i="3"/>
  <c r="K249" i="3"/>
  <c r="J249" i="3"/>
  <c r="I249" i="3"/>
  <c r="AS248" i="3"/>
  <c r="AF248" i="3"/>
  <c r="AD248" i="3"/>
  <c r="AC248" i="3"/>
  <c r="AB248" i="3"/>
  <c r="AA248" i="3"/>
  <c r="N248" i="3"/>
  <c r="L248" i="3"/>
  <c r="K248" i="3"/>
  <c r="J248" i="3"/>
  <c r="I248" i="3"/>
  <c r="AS247" i="3"/>
  <c r="AF247" i="3"/>
  <c r="AD247" i="3"/>
  <c r="AC247" i="3"/>
  <c r="AB247" i="3"/>
  <c r="AA247" i="3"/>
  <c r="N247" i="3"/>
  <c r="L247" i="3"/>
  <c r="K247" i="3"/>
  <c r="J247" i="3"/>
  <c r="I247" i="3"/>
  <c r="AS246" i="3"/>
  <c r="AF246" i="3"/>
  <c r="AD246" i="3"/>
  <c r="AC246" i="3"/>
  <c r="AB246" i="3"/>
  <c r="AA246" i="3"/>
  <c r="N246" i="3"/>
  <c r="L246" i="3"/>
  <c r="K246" i="3"/>
  <c r="J246" i="3"/>
  <c r="I246" i="3"/>
  <c r="AT245" i="3" a="1"/>
  <c r="AT245" i="3" s="1"/>
  <c r="AS245" i="3"/>
  <c r="AF245" i="3"/>
  <c r="AD245" i="3"/>
  <c r="AC245" i="3"/>
  <c r="AB245" i="3"/>
  <c r="AA245" i="3"/>
  <c r="N245" i="3"/>
  <c r="L245" i="3"/>
  <c r="K245" i="3"/>
  <c r="J245" i="3"/>
  <c r="I245" i="3"/>
  <c r="AS244" i="3"/>
  <c r="AF244" i="3"/>
  <c r="AD244" i="3"/>
  <c r="AC244" i="3"/>
  <c r="AB244" i="3"/>
  <c r="AA244" i="3"/>
  <c r="N244" i="3"/>
  <c r="L244" i="3"/>
  <c r="K244" i="3"/>
  <c r="J244" i="3"/>
  <c r="I244" i="3"/>
  <c r="AS243" i="3"/>
  <c r="AF243" i="3"/>
  <c r="AD243" i="3"/>
  <c r="AC243" i="3"/>
  <c r="AB243" i="3"/>
  <c r="AA243" i="3"/>
  <c r="N243" i="3"/>
  <c r="L243" i="3"/>
  <c r="K243" i="3"/>
  <c r="J243" i="3"/>
  <c r="I243" i="3"/>
  <c r="AS242" i="3"/>
  <c r="AF242" i="3"/>
  <c r="AD242" i="3"/>
  <c r="AC242" i="3"/>
  <c r="AB242" i="3"/>
  <c r="AA242" i="3"/>
  <c r="N242" i="3"/>
  <c r="L242" i="3"/>
  <c r="K242" i="3"/>
  <c r="J242" i="3"/>
  <c r="I242" i="3"/>
  <c r="AS241" i="3"/>
  <c r="AF241" i="3"/>
  <c r="AD241" i="3"/>
  <c r="AC241" i="3"/>
  <c r="AB241" i="3"/>
  <c r="AA241" i="3"/>
  <c r="N241" i="3"/>
  <c r="L241" i="3"/>
  <c r="K241" i="3"/>
  <c r="J241" i="3"/>
  <c r="I241" i="3"/>
  <c r="AS240" i="3"/>
  <c r="AF240" i="3"/>
  <c r="AD240" i="3"/>
  <c r="AC240" i="3"/>
  <c r="AB240" i="3"/>
  <c r="AA240" i="3"/>
  <c r="N240" i="3"/>
  <c r="L240" i="3"/>
  <c r="K240" i="3"/>
  <c r="J240" i="3"/>
  <c r="I240" i="3"/>
  <c r="AT239" i="3" a="1"/>
  <c r="AT239" i="3" s="1"/>
  <c r="AS239" i="3"/>
  <c r="AF239" i="3"/>
  <c r="AD239" i="3"/>
  <c r="AC239" i="3"/>
  <c r="AB239" i="3"/>
  <c r="AA239" i="3"/>
  <c r="N239" i="3"/>
  <c r="L239" i="3"/>
  <c r="K239" i="3"/>
  <c r="J239" i="3"/>
  <c r="I239" i="3"/>
  <c r="AS238" i="3"/>
  <c r="AF238" i="3"/>
  <c r="AD238" i="3"/>
  <c r="AC238" i="3"/>
  <c r="AB238" i="3"/>
  <c r="AA238" i="3"/>
  <c r="N238" i="3"/>
  <c r="L238" i="3"/>
  <c r="K238" i="3"/>
  <c r="J238" i="3"/>
  <c r="I238" i="3"/>
  <c r="AS237" i="3"/>
  <c r="AF237" i="3"/>
  <c r="AD237" i="3"/>
  <c r="AC237" i="3"/>
  <c r="AB237" i="3"/>
  <c r="AA237" i="3"/>
  <c r="N237" i="3"/>
  <c r="L237" i="3"/>
  <c r="K237" i="3"/>
  <c r="J237" i="3"/>
  <c r="I237" i="3"/>
  <c r="AS236" i="3"/>
  <c r="AF236" i="3"/>
  <c r="AD236" i="3"/>
  <c r="AC236" i="3"/>
  <c r="AB236" i="3"/>
  <c r="AA236" i="3"/>
  <c r="N236" i="3"/>
  <c r="L236" i="3"/>
  <c r="K236" i="3"/>
  <c r="J236" i="3"/>
  <c r="I236" i="3"/>
  <c r="AS235" i="3"/>
  <c r="AF235" i="3"/>
  <c r="AD235" i="3"/>
  <c r="AC235" i="3"/>
  <c r="AB235" i="3"/>
  <c r="AA235" i="3"/>
  <c r="N235" i="3"/>
  <c r="L235" i="3"/>
  <c r="K235" i="3"/>
  <c r="J235" i="3"/>
  <c r="I235" i="3"/>
  <c r="AS234" i="3"/>
  <c r="AF234" i="3"/>
  <c r="AD234" i="3"/>
  <c r="AC234" i="3"/>
  <c r="AB234" i="3"/>
  <c r="AA234" i="3"/>
  <c r="N234" i="3"/>
  <c r="L234" i="3"/>
  <c r="K234" i="3"/>
  <c r="J234" i="3"/>
  <c r="I234" i="3"/>
  <c r="AT233" i="3" a="1"/>
  <c r="AT233" i="3"/>
  <c r="AS233" i="3"/>
  <c r="AF233" i="3"/>
  <c r="AD233" i="3"/>
  <c r="AC233" i="3"/>
  <c r="AB233" i="3"/>
  <c r="AA233" i="3"/>
  <c r="N233" i="3"/>
  <c r="L233" i="3"/>
  <c r="K233" i="3"/>
  <c r="J233" i="3"/>
  <c r="I233" i="3"/>
  <c r="AS232" i="3"/>
  <c r="AF232" i="3"/>
  <c r="AD232" i="3"/>
  <c r="AC232" i="3"/>
  <c r="AB232" i="3"/>
  <c r="AA232" i="3"/>
  <c r="N232" i="3"/>
  <c r="L232" i="3"/>
  <c r="K232" i="3"/>
  <c r="J232" i="3"/>
  <c r="I232" i="3"/>
  <c r="AS231" i="3"/>
  <c r="AF231" i="3"/>
  <c r="AD231" i="3"/>
  <c r="AC231" i="3"/>
  <c r="AB231" i="3"/>
  <c r="AA231" i="3"/>
  <c r="N231" i="3"/>
  <c r="L231" i="3"/>
  <c r="K231" i="3"/>
  <c r="J231" i="3"/>
  <c r="I231" i="3"/>
  <c r="AS230" i="3"/>
  <c r="AF230" i="3"/>
  <c r="AD230" i="3"/>
  <c r="AC230" i="3"/>
  <c r="AB230" i="3"/>
  <c r="AA230" i="3"/>
  <c r="N230" i="3"/>
  <c r="L230" i="3"/>
  <c r="K230" i="3"/>
  <c r="J230" i="3"/>
  <c r="I230" i="3"/>
  <c r="AS229" i="3"/>
  <c r="AF229" i="3"/>
  <c r="AD229" i="3"/>
  <c r="AC229" i="3"/>
  <c r="AB229" i="3"/>
  <c r="AA229" i="3"/>
  <c r="N229" i="3"/>
  <c r="L229" i="3"/>
  <c r="K229" i="3"/>
  <c r="J229" i="3"/>
  <c r="I229" i="3"/>
  <c r="AS228" i="3"/>
  <c r="AF228" i="3"/>
  <c r="AD228" i="3"/>
  <c r="AC228" i="3"/>
  <c r="AB228" i="3"/>
  <c r="AA228" i="3"/>
  <c r="N228" i="3"/>
  <c r="L228" i="3"/>
  <c r="K228" i="3"/>
  <c r="J228" i="3"/>
  <c r="I228" i="3"/>
  <c r="AT227" i="3" a="1"/>
  <c r="AT227" i="3" s="1"/>
  <c r="AS227" i="3"/>
  <c r="AF227" i="3"/>
  <c r="AD227" i="3"/>
  <c r="AC227" i="3"/>
  <c r="AB227" i="3"/>
  <c r="AA227" i="3"/>
  <c r="N227" i="3"/>
  <c r="L227" i="3"/>
  <c r="K227" i="3"/>
  <c r="J227" i="3"/>
  <c r="I227" i="3"/>
  <c r="AS226" i="3"/>
  <c r="AF226" i="3"/>
  <c r="AD226" i="3"/>
  <c r="AC226" i="3"/>
  <c r="AB226" i="3"/>
  <c r="AA226" i="3"/>
  <c r="N226" i="3"/>
  <c r="L226" i="3"/>
  <c r="K226" i="3"/>
  <c r="J226" i="3"/>
  <c r="I226" i="3"/>
  <c r="AS225" i="3"/>
  <c r="AF225" i="3"/>
  <c r="AD225" i="3"/>
  <c r="AC225" i="3"/>
  <c r="AB225" i="3"/>
  <c r="AA225" i="3"/>
  <c r="N225" i="3"/>
  <c r="L225" i="3"/>
  <c r="K225" i="3"/>
  <c r="J225" i="3"/>
  <c r="I225" i="3"/>
  <c r="AS224" i="3"/>
  <c r="AF224" i="3"/>
  <c r="AD224" i="3"/>
  <c r="AC224" i="3"/>
  <c r="AB224" i="3"/>
  <c r="AA224" i="3"/>
  <c r="N224" i="3"/>
  <c r="L224" i="3"/>
  <c r="K224" i="3"/>
  <c r="J224" i="3"/>
  <c r="I224" i="3"/>
  <c r="AS223" i="3"/>
  <c r="AF223" i="3"/>
  <c r="AD223" i="3"/>
  <c r="AC223" i="3"/>
  <c r="AB223" i="3"/>
  <c r="AA223" i="3"/>
  <c r="N223" i="3"/>
  <c r="L223" i="3"/>
  <c r="K223" i="3"/>
  <c r="J223" i="3"/>
  <c r="I223" i="3"/>
  <c r="AS222" i="3"/>
  <c r="AF222" i="3"/>
  <c r="AD222" i="3"/>
  <c r="AC222" i="3"/>
  <c r="AB222" i="3"/>
  <c r="AA222" i="3"/>
  <c r="N222" i="3"/>
  <c r="L222" i="3"/>
  <c r="K222" i="3"/>
  <c r="J222" i="3"/>
  <c r="I222" i="3"/>
  <c r="AT221" i="3" a="1"/>
  <c r="AT221" i="3" s="1"/>
  <c r="AS221" i="3"/>
  <c r="AF221" i="3"/>
  <c r="AD221" i="3"/>
  <c r="AC221" i="3"/>
  <c r="AB221" i="3"/>
  <c r="AA221" i="3"/>
  <c r="N221" i="3"/>
  <c r="L221" i="3"/>
  <c r="K221" i="3"/>
  <c r="J221" i="3"/>
  <c r="I221" i="3"/>
  <c r="AS220" i="3"/>
  <c r="AF220" i="3"/>
  <c r="AD220" i="3"/>
  <c r="AC220" i="3"/>
  <c r="AB220" i="3"/>
  <c r="AA220" i="3"/>
  <c r="N220" i="3"/>
  <c r="L220" i="3"/>
  <c r="K220" i="3"/>
  <c r="J220" i="3"/>
  <c r="I220" i="3"/>
  <c r="AS219" i="3"/>
  <c r="AF219" i="3"/>
  <c r="AD219" i="3"/>
  <c r="AC219" i="3"/>
  <c r="AB219" i="3"/>
  <c r="AA219" i="3"/>
  <c r="N219" i="3"/>
  <c r="L219" i="3"/>
  <c r="K219" i="3"/>
  <c r="J219" i="3"/>
  <c r="I219" i="3"/>
  <c r="AS218" i="3"/>
  <c r="AF218" i="3"/>
  <c r="AD218" i="3"/>
  <c r="AC218" i="3"/>
  <c r="AB218" i="3"/>
  <c r="AA218" i="3"/>
  <c r="N218" i="3"/>
  <c r="L218" i="3"/>
  <c r="K218" i="3"/>
  <c r="J218" i="3"/>
  <c r="I218" i="3"/>
  <c r="AS217" i="3"/>
  <c r="AF217" i="3"/>
  <c r="AD217" i="3"/>
  <c r="AC217" i="3"/>
  <c r="AB217" i="3"/>
  <c r="AA217" i="3"/>
  <c r="N217" i="3"/>
  <c r="L217" i="3"/>
  <c r="K217" i="3"/>
  <c r="J217" i="3"/>
  <c r="I217" i="3"/>
  <c r="AS216" i="3"/>
  <c r="AF216" i="3"/>
  <c r="AD216" i="3"/>
  <c r="AC216" i="3"/>
  <c r="AB216" i="3"/>
  <c r="AA216" i="3"/>
  <c r="N216" i="3"/>
  <c r="L216" i="3"/>
  <c r="K216" i="3"/>
  <c r="J216" i="3"/>
  <c r="I216" i="3"/>
  <c r="AT215" i="3" a="1"/>
  <c r="AT215" i="3"/>
  <c r="AS215" i="3"/>
  <c r="AF215" i="3"/>
  <c r="AD215" i="3"/>
  <c r="AC215" i="3"/>
  <c r="AB215" i="3"/>
  <c r="AA215" i="3"/>
  <c r="N215" i="3"/>
  <c r="L215" i="3"/>
  <c r="K215" i="3"/>
  <c r="J215" i="3"/>
  <c r="I215" i="3"/>
  <c r="AS214" i="3"/>
  <c r="AF214" i="3"/>
  <c r="AD214" i="3"/>
  <c r="AC214" i="3"/>
  <c r="AB214" i="3"/>
  <c r="AA214" i="3"/>
  <c r="N214" i="3"/>
  <c r="L214" i="3"/>
  <c r="K214" i="3"/>
  <c r="J214" i="3"/>
  <c r="I214" i="3"/>
  <c r="AS213" i="3"/>
  <c r="AF213" i="3"/>
  <c r="AD213" i="3"/>
  <c r="AC213" i="3"/>
  <c r="AB213" i="3"/>
  <c r="AA213" i="3"/>
  <c r="N213" i="3"/>
  <c r="L213" i="3"/>
  <c r="K213" i="3"/>
  <c r="J213" i="3"/>
  <c r="I213" i="3"/>
  <c r="AS212" i="3"/>
  <c r="AF212" i="3"/>
  <c r="AD212" i="3"/>
  <c r="AC212" i="3"/>
  <c r="AB212" i="3"/>
  <c r="AA212" i="3"/>
  <c r="N212" i="3"/>
  <c r="L212" i="3"/>
  <c r="K212" i="3"/>
  <c r="J212" i="3"/>
  <c r="I212" i="3"/>
  <c r="AS211" i="3"/>
  <c r="AF211" i="3"/>
  <c r="AD211" i="3"/>
  <c r="AC211" i="3"/>
  <c r="AB211" i="3"/>
  <c r="AA211" i="3"/>
  <c r="N211" i="3"/>
  <c r="L211" i="3"/>
  <c r="K211" i="3"/>
  <c r="J211" i="3"/>
  <c r="I211" i="3"/>
  <c r="AS210" i="3"/>
  <c r="AF210" i="3"/>
  <c r="AD210" i="3"/>
  <c r="AC210" i="3"/>
  <c r="AB210" i="3"/>
  <c r="AA210" i="3"/>
  <c r="N210" i="3"/>
  <c r="L210" i="3"/>
  <c r="K210" i="3"/>
  <c r="J210" i="3"/>
  <c r="I210" i="3"/>
  <c r="AT209" i="3" a="1"/>
  <c r="AT209" i="3" s="1"/>
  <c r="AS209" i="3"/>
  <c r="AF209" i="3"/>
  <c r="AD209" i="3"/>
  <c r="AC209" i="3"/>
  <c r="AB209" i="3"/>
  <c r="AA209" i="3"/>
  <c r="N209" i="3"/>
  <c r="L209" i="3"/>
  <c r="K209" i="3"/>
  <c r="J209" i="3"/>
  <c r="I209" i="3"/>
  <c r="AS208" i="3"/>
  <c r="AF208" i="3"/>
  <c r="AD208" i="3"/>
  <c r="AC208" i="3"/>
  <c r="AB208" i="3"/>
  <c r="AA208" i="3"/>
  <c r="N208" i="3"/>
  <c r="L208" i="3"/>
  <c r="K208" i="3"/>
  <c r="J208" i="3"/>
  <c r="I208" i="3"/>
  <c r="AS207" i="3"/>
  <c r="AF207" i="3"/>
  <c r="AD207" i="3"/>
  <c r="AC207" i="3"/>
  <c r="AB207" i="3"/>
  <c r="AA207" i="3"/>
  <c r="N207" i="3"/>
  <c r="L207" i="3"/>
  <c r="K207" i="3"/>
  <c r="J207" i="3"/>
  <c r="I207" i="3"/>
  <c r="AS206" i="3"/>
  <c r="AF206" i="3"/>
  <c r="AD206" i="3"/>
  <c r="AC206" i="3"/>
  <c r="AB206" i="3"/>
  <c r="AA206" i="3"/>
  <c r="N206" i="3"/>
  <c r="L206" i="3"/>
  <c r="K206" i="3"/>
  <c r="J206" i="3"/>
  <c r="I206" i="3"/>
  <c r="AS205" i="3"/>
  <c r="AF205" i="3"/>
  <c r="AD205" i="3"/>
  <c r="AC205" i="3"/>
  <c r="AB205" i="3"/>
  <c r="AA205" i="3"/>
  <c r="N205" i="3"/>
  <c r="L205" i="3"/>
  <c r="K205" i="3"/>
  <c r="J205" i="3"/>
  <c r="I205" i="3"/>
  <c r="AS204" i="3"/>
  <c r="AF204" i="3"/>
  <c r="AD204" i="3"/>
  <c r="AC204" i="3"/>
  <c r="AB204" i="3"/>
  <c r="AA204" i="3"/>
  <c r="N204" i="3"/>
  <c r="L204" i="3"/>
  <c r="K204" i="3"/>
  <c r="J204" i="3"/>
  <c r="I204" i="3"/>
  <c r="AT203" i="3" a="1"/>
  <c r="AT203" i="3"/>
  <c r="AS203" i="3"/>
  <c r="AF203" i="3"/>
  <c r="AD203" i="3"/>
  <c r="AC203" i="3"/>
  <c r="AB203" i="3"/>
  <c r="AA203" i="3"/>
  <c r="N203" i="3"/>
  <c r="L203" i="3"/>
  <c r="K203" i="3"/>
  <c r="J203" i="3"/>
  <c r="I203" i="3"/>
  <c r="AS202" i="3"/>
  <c r="AF202" i="3"/>
  <c r="AD202" i="3"/>
  <c r="AC202" i="3"/>
  <c r="AB202" i="3"/>
  <c r="AA202" i="3"/>
  <c r="N202" i="3"/>
  <c r="L202" i="3"/>
  <c r="K202" i="3"/>
  <c r="J202" i="3"/>
  <c r="I202" i="3"/>
  <c r="AS201" i="3"/>
  <c r="AF201" i="3"/>
  <c r="AD201" i="3"/>
  <c r="AC201" i="3"/>
  <c r="AB201" i="3"/>
  <c r="AA201" i="3"/>
  <c r="N201" i="3"/>
  <c r="L201" i="3"/>
  <c r="K201" i="3"/>
  <c r="J201" i="3"/>
  <c r="I201" i="3"/>
  <c r="AS200" i="3"/>
  <c r="AF200" i="3"/>
  <c r="AD200" i="3"/>
  <c r="AC200" i="3"/>
  <c r="AB200" i="3"/>
  <c r="AA200" i="3"/>
  <c r="N200" i="3"/>
  <c r="L200" i="3"/>
  <c r="K200" i="3"/>
  <c r="J200" i="3"/>
  <c r="I200" i="3"/>
  <c r="AS199" i="3"/>
  <c r="AF199" i="3"/>
  <c r="AD199" i="3"/>
  <c r="AC199" i="3"/>
  <c r="AB199" i="3"/>
  <c r="AA199" i="3"/>
  <c r="N199" i="3"/>
  <c r="L199" i="3"/>
  <c r="K199" i="3"/>
  <c r="J199" i="3"/>
  <c r="I199" i="3"/>
  <c r="AS198" i="3"/>
  <c r="AF198" i="3"/>
  <c r="AD198" i="3"/>
  <c r="AC198" i="3"/>
  <c r="AB198" i="3"/>
  <c r="AA198" i="3"/>
  <c r="N198" i="3"/>
  <c r="L198" i="3"/>
  <c r="K198" i="3"/>
  <c r="J198" i="3"/>
  <c r="I198" i="3"/>
  <c r="AT197" i="3" a="1"/>
  <c r="AT197" i="3" s="1"/>
  <c r="AS197" i="3"/>
  <c r="AF197" i="3"/>
  <c r="AD197" i="3"/>
  <c r="AC197" i="3"/>
  <c r="AB197" i="3"/>
  <c r="AA197" i="3"/>
  <c r="N197" i="3"/>
  <c r="L197" i="3"/>
  <c r="K197" i="3"/>
  <c r="J197" i="3"/>
  <c r="I197" i="3"/>
  <c r="AS196" i="3"/>
  <c r="AF196" i="3"/>
  <c r="AD196" i="3"/>
  <c r="AC196" i="3"/>
  <c r="AB196" i="3"/>
  <c r="AA196" i="3"/>
  <c r="N196" i="3"/>
  <c r="L196" i="3"/>
  <c r="K196" i="3"/>
  <c r="J196" i="3"/>
  <c r="I196" i="3"/>
  <c r="AS195" i="3"/>
  <c r="AF195" i="3"/>
  <c r="AD195" i="3"/>
  <c r="AC195" i="3"/>
  <c r="AB195" i="3"/>
  <c r="AA195" i="3"/>
  <c r="N195" i="3"/>
  <c r="L195" i="3"/>
  <c r="K195" i="3"/>
  <c r="J195" i="3"/>
  <c r="I195" i="3"/>
  <c r="AS194" i="3"/>
  <c r="AF194" i="3"/>
  <c r="AD194" i="3"/>
  <c r="AC194" i="3"/>
  <c r="AB194" i="3"/>
  <c r="AA194" i="3"/>
  <c r="N194" i="3"/>
  <c r="L194" i="3"/>
  <c r="K194" i="3"/>
  <c r="J194" i="3"/>
  <c r="I194" i="3"/>
  <c r="AS193" i="3"/>
  <c r="AF193" i="3"/>
  <c r="AD193" i="3"/>
  <c r="AC193" i="3"/>
  <c r="AB193" i="3"/>
  <c r="AA193" i="3"/>
  <c r="N193" i="3"/>
  <c r="L193" i="3"/>
  <c r="K193" i="3"/>
  <c r="J193" i="3"/>
  <c r="I193" i="3"/>
  <c r="AS192" i="3"/>
  <c r="AF192" i="3"/>
  <c r="AD192" i="3"/>
  <c r="AC192" i="3"/>
  <c r="AB192" i="3"/>
  <c r="AA192" i="3"/>
  <c r="N192" i="3"/>
  <c r="L192" i="3"/>
  <c r="K192" i="3"/>
  <c r="J192" i="3"/>
  <c r="I192" i="3"/>
  <c r="AT191" i="3" a="1"/>
  <c r="AT191" i="3"/>
  <c r="AS191" i="3"/>
  <c r="AF191" i="3"/>
  <c r="AD191" i="3"/>
  <c r="AC191" i="3"/>
  <c r="AB191" i="3"/>
  <c r="AA191" i="3"/>
  <c r="N191" i="3"/>
  <c r="L191" i="3"/>
  <c r="K191" i="3"/>
  <c r="J191" i="3"/>
  <c r="I191" i="3"/>
  <c r="AS190" i="3"/>
  <c r="AF190" i="3"/>
  <c r="AD190" i="3"/>
  <c r="AC190" i="3"/>
  <c r="AB190" i="3"/>
  <c r="AA190" i="3"/>
  <c r="N190" i="3"/>
  <c r="L190" i="3"/>
  <c r="K190" i="3"/>
  <c r="J190" i="3"/>
  <c r="I190" i="3"/>
  <c r="AS189" i="3"/>
  <c r="AF189" i="3"/>
  <c r="AD189" i="3"/>
  <c r="AC189" i="3"/>
  <c r="AB189" i="3"/>
  <c r="AA189" i="3"/>
  <c r="N189" i="3"/>
  <c r="L189" i="3"/>
  <c r="K189" i="3"/>
  <c r="J189" i="3"/>
  <c r="I189" i="3"/>
  <c r="AS188" i="3"/>
  <c r="AF188" i="3"/>
  <c r="AD188" i="3"/>
  <c r="AC188" i="3"/>
  <c r="AB188" i="3"/>
  <c r="AA188" i="3"/>
  <c r="N188" i="3"/>
  <c r="L188" i="3"/>
  <c r="K188" i="3"/>
  <c r="J188" i="3"/>
  <c r="I188" i="3"/>
  <c r="AS187" i="3"/>
  <c r="AF187" i="3"/>
  <c r="AD187" i="3"/>
  <c r="AC187" i="3"/>
  <c r="AB187" i="3"/>
  <c r="AA187" i="3"/>
  <c r="N187" i="3"/>
  <c r="L187" i="3"/>
  <c r="K187" i="3"/>
  <c r="J187" i="3"/>
  <c r="I187" i="3"/>
  <c r="AS186" i="3"/>
  <c r="AF186" i="3"/>
  <c r="AD186" i="3"/>
  <c r="AC186" i="3"/>
  <c r="AB186" i="3"/>
  <c r="AA186" i="3"/>
  <c r="N186" i="3"/>
  <c r="L186" i="3"/>
  <c r="K186" i="3"/>
  <c r="J186" i="3"/>
  <c r="I186" i="3"/>
  <c r="AT185" i="3" a="1"/>
  <c r="AT185" i="3" s="1"/>
  <c r="AS185" i="3"/>
  <c r="AF185" i="3"/>
  <c r="AD185" i="3"/>
  <c r="AC185" i="3"/>
  <c r="AB185" i="3"/>
  <c r="AA185" i="3"/>
  <c r="N185" i="3"/>
  <c r="L185" i="3"/>
  <c r="K185" i="3"/>
  <c r="J185" i="3"/>
  <c r="I185" i="3"/>
  <c r="AS184" i="3"/>
  <c r="AF184" i="3"/>
  <c r="AD184" i="3"/>
  <c r="AC184" i="3"/>
  <c r="AB184" i="3"/>
  <c r="AA184" i="3"/>
  <c r="N184" i="3"/>
  <c r="L184" i="3"/>
  <c r="K184" i="3"/>
  <c r="J184" i="3"/>
  <c r="I184" i="3"/>
  <c r="AS183" i="3"/>
  <c r="AF183" i="3"/>
  <c r="AD183" i="3"/>
  <c r="AC183" i="3"/>
  <c r="AB183" i="3"/>
  <c r="AA183" i="3"/>
  <c r="N183" i="3"/>
  <c r="L183" i="3"/>
  <c r="K183" i="3"/>
  <c r="J183" i="3"/>
  <c r="I183" i="3"/>
  <c r="AS182" i="3"/>
  <c r="AF182" i="3"/>
  <c r="AD182" i="3"/>
  <c r="AC182" i="3"/>
  <c r="AB182" i="3"/>
  <c r="AA182" i="3"/>
  <c r="N182" i="3"/>
  <c r="L182" i="3"/>
  <c r="K182" i="3"/>
  <c r="J182" i="3"/>
  <c r="I182" i="3"/>
  <c r="AS181" i="3"/>
  <c r="AF181" i="3"/>
  <c r="AD181" i="3"/>
  <c r="AC181" i="3"/>
  <c r="AB181" i="3"/>
  <c r="AA181" i="3"/>
  <c r="N181" i="3"/>
  <c r="L181" i="3"/>
  <c r="K181" i="3"/>
  <c r="J181" i="3"/>
  <c r="I181" i="3"/>
  <c r="AS180" i="3"/>
  <c r="AF180" i="3"/>
  <c r="AD180" i="3"/>
  <c r="AC180" i="3"/>
  <c r="AB180" i="3"/>
  <c r="AA180" i="3"/>
  <c r="N180" i="3"/>
  <c r="L180" i="3"/>
  <c r="K180" i="3"/>
  <c r="J180" i="3"/>
  <c r="I180" i="3"/>
  <c r="AT179" i="3" a="1"/>
  <c r="AT179" i="3" s="1"/>
  <c r="AS179" i="3"/>
  <c r="AF179" i="3"/>
  <c r="AD179" i="3"/>
  <c r="AC179" i="3"/>
  <c r="AB179" i="3"/>
  <c r="AA179" i="3"/>
  <c r="N179" i="3"/>
  <c r="L179" i="3"/>
  <c r="K179" i="3"/>
  <c r="J179" i="3"/>
  <c r="I179" i="3"/>
  <c r="AS178" i="3"/>
  <c r="AF178" i="3"/>
  <c r="AD178" i="3"/>
  <c r="AC178" i="3"/>
  <c r="AB178" i="3"/>
  <c r="AA178" i="3"/>
  <c r="N178" i="3"/>
  <c r="L178" i="3"/>
  <c r="K178" i="3"/>
  <c r="J178" i="3"/>
  <c r="I178" i="3"/>
  <c r="AS177" i="3"/>
  <c r="AF177" i="3"/>
  <c r="AD177" i="3"/>
  <c r="AC177" i="3"/>
  <c r="AB177" i="3"/>
  <c r="AA177" i="3"/>
  <c r="N177" i="3"/>
  <c r="L177" i="3"/>
  <c r="K177" i="3"/>
  <c r="J177" i="3"/>
  <c r="I177" i="3"/>
  <c r="AS176" i="3"/>
  <c r="AF176" i="3"/>
  <c r="AD176" i="3"/>
  <c r="AC176" i="3"/>
  <c r="AB176" i="3"/>
  <c r="AA176" i="3"/>
  <c r="N176" i="3"/>
  <c r="L176" i="3"/>
  <c r="K176" i="3"/>
  <c r="J176" i="3"/>
  <c r="I176" i="3"/>
  <c r="AS175" i="3"/>
  <c r="AF175" i="3"/>
  <c r="AD175" i="3"/>
  <c r="AC175" i="3"/>
  <c r="AB175" i="3"/>
  <c r="AA175" i="3"/>
  <c r="N175" i="3"/>
  <c r="L175" i="3"/>
  <c r="K175" i="3"/>
  <c r="J175" i="3"/>
  <c r="I175" i="3"/>
  <c r="AS174" i="3"/>
  <c r="AF174" i="3"/>
  <c r="AD174" i="3"/>
  <c r="AC174" i="3"/>
  <c r="AB174" i="3"/>
  <c r="AA174" i="3"/>
  <c r="N174" i="3"/>
  <c r="L174" i="3"/>
  <c r="K174" i="3"/>
  <c r="J174" i="3"/>
  <c r="I174" i="3"/>
  <c r="AT173" i="3" a="1"/>
  <c r="AT173" i="3" s="1"/>
  <c r="AS173" i="3"/>
  <c r="AF173" i="3"/>
  <c r="AD173" i="3"/>
  <c r="AC173" i="3"/>
  <c r="AB173" i="3"/>
  <c r="AA173" i="3"/>
  <c r="N173" i="3"/>
  <c r="L173" i="3"/>
  <c r="K173" i="3"/>
  <c r="J173" i="3"/>
  <c r="I173" i="3"/>
  <c r="AS172" i="3"/>
  <c r="AF172" i="3"/>
  <c r="AD172" i="3"/>
  <c r="AC172" i="3"/>
  <c r="AB172" i="3"/>
  <c r="AA172" i="3"/>
  <c r="N172" i="3"/>
  <c r="L172" i="3"/>
  <c r="K172" i="3"/>
  <c r="J172" i="3"/>
  <c r="I172" i="3"/>
  <c r="AS171" i="3"/>
  <c r="AF171" i="3"/>
  <c r="AD171" i="3"/>
  <c r="AC171" i="3"/>
  <c r="AB171" i="3"/>
  <c r="AA171" i="3"/>
  <c r="N171" i="3"/>
  <c r="L171" i="3"/>
  <c r="K171" i="3"/>
  <c r="J171" i="3"/>
  <c r="I171" i="3"/>
  <c r="AS170" i="3"/>
  <c r="AF170" i="3"/>
  <c r="AD170" i="3"/>
  <c r="AC170" i="3"/>
  <c r="AB170" i="3"/>
  <c r="AA170" i="3"/>
  <c r="N170" i="3"/>
  <c r="L170" i="3"/>
  <c r="K170" i="3"/>
  <c r="J170" i="3"/>
  <c r="I170" i="3"/>
  <c r="AS169" i="3"/>
  <c r="AF169" i="3"/>
  <c r="AD169" i="3"/>
  <c r="AC169" i="3"/>
  <c r="AB169" i="3"/>
  <c r="AA169" i="3"/>
  <c r="N169" i="3"/>
  <c r="L169" i="3"/>
  <c r="K169" i="3"/>
  <c r="J169" i="3"/>
  <c r="I169" i="3"/>
  <c r="AS168" i="3"/>
  <c r="AF168" i="3"/>
  <c r="AD168" i="3"/>
  <c r="AC168" i="3"/>
  <c r="AB168" i="3"/>
  <c r="AA168" i="3"/>
  <c r="N168" i="3"/>
  <c r="L168" i="3"/>
  <c r="K168" i="3"/>
  <c r="J168" i="3"/>
  <c r="I168" i="3"/>
  <c r="AT167" i="3" a="1"/>
  <c r="AT167" i="3"/>
  <c r="AS167" i="3"/>
  <c r="AF167" i="3"/>
  <c r="AD167" i="3"/>
  <c r="AC167" i="3"/>
  <c r="AB167" i="3"/>
  <c r="AA167" i="3"/>
  <c r="N167" i="3"/>
  <c r="L167" i="3"/>
  <c r="K167" i="3"/>
  <c r="J167" i="3"/>
  <c r="I167" i="3"/>
  <c r="AS166" i="3"/>
  <c r="AF166" i="3"/>
  <c r="AD166" i="3"/>
  <c r="AC166" i="3"/>
  <c r="AB166" i="3"/>
  <c r="AA166" i="3"/>
  <c r="N166" i="3"/>
  <c r="L166" i="3"/>
  <c r="K166" i="3"/>
  <c r="J166" i="3"/>
  <c r="I166" i="3"/>
  <c r="AS165" i="3"/>
  <c r="AF165" i="3"/>
  <c r="AD165" i="3"/>
  <c r="AC165" i="3"/>
  <c r="AB165" i="3"/>
  <c r="AA165" i="3"/>
  <c r="N165" i="3"/>
  <c r="L165" i="3"/>
  <c r="K165" i="3"/>
  <c r="J165" i="3"/>
  <c r="I165" i="3"/>
  <c r="AS164" i="3"/>
  <c r="AF164" i="3"/>
  <c r="AD164" i="3"/>
  <c r="AC164" i="3"/>
  <c r="AB164" i="3"/>
  <c r="AA164" i="3"/>
  <c r="N164" i="3"/>
  <c r="L164" i="3"/>
  <c r="K164" i="3"/>
  <c r="J164" i="3"/>
  <c r="I164" i="3"/>
  <c r="AS163" i="3"/>
  <c r="AF163" i="3"/>
  <c r="AD163" i="3"/>
  <c r="AC163" i="3"/>
  <c r="AB163" i="3"/>
  <c r="AA163" i="3"/>
  <c r="N163" i="3"/>
  <c r="L163" i="3"/>
  <c r="K163" i="3"/>
  <c r="J163" i="3"/>
  <c r="I163" i="3"/>
  <c r="AS162" i="3"/>
  <c r="AF162" i="3"/>
  <c r="AD162" i="3"/>
  <c r="AC162" i="3"/>
  <c r="AB162" i="3"/>
  <c r="AA162" i="3"/>
  <c r="N162" i="3"/>
  <c r="L162" i="3"/>
  <c r="K162" i="3"/>
  <c r="J162" i="3"/>
  <c r="I162" i="3"/>
  <c r="AT161" i="3" a="1"/>
  <c r="AT161" i="3" s="1"/>
  <c r="AS161" i="3"/>
  <c r="AF161" i="3"/>
  <c r="AD161" i="3"/>
  <c r="AC161" i="3"/>
  <c r="AB161" i="3"/>
  <c r="AA161" i="3"/>
  <c r="N161" i="3"/>
  <c r="L161" i="3"/>
  <c r="K161" i="3"/>
  <c r="J161" i="3"/>
  <c r="I161" i="3"/>
  <c r="AS160" i="3"/>
  <c r="AF160" i="3"/>
  <c r="AD160" i="3"/>
  <c r="AC160" i="3"/>
  <c r="AB160" i="3"/>
  <c r="AA160" i="3"/>
  <c r="N160" i="3"/>
  <c r="L160" i="3"/>
  <c r="K160" i="3"/>
  <c r="J160" i="3"/>
  <c r="I160" i="3"/>
  <c r="AS159" i="3"/>
  <c r="AF159" i="3"/>
  <c r="AD159" i="3"/>
  <c r="AC159" i="3"/>
  <c r="AB159" i="3"/>
  <c r="AA159" i="3"/>
  <c r="N159" i="3"/>
  <c r="L159" i="3"/>
  <c r="K159" i="3"/>
  <c r="J159" i="3"/>
  <c r="I159" i="3"/>
  <c r="AS158" i="3"/>
  <c r="AF158" i="3"/>
  <c r="AD158" i="3"/>
  <c r="AC158" i="3"/>
  <c r="AB158" i="3"/>
  <c r="AA158" i="3"/>
  <c r="N158" i="3"/>
  <c r="L158" i="3"/>
  <c r="K158" i="3"/>
  <c r="J158" i="3"/>
  <c r="I158" i="3"/>
  <c r="AS157" i="3"/>
  <c r="AF157" i="3"/>
  <c r="AD157" i="3"/>
  <c r="AC157" i="3"/>
  <c r="AB157" i="3"/>
  <c r="AA157" i="3"/>
  <c r="N157" i="3"/>
  <c r="L157" i="3"/>
  <c r="K157" i="3"/>
  <c r="J157" i="3"/>
  <c r="I157" i="3"/>
  <c r="AS156" i="3"/>
  <c r="AF156" i="3"/>
  <c r="AD156" i="3"/>
  <c r="AC156" i="3"/>
  <c r="AB156" i="3"/>
  <c r="AA156" i="3"/>
  <c r="N156" i="3"/>
  <c r="L156" i="3"/>
  <c r="K156" i="3"/>
  <c r="J156" i="3"/>
  <c r="I156" i="3"/>
  <c r="AT155" i="3" a="1"/>
  <c r="AT155" i="3"/>
  <c r="AS155" i="3"/>
  <c r="AF155" i="3"/>
  <c r="AD155" i="3"/>
  <c r="AC155" i="3"/>
  <c r="AB155" i="3"/>
  <c r="AA155" i="3"/>
  <c r="N155" i="3"/>
  <c r="L155" i="3"/>
  <c r="K155" i="3"/>
  <c r="J155" i="3"/>
  <c r="I155" i="3"/>
  <c r="AS154" i="3"/>
  <c r="AF154" i="3"/>
  <c r="AD154" i="3"/>
  <c r="AC154" i="3"/>
  <c r="AB154" i="3"/>
  <c r="AA154" i="3"/>
  <c r="N154" i="3"/>
  <c r="L154" i="3"/>
  <c r="K154" i="3"/>
  <c r="J154" i="3"/>
  <c r="I154" i="3"/>
  <c r="AS153" i="3"/>
  <c r="AF153" i="3"/>
  <c r="AD153" i="3"/>
  <c r="AC153" i="3"/>
  <c r="AB153" i="3"/>
  <c r="AA153" i="3"/>
  <c r="N153" i="3"/>
  <c r="L153" i="3"/>
  <c r="K153" i="3"/>
  <c r="J153" i="3"/>
  <c r="I153" i="3"/>
  <c r="AS152" i="3"/>
  <c r="AF152" i="3"/>
  <c r="AD152" i="3"/>
  <c r="AC152" i="3"/>
  <c r="AB152" i="3"/>
  <c r="AA152" i="3"/>
  <c r="N152" i="3"/>
  <c r="L152" i="3"/>
  <c r="K152" i="3"/>
  <c r="J152" i="3"/>
  <c r="I152" i="3"/>
  <c r="AS151" i="3"/>
  <c r="AF151" i="3"/>
  <c r="AD151" i="3"/>
  <c r="AC151" i="3"/>
  <c r="AB151" i="3"/>
  <c r="AA151" i="3"/>
  <c r="N151" i="3"/>
  <c r="L151" i="3"/>
  <c r="K151" i="3"/>
  <c r="J151" i="3"/>
  <c r="I151" i="3"/>
  <c r="AS150" i="3"/>
  <c r="AF150" i="3"/>
  <c r="AD150" i="3"/>
  <c r="AC150" i="3"/>
  <c r="AB150" i="3"/>
  <c r="AA150" i="3"/>
  <c r="N150" i="3"/>
  <c r="L150" i="3"/>
  <c r="K150" i="3"/>
  <c r="J150" i="3"/>
  <c r="I150" i="3"/>
  <c r="AT149" i="3" a="1"/>
  <c r="AT149" i="3" s="1"/>
  <c r="AS149" i="3"/>
  <c r="AF149" i="3"/>
  <c r="AD149" i="3"/>
  <c r="AC149" i="3"/>
  <c r="AB149" i="3"/>
  <c r="AA149" i="3"/>
  <c r="N149" i="3"/>
  <c r="L149" i="3"/>
  <c r="K149" i="3"/>
  <c r="J149" i="3"/>
  <c r="I149" i="3"/>
  <c r="AS148" i="3"/>
  <c r="AF148" i="3"/>
  <c r="AD148" i="3"/>
  <c r="AC148" i="3"/>
  <c r="AB148" i="3"/>
  <c r="AA148" i="3"/>
  <c r="N148" i="3"/>
  <c r="L148" i="3"/>
  <c r="K148" i="3"/>
  <c r="J148" i="3"/>
  <c r="I148" i="3"/>
  <c r="AS147" i="3"/>
  <c r="AF147" i="3"/>
  <c r="AD147" i="3"/>
  <c r="AC147" i="3"/>
  <c r="AB147" i="3"/>
  <c r="AA147" i="3"/>
  <c r="N147" i="3"/>
  <c r="L147" i="3"/>
  <c r="K147" i="3"/>
  <c r="J147" i="3"/>
  <c r="I147" i="3"/>
  <c r="AS146" i="3"/>
  <c r="AF146" i="3"/>
  <c r="AD146" i="3"/>
  <c r="AC146" i="3"/>
  <c r="AB146" i="3"/>
  <c r="AA146" i="3"/>
  <c r="N146" i="3"/>
  <c r="L146" i="3"/>
  <c r="K146" i="3"/>
  <c r="J146" i="3"/>
  <c r="I146" i="3"/>
  <c r="AS145" i="3"/>
  <c r="AF145" i="3"/>
  <c r="AD145" i="3"/>
  <c r="AC145" i="3"/>
  <c r="AB145" i="3"/>
  <c r="AA145" i="3"/>
  <c r="N145" i="3"/>
  <c r="L145" i="3"/>
  <c r="K145" i="3"/>
  <c r="J145" i="3"/>
  <c r="I145" i="3"/>
  <c r="AS144" i="3"/>
  <c r="AF144" i="3"/>
  <c r="AD144" i="3"/>
  <c r="AC144" i="3"/>
  <c r="AB144" i="3"/>
  <c r="AA144" i="3"/>
  <c r="N144" i="3"/>
  <c r="L144" i="3"/>
  <c r="K144" i="3"/>
  <c r="J144" i="3"/>
  <c r="I144" i="3"/>
  <c r="AT143" i="3" a="1"/>
  <c r="AT143" i="3" s="1"/>
  <c r="AS143" i="3"/>
  <c r="AF143" i="3"/>
  <c r="AD143" i="3"/>
  <c r="AC143" i="3"/>
  <c r="AB143" i="3"/>
  <c r="AA143" i="3"/>
  <c r="N143" i="3"/>
  <c r="L143" i="3"/>
  <c r="K143" i="3"/>
  <c r="J143" i="3"/>
  <c r="I143" i="3"/>
  <c r="AS142" i="3"/>
  <c r="AF142" i="3"/>
  <c r="AD142" i="3"/>
  <c r="AC142" i="3"/>
  <c r="AB142" i="3"/>
  <c r="AA142" i="3"/>
  <c r="N142" i="3"/>
  <c r="L142" i="3"/>
  <c r="K142" i="3"/>
  <c r="J142" i="3"/>
  <c r="I142" i="3"/>
  <c r="AS141" i="3"/>
  <c r="AF141" i="3"/>
  <c r="AD141" i="3"/>
  <c r="AC141" i="3"/>
  <c r="AB141" i="3"/>
  <c r="AA141" i="3"/>
  <c r="N141" i="3"/>
  <c r="L141" i="3"/>
  <c r="K141" i="3"/>
  <c r="J141" i="3"/>
  <c r="I141" i="3"/>
  <c r="AS140" i="3"/>
  <c r="AF140" i="3"/>
  <c r="AD140" i="3"/>
  <c r="AC140" i="3"/>
  <c r="AB140" i="3"/>
  <c r="AA140" i="3"/>
  <c r="N140" i="3"/>
  <c r="L140" i="3"/>
  <c r="K140" i="3"/>
  <c r="J140" i="3"/>
  <c r="I140" i="3"/>
  <c r="AS139" i="3"/>
  <c r="AF139" i="3"/>
  <c r="AD139" i="3"/>
  <c r="AC139" i="3"/>
  <c r="AB139" i="3"/>
  <c r="AA139" i="3"/>
  <c r="N139" i="3"/>
  <c r="L139" i="3"/>
  <c r="K139" i="3"/>
  <c r="J139" i="3"/>
  <c r="I139" i="3"/>
  <c r="AS138" i="3"/>
  <c r="AF138" i="3"/>
  <c r="AD138" i="3"/>
  <c r="AC138" i="3"/>
  <c r="AB138" i="3"/>
  <c r="AA138" i="3"/>
  <c r="N138" i="3"/>
  <c r="L138" i="3"/>
  <c r="K138" i="3"/>
  <c r="J138" i="3"/>
  <c r="I138" i="3"/>
  <c r="AT137" i="3" a="1"/>
  <c r="AT137" i="3"/>
  <c r="AS137" i="3"/>
  <c r="AF137" i="3"/>
  <c r="AD137" i="3"/>
  <c r="AC137" i="3"/>
  <c r="AB137" i="3"/>
  <c r="AA137" i="3"/>
  <c r="N137" i="3"/>
  <c r="L137" i="3"/>
  <c r="K137" i="3"/>
  <c r="J137" i="3"/>
  <c r="I137" i="3"/>
  <c r="AS136" i="3"/>
  <c r="AF136" i="3"/>
  <c r="AD136" i="3"/>
  <c r="AC136" i="3"/>
  <c r="AB136" i="3"/>
  <c r="AA136" i="3"/>
  <c r="N136" i="3"/>
  <c r="L136" i="3"/>
  <c r="K136" i="3"/>
  <c r="J136" i="3"/>
  <c r="I136" i="3"/>
  <c r="AS135" i="3"/>
  <c r="AF135" i="3"/>
  <c r="AD135" i="3"/>
  <c r="AC135" i="3"/>
  <c r="AB135" i="3"/>
  <c r="AA135" i="3"/>
  <c r="N135" i="3"/>
  <c r="L135" i="3"/>
  <c r="K135" i="3"/>
  <c r="J135" i="3"/>
  <c r="I135" i="3"/>
  <c r="AS134" i="3"/>
  <c r="AF134" i="3"/>
  <c r="AD134" i="3"/>
  <c r="AC134" i="3"/>
  <c r="AB134" i="3"/>
  <c r="AA134" i="3"/>
  <c r="N134" i="3"/>
  <c r="L134" i="3"/>
  <c r="K134" i="3"/>
  <c r="J134" i="3"/>
  <c r="I134" i="3"/>
  <c r="AS133" i="3"/>
  <c r="AF133" i="3"/>
  <c r="AD133" i="3"/>
  <c r="AC133" i="3"/>
  <c r="AB133" i="3"/>
  <c r="AA133" i="3"/>
  <c r="N133" i="3"/>
  <c r="L133" i="3"/>
  <c r="K133" i="3"/>
  <c r="J133" i="3"/>
  <c r="I133" i="3"/>
  <c r="AS132" i="3"/>
  <c r="AF132" i="3"/>
  <c r="AD132" i="3"/>
  <c r="AC132" i="3"/>
  <c r="AB132" i="3"/>
  <c r="AA132" i="3"/>
  <c r="N132" i="3"/>
  <c r="L132" i="3"/>
  <c r="K132" i="3"/>
  <c r="J132" i="3"/>
  <c r="I132" i="3"/>
  <c r="AT131" i="3" a="1"/>
  <c r="AT131" i="3" s="1"/>
  <c r="AS131" i="3"/>
  <c r="AF131" i="3"/>
  <c r="AD131" i="3"/>
  <c r="AC131" i="3"/>
  <c r="AB131" i="3"/>
  <c r="AA131" i="3"/>
  <c r="N131" i="3"/>
  <c r="L131" i="3"/>
  <c r="K131" i="3"/>
  <c r="J131" i="3"/>
  <c r="I131" i="3"/>
  <c r="AS130" i="3"/>
  <c r="AF130" i="3"/>
  <c r="AD130" i="3"/>
  <c r="AC130" i="3"/>
  <c r="AB130" i="3"/>
  <c r="AA130" i="3"/>
  <c r="N130" i="3"/>
  <c r="L130" i="3"/>
  <c r="K130" i="3"/>
  <c r="J130" i="3"/>
  <c r="I130" i="3"/>
  <c r="AS129" i="3"/>
  <c r="AF129" i="3"/>
  <c r="AD129" i="3"/>
  <c r="AC129" i="3"/>
  <c r="AB129" i="3"/>
  <c r="AA129" i="3"/>
  <c r="N129" i="3"/>
  <c r="L129" i="3"/>
  <c r="K129" i="3"/>
  <c r="J129" i="3"/>
  <c r="I129" i="3"/>
  <c r="AS128" i="3"/>
  <c r="AF128" i="3"/>
  <c r="AD128" i="3"/>
  <c r="AC128" i="3"/>
  <c r="AB128" i="3"/>
  <c r="AA128" i="3"/>
  <c r="N128" i="3"/>
  <c r="L128" i="3"/>
  <c r="K128" i="3"/>
  <c r="J128" i="3"/>
  <c r="I128" i="3"/>
  <c r="AS127" i="3"/>
  <c r="AF127" i="3"/>
  <c r="AD127" i="3"/>
  <c r="AC127" i="3"/>
  <c r="AB127" i="3"/>
  <c r="AA127" i="3"/>
  <c r="N127" i="3"/>
  <c r="L127" i="3"/>
  <c r="K127" i="3"/>
  <c r="J127" i="3"/>
  <c r="I127" i="3"/>
  <c r="AS126" i="3"/>
  <c r="AF126" i="3"/>
  <c r="AD126" i="3"/>
  <c r="AC126" i="3"/>
  <c r="AB126" i="3"/>
  <c r="AA126" i="3"/>
  <c r="N126" i="3"/>
  <c r="L126" i="3"/>
  <c r="K126" i="3"/>
  <c r="J126" i="3"/>
  <c r="I126" i="3"/>
  <c r="AT125" i="3" a="1"/>
  <c r="AT125" i="3" s="1"/>
  <c r="AS125" i="3"/>
  <c r="AF125" i="3"/>
  <c r="AD125" i="3"/>
  <c r="AC125" i="3"/>
  <c r="AB125" i="3"/>
  <c r="AA125" i="3"/>
  <c r="N125" i="3"/>
  <c r="L125" i="3"/>
  <c r="K125" i="3"/>
  <c r="J125" i="3"/>
  <c r="I125" i="3"/>
  <c r="AS124" i="3"/>
  <c r="AF124" i="3"/>
  <c r="AD124" i="3"/>
  <c r="AC124" i="3"/>
  <c r="AB124" i="3"/>
  <c r="AA124" i="3"/>
  <c r="N124" i="3"/>
  <c r="L124" i="3"/>
  <c r="K124" i="3"/>
  <c r="J124" i="3"/>
  <c r="I124" i="3"/>
  <c r="AS123" i="3"/>
  <c r="AF123" i="3"/>
  <c r="AD123" i="3"/>
  <c r="AC123" i="3"/>
  <c r="AB123" i="3"/>
  <c r="AA123" i="3"/>
  <c r="N123" i="3"/>
  <c r="L123" i="3"/>
  <c r="K123" i="3"/>
  <c r="J123" i="3"/>
  <c r="I123" i="3"/>
  <c r="AS122" i="3"/>
  <c r="AF122" i="3"/>
  <c r="AD122" i="3"/>
  <c r="AC122" i="3"/>
  <c r="AB122" i="3"/>
  <c r="AA122" i="3"/>
  <c r="N122" i="3"/>
  <c r="L122" i="3"/>
  <c r="K122" i="3"/>
  <c r="J122" i="3"/>
  <c r="I122" i="3"/>
  <c r="AS121" i="3"/>
  <c r="AF121" i="3"/>
  <c r="AD121" i="3"/>
  <c r="AC121" i="3"/>
  <c r="AB121" i="3"/>
  <c r="AA121" i="3"/>
  <c r="N121" i="3"/>
  <c r="L121" i="3"/>
  <c r="K121" i="3"/>
  <c r="J121" i="3"/>
  <c r="I121" i="3"/>
  <c r="AS120" i="3"/>
  <c r="AF120" i="3"/>
  <c r="AD120" i="3"/>
  <c r="AC120" i="3"/>
  <c r="AB120" i="3"/>
  <c r="AA120" i="3"/>
  <c r="N120" i="3"/>
  <c r="L120" i="3"/>
  <c r="K120" i="3"/>
  <c r="J120" i="3"/>
  <c r="I120" i="3"/>
  <c r="AT119" i="3" a="1"/>
  <c r="AT119" i="3" s="1"/>
  <c r="AS119" i="3"/>
  <c r="AF119" i="3"/>
  <c r="AD119" i="3"/>
  <c r="AC119" i="3"/>
  <c r="AB119" i="3"/>
  <c r="AA119" i="3"/>
  <c r="N119" i="3"/>
  <c r="L119" i="3"/>
  <c r="K119" i="3"/>
  <c r="J119" i="3"/>
  <c r="I119" i="3"/>
  <c r="AS118" i="3"/>
  <c r="AF118" i="3"/>
  <c r="AD118" i="3"/>
  <c r="AC118" i="3"/>
  <c r="AB118" i="3"/>
  <c r="AA118" i="3"/>
  <c r="N118" i="3"/>
  <c r="L118" i="3"/>
  <c r="K118" i="3"/>
  <c r="J118" i="3"/>
  <c r="I118" i="3"/>
  <c r="AS117" i="3"/>
  <c r="AF117" i="3"/>
  <c r="AD117" i="3"/>
  <c r="AC117" i="3"/>
  <c r="AB117" i="3"/>
  <c r="AA117" i="3"/>
  <c r="N117" i="3"/>
  <c r="L117" i="3"/>
  <c r="K117" i="3"/>
  <c r="J117" i="3"/>
  <c r="I117" i="3"/>
  <c r="AS116" i="3"/>
  <c r="AF116" i="3"/>
  <c r="AD116" i="3"/>
  <c r="AC116" i="3"/>
  <c r="AB116" i="3"/>
  <c r="AA116" i="3"/>
  <c r="N116" i="3"/>
  <c r="L116" i="3"/>
  <c r="K116" i="3"/>
  <c r="J116" i="3"/>
  <c r="I116" i="3"/>
  <c r="AS115" i="3"/>
  <c r="AF115" i="3"/>
  <c r="AD115" i="3"/>
  <c r="AC115" i="3"/>
  <c r="AB115" i="3"/>
  <c r="AA115" i="3"/>
  <c r="N115" i="3"/>
  <c r="L115" i="3"/>
  <c r="K115" i="3"/>
  <c r="J115" i="3"/>
  <c r="I115" i="3"/>
  <c r="AS114" i="3"/>
  <c r="AF114" i="3"/>
  <c r="AD114" i="3"/>
  <c r="AC114" i="3"/>
  <c r="AB114" i="3"/>
  <c r="AA114" i="3"/>
  <c r="N114" i="3"/>
  <c r="L114" i="3"/>
  <c r="K114" i="3"/>
  <c r="J114" i="3"/>
  <c r="I114" i="3"/>
  <c r="AT113" i="3" a="1"/>
  <c r="AT113" i="3" s="1"/>
  <c r="AS113" i="3"/>
  <c r="AF113" i="3"/>
  <c r="AD113" i="3"/>
  <c r="AC113" i="3"/>
  <c r="AB113" i="3"/>
  <c r="AA113" i="3"/>
  <c r="N113" i="3"/>
  <c r="L113" i="3"/>
  <c r="K113" i="3"/>
  <c r="J113" i="3"/>
  <c r="I113" i="3"/>
  <c r="AS112" i="3"/>
  <c r="AF112" i="3"/>
  <c r="AD112" i="3"/>
  <c r="AC112" i="3"/>
  <c r="AB112" i="3"/>
  <c r="AA112" i="3"/>
  <c r="N112" i="3"/>
  <c r="L112" i="3"/>
  <c r="K112" i="3"/>
  <c r="J112" i="3"/>
  <c r="I112" i="3"/>
  <c r="AS111" i="3"/>
  <c r="AF111" i="3"/>
  <c r="AD111" i="3"/>
  <c r="AC111" i="3"/>
  <c r="AB111" i="3"/>
  <c r="AA111" i="3"/>
  <c r="N111" i="3"/>
  <c r="L111" i="3"/>
  <c r="K111" i="3"/>
  <c r="J111" i="3"/>
  <c r="I111" i="3"/>
  <c r="AS110" i="3"/>
  <c r="AF110" i="3"/>
  <c r="AD110" i="3"/>
  <c r="AC110" i="3"/>
  <c r="AB110" i="3"/>
  <c r="AA110" i="3"/>
  <c r="N110" i="3"/>
  <c r="L110" i="3"/>
  <c r="K110" i="3"/>
  <c r="J110" i="3"/>
  <c r="I110" i="3"/>
  <c r="AS109" i="3"/>
  <c r="AF109" i="3"/>
  <c r="AD109" i="3"/>
  <c r="AC109" i="3"/>
  <c r="AB109" i="3"/>
  <c r="AA109" i="3"/>
  <c r="N109" i="3"/>
  <c r="L109" i="3"/>
  <c r="K109" i="3"/>
  <c r="J109" i="3"/>
  <c r="I109" i="3"/>
  <c r="AS108" i="3"/>
  <c r="AF108" i="3"/>
  <c r="AD108" i="3"/>
  <c r="AC108" i="3"/>
  <c r="AB108" i="3"/>
  <c r="AA108" i="3"/>
  <c r="N108" i="3"/>
  <c r="L108" i="3"/>
  <c r="K108" i="3"/>
  <c r="J108" i="3"/>
  <c r="I108" i="3"/>
  <c r="AT107" i="3" a="1"/>
  <c r="AT107" i="3" s="1"/>
  <c r="AS107" i="3"/>
  <c r="AF107" i="3"/>
  <c r="AD107" i="3"/>
  <c r="AC107" i="3"/>
  <c r="AB107" i="3"/>
  <c r="AA107" i="3"/>
  <c r="N107" i="3"/>
  <c r="L107" i="3"/>
  <c r="K107" i="3"/>
  <c r="J107" i="3"/>
  <c r="I107" i="3"/>
  <c r="AS106" i="3"/>
  <c r="AF106" i="3"/>
  <c r="AD106" i="3"/>
  <c r="AC106" i="3"/>
  <c r="AB106" i="3"/>
  <c r="AA106" i="3"/>
  <c r="N106" i="3"/>
  <c r="L106" i="3"/>
  <c r="K106" i="3"/>
  <c r="J106" i="3"/>
  <c r="I106" i="3"/>
  <c r="AS105" i="3"/>
  <c r="AF105" i="3"/>
  <c r="AD105" i="3"/>
  <c r="AC105" i="3"/>
  <c r="AB105" i="3"/>
  <c r="AA105" i="3"/>
  <c r="N105" i="3"/>
  <c r="L105" i="3"/>
  <c r="K105" i="3"/>
  <c r="J105" i="3"/>
  <c r="I105" i="3"/>
  <c r="AS104" i="3"/>
  <c r="AF104" i="3"/>
  <c r="AD104" i="3"/>
  <c r="AC104" i="3"/>
  <c r="AB104" i="3"/>
  <c r="AA104" i="3"/>
  <c r="N104" i="3"/>
  <c r="L104" i="3"/>
  <c r="K104" i="3"/>
  <c r="J104" i="3"/>
  <c r="I104" i="3"/>
  <c r="AS103" i="3"/>
  <c r="AF103" i="3"/>
  <c r="AD103" i="3"/>
  <c r="AC103" i="3"/>
  <c r="AB103" i="3"/>
  <c r="AA103" i="3"/>
  <c r="N103" i="3"/>
  <c r="L103" i="3"/>
  <c r="K103" i="3"/>
  <c r="J103" i="3"/>
  <c r="I103" i="3"/>
  <c r="AS102" i="3"/>
  <c r="AF102" i="3"/>
  <c r="AD102" i="3"/>
  <c r="AC102" i="3"/>
  <c r="AB102" i="3"/>
  <c r="AA102" i="3"/>
  <c r="N102" i="3"/>
  <c r="L102" i="3"/>
  <c r="K102" i="3"/>
  <c r="J102" i="3"/>
  <c r="I102" i="3"/>
  <c r="AT101" i="3" a="1"/>
  <c r="AT101" i="3" s="1"/>
  <c r="AS101" i="3"/>
  <c r="AF101" i="3"/>
  <c r="AD101" i="3"/>
  <c r="AC101" i="3"/>
  <c r="AB101" i="3"/>
  <c r="AA101" i="3"/>
  <c r="N101" i="3"/>
  <c r="L101" i="3"/>
  <c r="K101" i="3"/>
  <c r="J101" i="3"/>
  <c r="I101" i="3"/>
  <c r="AS100" i="3"/>
  <c r="AF100" i="3"/>
  <c r="AD100" i="3"/>
  <c r="AC100" i="3"/>
  <c r="AB100" i="3"/>
  <c r="AA100" i="3"/>
  <c r="N100" i="3"/>
  <c r="L100" i="3"/>
  <c r="K100" i="3"/>
  <c r="J100" i="3"/>
  <c r="I100" i="3"/>
  <c r="AS99" i="3"/>
  <c r="AF99" i="3"/>
  <c r="AD99" i="3"/>
  <c r="AC99" i="3"/>
  <c r="AB99" i="3"/>
  <c r="AA99" i="3"/>
  <c r="N99" i="3"/>
  <c r="L99" i="3"/>
  <c r="K99" i="3"/>
  <c r="J99" i="3"/>
  <c r="I99" i="3"/>
  <c r="AS98" i="3"/>
  <c r="AF98" i="3"/>
  <c r="AD98" i="3"/>
  <c r="AC98" i="3"/>
  <c r="AB98" i="3"/>
  <c r="AA98" i="3"/>
  <c r="N98" i="3"/>
  <c r="L98" i="3"/>
  <c r="K98" i="3"/>
  <c r="J98" i="3"/>
  <c r="I98" i="3"/>
  <c r="AS97" i="3"/>
  <c r="AF97" i="3"/>
  <c r="AD97" i="3"/>
  <c r="AC97" i="3"/>
  <c r="AB97" i="3"/>
  <c r="AA97" i="3"/>
  <c r="N97" i="3"/>
  <c r="L97" i="3"/>
  <c r="K97" i="3"/>
  <c r="J97" i="3"/>
  <c r="I97" i="3"/>
  <c r="AS96" i="3"/>
  <c r="AF96" i="3"/>
  <c r="AD96" i="3"/>
  <c r="AC96" i="3"/>
  <c r="AB96" i="3"/>
  <c r="AA96" i="3"/>
  <c r="N96" i="3"/>
  <c r="L96" i="3"/>
  <c r="K96" i="3"/>
  <c r="J96" i="3"/>
  <c r="I96" i="3"/>
  <c r="AT95" i="3" a="1"/>
  <c r="AT95" i="3"/>
  <c r="AS95" i="3"/>
  <c r="AF95" i="3"/>
  <c r="AD95" i="3"/>
  <c r="AC95" i="3"/>
  <c r="AB95" i="3"/>
  <c r="AA95" i="3"/>
  <c r="N95" i="3"/>
  <c r="L95" i="3"/>
  <c r="K95" i="3"/>
  <c r="J95" i="3"/>
  <c r="I95" i="3"/>
  <c r="AS94" i="3"/>
  <c r="AF94" i="3"/>
  <c r="AD94" i="3"/>
  <c r="AC94" i="3"/>
  <c r="AB94" i="3"/>
  <c r="AA94" i="3"/>
  <c r="N94" i="3"/>
  <c r="L94" i="3"/>
  <c r="K94" i="3"/>
  <c r="J94" i="3"/>
  <c r="I94" i="3"/>
  <c r="AS93" i="3"/>
  <c r="AF93" i="3"/>
  <c r="AD93" i="3"/>
  <c r="AC93" i="3"/>
  <c r="AB93" i="3"/>
  <c r="AA93" i="3"/>
  <c r="N93" i="3"/>
  <c r="L93" i="3"/>
  <c r="K93" i="3"/>
  <c r="J93" i="3"/>
  <c r="I93" i="3"/>
  <c r="AS92" i="3"/>
  <c r="AF92" i="3"/>
  <c r="AD92" i="3"/>
  <c r="AC92" i="3"/>
  <c r="AB92" i="3"/>
  <c r="AA92" i="3"/>
  <c r="N92" i="3"/>
  <c r="L92" i="3"/>
  <c r="K92" i="3"/>
  <c r="J92" i="3"/>
  <c r="I92" i="3"/>
  <c r="AS91" i="3"/>
  <c r="AF91" i="3"/>
  <c r="AD91" i="3"/>
  <c r="AC91" i="3"/>
  <c r="AB91" i="3"/>
  <c r="AA91" i="3"/>
  <c r="N91" i="3"/>
  <c r="L91" i="3"/>
  <c r="K91" i="3"/>
  <c r="J91" i="3"/>
  <c r="I91" i="3"/>
  <c r="AS90" i="3"/>
  <c r="AF90" i="3"/>
  <c r="AD90" i="3"/>
  <c r="AC90" i="3"/>
  <c r="AB90" i="3"/>
  <c r="AA90" i="3"/>
  <c r="N90" i="3"/>
  <c r="L90" i="3"/>
  <c r="K90" i="3"/>
  <c r="J90" i="3"/>
  <c r="I90" i="3"/>
  <c r="AT89" i="3" a="1"/>
  <c r="AT89" i="3" s="1"/>
  <c r="AS89" i="3"/>
  <c r="AF89" i="3"/>
  <c r="AD89" i="3"/>
  <c r="AC89" i="3"/>
  <c r="AB89" i="3"/>
  <c r="AA89" i="3"/>
  <c r="N89" i="3"/>
  <c r="L89" i="3"/>
  <c r="K89" i="3"/>
  <c r="J89" i="3"/>
  <c r="I89" i="3"/>
  <c r="AS88" i="3"/>
  <c r="AF88" i="3"/>
  <c r="AD88" i="3"/>
  <c r="AC88" i="3"/>
  <c r="AB88" i="3"/>
  <c r="AA88" i="3"/>
  <c r="N88" i="3"/>
  <c r="L88" i="3"/>
  <c r="K88" i="3"/>
  <c r="J88" i="3"/>
  <c r="I88" i="3"/>
  <c r="AS87" i="3"/>
  <c r="AF87" i="3"/>
  <c r="AD87" i="3"/>
  <c r="AC87" i="3"/>
  <c r="AB87" i="3"/>
  <c r="AA87" i="3"/>
  <c r="N87" i="3"/>
  <c r="L87" i="3"/>
  <c r="K87" i="3"/>
  <c r="J87" i="3"/>
  <c r="I87" i="3"/>
  <c r="AS86" i="3"/>
  <c r="AF86" i="3"/>
  <c r="AD86" i="3"/>
  <c r="AC86" i="3"/>
  <c r="AB86" i="3"/>
  <c r="AA86" i="3"/>
  <c r="N86" i="3"/>
  <c r="L86" i="3"/>
  <c r="K86" i="3"/>
  <c r="J86" i="3"/>
  <c r="I86" i="3"/>
  <c r="AS85" i="3"/>
  <c r="AF85" i="3"/>
  <c r="AD85" i="3"/>
  <c r="AC85" i="3"/>
  <c r="AB85" i="3"/>
  <c r="AA85" i="3"/>
  <c r="N85" i="3"/>
  <c r="L85" i="3"/>
  <c r="K85" i="3"/>
  <c r="J85" i="3"/>
  <c r="I85" i="3"/>
  <c r="AS84" i="3"/>
  <c r="AF84" i="3"/>
  <c r="AD84" i="3"/>
  <c r="AC84" i="3"/>
  <c r="AB84" i="3"/>
  <c r="AA84" i="3"/>
  <c r="N84" i="3"/>
  <c r="L84" i="3"/>
  <c r="K84" i="3"/>
  <c r="J84" i="3"/>
  <c r="I84" i="3"/>
  <c r="AT83" i="3" a="1"/>
  <c r="AT83" i="3"/>
  <c r="AS83" i="3"/>
  <c r="AF83" i="3"/>
  <c r="AD83" i="3"/>
  <c r="AC83" i="3"/>
  <c r="AB83" i="3"/>
  <c r="AA83" i="3"/>
  <c r="N83" i="3"/>
  <c r="L83" i="3"/>
  <c r="K83" i="3"/>
  <c r="J83" i="3"/>
  <c r="I83" i="3"/>
  <c r="AS82" i="3"/>
  <c r="AF82" i="3"/>
  <c r="AD82" i="3"/>
  <c r="AC82" i="3"/>
  <c r="AB82" i="3"/>
  <c r="AA82" i="3"/>
  <c r="N82" i="3"/>
  <c r="L82" i="3"/>
  <c r="K82" i="3"/>
  <c r="J82" i="3"/>
  <c r="I82" i="3"/>
  <c r="AS81" i="3"/>
  <c r="AF81" i="3"/>
  <c r="AD81" i="3"/>
  <c r="AC81" i="3"/>
  <c r="AB81" i="3"/>
  <c r="AA81" i="3"/>
  <c r="N81" i="3"/>
  <c r="L81" i="3"/>
  <c r="K81" i="3"/>
  <c r="J81" i="3"/>
  <c r="I81" i="3"/>
  <c r="AS80" i="3"/>
  <c r="AF80" i="3"/>
  <c r="AD80" i="3"/>
  <c r="AC80" i="3"/>
  <c r="AB80" i="3"/>
  <c r="AA80" i="3"/>
  <c r="N80" i="3"/>
  <c r="L80" i="3"/>
  <c r="K80" i="3"/>
  <c r="J80" i="3"/>
  <c r="I80" i="3"/>
  <c r="AS79" i="3"/>
  <c r="AF79" i="3"/>
  <c r="AD79" i="3"/>
  <c r="AC79" i="3"/>
  <c r="AB79" i="3"/>
  <c r="AA79" i="3"/>
  <c r="N79" i="3"/>
  <c r="L79" i="3"/>
  <c r="K79" i="3"/>
  <c r="J79" i="3"/>
  <c r="I79" i="3"/>
  <c r="AS78" i="3"/>
  <c r="AF78" i="3"/>
  <c r="AD78" i="3"/>
  <c r="AC78" i="3"/>
  <c r="AB78" i="3"/>
  <c r="AA78" i="3"/>
  <c r="N78" i="3"/>
  <c r="L78" i="3"/>
  <c r="K78" i="3"/>
  <c r="J78" i="3"/>
  <c r="I78" i="3"/>
  <c r="AT77" i="3" a="1"/>
  <c r="AT77" i="3" s="1"/>
  <c r="AS77" i="3"/>
  <c r="AF77" i="3"/>
  <c r="AD77" i="3"/>
  <c r="AC77" i="3"/>
  <c r="AB77" i="3"/>
  <c r="AA77" i="3"/>
  <c r="N77" i="3"/>
  <c r="L77" i="3"/>
  <c r="K77" i="3"/>
  <c r="J77" i="3"/>
  <c r="I77" i="3"/>
  <c r="AS76" i="3"/>
  <c r="AF76" i="3"/>
  <c r="AD76" i="3"/>
  <c r="AC76" i="3"/>
  <c r="AB76" i="3"/>
  <c r="AA76" i="3"/>
  <c r="N76" i="3"/>
  <c r="L76" i="3"/>
  <c r="K76" i="3"/>
  <c r="J76" i="3"/>
  <c r="I76" i="3"/>
  <c r="AS75" i="3"/>
  <c r="AF75" i="3"/>
  <c r="AD75" i="3"/>
  <c r="AC75" i="3"/>
  <c r="AB75" i="3"/>
  <c r="AA75" i="3"/>
  <c r="N75" i="3"/>
  <c r="L75" i="3"/>
  <c r="K75" i="3"/>
  <c r="J75" i="3"/>
  <c r="I75" i="3"/>
  <c r="AS74" i="3"/>
  <c r="AF74" i="3"/>
  <c r="AD74" i="3"/>
  <c r="AC74" i="3"/>
  <c r="AB74" i="3"/>
  <c r="AA74" i="3"/>
  <c r="N74" i="3"/>
  <c r="L74" i="3"/>
  <c r="K74" i="3"/>
  <c r="J74" i="3"/>
  <c r="I74" i="3"/>
  <c r="AS73" i="3"/>
  <c r="AF73" i="3"/>
  <c r="AD73" i="3"/>
  <c r="AC73" i="3"/>
  <c r="AB73" i="3"/>
  <c r="AA73" i="3"/>
  <c r="N73" i="3"/>
  <c r="L73" i="3"/>
  <c r="K73" i="3"/>
  <c r="J73" i="3"/>
  <c r="I73" i="3"/>
  <c r="AS72" i="3"/>
  <c r="AF72" i="3"/>
  <c r="AD72" i="3"/>
  <c r="AC72" i="3"/>
  <c r="AB72" i="3"/>
  <c r="AA72" i="3"/>
  <c r="N72" i="3"/>
  <c r="L72" i="3"/>
  <c r="K72" i="3"/>
  <c r="J72" i="3"/>
  <c r="I72" i="3"/>
  <c r="AT71" i="3" a="1"/>
  <c r="AT71" i="3" s="1"/>
  <c r="AS71" i="3"/>
  <c r="AF71" i="3"/>
  <c r="AD71" i="3"/>
  <c r="AC71" i="3"/>
  <c r="AB71" i="3"/>
  <c r="AA71" i="3"/>
  <c r="N71" i="3"/>
  <c r="L71" i="3"/>
  <c r="K71" i="3"/>
  <c r="J71" i="3"/>
  <c r="I71" i="3"/>
  <c r="AS70" i="3"/>
  <c r="AF70" i="3"/>
  <c r="AD70" i="3"/>
  <c r="AC70" i="3"/>
  <c r="AB70" i="3"/>
  <c r="AA70" i="3"/>
  <c r="N70" i="3"/>
  <c r="L70" i="3"/>
  <c r="K70" i="3"/>
  <c r="J70" i="3"/>
  <c r="I70" i="3"/>
  <c r="AS69" i="3"/>
  <c r="AF69" i="3"/>
  <c r="AD69" i="3"/>
  <c r="AC69" i="3"/>
  <c r="AB69" i="3"/>
  <c r="AA69" i="3"/>
  <c r="N69" i="3"/>
  <c r="L69" i="3"/>
  <c r="K69" i="3"/>
  <c r="J69" i="3"/>
  <c r="I69" i="3"/>
  <c r="AS68" i="3"/>
  <c r="AF68" i="3"/>
  <c r="AD68" i="3"/>
  <c r="AC68" i="3"/>
  <c r="AB68" i="3"/>
  <c r="AA68" i="3"/>
  <c r="N68" i="3"/>
  <c r="L68" i="3"/>
  <c r="K68" i="3"/>
  <c r="J68" i="3"/>
  <c r="I68" i="3"/>
  <c r="AS67" i="3"/>
  <c r="AF67" i="3"/>
  <c r="AD67" i="3"/>
  <c r="AC67" i="3"/>
  <c r="AB67" i="3"/>
  <c r="AA67" i="3"/>
  <c r="N67" i="3"/>
  <c r="L67" i="3"/>
  <c r="K67" i="3"/>
  <c r="J67" i="3"/>
  <c r="I67" i="3"/>
  <c r="AS66" i="3"/>
  <c r="AF66" i="3"/>
  <c r="AD66" i="3"/>
  <c r="AC66" i="3"/>
  <c r="AB66" i="3"/>
  <c r="AA66" i="3"/>
  <c r="N66" i="3"/>
  <c r="L66" i="3"/>
  <c r="K66" i="3"/>
  <c r="J66" i="3"/>
  <c r="I66" i="3"/>
  <c r="AT65" i="3" a="1"/>
  <c r="AT65" i="3" s="1"/>
  <c r="AS65" i="3"/>
  <c r="AF65" i="3"/>
  <c r="AD65" i="3"/>
  <c r="AC65" i="3"/>
  <c r="AB65" i="3"/>
  <c r="AA65" i="3"/>
  <c r="N65" i="3"/>
  <c r="L65" i="3"/>
  <c r="K65" i="3"/>
  <c r="J65" i="3"/>
  <c r="I65" i="3"/>
  <c r="AS64" i="3"/>
  <c r="AF64" i="3"/>
  <c r="AD64" i="3"/>
  <c r="AC64" i="3"/>
  <c r="AB64" i="3"/>
  <c r="AA64" i="3"/>
  <c r="N64" i="3"/>
  <c r="L64" i="3"/>
  <c r="K64" i="3"/>
  <c r="J64" i="3"/>
  <c r="I64" i="3"/>
  <c r="AS63" i="3"/>
  <c r="AF63" i="3"/>
  <c r="AD63" i="3"/>
  <c r="AC63" i="3"/>
  <c r="AB63" i="3"/>
  <c r="AA63" i="3"/>
  <c r="N63" i="3"/>
  <c r="L63" i="3"/>
  <c r="K63" i="3"/>
  <c r="J63" i="3"/>
  <c r="I63" i="3"/>
  <c r="AS62" i="3"/>
  <c r="AF62" i="3"/>
  <c r="AD62" i="3"/>
  <c r="AC62" i="3"/>
  <c r="AB62" i="3"/>
  <c r="AA62" i="3"/>
  <c r="N62" i="3"/>
  <c r="L62" i="3"/>
  <c r="K62" i="3"/>
  <c r="J62" i="3"/>
  <c r="I62" i="3"/>
  <c r="AS61" i="3"/>
  <c r="AF61" i="3"/>
  <c r="AD61" i="3"/>
  <c r="AC61" i="3"/>
  <c r="AB61" i="3"/>
  <c r="AA61" i="3"/>
  <c r="N61" i="3"/>
  <c r="L61" i="3"/>
  <c r="K61" i="3"/>
  <c r="J61" i="3"/>
  <c r="I61" i="3"/>
  <c r="AS60" i="3"/>
  <c r="AF60" i="3"/>
  <c r="AD60" i="3"/>
  <c r="AC60" i="3"/>
  <c r="AB60" i="3"/>
  <c r="AA60" i="3"/>
  <c r="N60" i="3"/>
  <c r="L60" i="3"/>
  <c r="K60" i="3"/>
  <c r="J60" i="3"/>
  <c r="I60" i="3"/>
  <c r="AT59" i="3" a="1"/>
  <c r="AT59" i="3" s="1"/>
  <c r="AS59" i="3"/>
  <c r="AF59" i="3"/>
  <c r="AD59" i="3"/>
  <c r="AC59" i="3"/>
  <c r="AB59" i="3"/>
  <c r="AA59" i="3"/>
  <c r="N59" i="3"/>
  <c r="L59" i="3"/>
  <c r="K59" i="3"/>
  <c r="J59" i="3"/>
  <c r="I59" i="3"/>
  <c r="AS58" i="3"/>
  <c r="AF58" i="3"/>
  <c r="AD58" i="3"/>
  <c r="AC58" i="3"/>
  <c r="AB58" i="3"/>
  <c r="AA58" i="3"/>
  <c r="N58" i="3"/>
  <c r="L58" i="3"/>
  <c r="K58" i="3"/>
  <c r="J58" i="3"/>
  <c r="I58" i="3"/>
  <c r="AS57" i="3"/>
  <c r="AF57" i="3"/>
  <c r="AD57" i="3"/>
  <c r="AC57" i="3"/>
  <c r="AB57" i="3"/>
  <c r="AA57" i="3"/>
  <c r="N57" i="3"/>
  <c r="L57" i="3"/>
  <c r="K57" i="3"/>
  <c r="J57" i="3"/>
  <c r="I57" i="3"/>
  <c r="AS56" i="3"/>
  <c r="AF56" i="3"/>
  <c r="AD56" i="3"/>
  <c r="AC56" i="3"/>
  <c r="AB56" i="3"/>
  <c r="AA56" i="3"/>
  <c r="N56" i="3"/>
  <c r="L56" i="3"/>
  <c r="K56" i="3"/>
  <c r="J56" i="3"/>
  <c r="I56" i="3"/>
  <c r="AS55" i="3"/>
  <c r="AF55" i="3"/>
  <c r="AD55" i="3"/>
  <c r="AC55" i="3"/>
  <c r="AB55" i="3"/>
  <c r="AA55" i="3"/>
  <c r="N55" i="3"/>
  <c r="L55" i="3"/>
  <c r="K55" i="3"/>
  <c r="J55" i="3"/>
  <c r="I55" i="3"/>
  <c r="AS54" i="3"/>
  <c r="AF54" i="3"/>
  <c r="AD54" i="3"/>
  <c r="AC54" i="3"/>
  <c r="AB54" i="3"/>
  <c r="AA54" i="3"/>
  <c r="N54" i="3"/>
  <c r="L54" i="3"/>
  <c r="K54" i="3"/>
  <c r="J54" i="3"/>
  <c r="I54" i="3"/>
  <c r="AT53" i="3" a="1"/>
  <c r="AT53" i="3" s="1"/>
  <c r="AS53" i="3"/>
  <c r="AF53" i="3"/>
  <c r="AD53" i="3"/>
  <c r="AC53" i="3"/>
  <c r="AB53" i="3"/>
  <c r="AA53" i="3"/>
  <c r="N53" i="3"/>
  <c r="L53" i="3"/>
  <c r="K53" i="3"/>
  <c r="J53" i="3"/>
  <c r="I53" i="3"/>
  <c r="AS52" i="3"/>
  <c r="AF52" i="3"/>
  <c r="AD52" i="3"/>
  <c r="AC52" i="3"/>
  <c r="AB52" i="3"/>
  <c r="AA52" i="3"/>
  <c r="N52" i="3"/>
  <c r="L52" i="3"/>
  <c r="K52" i="3"/>
  <c r="J52" i="3"/>
  <c r="I52" i="3"/>
  <c r="AS51" i="3"/>
  <c r="AF51" i="3"/>
  <c r="AD51" i="3"/>
  <c r="AC51" i="3"/>
  <c r="AB51" i="3"/>
  <c r="AA51" i="3"/>
  <c r="N51" i="3"/>
  <c r="L51" i="3"/>
  <c r="K51" i="3"/>
  <c r="J51" i="3"/>
  <c r="I51" i="3"/>
  <c r="AS50" i="3"/>
  <c r="AF50" i="3"/>
  <c r="AD50" i="3"/>
  <c r="AC50" i="3"/>
  <c r="AB50" i="3"/>
  <c r="AA50" i="3"/>
  <c r="N50" i="3"/>
  <c r="L50" i="3"/>
  <c r="K50" i="3"/>
  <c r="J50" i="3"/>
  <c r="I50" i="3"/>
  <c r="AS49" i="3"/>
  <c r="AF49" i="3"/>
  <c r="AD49" i="3"/>
  <c r="AC49" i="3"/>
  <c r="AB49" i="3"/>
  <c r="AA49" i="3"/>
  <c r="N49" i="3"/>
  <c r="L49" i="3"/>
  <c r="K49" i="3"/>
  <c r="J49" i="3"/>
  <c r="I49" i="3"/>
  <c r="AS48" i="3"/>
  <c r="AF48" i="3"/>
  <c r="AD48" i="3"/>
  <c r="AC48" i="3"/>
  <c r="AB48" i="3"/>
  <c r="AA48" i="3"/>
  <c r="N48" i="3"/>
  <c r="L48" i="3"/>
  <c r="K48" i="3"/>
  <c r="J48" i="3"/>
  <c r="I48" i="3"/>
  <c r="AT47" i="3" a="1"/>
  <c r="AT47" i="3" s="1"/>
  <c r="AS47" i="3"/>
  <c r="AF47" i="3"/>
  <c r="AD47" i="3"/>
  <c r="AC47" i="3"/>
  <c r="AB47" i="3"/>
  <c r="AA47" i="3"/>
  <c r="N47" i="3"/>
  <c r="L47" i="3"/>
  <c r="K47" i="3"/>
  <c r="J47" i="3"/>
  <c r="I47" i="3"/>
  <c r="AS46" i="3"/>
  <c r="AF46" i="3"/>
  <c r="AD46" i="3"/>
  <c r="AC46" i="3"/>
  <c r="AB46" i="3"/>
  <c r="AA46" i="3"/>
  <c r="N46" i="3"/>
  <c r="L46" i="3"/>
  <c r="K46" i="3"/>
  <c r="J46" i="3"/>
  <c r="I46" i="3"/>
  <c r="AS45" i="3"/>
  <c r="AF45" i="3"/>
  <c r="AD45" i="3"/>
  <c r="AC45" i="3"/>
  <c r="AB45" i="3"/>
  <c r="AA45" i="3"/>
  <c r="N45" i="3"/>
  <c r="L45" i="3"/>
  <c r="K45" i="3"/>
  <c r="J45" i="3"/>
  <c r="I45" i="3"/>
  <c r="AS44" i="3"/>
  <c r="AF44" i="3"/>
  <c r="AD44" i="3"/>
  <c r="AC44" i="3"/>
  <c r="AB44" i="3"/>
  <c r="AA44" i="3"/>
  <c r="N44" i="3"/>
  <c r="L44" i="3"/>
  <c r="K44" i="3"/>
  <c r="J44" i="3"/>
  <c r="I44" i="3"/>
  <c r="AS43" i="3"/>
  <c r="AF43" i="3"/>
  <c r="AD43" i="3"/>
  <c r="AC43" i="3"/>
  <c r="AB43" i="3"/>
  <c r="AA43" i="3"/>
  <c r="N43" i="3"/>
  <c r="L43" i="3"/>
  <c r="K43" i="3"/>
  <c r="J43" i="3"/>
  <c r="I43" i="3"/>
  <c r="AS42" i="3"/>
  <c r="AF42" i="3"/>
  <c r="AD42" i="3"/>
  <c r="AC42" i="3"/>
  <c r="AB42" i="3"/>
  <c r="AA42" i="3"/>
  <c r="N42" i="3"/>
  <c r="L42" i="3"/>
  <c r="K42" i="3"/>
  <c r="J42" i="3"/>
  <c r="I42" i="3"/>
  <c r="AT41" i="3" a="1"/>
  <c r="AT41" i="3" s="1"/>
  <c r="AS41" i="3"/>
  <c r="AF41" i="3"/>
  <c r="AD41" i="3"/>
  <c r="AC41" i="3"/>
  <c r="AB41" i="3"/>
  <c r="AA41" i="3"/>
  <c r="N41" i="3"/>
  <c r="L41" i="3"/>
  <c r="K41" i="3"/>
  <c r="J41" i="3"/>
  <c r="I41" i="3"/>
  <c r="AS40" i="3"/>
  <c r="AF40" i="3"/>
  <c r="AD40" i="3"/>
  <c r="AC40" i="3"/>
  <c r="AB40" i="3"/>
  <c r="AA40" i="3"/>
  <c r="N40" i="3"/>
  <c r="L40" i="3"/>
  <c r="K40" i="3"/>
  <c r="J40" i="3"/>
  <c r="I40" i="3"/>
  <c r="AS39" i="3"/>
  <c r="AF39" i="3"/>
  <c r="AD39" i="3"/>
  <c r="AC39" i="3"/>
  <c r="AB39" i="3"/>
  <c r="AA39" i="3"/>
  <c r="N39" i="3"/>
  <c r="L39" i="3"/>
  <c r="K39" i="3"/>
  <c r="J39" i="3"/>
  <c r="I39" i="3"/>
  <c r="AS38" i="3"/>
  <c r="AF38" i="3"/>
  <c r="AD38" i="3"/>
  <c r="AC38" i="3"/>
  <c r="AB38" i="3"/>
  <c r="AA38" i="3"/>
  <c r="N38" i="3"/>
  <c r="L38" i="3"/>
  <c r="K38" i="3"/>
  <c r="J38" i="3"/>
  <c r="I38" i="3"/>
  <c r="AS37" i="3"/>
  <c r="AF37" i="3"/>
  <c r="AD37" i="3"/>
  <c r="AC37" i="3"/>
  <c r="AB37" i="3"/>
  <c r="AA37" i="3"/>
  <c r="N37" i="3"/>
  <c r="L37" i="3"/>
  <c r="K37" i="3"/>
  <c r="J37" i="3"/>
  <c r="I37" i="3"/>
  <c r="AS36" i="3"/>
  <c r="AF36" i="3"/>
  <c r="AD36" i="3"/>
  <c r="AC36" i="3"/>
  <c r="AB36" i="3"/>
  <c r="AA36" i="3"/>
  <c r="N36" i="3"/>
  <c r="L36" i="3"/>
  <c r="K36" i="3"/>
  <c r="J36" i="3"/>
  <c r="I36" i="3"/>
  <c r="AT35" i="3" a="1"/>
  <c r="AT35" i="3" s="1"/>
  <c r="AS35" i="3"/>
  <c r="AF35" i="3"/>
  <c r="AD35" i="3"/>
  <c r="AC35" i="3"/>
  <c r="AB35" i="3"/>
  <c r="AA35" i="3"/>
  <c r="N35" i="3"/>
  <c r="L35" i="3"/>
  <c r="K35" i="3"/>
  <c r="J35" i="3"/>
  <c r="I35" i="3"/>
  <c r="AS34" i="3"/>
  <c r="AF34" i="3"/>
  <c r="AD34" i="3"/>
  <c r="AC34" i="3"/>
  <c r="AB34" i="3"/>
  <c r="AA34" i="3"/>
  <c r="N34" i="3"/>
  <c r="L34" i="3"/>
  <c r="K34" i="3"/>
  <c r="J34" i="3"/>
  <c r="I34" i="3"/>
  <c r="AS33" i="3"/>
  <c r="AF33" i="3"/>
  <c r="AD33" i="3"/>
  <c r="AC33" i="3"/>
  <c r="AB33" i="3"/>
  <c r="AA33" i="3"/>
  <c r="N33" i="3"/>
  <c r="L33" i="3"/>
  <c r="K33" i="3"/>
  <c r="J33" i="3"/>
  <c r="I33" i="3"/>
  <c r="AS32" i="3"/>
  <c r="AF32" i="3"/>
  <c r="AD32" i="3"/>
  <c r="AC32" i="3"/>
  <c r="AB32" i="3"/>
  <c r="AA32" i="3"/>
  <c r="N32" i="3"/>
  <c r="L32" i="3"/>
  <c r="K32" i="3"/>
  <c r="J32" i="3"/>
  <c r="I32" i="3"/>
  <c r="AS31" i="3"/>
  <c r="AF31" i="3"/>
  <c r="AD31" i="3"/>
  <c r="AC31" i="3"/>
  <c r="AB31" i="3"/>
  <c r="AA31" i="3"/>
  <c r="N31" i="3"/>
  <c r="L31" i="3"/>
  <c r="K31" i="3"/>
  <c r="J31" i="3"/>
  <c r="I31" i="3"/>
  <c r="AS30" i="3"/>
  <c r="AF30" i="3"/>
  <c r="AD30" i="3"/>
  <c r="AC30" i="3"/>
  <c r="AB30" i="3"/>
  <c r="AA30" i="3"/>
  <c r="N30" i="3"/>
  <c r="L30" i="3"/>
  <c r="K30" i="3"/>
  <c r="J30" i="3"/>
  <c r="I30" i="3"/>
  <c r="AT29" i="3" a="1"/>
  <c r="AT29" i="3" s="1"/>
  <c r="AS29" i="3"/>
  <c r="AF29" i="3"/>
  <c r="AD29" i="3"/>
  <c r="AC29" i="3"/>
  <c r="AB29" i="3"/>
  <c r="AA29" i="3"/>
  <c r="N29" i="3"/>
  <c r="L29" i="3"/>
  <c r="K29" i="3"/>
  <c r="J29" i="3"/>
  <c r="I29" i="3"/>
  <c r="AS28" i="3"/>
  <c r="AF28" i="3"/>
  <c r="AD28" i="3"/>
  <c r="AC28" i="3"/>
  <c r="AB28" i="3"/>
  <c r="AA28" i="3"/>
  <c r="N28" i="3"/>
  <c r="L28" i="3"/>
  <c r="K28" i="3"/>
  <c r="J28" i="3"/>
  <c r="I28" i="3"/>
  <c r="AS27" i="3"/>
  <c r="AF27" i="3"/>
  <c r="AD27" i="3"/>
  <c r="AC27" i="3"/>
  <c r="AB27" i="3"/>
  <c r="AA27" i="3"/>
  <c r="N27" i="3"/>
  <c r="L27" i="3"/>
  <c r="K27" i="3"/>
  <c r="J27" i="3"/>
  <c r="I27" i="3"/>
  <c r="AS26" i="3"/>
  <c r="AF26" i="3"/>
  <c r="AD26" i="3"/>
  <c r="AC26" i="3"/>
  <c r="AB26" i="3"/>
  <c r="AA26" i="3"/>
  <c r="N26" i="3"/>
  <c r="L26" i="3"/>
  <c r="K26" i="3"/>
  <c r="J26" i="3"/>
  <c r="I26" i="3"/>
  <c r="AS25" i="3"/>
  <c r="AF25" i="3"/>
  <c r="AD25" i="3"/>
  <c r="AC25" i="3"/>
  <c r="AB25" i="3"/>
  <c r="AA25" i="3"/>
  <c r="N25" i="3"/>
  <c r="L25" i="3"/>
  <c r="K25" i="3"/>
  <c r="J25" i="3"/>
  <c r="I25" i="3"/>
  <c r="AS24" i="3"/>
  <c r="AF24" i="3"/>
  <c r="AD24" i="3"/>
  <c r="AC24" i="3"/>
  <c r="AB24" i="3"/>
  <c r="AA24" i="3"/>
  <c r="N24" i="3"/>
  <c r="L24" i="3"/>
  <c r="K24" i="3"/>
  <c r="J24" i="3"/>
  <c r="I24" i="3"/>
  <c r="AT23" i="3" a="1"/>
  <c r="AT23" i="3" s="1"/>
  <c r="AS23" i="3"/>
  <c r="AF23" i="3"/>
  <c r="AD23" i="3"/>
  <c r="AC23" i="3"/>
  <c r="AB23" i="3"/>
  <c r="AA23" i="3"/>
  <c r="N23" i="3"/>
  <c r="L23" i="3"/>
  <c r="K23" i="3"/>
  <c r="J23" i="3"/>
  <c r="I23" i="3"/>
  <c r="AS22" i="3"/>
  <c r="AF22" i="3"/>
  <c r="AD22" i="3"/>
  <c r="AC22" i="3"/>
  <c r="AB22" i="3"/>
  <c r="AA22" i="3"/>
  <c r="N22" i="3"/>
  <c r="L22" i="3"/>
  <c r="K22" i="3"/>
  <c r="J22" i="3"/>
  <c r="I22" i="3"/>
  <c r="AS21" i="3"/>
  <c r="AF21" i="3"/>
  <c r="AD21" i="3"/>
  <c r="AC21" i="3"/>
  <c r="AB21" i="3"/>
  <c r="AA21" i="3"/>
  <c r="N21" i="3"/>
  <c r="L21" i="3"/>
  <c r="K21" i="3"/>
  <c r="J21" i="3"/>
  <c r="I21" i="3"/>
  <c r="AS20" i="3"/>
  <c r="AF20" i="3"/>
  <c r="AD20" i="3"/>
  <c r="AC20" i="3"/>
  <c r="AB20" i="3"/>
  <c r="AA20" i="3"/>
  <c r="N20" i="3"/>
  <c r="L20" i="3"/>
  <c r="K20" i="3"/>
  <c r="J20" i="3"/>
  <c r="I20" i="3"/>
  <c r="AS19" i="3"/>
  <c r="AF19" i="3"/>
  <c r="AD19" i="3"/>
  <c r="AC19" i="3"/>
  <c r="AB19" i="3"/>
  <c r="AA19" i="3"/>
  <c r="N19" i="3"/>
  <c r="L19" i="3"/>
  <c r="K19" i="3"/>
  <c r="J19" i="3"/>
  <c r="I19" i="3"/>
  <c r="AS18" i="3"/>
  <c r="AF18" i="3"/>
  <c r="AD18" i="3"/>
  <c r="AC18" i="3"/>
  <c r="AB18" i="3"/>
  <c r="AA18" i="3"/>
  <c r="N18" i="3"/>
  <c r="L18" i="3"/>
  <c r="K18" i="3"/>
  <c r="J18" i="3"/>
  <c r="I18" i="3"/>
  <c r="AT17" i="3" a="1"/>
  <c r="AT17" i="3"/>
  <c r="AS17" i="3"/>
  <c r="AF17" i="3"/>
  <c r="AD17" i="3"/>
  <c r="AC17" i="3"/>
  <c r="AB17" i="3"/>
  <c r="AA17" i="3"/>
  <c r="N17" i="3"/>
  <c r="L17" i="3"/>
  <c r="K17" i="3"/>
  <c r="J17" i="3"/>
  <c r="I17" i="3"/>
  <c r="AS16" i="3"/>
  <c r="AF16" i="3"/>
  <c r="AD16" i="3"/>
  <c r="AC16" i="3"/>
  <c r="AB16" i="3"/>
  <c r="AA16" i="3"/>
  <c r="N16" i="3"/>
  <c r="L16" i="3"/>
  <c r="K16" i="3"/>
  <c r="J16" i="3"/>
  <c r="I16" i="3"/>
  <c r="AS15" i="3"/>
  <c r="AF15" i="3"/>
  <c r="AD15" i="3"/>
  <c r="AC15" i="3"/>
  <c r="AB15" i="3"/>
  <c r="AA15" i="3"/>
  <c r="N15" i="3"/>
  <c r="L15" i="3"/>
  <c r="K15" i="3"/>
  <c r="J15" i="3"/>
  <c r="I15" i="3"/>
  <c r="AS14" i="3"/>
  <c r="AF14" i="3"/>
  <c r="AD14" i="3"/>
  <c r="AC14" i="3"/>
  <c r="AB14" i="3"/>
  <c r="AA14" i="3"/>
  <c r="N14" i="3"/>
  <c r="L14" i="3"/>
  <c r="K14" i="3"/>
  <c r="J14" i="3"/>
  <c r="I14" i="3"/>
  <c r="AS13" i="3"/>
  <c r="AF13" i="3"/>
  <c r="AD13" i="3"/>
  <c r="AC13" i="3"/>
  <c r="AB13" i="3"/>
  <c r="AA13" i="3"/>
  <c r="N13" i="3"/>
  <c r="L13" i="3"/>
  <c r="K13" i="3"/>
  <c r="J13" i="3"/>
  <c r="I13" i="3"/>
  <c r="AS12" i="3"/>
  <c r="AF12" i="3"/>
  <c r="AD12" i="3"/>
  <c r="AC12" i="3"/>
  <c r="AB12" i="3"/>
  <c r="AA12" i="3"/>
  <c r="N12" i="3"/>
  <c r="L12" i="3"/>
  <c r="K12" i="3"/>
  <c r="J12" i="3"/>
  <c r="I12" i="3"/>
  <c r="AT11" i="3" a="1"/>
  <c r="AT11" i="3" s="1"/>
  <c r="AS11" i="3"/>
  <c r="AF11" i="3"/>
  <c r="AD11" i="3"/>
  <c r="AC11" i="3"/>
  <c r="AB11" i="3"/>
  <c r="AA11" i="3"/>
  <c r="N11" i="3"/>
  <c r="L11" i="3"/>
  <c r="K11" i="3"/>
  <c r="J11" i="3"/>
  <c r="I11" i="3"/>
  <c r="AS10" i="3"/>
  <c r="AF10" i="3"/>
  <c r="AD10" i="3"/>
  <c r="AC10" i="3"/>
  <c r="AB10" i="3"/>
  <c r="AA10" i="3"/>
  <c r="N10" i="3"/>
  <c r="L10" i="3"/>
  <c r="K10" i="3"/>
  <c r="J10" i="3"/>
  <c r="I10" i="3"/>
  <c r="AS9" i="3"/>
  <c r="AF9" i="3"/>
  <c r="AD9" i="3"/>
  <c r="AC9" i="3"/>
  <c r="AB9" i="3"/>
  <c r="AA9" i="3"/>
  <c r="N9" i="3"/>
  <c r="L9" i="3"/>
  <c r="K9" i="3"/>
  <c r="J9" i="3"/>
  <c r="I9" i="3"/>
  <c r="AS8" i="3"/>
  <c r="AF8" i="3"/>
  <c r="AD8" i="3"/>
  <c r="AC8" i="3"/>
  <c r="AB8" i="3"/>
  <c r="AA8" i="3"/>
  <c r="N8" i="3"/>
  <c r="L8" i="3"/>
  <c r="K8" i="3"/>
  <c r="J8" i="3"/>
  <c r="I8" i="3"/>
  <c r="AS7" i="3"/>
  <c r="AF7" i="3"/>
  <c r="AD7" i="3"/>
  <c r="AC7" i="3"/>
  <c r="AB7" i="3"/>
  <c r="AA7" i="3"/>
  <c r="N7" i="3"/>
  <c r="L7" i="3"/>
  <c r="K7" i="3"/>
  <c r="J7" i="3"/>
  <c r="I7" i="3"/>
  <c r="AS6" i="3"/>
  <c r="AF6" i="3"/>
  <c r="AD6" i="3"/>
  <c r="AC6" i="3"/>
  <c r="AB6" i="3"/>
  <c r="AA6" i="3"/>
  <c r="N6" i="3"/>
  <c r="L6" i="3"/>
  <c r="K6" i="3"/>
  <c r="J6" i="3"/>
  <c r="I6" i="3"/>
  <c r="AT5" i="3" a="1"/>
  <c r="AT5" i="3" s="1"/>
  <c r="AS5" i="3"/>
  <c r="AF5" i="3"/>
  <c r="AD5" i="3"/>
  <c r="AC5" i="3"/>
  <c r="AB5" i="3"/>
  <c r="AA5" i="3"/>
  <c r="N5" i="3"/>
  <c r="L5" i="3"/>
  <c r="K5" i="3"/>
  <c r="J5" i="3"/>
  <c r="I5" i="3"/>
  <c r="B2" i="2"/>
  <c r="B1" i="2"/>
  <c r="AZ329" i="5"/>
  <c r="BE323" i="5"/>
  <c r="BL353" i="5"/>
  <c r="AZ347" i="5"/>
  <c r="BE317" i="5"/>
  <c r="BG311" i="5"/>
  <c r="BH305" i="5"/>
  <c r="BL299" i="5"/>
  <c r="BG293" i="5"/>
  <c r="BJ287" i="5"/>
  <c r="BA287" i="5"/>
  <c r="BD281" i="5"/>
  <c r="BA323" i="5"/>
  <c r="AZ341" i="5"/>
  <c r="BA317" i="5"/>
  <c r="BE311" i="5"/>
  <c r="BG305" i="5"/>
  <c r="BH299" i="5"/>
  <c r="BE293" i="5"/>
  <c r="BI287" i="5"/>
  <c r="AZ287" i="5"/>
  <c r="BL281" i="5"/>
  <c r="BC281" i="5"/>
  <c r="BL335" i="5"/>
  <c r="AZ323" i="5"/>
  <c r="AZ317" i="5"/>
  <c r="BA311" i="5"/>
  <c r="BE305" i="5"/>
  <c r="BG299" i="5"/>
  <c r="BD293" i="5"/>
  <c r="BH287" i="5"/>
  <c r="BK281" i="5"/>
  <c r="BB281" i="5"/>
  <c r="BH335" i="5"/>
  <c r="BL329" i="5"/>
  <c r="AZ353" i="5"/>
  <c r="BL347" i="5"/>
  <c r="AZ311" i="5"/>
  <c r="BA305" i="5"/>
  <c r="BE299" i="5"/>
  <c r="BL293" i="5"/>
  <c r="BC293" i="5"/>
  <c r="BG287" i="5"/>
  <c r="BJ281" i="5"/>
  <c r="BA281" i="5"/>
  <c r="BG335" i="5"/>
  <c r="BH329" i="5"/>
  <c r="BL341" i="5"/>
  <c r="AZ305" i="5"/>
  <c r="BA299" i="5"/>
  <c r="BK293" i="5"/>
  <c r="BB293" i="5"/>
  <c r="BE287" i="5"/>
  <c r="BI281" i="5"/>
  <c r="AZ281" i="5"/>
  <c r="BE335" i="5"/>
  <c r="BG329" i="5"/>
  <c r="BL323" i="5"/>
  <c r="BE353" i="5"/>
  <c r="BG347" i="5"/>
  <c r="BL317" i="5"/>
  <c r="AZ299" i="5"/>
  <c r="BJ293" i="5"/>
  <c r="BA293" i="5"/>
  <c r="BD287" i="5"/>
  <c r="BH281" i="5"/>
  <c r="BA335" i="5"/>
  <c r="BE329" i="5"/>
  <c r="BH323" i="5"/>
  <c r="BG353" i="5"/>
  <c r="BE347" i="5"/>
  <c r="BG341" i="5"/>
  <c r="BH317" i="5"/>
  <c r="BL311" i="5"/>
  <c r="BI293" i="5"/>
  <c r="AZ293" i="5"/>
  <c r="BL287" i="5"/>
  <c r="BC287" i="5"/>
  <c r="BG281" i="5"/>
  <c r="AZ335" i="5"/>
  <c r="BA329" i="5"/>
  <c r="BG323" i="5"/>
  <c r="BE341" i="5"/>
  <c r="BG317" i="5"/>
  <c r="BH311" i="5"/>
  <c r="BL305" i="5"/>
  <c r="BH293" i="5"/>
  <c r="BK287" i="5"/>
  <c r="BB287" i="5"/>
  <c r="BE281" i="5"/>
  <c r="BD335" i="3"/>
  <c r="BD347" i="3"/>
  <c r="AY311" i="3"/>
  <c r="BD293" i="3"/>
  <c r="BD287" i="3"/>
  <c r="BD281" i="3"/>
  <c r="BA275" i="3"/>
  <c r="BB269" i="3"/>
  <c r="BC263" i="3"/>
  <c r="AV245" i="3"/>
  <c r="AW239" i="3"/>
  <c r="AX233" i="3"/>
  <c r="BB227" i="3"/>
  <c r="BC221" i="3"/>
  <c r="AV209" i="3"/>
  <c r="AW203" i="3"/>
  <c r="BA197" i="3"/>
  <c r="BB191" i="3"/>
  <c r="AV173" i="3"/>
  <c r="AW167" i="3"/>
  <c r="BA161" i="3"/>
  <c r="BB155" i="3"/>
  <c r="AV137" i="3"/>
  <c r="AX131" i="3"/>
  <c r="BA125" i="3"/>
  <c r="BB119" i="3"/>
  <c r="BC113" i="3"/>
  <c r="AV95" i="3"/>
  <c r="AX89" i="3"/>
  <c r="BA83" i="3"/>
  <c r="BC77" i="3"/>
  <c r="AV59" i="3"/>
  <c r="AW53" i="3"/>
  <c r="AX47" i="3"/>
  <c r="BA41" i="3"/>
  <c r="BB35" i="3"/>
  <c r="BC29" i="3"/>
  <c r="AW11" i="3"/>
  <c r="AX5" i="3"/>
  <c r="AW5" i="3"/>
  <c r="AY335" i="3"/>
  <c r="AY347" i="3"/>
  <c r="BD299" i="3"/>
  <c r="BC293" i="3"/>
  <c r="BC287" i="3"/>
  <c r="BC281" i="3"/>
  <c r="AX275" i="3"/>
  <c r="BA269" i="3"/>
  <c r="BB263" i="3"/>
  <c r="BC257" i="3"/>
  <c r="AV239" i="3"/>
  <c r="AW233" i="3"/>
  <c r="BA227" i="3"/>
  <c r="BB221" i="3"/>
  <c r="BC215" i="3"/>
  <c r="AV203" i="3"/>
  <c r="AX197" i="3"/>
  <c r="BA191" i="3"/>
  <c r="BC185" i="3"/>
  <c r="AV167" i="3"/>
  <c r="AX161" i="3"/>
  <c r="BA155" i="3"/>
  <c r="BC149" i="3"/>
  <c r="AW131" i="3"/>
  <c r="AX125" i="3"/>
  <c r="BA119" i="3"/>
  <c r="BB113" i="3"/>
  <c r="BC107" i="3"/>
  <c r="AW89" i="3"/>
  <c r="AX83" i="3"/>
  <c r="BB77" i="3"/>
  <c r="BC71" i="3"/>
  <c r="AV53" i="3"/>
  <c r="AW47" i="3"/>
  <c r="AX41" i="3"/>
  <c r="BA35" i="3"/>
  <c r="BB29" i="3"/>
  <c r="BC23" i="3"/>
  <c r="AV11" i="3"/>
  <c r="BD323" i="3"/>
  <c r="BD317" i="3"/>
  <c r="AY299" i="3"/>
  <c r="BB293" i="3"/>
  <c r="BB287" i="3"/>
  <c r="BB281" i="3"/>
  <c r="AW275" i="3"/>
  <c r="AX269" i="3"/>
  <c r="BA263" i="3"/>
  <c r="BB257" i="3"/>
  <c r="BC251" i="3"/>
  <c r="AV233" i="3"/>
  <c r="AX227" i="3"/>
  <c r="BA221" i="3"/>
  <c r="BB215" i="3"/>
  <c r="AW197" i="3"/>
  <c r="AX191" i="3"/>
  <c r="BB185" i="3"/>
  <c r="BC179" i="3"/>
  <c r="AW161" i="3"/>
  <c r="AX155" i="3"/>
  <c r="BB149" i="3"/>
  <c r="BC143" i="3"/>
  <c r="AV131" i="3"/>
  <c r="AW125" i="3"/>
  <c r="AX119" i="3"/>
  <c r="BA113" i="3"/>
  <c r="BB107" i="3"/>
  <c r="BC101" i="3"/>
  <c r="AV89" i="3"/>
  <c r="AW83" i="3"/>
  <c r="BA77" i="3"/>
  <c r="BB71" i="3"/>
  <c r="BC65" i="3"/>
  <c r="AV47" i="3"/>
  <c r="AW41" i="3"/>
  <c r="AX35" i="3"/>
  <c r="BA29" i="3"/>
  <c r="BB23" i="3"/>
  <c r="BC17" i="3"/>
  <c r="AV5" i="3"/>
  <c r="AY323" i="3"/>
  <c r="BD353" i="3"/>
  <c r="AY317" i="3"/>
  <c r="BA293" i="3"/>
  <c r="BA287" i="3"/>
  <c r="BA281" i="3"/>
  <c r="AV275" i="3"/>
  <c r="AW269" i="3"/>
  <c r="AX263" i="3"/>
  <c r="BA257" i="3"/>
  <c r="BB251" i="3"/>
  <c r="BC245" i="3"/>
  <c r="AW227" i="3"/>
  <c r="AX221" i="3"/>
  <c r="BA215" i="3"/>
  <c r="BC209" i="3"/>
  <c r="AV197" i="3"/>
  <c r="AW191" i="3"/>
  <c r="BA185" i="3"/>
  <c r="BB179" i="3"/>
  <c r="BC173" i="3"/>
  <c r="AV161" i="3"/>
  <c r="AW155" i="3"/>
  <c r="BA149" i="3"/>
  <c r="BB143" i="3"/>
  <c r="BC137" i="3"/>
  <c r="AV125" i="3"/>
  <c r="AW119" i="3"/>
  <c r="AX113" i="3"/>
  <c r="BA107" i="3"/>
  <c r="BB101" i="3"/>
  <c r="BC95" i="3"/>
  <c r="AV83" i="3"/>
  <c r="AX77" i="3"/>
  <c r="BA71" i="3"/>
  <c r="BB65" i="3"/>
  <c r="BC59" i="3"/>
  <c r="AV41" i="3"/>
  <c r="AW35" i="3"/>
  <c r="AX29" i="3"/>
  <c r="BA23" i="3"/>
  <c r="BB17" i="3"/>
  <c r="AY353" i="3"/>
  <c r="BD305" i="3"/>
  <c r="AY293" i="3"/>
  <c r="AY287" i="3"/>
  <c r="AY281" i="3"/>
  <c r="AV269" i="3"/>
  <c r="AW263" i="3"/>
  <c r="AX257" i="3"/>
  <c r="BA251" i="3"/>
  <c r="BB245" i="3"/>
  <c r="BC239" i="3"/>
  <c r="AV227" i="3"/>
  <c r="AW221" i="3"/>
  <c r="AX215" i="3"/>
  <c r="BB209" i="3"/>
  <c r="BC203" i="3"/>
  <c r="AV191" i="3"/>
  <c r="AX185" i="3"/>
  <c r="BA179" i="3"/>
  <c r="BB173" i="3"/>
  <c r="BC167" i="3"/>
  <c r="AV155" i="3"/>
  <c r="AX149" i="3"/>
  <c r="BA143" i="3"/>
  <c r="BB137" i="3"/>
  <c r="AV119" i="3"/>
  <c r="AW113" i="3"/>
  <c r="AX107" i="3"/>
  <c r="BA101" i="3"/>
  <c r="BB95" i="3"/>
  <c r="AW77" i="3"/>
  <c r="AX71" i="3"/>
  <c r="BA65" i="3"/>
  <c r="BB59" i="3"/>
  <c r="BC53" i="3"/>
  <c r="AV35" i="3"/>
  <c r="AW29" i="3"/>
  <c r="AX23" i="3"/>
  <c r="BA17" i="3"/>
  <c r="BC11" i="3"/>
  <c r="BC5" i="3"/>
  <c r="BD329" i="3"/>
  <c r="BD341" i="3"/>
  <c r="AY305" i="3"/>
  <c r="AX293" i="3"/>
  <c r="AX287" i="3"/>
  <c r="AX281" i="3"/>
  <c r="AV263" i="3"/>
  <c r="AW257" i="3"/>
  <c r="AX251" i="3"/>
  <c r="BA245" i="3"/>
  <c r="BB239" i="3"/>
  <c r="BC233" i="3"/>
  <c r="AV221" i="3"/>
  <c r="AW215" i="3"/>
  <c r="BA209" i="3"/>
  <c r="BB203" i="3"/>
  <c r="AW185" i="3"/>
  <c r="AX179" i="3"/>
  <c r="BA173" i="3"/>
  <c r="BB167" i="3"/>
  <c r="AW149" i="3"/>
  <c r="AX143" i="3"/>
  <c r="BA137" i="3"/>
  <c r="BC131" i="3"/>
  <c r="AV113" i="3"/>
  <c r="AW107" i="3"/>
  <c r="AX101" i="3"/>
  <c r="BA95" i="3"/>
  <c r="BC89" i="3"/>
  <c r="AV77" i="3"/>
  <c r="AW71" i="3"/>
  <c r="AX65" i="3"/>
  <c r="BA59" i="3"/>
  <c r="BB53" i="3"/>
  <c r="BC47" i="3"/>
  <c r="AV29" i="3"/>
  <c r="AW23" i="3"/>
  <c r="AX17" i="3"/>
  <c r="BB11" i="3"/>
  <c r="AY329" i="3"/>
  <c r="AY341" i="3"/>
  <c r="AW293" i="3"/>
  <c r="AW287" i="3"/>
  <c r="AW281" i="3"/>
  <c r="BC275" i="3"/>
  <c r="AV257" i="3"/>
  <c r="AW251" i="3"/>
  <c r="AX245" i="3"/>
  <c r="BA239" i="3"/>
  <c r="BB233" i="3"/>
  <c r="AV215" i="3"/>
  <c r="AX209" i="3"/>
  <c r="BA203" i="3"/>
  <c r="BC197" i="3"/>
  <c r="AV185" i="3"/>
  <c r="AW179" i="3"/>
  <c r="AX173" i="3"/>
  <c r="BA167" i="3"/>
  <c r="BC161" i="3"/>
  <c r="AV149" i="3"/>
  <c r="AW143" i="3"/>
  <c r="AX137" i="3"/>
  <c r="BB131" i="3"/>
  <c r="BC125" i="3"/>
  <c r="AV107" i="3"/>
  <c r="AW101" i="3"/>
  <c r="AX95" i="3"/>
  <c r="BB89" i="3"/>
  <c r="BC83" i="3"/>
  <c r="AV71" i="3"/>
  <c r="AW65" i="3"/>
  <c r="AX59" i="3"/>
  <c r="BA53" i="3"/>
  <c r="BB47" i="3"/>
  <c r="BC41" i="3"/>
  <c r="AV23" i="3"/>
  <c r="AW17" i="3"/>
  <c r="BA11" i="3"/>
  <c r="BB5" i="3"/>
  <c r="BA5" i="3"/>
  <c r="BD311" i="3"/>
  <c r="AV293" i="3"/>
  <c r="AV287" i="3"/>
  <c r="AV281" i="3"/>
  <c r="BB275" i="3"/>
  <c r="BC269" i="3"/>
  <c r="AV251" i="3"/>
  <c r="AW245" i="3"/>
  <c r="AX239" i="3"/>
  <c r="BA233" i="3"/>
  <c r="BC227" i="3"/>
  <c r="AW209" i="3"/>
  <c r="AX203" i="3"/>
  <c r="BB197" i="3"/>
  <c r="BC191" i="3"/>
  <c r="AV179" i="3"/>
  <c r="AW173" i="3"/>
  <c r="AX167" i="3"/>
  <c r="BB161" i="3"/>
  <c r="BC155" i="3"/>
  <c r="AV143" i="3"/>
  <c r="AW137" i="3"/>
  <c r="BA131" i="3"/>
  <c r="BB125" i="3"/>
  <c r="BC119" i="3"/>
  <c r="AV101" i="3"/>
  <c r="AW95" i="3"/>
  <c r="BA89" i="3"/>
  <c r="BB83" i="3"/>
  <c r="AV65" i="3"/>
  <c r="AW59" i="3"/>
  <c r="AX53" i="3"/>
  <c r="BA47" i="3"/>
  <c r="BB41" i="3"/>
  <c r="BC35" i="3"/>
  <c r="AV17" i="3"/>
  <c r="AX11" i="3"/>
  <c r="BV280" i="7"/>
  <c r="BV270" i="7"/>
  <c r="BV290" i="7"/>
  <c r="BV260" i="7"/>
  <c r="BV250" i="7"/>
  <c r="BQ245" i="7"/>
  <c r="BG245" i="7"/>
  <c r="BT240" i="7"/>
  <c r="BJ240" i="7"/>
  <c r="BV235" i="7"/>
  <c r="BL235" i="7"/>
  <c r="BK230" i="7"/>
  <c r="BS225" i="7"/>
  <c r="BE225" i="7"/>
  <c r="BK220" i="7"/>
  <c r="BS215" i="7"/>
  <c r="BE215" i="7"/>
  <c r="BK210" i="7"/>
  <c r="BS205" i="7"/>
  <c r="BE205" i="7"/>
  <c r="BK200" i="7"/>
  <c r="BS195" i="7"/>
  <c r="BE195" i="7"/>
  <c r="BK190" i="7"/>
  <c r="BS185" i="7"/>
  <c r="BE185" i="7"/>
  <c r="BK180" i="7"/>
  <c r="BS175" i="7"/>
  <c r="BE175" i="7"/>
  <c r="BK170" i="7"/>
  <c r="BS165" i="7"/>
  <c r="BE165" i="7"/>
  <c r="BK160" i="7"/>
  <c r="BS155" i="7"/>
  <c r="BE155" i="7"/>
  <c r="BK150" i="7"/>
  <c r="BS145" i="7"/>
  <c r="BE145" i="7"/>
  <c r="BK140" i="7"/>
  <c r="BS135" i="7"/>
  <c r="BE135" i="7"/>
  <c r="BK130" i="7"/>
  <c r="BS125" i="7"/>
  <c r="BE125" i="7"/>
  <c r="BK120" i="7"/>
  <c r="BS115" i="7"/>
  <c r="BE115" i="7"/>
  <c r="BK110" i="7"/>
  <c r="BS105" i="7"/>
  <c r="BE105" i="7"/>
  <c r="BN100" i="7"/>
  <c r="BT95" i="7"/>
  <c r="BF95" i="7"/>
  <c r="BN90" i="7"/>
  <c r="BT85" i="7"/>
  <c r="BF85" i="7"/>
  <c r="BN80" i="7"/>
  <c r="BT75" i="7"/>
  <c r="BF75" i="7"/>
  <c r="BN70" i="7"/>
  <c r="BT65" i="7"/>
  <c r="BF65" i="7"/>
  <c r="BN60" i="7"/>
  <c r="BT55" i="7"/>
  <c r="BF55" i="7"/>
  <c r="BN50" i="7"/>
  <c r="BT45" i="7"/>
  <c r="BF45" i="7"/>
  <c r="BN40" i="7"/>
  <c r="BT35" i="7"/>
  <c r="BF35" i="7"/>
  <c r="BN30" i="7"/>
  <c r="BT25" i="7"/>
  <c r="BF25" i="7"/>
  <c r="BN20" i="7"/>
  <c r="BT15" i="7"/>
  <c r="BF15" i="7"/>
  <c r="BN10" i="7"/>
  <c r="BT5" i="7"/>
  <c r="BF5" i="7"/>
  <c r="BQ280" i="7"/>
  <c r="BQ270" i="7"/>
  <c r="BQ290" i="7"/>
  <c r="BQ260" i="7"/>
  <c r="BQ250" i="7"/>
  <c r="BP245" i="7"/>
  <c r="BF245" i="7"/>
  <c r="BS240" i="7"/>
  <c r="BI240" i="7"/>
  <c r="BU235" i="7"/>
  <c r="BK235" i="7"/>
  <c r="BJ230" i="7"/>
  <c r="BP225" i="7"/>
  <c r="BD225" i="7"/>
  <c r="BJ220" i="7"/>
  <c r="BP215" i="7"/>
  <c r="BD215" i="7"/>
  <c r="BJ210" i="7"/>
  <c r="BP205" i="7"/>
  <c r="BD205" i="7"/>
  <c r="BJ200" i="7"/>
  <c r="BP195" i="7"/>
  <c r="BD195" i="7"/>
  <c r="BJ190" i="7"/>
  <c r="BP185" i="7"/>
  <c r="BD185" i="7"/>
  <c r="BJ180" i="7"/>
  <c r="BP175" i="7"/>
  <c r="BD175" i="7"/>
  <c r="BJ170" i="7"/>
  <c r="BP165" i="7"/>
  <c r="BD165" i="7"/>
  <c r="BJ160" i="7"/>
  <c r="BP155" i="7"/>
  <c r="BD155" i="7"/>
  <c r="BJ150" i="7"/>
  <c r="BP145" i="7"/>
  <c r="BD145" i="7"/>
  <c r="BJ140" i="7"/>
  <c r="BP135" i="7"/>
  <c r="BD135" i="7"/>
  <c r="BJ130" i="7"/>
  <c r="BP125" i="7"/>
  <c r="BD125" i="7"/>
  <c r="BJ120" i="7"/>
  <c r="BP115" i="7"/>
  <c r="BD115" i="7"/>
  <c r="BJ110" i="7"/>
  <c r="BP105" i="7"/>
  <c r="BD105" i="7"/>
  <c r="BK100" i="7"/>
  <c r="BS95" i="7"/>
  <c r="BE95" i="7"/>
  <c r="BK90" i="7"/>
  <c r="BS85" i="7"/>
  <c r="BE85" i="7"/>
  <c r="BK80" i="7"/>
  <c r="BS75" i="7"/>
  <c r="BE75" i="7"/>
  <c r="BK70" i="7"/>
  <c r="BS65" i="7"/>
  <c r="BE65" i="7"/>
  <c r="BK60" i="7"/>
  <c r="BS55" i="7"/>
  <c r="BE55" i="7"/>
  <c r="BK50" i="7"/>
  <c r="BS45" i="7"/>
  <c r="BE45" i="7"/>
  <c r="BK40" i="7"/>
  <c r="BS35" i="7"/>
  <c r="BE35" i="7"/>
  <c r="BK30" i="7"/>
  <c r="BS25" i="7"/>
  <c r="BE25" i="7"/>
  <c r="BK20" i="7"/>
  <c r="BS15" i="7"/>
  <c r="BE15" i="7"/>
  <c r="BK10" i="7"/>
  <c r="BS5" i="7"/>
  <c r="BE5" i="7"/>
  <c r="BL280" i="7"/>
  <c r="BL270" i="7"/>
  <c r="BL290" i="7"/>
  <c r="BL260" i="7"/>
  <c r="BL250" i="7"/>
  <c r="BO245" i="7"/>
  <c r="BE245" i="7"/>
  <c r="BQ240" i="7"/>
  <c r="BG240" i="7"/>
  <c r="BT235" i="7"/>
  <c r="BJ235" i="7"/>
  <c r="BU230" i="7"/>
  <c r="BI230" i="7"/>
  <c r="BO225" i="7"/>
  <c r="BU220" i="7"/>
  <c r="BI220" i="7"/>
  <c r="BO215" i="7"/>
  <c r="BU210" i="7"/>
  <c r="BI210" i="7"/>
  <c r="BO205" i="7"/>
  <c r="BU200" i="7"/>
  <c r="BI200" i="7"/>
  <c r="BO195" i="7"/>
  <c r="BU190" i="7"/>
  <c r="BI190" i="7"/>
  <c r="BO185" i="7"/>
  <c r="BU180" i="7"/>
  <c r="BI180" i="7"/>
  <c r="BO175" i="7"/>
  <c r="BU170" i="7"/>
  <c r="BI170" i="7"/>
  <c r="BO165" i="7"/>
  <c r="BU160" i="7"/>
  <c r="BI160" i="7"/>
  <c r="BO155" i="7"/>
  <c r="BU150" i="7"/>
  <c r="BI150" i="7"/>
  <c r="BO145" i="7"/>
  <c r="BU140" i="7"/>
  <c r="BI140" i="7"/>
  <c r="BO135" i="7"/>
  <c r="BU130" i="7"/>
  <c r="BI130" i="7"/>
  <c r="BO125" i="7"/>
  <c r="BU120" i="7"/>
  <c r="BI120" i="7"/>
  <c r="BO115" i="7"/>
  <c r="BU110" i="7"/>
  <c r="BI110" i="7"/>
  <c r="BO105" i="7"/>
  <c r="BJ100" i="7"/>
  <c r="BP95" i="7"/>
  <c r="BD95" i="7"/>
  <c r="BJ90" i="7"/>
  <c r="BP85" i="7"/>
  <c r="BD85" i="7"/>
  <c r="BJ80" i="7"/>
  <c r="BP75" i="7"/>
  <c r="BD75" i="7"/>
  <c r="BJ70" i="7"/>
  <c r="BP65" i="7"/>
  <c r="BD65" i="7"/>
  <c r="BJ60" i="7"/>
  <c r="BP55" i="7"/>
  <c r="BD55" i="7"/>
  <c r="BJ50" i="7"/>
  <c r="BP45" i="7"/>
  <c r="BD45" i="7"/>
  <c r="BJ40" i="7"/>
  <c r="BP35" i="7"/>
  <c r="BD35" i="7"/>
  <c r="BJ30" i="7"/>
  <c r="BP25" i="7"/>
  <c r="BD25" i="7"/>
  <c r="BJ20" i="7"/>
  <c r="BP15" i="7"/>
  <c r="BD15" i="7"/>
  <c r="BJ10" i="7"/>
  <c r="BP5" i="7"/>
  <c r="BD5" i="7"/>
  <c r="BG280" i="7"/>
  <c r="BG270" i="7"/>
  <c r="BG290" i="7"/>
  <c r="BG260" i="7"/>
  <c r="BG250" i="7"/>
  <c r="BN245" i="7"/>
  <c r="BD245" i="7"/>
  <c r="BP240" i="7"/>
  <c r="BF240" i="7"/>
  <c r="BS235" i="7"/>
  <c r="BI235" i="7"/>
  <c r="BT230" i="7"/>
  <c r="BF230" i="7"/>
  <c r="BN225" i="7"/>
  <c r="BT220" i="7"/>
  <c r="BF220" i="7"/>
  <c r="BN215" i="7"/>
  <c r="BT210" i="7"/>
  <c r="BF210" i="7"/>
  <c r="BN205" i="7"/>
  <c r="BT200" i="7"/>
  <c r="BF200" i="7"/>
  <c r="BN195" i="7"/>
  <c r="BT190" i="7"/>
  <c r="BF190" i="7"/>
  <c r="BN185" i="7"/>
  <c r="BT180" i="7"/>
  <c r="BF180" i="7"/>
  <c r="BN175" i="7"/>
  <c r="BT170" i="7"/>
  <c r="BF170" i="7"/>
  <c r="BN165" i="7"/>
  <c r="BT160" i="7"/>
  <c r="BF160" i="7"/>
  <c r="BN155" i="7"/>
  <c r="BT150" i="7"/>
  <c r="BF150" i="7"/>
  <c r="BN145" i="7"/>
  <c r="BT140" i="7"/>
  <c r="BF140" i="7"/>
  <c r="BN135" i="7"/>
  <c r="BT130" i="7"/>
  <c r="BF130" i="7"/>
  <c r="BN125" i="7"/>
  <c r="BT120" i="7"/>
  <c r="BF120" i="7"/>
  <c r="BN115" i="7"/>
  <c r="BT110" i="7"/>
  <c r="BF110" i="7"/>
  <c r="BN105" i="7"/>
  <c r="BU100" i="7"/>
  <c r="BI100" i="7"/>
  <c r="BO95" i="7"/>
  <c r="BU90" i="7"/>
  <c r="BI90" i="7"/>
  <c r="BO85" i="7"/>
  <c r="BU80" i="7"/>
  <c r="BI80" i="7"/>
  <c r="BO75" i="7"/>
  <c r="BU70" i="7"/>
  <c r="BI70" i="7"/>
  <c r="BO65" i="7"/>
  <c r="BU60" i="7"/>
  <c r="BI60" i="7"/>
  <c r="BO55" i="7"/>
  <c r="BU50" i="7"/>
  <c r="BI50" i="7"/>
  <c r="BO45" i="7"/>
  <c r="BU40" i="7"/>
  <c r="BI40" i="7"/>
  <c r="BO35" i="7"/>
  <c r="BU30" i="7"/>
  <c r="BI30" i="7"/>
  <c r="BO25" i="7"/>
  <c r="BU20" i="7"/>
  <c r="BI20" i="7"/>
  <c r="BO15" i="7"/>
  <c r="BU10" i="7"/>
  <c r="BI10" i="7"/>
  <c r="BO5" i="7"/>
  <c r="BV275" i="7"/>
  <c r="BV265" i="7"/>
  <c r="BV295" i="7"/>
  <c r="BV285" i="7"/>
  <c r="BV255" i="7"/>
  <c r="BV245" i="7"/>
  <c r="BL245" i="7"/>
  <c r="BO240" i="7"/>
  <c r="BE240" i="7"/>
  <c r="BQ235" i="7"/>
  <c r="BG235" i="7"/>
  <c r="BS230" i="7"/>
  <c r="BE230" i="7"/>
  <c r="BK225" i="7"/>
  <c r="BS220" i="7"/>
  <c r="BE220" i="7"/>
  <c r="BK215" i="7"/>
  <c r="BS210" i="7"/>
  <c r="BE210" i="7"/>
  <c r="BK205" i="7"/>
  <c r="BS200" i="7"/>
  <c r="BE200" i="7"/>
  <c r="BK195" i="7"/>
  <c r="BS190" i="7"/>
  <c r="BE190" i="7"/>
  <c r="BK185" i="7"/>
  <c r="BS180" i="7"/>
  <c r="BE180" i="7"/>
  <c r="BK175" i="7"/>
  <c r="BS170" i="7"/>
  <c r="BE170" i="7"/>
  <c r="BK165" i="7"/>
  <c r="BS160" i="7"/>
  <c r="BE160" i="7"/>
  <c r="BK155" i="7"/>
  <c r="BS150" i="7"/>
  <c r="BE150" i="7"/>
  <c r="BK145" i="7"/>
  <c r="BS140" i="7"/>
  <c r="BE140" i="7"/>
  <c r="BK135" i="7"/>
  <c r="BS130" i="7"/>
  <c r="BE130" i="7"/>
  <c r="BK125" i="7"/>
  <c r="BS120" i="7"/>
  <c r="BE120" i="7"/>
  <c r="BK115" i="7"/>
  <c r="BS110" i="7"/>
  <c r="BE110" i="7"/>
  <c r="BK105" i="7"/>
  <c r="BT100" i="7"/>
  <c r="BF100" i="7"/>
  <c r="BN95" i="7"/>
  <c r="BT90" i="7"/>
  <c r="BF90" i="7"/>
  <c r="BN85" i="7"/>
  <c r="BT80" i="7"/>
  <c r="BF80" i="7"/>
  <c r="BN75" i="7"/>
  <c r="BT70" i="7"/>
  <c r="BF70" i="7"/>
  <c r="BN65" i="7"/>
  <c r="BT60" i="7"/>
  <c r="BF60" i="7"/>
  <c r="BN55" i="7"/>
  <c r="BT50" i="7"/>
  <c r="BF50" i="7"/>
  <c r="BN45" i="7"/>
  <c r="BT40" i="7"/>
  <c r="BF40" i="7"/>
  <c r="BN35" i="7"/>
  <c r="BT30" i="7"/>
  <c r="BF30" i="7"/>
  <c r="BN25" i="7"/>
  <c r="BT20" i="7"/>
  <c r="BF20" i="7"/>
  <c r="BN15" i="7"/>
  <c r="BT10" i="7"/>
  <c r="BF10" i="7"/>
  <c r="BN5" i="7"/>
  <c r="BQ275" i="7"/>
  <c r="BQ265" i="7"/>
  <c r="BQ295" i="7"/>
  <c r="BQ285" i="7"/>
  <c r="BQ255" i="7"/>
  <c r="BU245" i="7"/>
  <c r="BK245" i="7"/>
  <c r="BN240" i="7"/>
  <c r="BD240" i="7"/>
  <c r="BP235" i="7"/>
  <c r="BF235" i="7"/>
  <c r="BP230" i="7"/>
  <c r="BD230" i="7"/>
  <c r="BJ225" i="7"/>
  <c r="BP220" i="7"/>
  <c r="BD220" i="7"/>
  <c r="BJ215" i="7"/>
  <c r="BP210" i="7"/>
  <c r="BD210" i="7"/>
  <c r="BJ205" i="7"/>
  <c r="BP200" i="7"/>
  <c r="BD200" i="7"/>
  <c r="BJ195" i="7"/>
  <c r="BP190" i="7"/>
  <c r="BD190" i="7"/>
  <c r="BJ185" i="7"/>
  <c r="BP180" i="7"/>
  <c r="BD180" i="7"/>
  <c r="BJ175" i="7"/>
  <c r="BP170" i="7"/>
  <c r="BD170" i="7"/>
  <c r="BJ165" i="7"/>
  <c r="BP160" i="7"/>
  <c r="BD160" i="7"/>
  <c r="BJ155" i="7"/>
  <c r="BP150" i="7"/>
  <c r="BD150" i="7"/>
  <c r="BJ145" i="7"/>
  <c r="BP140" i="7"/>
  <c r="BD140" i="7"/>
  <c r="BJ135" i="7"/>
  <c r="BP130" i="7"/>
  <c r="BD130" i="7"/>
  <c r="BJ125" i="7"/>
  <c r="BP120" i="7"/>
  <c r="BD120" i="7"/>
  <c r="BJ115" i="7"/>
  <c r="BP110" i="7"/>
  <c r="BD110" i="7"/>
  <c r="BJ105" i="7"/>
  <c r="BS100" i="7"/>
  <c r="BE100" i="7"/>
  <c r="BK95" i="7"/>
  <c r="BS90" i="7"/>
  <c r="BE90" i="7"/>
  <c r="BK85" i="7"/>
  <c r="BS80" i="7"/>
  <c r="BE80" i="7"/>
  <c r="BK75" i="7"/>
  <c r="BS70" i="7"/>
  <c r="BE70" i="7"/>
  <c r="BK65" i="7"/>
  <c r="BS60" i="7"/>
  <c r="BE60" i="7"/>
  <c r="BK55" i="7"/>
  <c r="BS50" i="7"/>
  <c r="BE50" i="7"/>
  <c r="BK45" i="7"/>
  <c r="BS40" i="7"/>
  <c r="BE40" i="7"/>
  <c r="BK35" i="7"/>
  <c r="BS30" i="7"/>
  <c r="BE30" i="7"/>
  <c r="BK25" i="7"/>
  <c r="BS20" i="7"/>
  <c r="BE20" i="7"/>
  <c r="BK15" i="7"/>
  <c r="BS10" i="7"/>
  <c r="BE10" i="7"/>
  <c r="BK5" i="7"/>
  <c r="BL275" i="7"/>
  <c r="BL265" i="7"/>
  <c r="BL295" i="7"/>
  <c r="BL285" i="7"/>
  <c r="BL255" i="7"/>
  <c r="BT245" i="7"/>
  <c r="BJ245" i="7"/>
  <c r="BV240" i="7"/>
  <c r="BL240" i="7"/>
  <c r="BO235" i="7"/>
  <c r="BE235" i="7"/>
  <c r="BO230" i="7"/>
  <c r="BU225" i="7"/>
  <c r="BI225" i="7"/>
  <c r="BO220" i="7"/>
  <c r="BU215" i="7"/>
  <c r="BI215" i="7"/>
  <c r="BO210" i="7"/>
  <c r="BU205" i="7"/>
  <c r="BI205" i="7"/>
  <c r="BO200" i="7"/>
  <c r="BU195" i="7"/>
  <c r="BI195" i="7"/>
  <c r="BO190" i="7"/>
  <c r="BU185" i="7"/>
  <c r="BI185" i="7"/>
  <c r="BO180" i="7"/>
  <c r="BU175" i="7"/>
  <c r="BI175" i="7"/>
  <c r="BO170" i="7"/>
  <c r="BU165" i="7"/>
  <c r="BI165" i="7"/>
  <c r="BO160" i="7"/>
  <c r="BU155" i="7"/>
  <c r="BI155" i="7"/>
  <c r="BO150" i="7"/>
  <c r="BU145" i="7"/>
  <c r="BI145" i="7"/>
  <c r="BO140" i="7"/>
  <c r="BU135" i="7"/>
  <c r="BI135" i="7"/>
  <c r="BO130" i="7"/>
  <c r="BU125" i="7"/>
  <c r="BI125" i="7"/>
  <c r="BO120" i="7"/>
  <c r="BU115" i="7"/>
  <c r="BI115" i="7"/>
  <c r="BO110" i="7"/>
  <c r="BU105" i="7"/>
  <c r="BI105" i="7"/>
  <c r="BP100" i="7"/>
  <c r="BD100" i="7"/>
  <c r="BJ95" i="7"/>
  <c r="BP90" i="7"/>
  <c r="BD90" i="7"/>
  <c r="BJ85" i="7"/>
  <c r="BP80" i="7"/>
  <c r="BD80" i="7"/>
  <c r="BJ75" i="7"/>
  <c r="BP70" i="7"/>
  <c r="BD70" i="7"/>
  <c r="BJ65" i="7"/>
  <c r="BP60" i="7"/>
  <c r="BD60" i="7"/>
  <c r="BJ55" i="7"/>
  <c r="BP50" i="7"/>
  <c r="BD50" i="7"/>
  <c r="BJ45" i="7"/>
  <c r="BP40" i="7"/>
  <c r="BD40" i="7"/>
  <c r="BJ35" i="7"/>
  <c r="BP30" i="7"/>
  <c r="BD30" i="7"/>
  <c r="BJ25" i="7"/>
  <c r="BP20" i="7"/>
  <c r="BD20" i="7"/>
  <c r="BJ15" i="7"/>
  <c r="BP10" i="7"/>
  <c r="BD10" i="7"/>
  <c r="BJ5" i="7"/>
  <c r="BG275" i="7"/>
  <c r="BG265" i="7"/>
  <c r="BG295" i="7"/>
  <c r="BG285" i="7"/>
  <c r="BG255" i="7"/>
  <c r="BS245" i="7"/>
  <c r="BI245" i="7"/>
  <c r="BU240" i="7"/>
  <c r="BK240" i="7"/>
  <c r="BN235" i="7"/>
  <c r="BD235" i="7"/>
  <c r="BN230" i="7"/>
  <c r="BT225" i="7"/>
  <c r="BF225" i="7"/>
  <c r="BN220" i="7"/>
  <c r="BT215" i="7"/>
  <c r="BF215" i="7"/>
  <c r="BN210" i="7"/>
  <c r="BT205" i="7"/>
  <c r="BF205" i="7"/>
  <c r="BN200" i="7"/>
  <c r="BT195" i="7"/>
  <c r="BF195" i="7"/>
  <c r="BN190" i="7"/>
  <c r="BT185" i="7"/>
  <c r="BF185" i="7"/>
  <c r="BN180" i="7"/>
  <c r="BT175" i="7"/>
  <c r="BF175" i="7"/>
  <c r="BN170" i="7"/>
  <c r="BT165" i="7"/>
  <c r="BF165" i="7"/>
  <c r="BN160" i="7"/>
  <c r="BT155" i="7"/>
  <c r="BF155" i="7"/>
  <c r="BN150" i="7"/>
  <c r="BT145" i="7"/>
  <c r="BF145" i="7"/>
  <c r="BN140" i="7"/>
  <c r="BT135" i="7"/>
  <c r="BF135" i="7"/>
  <c r="BN130" i="7"/>
  <c r="BT125" i="7"/>
  <c r="BF125" i="7"/>
  <c r="BN120" i="7"/>
  <c r="BT115" i="7"/>
  <c r="BF115" i="7"/>
  <c r="BN110" i="7"/>
  <c r="BT105" i="7"/>
  <c r="BF105" i="7"/>
  <c r="BO100" i="7"/>
  <c r="BU95" i="7"/>
  <c r="BI95" i="7"/>
  <c r="BO90" i="7"/>
  <c r="BU85" i="7"/>
  <c r="BI85" i="7"/>
  <c r="BO80" i="7"/>
  <c r="BU75" i="7"/>
  <c r="BI75" i="7"/>
  <c r="BO70" i="7"/>
  <c r="BU65" i="7"/>
  <c r="BI65" i="7"/>
  <c r="BO60" i="7"/>
  <c r="BU55" i="7"/>
  <c r="BI55" i="7"/>
  <c r="BO50" i="7"/>
  <c r="BU45" i="7"/>
  <c r="BI45" i="7"/>
  <c r="BO40" i="7"/>
  <c r="BU35" i="7"/>
  <c r="BI35" i="7"/>
  <c r="BO30" i="7"/>
  <c r="BU25" i="7"/>
  <c r="BI25" i="7"/>
  <c r="BO20" i="7"/>
  <c r="BU15" i="7"/>
  <c r="BI15" i="7"/>
  <c r="BO10" i="7"/>
  <c r="BU5" i="7"/>
  <c r="BI5" i="7"/>
  <c r="AT370" i="5" l="1"/>
  <c r="C31" i="1" s="1"/>
  <c r="J69" i="6"/>
  <c r="AJ75" i="6"/>
  <c r="C46" i="1" s="1"/>
  <c r="AQ368" i="3"/>
  <c r="AX364" i="5"/>
  <c r="Y70" i="6"/>
  <c r="AF305" i="7"/>
  <c r="BB304" i="7"/>
  <c r="AG305" i="7"/>
  <c r="AB70" i="6"/>
  <c r="AD364" i="5"/>
  <c r="AE364" i="5"/>
  <c r="AX365" i="5"/>
  <c r="AB364" i="3"/>
  <c r="AG364" i="5"/>
  <c r="AQ67" i="6"/>
  <c r="J305" i="7"/>
  <c r="AN29" i="6"/>
  <c r="AQ69" i="6"/>
  <c r="K305" i="7"/>
  <c r="AX361" i="5"/>
  <c r="AX360" i="5"/>
  <c r="M305" i="7"/>
  <c r="AM58" i="6"/>
  <c r="BE365" i="5"/>
  <c r="F29" i="1" s="1"/>
  <c r="BL365" i="5"/>
  <c r="AX362" i="5"/>
  <c r="AD365" i="5"/>
  <c r="AT368" i="5"/>
  <c r="AG365" i="5"/>
  <c r="AE365" i="5"/>
  <c r="AZ365" i="5"/>
  <c r="G29" i="1" s="1"/>
  <c r="AE364" i="3"/>
  <c r="AP370" i="3"/>
  <c r="C17" i="1" s="1"/>
  <c r="AC364" i="3"/>
  <c r="AT361" i="3"/>
  <c r="J364" i="3"/>
  <c r="K364" i="3"/>
  <c r="AT360" i="3"/>
  <c r="M364" i="3"/>
  <c r="AT364" i="3"/>
  <c r="AT362" i="3"/>
  <c r="BE364" i="5"/>
  <c r="F28" i="1" s="1"/>
  <c r="BG364" i="5"/>
  <c r="J364" i="5"/>
  <c r="BA364" i="5"/>
  <c r="H28" i="1" s="1"/>
  <c r="AZ364" i="5"/>
  <c r="G28" i="1" s="1"/>
  <c r="BH364" i="5"/>
  <c r="BL364" i="5"/>
  <c r="K364" i="5"/>
  <c r="M364" i="5"/>
  <c r="BG365" i="5"/>
  <c r="M365" i="5"/>
  <c r="J365" i="5"/>
  <c r="K365" i="5"/>
  <c r="AV363" i="3"/>
  <c r="C13" i="1" s="1"/>
  <c r="AW363" i="3"/>
  <c r="D13" i="1" s="1"/>
  <c r="AY365" i="3"/>
  <c r="F15" i="1" s="1"/>
  <c r="AX363" i="3"/>
  <c r="E13" i="1" s="1"/>
  <c r="BD365" i="3"/>
  <c r="AY363" i="3"/>
  <c r="F13" i="1" s="1"/>
  <c r="BA363" i="3"/>
  <c r="BB363" i="3"/>
  <c r="AY364" i="3"/>
  <c r="F14" i="1" s="1"/>
  <c r="BC363" i="3"/>
  <c r="BD364" i="3"/>
  <c r="AT365" i="3"/>
  <c r="BD304" i="7"/>
  <c r="BG305" i="7"/>
  <c r="BG306" i="7"/>
  <c r="BE304" i="7"/>
  <c r="BL306" i="7"/>
  <c r="F57" i="1" s="1"/>
  <c r="BQ306" i="7"/>
  <c r="BV306" i="7"/>
  <c r="BL305" i="7"/>
  <c r="BQ305" i="7"/>
  <c r="BV305" i="7"/>
  <c r="BB301" i="7"/>
  <c r="BB306" i="7"/>
  <c r="BP302" i="7"/>
  <c r="K306" i="7"/>
  <c r="AX311" i="7"/>
  <c r="C59" i="1" s="1"/>
  <c r="AB69" i="6"/>
  <c r="AQ65" i="6"/>
  <c r="AQ66" i="6"/>
  <c r="AN50" i="6"/>
  <c r="AQ70" i="6"/>
  <c r="Y69" i="6"/>
  <c r="AM40" i="6"/>
  <c r="Z69" i="6"/>
  <c r="K68" i="6"/>
  <c r="AM11" i="6"/>
  <c r="AM8" i="6"/>
  <c r="AL16" i="6"/>
  <c r="AN18" i="6"/>
  <c r="AM33" i="6"/>
  <c r="AL41" i="6"/>
  <c r="AN47" i="6"/>
  <c r="K69" i="6"/>
  <c r="Z70" i="6"/>
  <c r="AN30" i="6"/>
  <c r="AN53" i="6"/>
  <c r="M69" i="6"/>
  <c r="AN41" i="6"/>
  <c r="AM26" i="6"/>
  <c r="AL30" i="6"/>
  <c r="AM39" i="6"/>
  <c r="AM43" i="6"/>
  <c r="AL57" i="6"/>
  <c r="AO58" i="6"/>
  <c r="AL22" i="6"/>
  <c r="AN27" i="6"/>
  <c r="AL47" i="6"/>
  <c r="AM55" i="6"/>
  <c r="AM17" i="6"/>
  <c r="AM21" i="6"/>
  <c r="AL50" i="6"/>
  <c r="AM52" i="6"/>
  <c r="AM62" i="6"/>
  <c r="AM57" i="6"/>
  <c r="AL32" i="6"/>
  <c r="AM37" i="6"/>
  <c r="AN20" i="6"/>
  <c r="AL27" i="6"/>
  <c r="J70" i="6"/>
  <c r="AL59" i="6"/>
  <c r="AN11" i="6"/>
  <c r="AM15" i="6"/>
  <c r="AM19" i="6"/>
  <c r="AL48" i="6"/>
  <c r="K70" i="6"/>
  <c r="AM10" i="6"/>
  <c r="AL18" i="6"/>
  <c r="AM31" i="6"/>
  <c r="AL55" i="6"/>
  <c r="AO56" i="6"/>
  <c r="M70" i="6"/>
  <c r="AO70" i="6" s="1"/>
  <c r="E43" i="1" s="1"/>
  <c r="AL63" i="6"/>
  <c r="AF306" i="7"/>
  <c r="AG306" i="7"/>
  <c r="AI306" i="7"/>
  <c r="J306" i="7"/>
  <c r="M306" i="7"/>
  <c r="M365" i="3"/>
  <c r="AB365" i="3"/>
  <c r="AC365" i="3"/>
  <c r="K365" i="3"/>
  <c r="AE365" i="3"/>
  <c r="J365" i="3"/>
  <c r="AY311" i="7"/>
  <c r="C60" i="1" s="1"/>
  <c r="AX309" i="7"/>
  <c r="AM27" i="6"/>
  <c r="AN37" i="6"/>
  <c r="AM50" i="6"/>
  <c r="AN52" i="6"/>
  <c r="AO54" i="6"/>
  <c r="AM5" i="6"/>
  <c r="AN15" i="6"/>
  <c r="AM22" i="6"/>
  <c r="AM23" i="6"/>
  <c r="AL31" i="6"/>
  <c r="AN33" i="6"/>
  <c r="AN42" i="6"/>
  <c r="AO57" i="6"/>
  <c r="AN8" i="6"/>
  <c r="AM34" i="6"/>
  <c r="AL39" i="6"/>
  <c r="AM60" i="6"/>
  <c r="AL15" i="6"/>
  <c r="AL33" i="6"/>
  <c r="AL34" i="6"/>
  <c r="AM38" i="6"/>
  <c r="AL42" i="6"/>
  <c r="AN43" i="6"/>
  <c r="AM59" i="6"/>
  <c r="AO60" i="6"/>
  <c r="AM46" i="6"/>
  <c r="AL52" i="6"/>
  <c r="AL58" i="6"/>
  <c r="AO59" i="6"/>
  <c r="M363" i="3"/>
  <c r="AD360" i="3"/>
  <c r="AP368" i="3"/>
  <c r="AD363" i="3"/>
  <c r="M304" i="7"/>
  <c r="BP300" i="7"/>
  <c r="BF302" i="7"/>
  <c r="J304" i="7"/>
  <c r="AH304" i="7"/>
  <c r="AY309" i="7"/>
  <c r="AH300" i="7"/>
  <c r="BN304" i="7"/>
  <c r="L307" i="7"/>
  <c r="L301" i="7"/>
  <c r="K302" i="7"/>
  <c r="AF303" i="7"/>
  <c r="AG304" i="7"/>
  <c r="K304" i="7"/>
  <c r="AL56" i="6"/>
  <c r="AN5" i="6"/>
  <c r="AN9" i="6"/>
  <c r="AN10" i="6"/>
  <c r="AL14" i="6"/>
  <c r="AN17" i="6"/>
  <c r="AN21" i="6"/>
  <c r="AL25" i="6"/>
  <c r="AA66" i="6"/>
  <c r="AN34" i="6"/>
  <c r="AL38" i="6"/>
  <c r="AN45" i="6"/>
  <c r="AN46" i="6"/>
  <c r="AL49" i="6"/>
  <c r="AM63" i="6"/>
  <c r="AI73" i="6"/>
  <c r="AL60" i="6"/>
  <c r="AL43" i="6"/>
  <c r="AM49" i="6"/>
  <c r="AJ73" i="6"/>
  <c r="AM7" i="6"/>
  <c r="AL11" i="6"/>
  <c r="AM18" i="6"/>
  <c r="AM30" i="6"/>
  <c r="AN36" i="6"/>
  <c r="AM47" i="6"/>
  <c r="AM54" i="6"/>
  <c r="AO63" i="6"/>
  <c r="AL6" i="6"/>
  <c r="AN13" i="6"/>
  <c r="AN14" i="6"/>
  <c r="AL17" i="6"/>
  <c r="AL23" i="6"/>
  <c r="AN23" i="6"/>
  <c r="AM24" i="6"/>
  <c r="AN25" i="6"/>
  <c r="AN31" i="6"/>
  <c r="AM35" i="6"/>
  <c r="AL46" i="6"/>
  <c r="AN49" i="6"/>
  <c r="AO53" i="6"/>
  <c r="AM61" i="6"/>
  <c r="AO62" i="6"/>
  <c r="AL62" i="6"/>
  <c r="AO55" i="6"/>
  <c r="AN38" i="6"/>
  <c r="K71" i="6"/>
  <c r="K64" i="6"/>
  <c r="AL10" i="6"/>
  <c r="AL12" i="6"/>
  <c r="AM13" i="6"/>
  <c r="AL19" i="6"/>
  <c r="AN19" i="6"/>
  <c r="AM20" i="6"/>
  <c r="AL28" i="6"/>
  <c r="AM29" i="6"/>
  <c r="AL35" i="6"/>
  <c r="AN35" i="6"/>
  <c r="AM36" i="6"/>
  <c r="AL44" i="6"/>
  <c r="AM45" i="6"/>
  <c r="J68" i="6"/>
  <c r="AM51" i="6"/>
  <c r="AL61" i="6"/>
  <c r="AL20" i="6"/>
  <c r="AN22" i="6"/>
  <c r="AL36" i="6"/>
  <c r="AB68" i="6"/>
  <c r="L64" i="6"/>
  <c r="L71" i="6"/>
  <c r="AM16" i="6"/>
  <c r="AM32" i="6"/>
  <c r="AM48" i="6"/>
  <c r="AA68" i="6"/>
  <c r="AL7" i="6"/>
  <c r="AL9" i="6"/>
  <c r="AN12" i="6"/>
  <c r="AL24" i="6"/>
  <c r="AM25" i="6"/>
  <c r="AN28" i="6"/>
  <c r="AM41" i="6"/>
  <c r="AM42" i="6"/>
  <c r="AN44" i="6"/>
  <c r="AL54" i="6"/>
  <c r="AO61" i="6"/>
  <c r="AL8" i="6"/>
  <c r="AM9" i="6"/>
  <c r="AM12" i="6"/>
  <c r="AM28" i="6"/>
  <c r="AM44" i="6"/>
  <c r="M68" i="6"/>
  <c r="AO52" i="6"/>
  <c r="AL53" i="6"/>
  <c r="AM53" i="6"/>
  <c r="AM56" i="6"/>
  <c r="AI75" i="6"/>
  <c r="C45" i="1" s="1"/>
  <c r="AU368" i="5"/>
  <c r="AF362" i="5"/>
  <c r="BI363" i="5"/>
  <c r="K363" i="5"/>
  <c r="AD360" i="5"/>
  <c r="L362" i="5"/>
  <c r="L363" i="5"/>
  <c r="M363" i="5"/>
  <c r="L360" i="5"/>
  <c r="K359" i="5"/>
  <c r="AU370" i="5"/>
  <c r="C32" i="1" s="1"/>
  <c r="AF359" i="5"/>
  <c r="J359" i="5"/>
  <c r="AF366" i="5"/>
  <c r="L361" i="5"/>
  <c r="BH363" i="5"/>
  <c r="AG366" i="5"/>
  <c r="BD363" i="5"/>
  <c r="E27" i="1" s="1"/>
  <c r="BT302" i="7"/>
  <c r="BG363" i="5"/>
  <c r="BO307" i="7"/>
  <c r="BI307" i="7"/>
  <c r="C58" i="1" s="1"/>
  <c r="BU307" i="7"/>
  <c r="BN300" i="7"/>
  <c r="BS307" i="7"/>
  <c r="BO301" i="7"/>
  <c r="BE302" i="7"/>
  <c r="BS302" i="7"/>
  <c r="BE303" i="7"/>
  <c r="BS303" i="7"/>
  <c r="BK303" i="7"/>
  <c r="E54" i="1" s="1"/>
  <c r="BF304" i="7"/>
  <c r="BP304" i="7"/>
  <c r="AX362" i="3"/>
  <c r="E12" i="1" s="1"/>
  <c r="BF303" i="7"/>
  <c r="BT303" i="7"/>
  <c r="BQ307" i="7"/>
  <c r="BK304" i="7"/>
  <c r="E55" i="1" s="1"/>
  <c r="BU304" i="7"/>
  <c r="AV361" i="3"/>
  <c r="C11" i="1" s="1"/>
  <c r="AZ363" i="5"/>
  <c r="G27" i="1" s="1"/>
  <c r="BI302" i="7"/>
  <c r="C53" i="1" s="1"/>
  <c r="BU302" i="7"/>
  <c r="BN302" i="7"/>
  <c r="BO303" i="7"/>
  <c r="BI304" i="7"/>
  <c r="C55" i="1" s="1"/>
  <c r="BS304" i="7"/>
  <c r="AW361" i="3"/>
  <c r="D11" i="1" s="1"/>
  <c r="BA363" i="5"/>
  <c r="H27" i="1" s="1"/>
  <c r="BJ363" i="5"/>
  <c r="BJ304" i="7"/>
  <c r="D55" i="1" s="1"/>
  <c r="BT304" i="7"/>
  <c r="BB363" i="5"/>
  <c r="C27" i="1" s="1"/>
  <c r="BK363" i="5"/>
  <c r="BK302" i="7"/>
  <c r="E53" i="1" s="1"/>
  <c r="BD302" i="7"/>
  <c r="AX366" i="3"/>
  <c r="E16" i="1" s="1"/>
  <c r="BA359" i="3"/>
  <c r="AC361" i="3"/>
  <c r="AX361" i="3"/>
  <c r="E11" i="1" s="1"/>
  <c r="J361" i="3"/>
  <c r="AD361" i="3"/>
  <c r="BB362" i="3"/>
  <c r="AB362" i="3"/>
  <c r="AB366" i="3"/>
  <c r="L359" i="3"/>
  <c r="J362" i="3"/>
  <c r="BA362" i="3"/>
  <c r="AW362" i="3"/>
  <c r="D12" i="1" s="1"/>
  <c r="BA360" i="3"/>
  <c r="BB361" i="3"/>
  <c r="K359" i="3"/>
  <c r="K366" i="3"/>
  <c r="BC360" i="3"/>
  <c r="BC361" i="3"/>
  <c r="L362" i="3"/>
  <c r="J363" i="3"/>
  <c r="L366" i="3"/>
  <c r="L360" i="3"/>
  <c r="AV359" i="3"/>
  <c r="C9" i="1" s="1"/>
  <c r="AX359" i="3"/>
  <c r="E9" i="1" s="1"/>
  <c r="AC360" i="3"/>
  <c r="L363" i="3"/>
  <c r="M366" i="3"/>
  <c r="AC363" i="3"/>
  <c r="AY366" i="3"/>
  <c r="F16" i="1" s="1"/>
  <c r="AT366" i="3"/>
  <c r="AT359" i="3"/>
  <c r="AD366" i="5"/>
  <c r="AD359" i="5"/>
  <c r="J363" i="5"/>
  <c r="AV360" i="3"/>
  <c r="C10" i="1" s="1"/>
  <c r="BA361" i="3"/>
  <c r="AD362" i="3"/>
  <c r="AE366" i="5"/>
  <c r="AE359" i="5"/>
  <c r="K362" i="5"/>
  <c r="AG363" i="5"/>
  <c r="BC363" i="5"/>
  <c r="D27" i="1" s="1"/>
  <c r="BL366" i="5"/>
  <c r="BL363" i="5"/>
  <c r="AD363" i="5"/>
  <c r="AL40" i="6"/>
  <c r="Y67" i="6"/>
  <c r="BK301" i="7"/>
  <c r="E52" i="1" s="1"/>
  <c r="AW360" i="3"/>
  <c r="D10" i="1" s="1"/>
  <c r="AB359" i="3"/>
  <c r="AX360" i="3"/>
  <c r="E10" i="1" s="1"/>
  <c r="K361" i="3"/>
  <c r="K362" i="3"/>
  <c r="BD366" i="3"/>
  <c r="AF360" i="5"/>
  <c r="AD361" i="5"/>
  <c r="M366" i="5"/>
  <c r="AQ71" i="6"/>
  <c r="AQ64" i="6"/>
  <c r="BB307" i="7"/>
  <c r="BB300" i="7"/>
  <c r="AI304" i="7"/>
  <c r="AI307" i="7"/>
  <c r="AW366" i="3"/>
  <c r="D16" i="1" s="1"/>
  <c r="AE360" i="5"/>
  <c r="AC359" i="3"/>
  <c r="AC366" i="3"/>
  <c r="BA366" i="3"/>
  <c r="L361" i="3"/>
  <c r="AB363" i="3"/>
  <c r="K366" i="5"/>
  <c r="J360" i="5"/>
  <c r="AG303" i="7"/>
  <c r="AB360" i="3"/>
  <c r="AD359" i="3"/>
  <c r="AD366" i="3"/>
  <c r="BB366" i="3"/>
  <c r="BB359" i="3"/>
  <c r="J360" i="3"/>
  <c r="BB360" i="3"/>
  <c r="BC362" i="3"/>
  <c r="AV366" i="3"/>
  <c r="C16" i="1" s="1"/>
  <c r="L366" i="5"/>
  <c r="AX366" i="5"/>
  <c r="AX359" i="5"/>
  <c r="AF361" i="5"/>
  <c r="BK307" i="7"/>
  <c r="E58" i="1" s="1"/>
  <c r="J359" i="3"/>
  <c r="J366" i="3"/>
  <c r="BC366" i="3"/>
  <c r="BC359" i="3"/>
  <c r="K360" i="3"/>
  <c r="AV362" i="3"/>
  <c r="C12" i="1" s="1"/>
  <c r="AC362" i="3"/>
  <c r="AE363" i="3"/>
  <c r="J361" i="5"/>
  <c r="AE362" i="5"/>
  <c r="J71" i="6"/>
  <c r="AA71" i="6"/>
  <c r="AA64" i="6"/>
  <c r="AN7" i="6"/>
  <c r="AB361" i="3"/>
  <c r="K363" i="3"/>
  <c r="AE366" i="3"/>
  <c r="AE363" i="5"/>
  <c r="AA65" i="6"/>
  <c r="Y66" i="6"/>
  <c r="AL26" i="6"/>
  <c r="AG307" i="7"/>
  <c r="BI301" i="7"/>
  <c r="C52" i="1" s="1"/>
  <c r="BU301" i="7"/>
  <c r="AG301" i="7"/>
  <c r="K360" i="5"/>
  <c r="K361" i="5"/>
  <c r="BE363" i="5"/>
  <c r="F27" i="1" s="1"/>
  <c r="L359" i="5"/>
  <c r="L67" i="6"/>
  <c r="AN51" i="6"/>
  <c r="L68" i="6"/>
  <c r="AN68" i="6" s="1"/>
  <c r="D41" i="1" s="1"/>
  <c r="AB71" i="6"/>
  <c r="AO51" i="6"/>
  <c r="K67" i="6"/>
  <c r="BD307" i="7"/>
  <c r="BP307" i="7"/>
  <c r="BD301" i="7"/>
  <c r="BP301" i="7"/>
  <c r="AF302" i="7"/>
  <c r="BG307" i="7"/>
  <c r="BD363" i="3"/>
  <c r="J366" i="5"/>
  <c r="AN6" i="6"/>
  <c r="AL13" i="6"/>
  <c r="AN24" i="6"/>
  <c r="J66" i="6"/>
  <c r="AL29" i="6"/>
  <c r="AN40" i="6"/>
  <c r="AL45" i="6"/>
  <c r="Y65" i="6"/>
  <c r="BE307" i="7"/>
  <c r="BS300" i="7"/>
  <c r="AG302" i="7"/>
  <c r="AH303" i="7"/>
  <c r="M307" i="7"/>
  <c r="AD362" i="5"/>
  <c r="Z65" i="6"/>
  <c r="AL51" i="6"/>
  <c r="AF307" i="7"/>
  <c r="BF307" i="7"/>
  <c r="BF300" i="7"/>
  <c r="BT300" i="7"/>
  <c r="BT307" i="7"/>
  <c r="AF300" i="7"/>
  <c r="AF301" i="7"/>
  <c r="BF301" i="7"/>
  <c r="BT301" i="7"/>
  <c r="AH302" i="7"/>
  <c r="BJ302" i="7"/>
  <c r="D53" i="1" s="1"/>
  <c r="J303" i="7"/>
  <c r="BJ303" i="7"/>
  <c r="D54" i="1" s="1"/>
  <c r="L304" i="7"/>
  <c r="BE366" i="5"/>
  <c r="Y71" i="6"/>
  <c r="Y64" i="6"/>
  <c r="AL70" i="6" s="1"/>
  <c r="F43" i="1" s="1"/>
  <c r="AL5" i="6"/>
  <c r="J65" i="6"/>
  <c r="L66" i="6"/>
  <c r="AG300" i="7"/>
  <c r="BI300" i="7"/>
  <c r="C51" i="1" s="1"/>
  <c r="BU300" i="7"/>
  <c r="BE301" i="7"/>
  <c r="BS301" i="7"/>
  <c r="J302" i="7"/>
  <c r="K303" i="7"/>
  <c r="Z71" i="6"/>
  <c r="Z64" i="6"/>
  <c r="K65" i="6"/>
  <c r="AN26" i="6"/>
  <c r="K66" i="6"/>
  <c r="AH307" i="7"/>
  <c r="BJ300" i="7"/>
  <c r="D51" i="1" s="1"/>
  <c r="BJ307" i="7"/>
  <c r="D58" i="1" s="1"/>
  <c r="AH301" i="7"/>
  <c r="BJ301" i="7"/>
  <c r="D52" i="1" s="1"/>
  <c r="L303" i="7"/>
  <c r="BN303" i="7"/>
  <c r="BL304" i="7"/>
  <c r="F55" i="1" s="1"/>
  <c r="BV304" i="7"/>
  <c r="AW359" i="3"/>
  <c r="D9" i="1" s="1"/>
  <c r="AE361" i="5"/>
  <c r="J362" i="5"/>
  <c r="AF363" i="5"/>
  <c r="J64" i="6"/>
  <c r="AM6" i="6"/>
  <c r="L65" i="6"/>
  <c r="AN16" i="6"/>
  <c r="AL21" i="6"/>
  <c r="AN32" i="6"/>
  <c r="Z67" i="6"/>
  <c r="AL37" i="6"/>
  <c r="AN48" i="6"/>
  <c r="Y68" i="6"/>
  <c r="Z68" i="6"/>
  <c r="AM68" i="6" s="1"/>
  <c r="C41" i="1" s="1"/>
  <c r="J307" i="7"/>
  <c r="J300" i="7"/>
  <c r="BK300" i="7"/>
  <c r="E51" i="1" s="1"/>
  <c r="J301" i="7"/>
  <c r="L302" i="7"/>
  <c r="BO302" i="7"/>
  <c r="BI303" i="7"/>
  <c r="C54" i="1" s="1"/>
  <c r="BU303" i="7"/>
  <c r="BD300" i="7"/>
  <c r="J67" i="6"/>
  <c r="AA67" i="6"/>
  <c r="K307" i="7"/>
  <c r="BN307" i="7"/>
  <c r="K301" i="7"/>
  <c r="BN301" i="7"/>
  <c r="BD303" i="7"/>
  <c r="BP303" i="7"/>
  <c r="AF304" i="7"/>
  <c r="BO304" i="7"/>
  <c r="Z66" i="6"/>
  <c r="BO300" i="7"/>
  <c r="M71" i="6"/>
  <c r="BE300" i="7"/>
  <c r="BG304" i="7"/>
  <c r="BQ304" i="7"/>
  <c r="BL307" i="7"/>
  <c r="F58" i="1" s="1"/>
  <c r="BV307" i="7"/>
  <c r="K300" i="7"/>
  <c r="L300" i="7"/>
  <c r="AM14" i="6"/>
  <c r="BI71" i="5"/>
  <c r="AZ179" i="5"/>
  <c r="BA29" i="5"/>
  <c r="BG113" i="5"/>
  <c r="BJ119" i="5"/>
  <c r="AZ215" i="5"/>
  <c r="BI83" i="5"/>
  <c r="BA215" i="5"/>
  <c r="AZ203" i="5"/>
  <c r="BK11" i="5"/>
  <c r="BA155" i="5"/>
  <c r="BG95" i="5"/>
  <c r="BA257" i="5"/>
  <c r="BJ269" i="5"/>
  <c r="BH185" i="5"/>
  <c r="BH221" i="5"/>
  <c r="BK155" i="5"/>
  <c r="BA245" i="5"/>
  <c r="BB5" i="5"/>
  <c r="BG239" i="5"/>
  <c r="BJ125" i="5"/>
  <c r="BJ95" i="5"/>
  <c r="BI119" i="5"/>
  <c r="BK29" i="5"/>
  <c r="AZ17" i="5"/>
  <c r="BC83" i="5"/>
  <c r="BH191" i="5"/>
  <c r="BG101" i="5"/>
  <c r="AZ233" i="5"/>
  <c r="BI221" i="5"/>
  <c r="BD179" i="5"/>
  <c r="BJ59" i="5"/>
  <c r="BJ227" i="5"/>
  <c r="BB209" i="5"/>
  <c r="BB167" i="5"/>
  <c r="BG215" i="5"/>
  <c r="BB215" i="5"/>
  <c r="BD119" i="5"/>
  <c r="BA71" i="5"/>
  <c r="BA11" i="5"/>
  <c r="BC101" i="5"/>
  <c r="BJ23" i="5"/>
  <c r="BJ209" i="5"/>
  <c r="BK65" i="5"/>
  <c r="BJ191" i="5"/>
  <c r="BJ221" i="5"/>
  <c r="BG197" i="5"/>
  <c r="BH227" i="5"/>
  <c r="BJ251" i="5"/>
  <c r="BB35" i="5"/>
  <c r="AZ11" i="5"/>
  <c r="BD113" i="5"/>
  <c r="BH197" i="5"/>
  <c r="BC71" i="5"/>
  <c r="BI149" i="5"/>
  <c r="AZ29" i="5"/>
  <c r="BK185" i="5"/>
  <c r="BH125" i="5"/>
  <c r="BA137" i="5"/>
  <c r="BI257" i="5"/>
  <c r="BJ143" i="5"/>
  <c r="BD95" i="5"/>
  <c r="BA275" i="5"/>
  <c r="BC143" i="5"/>
  <c r="AZ59" i="5"/>
  <c r="BK71" i="5"/>
  <c r="BD23" i="5"/>
  <c r="BB137" i="5"/>
  <c r="BA221" i="5"/>
  <c r="BC173" i="5"/>
  <c r="AZ263" i="5"/>
  <c r="BD275" i="5"/>
  <c r="BI275" i="5"/>
  <c r="BK143" i="5"/>
  <c r="BC137" i="5"/>
  <c r="AZ35" i="5"/>
  <c r="BD53" i="5"/>
  <c r="BD155" i="5"/>
  <c r="BI197" i="5"/>
  <c r="BC245" i="5"/>
  <c r="AZ143" i="5"/>
  <c r="BC125" i="5"/>
  <c r="BD209" i="5"/>
  <c r="BG209" i="5"/>
  <c r="BB155" i="5"/>
  <c r="BK125" i="5"/>
  <c r="BI101" i="5"/>
  <c r="BK209" i="5"/>
  <c r="BJ83" i="5"/>
  <c r="BJ77" i="5"/>
  <c r="BI77" i="5"/>
  <c r="BH155" i="5"/>
  <c r="BB221" i="5"/>
  <c r="BC251" i="5"/>
  <c r="BC95" i="5"/>
  <c r="BJ179" i="5"/>
  <c r="BH167" i="5"/>
  <c r="BA119" i="5"/>
  <c r="BJ245" i="5"/>
  <c r="BC5" i="5"/>
  <c r="BI161" i="5"/>
  <c r="AZ113" i="5"/>
  <c r="BC233" i="5"/>
  <c r="BG161" i="5"/>
  <c r="AZ5" i="5"/>
  <c r="BC131" i="5"/>
  <c r="BK83" i="5"/>
  <c r="BJ173" i="5"/>
  <c r="BK107" i="5"/>
  <c r="BD71" i="5"/>
  <c r="BK35" i="5"/>
  <c r="BC209" i="5"/>
  <c r="BK77" i="5"/>
  <c r="BH137" i="5"/>
  <c r="BA209" i="5"/>
  <c r="BC149" i="5"/>
  <c r="BB101" i="5"/>
  <c r="BH113" i="5"/>
  <c r="BJ101" i="5"/>
  <c r="BA47" i="5"/>
  <c r="BI131" i="5"/>
  <c r="BC119" i="5"/>
  <c r="BB245" i="5"/>
  <c r="BA167" i="5"/>
  <c r="BC203" i="5"/>
  <c r="AZ161" i="5"/>
  <c r="BI125" i="5"/>
  <c r="BJ29" i="5"/>
  <c r="BK53" i="5"/>
  <c r="BD29" i="5"/>
  <c r="BK245" i="5"/>
  <c r="BC221" i="5"/>
  <c r="BB29" i="5"/>
  <c r="AZ131" i="5"/>
  <c r="BJ149" i="5"/>
  <c r="BA149" i="5"/>
  <c r="BD17" i="5"/>
  <c r="BD233" i="5"/>
  <c r="AZ191" i="5"/>
  <c r="BH95" i="5"/>
  <c r="BH119" i="5"/>
  <c r="BJ257" i="5"/>
  <c r="BG155" i="5"/>
  <c r="BG23" i="5"/>
  <c r="BG221" i="5"/>
  <c r="AZ269" i="5"/>
  <c r="BA263" i="5"/>
  <c r="BG275" i="5"/>
  <c r="BI245" i="5"/>
  <c r="BG185" i="5"/>
  <c r="BH257" i="5"/>
  <c r="BG107" i="5"/>
  <c r="BK167" i="5"/>
  <c r="BJ35" i="5"/>
  <c r="BJ197" i="5"/>
  <c r="AZ77" i="5"/>
  <c r="BK221" i="5"/>
  <c r="AZ149" i="5"/>
  <c r="BH269" i="5"/>
  <c r="BI179" i="5"/>
  <c r="BK95" i="5"/>
  <c r="BB59" i="5"/>
  <c r="BJ161" i="5"/>
  <c r="BB77" i="5"/>
  <c r="BH203" i="5"/>
  <c r="BG41" i="5"/>
  <c r="BJ71" i="5"/>
  <c r="BJ5" i="5"/>
  <c r="BB17" i="5"/>
  <c r="BH77" i="5"/>
  <c r="BH83" i="5"/>
  <c r="BC41" i="5"/>
  <c r="BC65" i="5"/>
  <c r="BC59" i="5"/>
  <c r="BD107" i="5"/>
  <c r="BH47" i="5"/>
  <c r="BA53" i="5"/>
  <c r="BI59" i="5"/>
  <c r="AZ221" i="5"/>
  <c r="BB275" i="5"/>
  <c r="BA95" i="5"/>
  <c r="BG47" i="5"/>
  <c r="BA89" i="5"/>
  <c r="BG77" i="5"/>
  <c r="BC35" i="5"/>
  <c r="BK5" i="5"/>
  <c r="BB233" i="5"/>
  <c r="BG83" i="5"/>
  <c r="BJ11" i="5"/>
  <c r="BG11" i="5"/>
  <c r="BG227" i="5"/>
  <c r="BH89" i="5"/>
  <c r="BA107" i="5"/>
  <c r="BB95" i="5"/>
  <c r="BH233" i="5"/>
  <c r="AZ95" i="5"/>
  <c r="BG203" i="5"/>
  <c r="BG65" i="5"/>
  <c r="AZ275" i="5"/>
  <c r="BB203" i="5"/>
  <c r="BC155" i="5"/>
  <c r="BB113" i="5"/>
  <c r="AZ185" i="5"/>
  <c r="BC179" i="5"/>
  <c r="BI251" i="5"/>
  <c r="BI5" i="5"/>
  <c r="BA125" i="5"/>
  <c r="AZ197" i="5"/>
  <c r="BI233" i="5"/>
  <c r="BG125" i="5"/>
  <c r="AZ251" i="5"/>
  <c r="BA251" i="5"/>
  <c r="BD167" i="5"/>
  <c r="BD101" i="5"/>
  <c r="BG137" i="5"/>
  <c r="BG257" i="5"/>
  <c r="AZ257" i="5"/>
  <c r="BG149" i="5"/>
  <c r="BH53" i="5"/>
  <c r="BK215" i="5"/>
  <c r="BH23" i="5"/>
  <c r="BD263" i="5"/>
  <c r="BG251" i="5"/>
  <c r="BB179" i="5"/>
  <c r="BD257" i="5"/>
  <c r="BD65" i="5"/>
  <c r="BI143" i="5"/>
  <c r="BK197" i="5"/>
  <c r="BB257" i="5"/>
  <c r="BD203" i="5"/>
  <c r="BD269" i="5"/>
  <c r="BG59" i="5"/>
  <c r="BI35" i="5"/>
  <c r="BK239" i="5"/>
  <c r="BB185" i="5"/>
  <c r="AZ173" i="5"/>
  <c r="BH101" i="5"/>
  <c r="BA41" i="5"/>
  <c r="BG269" i="5"/>
  <c r="AZ41" i="5"/>
  <c r="BI47" i="5"/>
  <c r="BD89" i="5"/>
  <c r="BJ47" i="5"/>
  <c r="BG191" i="5"/>
  <c r="BJ17" i="5"/>
  <c r="BH149" i="5"/>
  <c r="BD149" i="5"/>
  <c r="BA83" i="5"/>
  <c r="BH161" i="5"/>
  <c r="BA23" i="5"/>
  <c r="BK131" i="5"/>
  <c r="BD59" i="5"/>
  <c r="BA17" i="5"/>
  <c r="BB23" i="5"/>
  <c r="BK179" i="5"/>
  <c r="BA239" i="5"/>
  <c r="BB119" i="5"/>
  <c r="BD239" i="5"/>
  <c r="BB125" i="5"/>
  <c r="BA179" i="5"/>
  <c r="BB41" i="5"/>
  <c r="AZ47" i="5"/>
  <c r="BD77" i="5"/>
  <c r="BH59" i="5"/>
  <c r="BI203" i="5"/>
  <c r="BB161" i="5"/>
  <c r="BD251" i="5"/>
  <c r="BI167" i="5"/>
  <c r="BD137" i="5"/>
  <c r="BH65" i="5"/>
  <c r="BG245" i="5"/>
  <c r="AZ89" i="5"/>
  <c r="BA173" i="5"/>
  <c r="BK227" i="5"/>
  <c r="AZ125" i="5"/>
  <c r="BI137" i="5"/>
  <c r="BI17" i="5"/>
  <c r="BA77" i="5"/>
  <c r="BB251" i="5"/>
  <c r="BA185" i="5"/>
  <c r="AZ53" i="5"/>
  <c r="BC191" i="5"/>
  <c r="BB191" i="5"/>
  <c r="BG17" i="5"/>
  <c r="BG89" i="5"/>
  <c r="BK257" i="5"/>
  <c r="AZ209" i="5"/>
  <c r="BH11" i="5"/>
  <c r="BK119" i="5"/>
  <c r="BK263" i="5"/>
  <c r="BG167" i="5"/>
  <c r="BI11" i="5"/>
  <c r="BD11" i="5"/>
  <c r="BI215" i="5"/>
  <c r="BI41" i="5"/>
  <c r="AZ155" i="5"/>
  <c r="BC11" i="5"/>
  <c r="BD173" i="5"/>
  <c r="BG29" i="5"/>
  <c r="BI89" i="5"/>
  <c r="BC23" i="5"/>
  <c r="BH239" i="5"/>
  <c r="BG71" i="5"/>
  <c r="BC17" i="5"/>
  <c r="BK89" i="5"/>
  <c r="BC167" i="5"/>
  <c r="BC263" i="5"/>
  <c r="BB239" i="5"/>
  <c r="BJ41" i="5"/>
  <c r="BC269" i="5"/>
  <c r="BK275" i="5"/>
  <c r="BI227" i="5"/>
  <c r="BD245" i="5"/>
  <c r="BD221" i="5"/>
  <c r="AZ119" i="5"/>
  <c r="BD5" i="5"/>
  <c r="BI95" i="5"/>
  <c r="BC197" i="5"/>
  <c r="BC257" i="5"/>
  <c r="BA59" i="5"/>
  <c r="BG173" i="5"/>
  <c r="AZ71" i="5"/>
  <c r="BI269" i="5"/>
  <c r="BH107" i="5"/>
  <c r="BB89" i="5"/>
  <c r="BK101" i="5"/>
  <c r="BJ263" i="5"/>
  <c r="BA191" i="5"/>
  <c r="BH35" i="5"/>
  <c r="BC215" i="5"/>
  <c r="BK233" i="5"/>
  <c r="BK17" i="5"/>
  <c r="BJ233" i="5"/>
  <c r="BH245" i="5"/>
  <c r="BI113" i="5"/>
  <c r="BK191" i="5"/>
  <c r="BB263" i="5"/>
  <c r="BJ65" i="5"/>
  <c r="BB65" i="5"/>
  <c r="BH41" i="5"/>
  <c r="BB71" i="5"/>
  <c r="BJ215" i="5"/>
  <c r="BD185" i="5"/>
  <c r="BB107" i="5"/>
  <c r="BD161" i="5"/>
  <c r="BI191" i="5"/>
  <c r="BI65" i="5"/>
  <c r="AZ137" i="5"/>
  <c r="BG131" i="5"/>
  <c r="BI173" i="5"/>
  <c r="BI53" i="5"/>
  <c r="BD41" i="5"/>
  <c r="BJ137" i="5"/>
  <c r="BH179" i="5"/>
  <c r="BC29" i="5"/>
  <c r="BD83" i="5"/>
  <c r="BB143" i="5"/>
  <c r="BK161" i="5"/>
  <c r="BA161" i="5"/>
  <c r="BH17" i="5"/>
  <c r="BK137" i="5"/>
  <c r="BC77" i="5"/>
  <c r="BC47" i="5"/>
  <c r="BK251" i="5"/>
  <c r="BH29" i="5"/>
  <c r="BB47" i="5"/>
  <c r="BA197" i="5"/>
  <c r="BA131" i="5"/>
  <c r="AZ245" i="5"/>
  <c r="BD35" i="5"/>
  <c r="BB83" i="5"/>
  <c r="BG263" i="5"/>
  <c r="BA113" i="5"/>
  <c r="BH263" i="5"/>
  <c r="BK59" i="5"/>
  <c r="BC239" i="5"/>
  <c r="BG119" i="5"/>
  <c r="BK41" i="5"/>
  <c r="BH5" i="5"/>
  <c r="BJ53" i="5"/>
  <c r="BJ89" i="5"/>
  <c r="BG35" i="5"/>
  <c r="BA65" i="5"/>
  <c r="BJ203" i="5"/>
  <c r="BI239" i="5"/>
  <c r="BI107" i="5"/>
  <c r="BB173" i="5"/>
  <c r="BK173" i="5"/>
  <c r="BD47" i="5"/>
  <c r="BA5" i="5"/>
  <c r="BI29" i="5"/>
  <c r="BJ167" i="5"/>
  <c r="BA269" i="5"/>
  <c r="AZ227" i="5"/>
  <c r="BC227" i="5"/>
  <c r="BG179" i="5"/>
  <c r="BJ113" i="5"/>
  <c r="BB11" i="5"/>
  <c r="BG143" i="5"/>
  <c r="BH251" i="5"/>
  <c r="BJ155" i="5"/>
  <c r="BA35" i="5"/>
  <c r="BK149" i="5"/>
  <c r="BK47" i="5"/>
  <c r="BH173" i="5"/>
  <c r="BH275" i="5"/>
  <c r="BG233" i="5"/>
  <c r="BG5" i="5"/>
  <c r="BC107" i="5"/>
  <c r="AZ101" i="5"/>
  <c r="BC275" i="5"/>
  <c r="AZ167" i="5"/>
  <c r="BI23" i="5"/>
  <c r="BB149" i="5"/>
  <c r="BI155" i="5"/>
  <c r="BC161" i="5"/>
  <c r="BK113" i="5"/>
  <c r="AZ239" i="5"/>
  <c r="BI209" i="5"/>
  <c r="BH209" i="5"/>
  <c r="BJ107" i="5"/>
  <c r="BJ185" i="5"/>
  <c r="BB269" i="5"/>
  <c r="BA227" i="5"/>
  <c r="BA101" i="5"/>
  <c r="BB197" i="5"/>
  <c r="BJ275" i="5"/>
  <c r="BK23" i="5"/>
  <c r="BK269" i="5"/>
  <c r="BD227" i="5"/>
  <c r="BB227" i="5"/>
  <c r="BC185" i="5"/>
  <c r="BJ131" i="5"/>
  <c r="BH71" i="5"/>
  <c r="BC53" i="5"/>
  <c r="BK203" i="5"/>
  <c r="BB53" i="5"/>
  <c r="BA143" i="5"/>
  <c r="BI185" i="5"/>
  <c r="BA203" i="5"/>
  <c r="AZ83" i="5"/>
  <c r="BC113" i="5"/>
  <c r="AZ23" i="5"/>
  <c r="BB131" i="5"/>
  <c r="BH215" i="5"/>
  <c r="BD143" i="5"/>
  <c r="BJ239" i="5"/>
  <c r="BI263" i="5"/>
  <c r="BD215" i="5"/>
  <c r="BD197" i="5"/>
  <c r="BA233" i="5"/>
  <c r="BD191" i="5"/>
  <c r="BH143" i="5"/>
  <c r="BG53" i="5"/>
  <c r="BH131" i="5"/>
  <c r="BD125" i="5"/>
  <c r="BD131" i="5"/>
  <c r="BC89" i="5"/>
  <c r="BA359" i="5" l="1"/>
  <c r="H23" i="1" s="1"/>
  <c r="BA366" i="5"/>
  <c r="H30" i="1" s="1"/>
  <c r="BB361" i="5"/>
  <c r="C25" i="1" s="1"/>
  <c r="BG362" i="5"/>
  <c r="BC360" i="5"/>
  <c r="D24" i="1" s="1"/>
  <c r="AZ361" i="5"/>
  <c r="G25" i="1" s="1"/>
  <c r="BI361" i="5"/>
  <c r="BB360" i="5"/>
  <c r="C24" i="1" s="1"/>
  <c r="BD362" i="5"/>
  <c r="E26" i="1" s="1"/>
  <c r="BG366" i="5"/>
  <c r="BG359" i="5"/>
  <c r="BA360" i="5"/>
  <c r="H24" i="1" s="1"/>
  <c r="BD360" i="5"/>
  <c r="E24" i="1" s="1"/>
  <c r="AZ360" i="5"/>
  <c r="G24" i="1" s="1"/>
  <c r="BH361" i="5"/>
  <c r="BC362" i="5"/>
  <c r="D26" i="1" s="1"/>
  <c r="BI362" i="5"/>
  <c r="BJ359" i="5"/>
  <c r="BJ366" i="5"/>
  <c r="BK361" i="5"/>
  <c r="BJ360" i="5"/>
  <c r="BB362" i="5"/>
  <c r="C26" i="1" s="1"/>
  <c r="BK360" i="5"/>
  <c r="BI360" i="5"/>
  <c r="BC366" i="5"/>
  <c r="D30" i="1" s="1"/>
  <c r="BC359" i="5"/>
  <c r="D23" i="1" s="1"/>
  <c r="BG361" i="5"/>
  <c r="BA362" i="5"/>
  <c r="H26" i="1" s="1"/>
  <c r="BD359" i="5"/>
  <c r="E23" i="1" s="1"/>
  <c r="BD366" i="5"/>
  <c r="E30" i="1" s="1"/>
  <c r="BH362" i="5"/>
  <c r="AZ359" i="5"/>
  <c r="G23" i="1" s="1"/>
  <c r="AZ366" i="5"/>
  <c r="G30" i="1" s="1"/>
  <c r="BI359" i="5"/>
  <c r="BI366" i="5"/>
  <c r="BD361" i="5"/>
  <c r="E25" i="1" s="1"/>
  <c r="BJ362" i="5"/>
  <c r="BH360" i="5"/>
  <c r="BK362" i="5"/>
  <c r="AZ362" i="5"/>
  <c r="G26" i="1" s="1"/>
  <c r="BC361" i="5"/>
  <c r="D25" i="1" s="1"/>
  <c r="BK366" i="5"/>
  <c r="BK359" i="5"/>
  <c r="BG360" i="5"/>
  <c r="BB359" i="5"/>
  <c r="C23" i="1" s="1"/>
  <c r="BB366" i="5"/>
  <c r="C30" i="1" s="1"/>
  <c r="BA361" i="5"/>
  <c r="H25" i="1" s="1"/>
  <c r="BH366" i="5"/>
  <c r="BH359" i="5"/>
  <c r="BJ361" i="5"/>
  <c r="AL69" i="6"/>
  <c r="F42" i="1" s="1"/>
  <c r="AN71" i="6"/>
  <c r="D44" i="1" s="1"/>
  <c r="AO69" i="6"/>
  <c r="E42" i="1" s="1"/>
  <c r="AM64" i="6"/>
  <c r="C37" i="1" s="1"/>
  <c r="F56" i="1"/>
  <c r="AM71" i="6"/>
  <c r="AL68" i="6"/>
  <c r="F41" i="1" s="1"/>
  <c r="AN66" i="6"/>
  <c r="D39" i="1" s="1"/>
  <c r="AM69" i="6"/>
  <c r="C42" i="1" s="1"/>
  <c r="AM70" i="6"/>
  <c r="F30" i="1"/>
  <c r="AN64" i="6"/>
  <c r="D37" i="1" s="1"/>
  <c r="AM66" i="6"/>
  <c r="C39" i="1" s="1"/>
  <c r="AL71" i="6"/>
  <c r="AN65" i="6"/>
  <c r="D38" i="1" s="1"/>
  <c r="AO68" i="6"/>
  <c r="E41" i="1" s="1"/>
  <c r="AN67" i="6"/>
  <c r="D40" i="1" s="1"/>
  <c r="AM65" i="6"/>
  <c r="C38" i="1" s="1"/>
  <c r="AM67" i="6"/>
  <c r="C40" i="1" s="1"/>
  <c r="AO71" i="6"/>
  <c r="AL65" i="6"/>
  <c r="F38" i="1" s="1"/>
  <c r="AL64" i="6"/>
  <c r="F37" i="1" s="1"/>
  <c r="AL66" i="6"/>
  <c r="F39" i="1" s="1"/>
  <c r="AL67" i="6"/>
  <c r="F40" i="1" s="1"/>
  <c r="F23" i="1" l="1"/>
  <c r="F26" i="1"/>
  <c r="F24" i="1"/>
  <c r="F25" i="1"/>
  <c r="F44" i="1"/>
  <c r="E44" i="1"/>
  <c r="C44" i="1"/>
</calcChain>
</file>

<file path=xl/sharedStrings.xml><?xml version="1.0" encoding="utf-8"?>
<sst xmlns="http://schemas.openxmlformats.org/spreadsheetml/2006/main" count="7103" uniqueCount="1048">
  <si>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</si>
  <si>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</si>
  <si>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</si>
  <si>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</si>
  <si>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</si>
  <si>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</si>
  <si>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</si>
  <si>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</si>
  <si>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</si>
  <si>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</si>
  <si>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</si>
  <si>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</si>
  <si>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</si>
  <si>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</si>
  <si>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</si>
  <si>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</si>
  <si>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</si>
  <si>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</si>
  <si>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</si>
  <si>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</si>
  <si>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</si>
  <si>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</si>
  <si>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</si>
  <si>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</si>
  <si>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</si>
  <si>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</si>
  <si>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</si>
  <si>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</si>
  <si>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</si>
  <si>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</si>
  <si>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</si>
  <si>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</si>
  <si>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</si>
  <si>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</si>
  <si>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</si>
  <si>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</si>
  <si>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</si>
  <si>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</si>
  <si>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</si>
  <si>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</si>
  <si>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</si>
  <si>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</si>
  <si>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</si>
  <si>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</si>
  <si>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</si>
  <si>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</si>
  <si>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</si>
  <si>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</si>
  <si>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</si>
  <si>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</si>
  <si>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</si>
  <si>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</si>
  <si>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</si>
  <si>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</si>
  <si>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</si>
  <si>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</si>
  <si>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</si>
  <si>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</si>
  <si>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</si>
  <si>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</si>
  <si>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</si>
  <si>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</si>
  <si>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</si>
  <si>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</si>
  <si>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</si>
  <si>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</si>
  <si>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</si>
  <si>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</si>
  <si>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</si>
  <si>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</si>
  <si>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</si>
  <si>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</si>
  <si>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</si>
  <si>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</si>
  <si>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</si>
  <si>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</si>
  <si>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</si>
  <si>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</si>
  <si>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</si>
  <si>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</si>
  <si>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</si>
  <si>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</si>
  <si>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</si>
  <si>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</si>
  <si>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</si>
  <si>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</si>
  <si>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</si>
  <si>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</si>
  <si>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</si>
  <si>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</si>
  <si>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</si>
  <si>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</si>
  <si>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</si>
  <si>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col.C1 losslG,lossyA,intra.class</t>
  </si>
  <si>
    <t>Sequence</t>
  </si>
  <si>
    <t>sequence</t>
  </si>
  <si>
    <t>col.C1 losslG,lossyA,intra.sequence</t>
  </si>
  <si>
    <t>Variant</t>
  </si>
  <si>
    <t>variant</t>
  </si>
  <si>
    <t>col.C1 losslG,lossyA,intra.variant</t>
  </si>
  <si>
    <t>№ input points</t>
  </si>
  <si>
    <t>src.numpoints</t>
  </si>
  <si>
    <t>col.C1 losslG,lossyA,intra.src.numpoints</t>
  </si>
  <si>
    <t>Geometry precision [bits]</t>
  </si>
  <si>
    <t>src.geometry-precision</t>
  </si>
  <si>
    <t>col.C1 losslG,lossyA,intra.src.geometry-precision</t>
  </si>
  <si>
    <t>№ frames</t>
  </si>
  <si>
    <t>src.framecount</t>
  </si>
  <si>
    <t>col.C1 losslG,lossyA,intra.src.framecount</t>
  </si>
  <si>
    <t>Frame rate [fps]</t>
  </si>
  <si>
    <t>src.framerate</t>
  </si>
  <si>
    <t>col.C1 losslG,lossyA,intra.src.framerate</t>
  </si>
  <si>
    <t>Rate [Mbps]</t>
  </si>
  <si>
    <t>A.eqn.bitrate</t>
  </si>
  <si>
    <t>col.C1 losslG,lossyA,intra.A.eqn.bitrate</t>
  </si>
  <si>
    <t>Bits per input point [bpip]</t>
  </si>
  <si>
    <t>Total</t>
  </si>
  <si>
    <t>A.eqn.bpp</t>
  </si>
  <si>
    <t>col.C1 losslG,lossyA,intra.A.eqn.bpp</t>
  </si>
  <si>
    <t>Geometry</t>
  </si>
  <si>
    <t>A.eqn.bpp.geometry</t>
  </si>
  <si>
    <t>col.C1 losslG,lossyA,intra.A.eqn.bpp.geometry</t>
  </si>
  <si>
    <t xml:space="preserve">Colour </t>
  </si>
  <si>
    <t>A.eqn.bpp.colour</t>
  </si>
  <si>
    <t>col.C1 losslG,lossyA,intra.A.eqn.bpp.colour</t>
  </si>
  <si>
    <t>Reflectance</t>
  </si>
  <si>
    <t>A.eqn.bpp.reflectance</t>
  </si>
  <si>
    <t>col.C1 losslG,lossyA,intra.A.eqn.bpp.reflectance</t>
  </si>
  <si>
    <t>Total Bits per output point [bpop]</t>
  </si>
  <si>
    <t>A.eqn.bpop</t>
  </si>
  <si>
    <t>col.C1 losslG,lossyA,intra.A.eqn.bpop</t>
  </si>
  <si>
    <t>A.dec.numpoints</t>
  </si>
  <si>
    <t>col.C1 losslG,lossyA,intra.A.dec.numpoints</t>
  </si>
  <si>
    <t>Bitstream [bits]</t>
  </si>
  <si>
    <t>A.enc.ext.bits</t>
  </si>
  <si>
    <t>col.C1 losslG,lossyA,intra.A.enc.ext.bits</t>
  </si>
  <si>
    <t>A.enc.bits.geometry</t>
  </si>
  <si>
    <t>col.C1 losslG,lossyA,intra.A.enc.bits.geometry</t>
  </si>
  <si>
    <t>Colour</t>
  </si>
  <si>
    <t>A.enc.bits.colour</t>
  </si>
  <si>
    <t>col.C1 losslG,lossyA,intra.A.enc.bits.colour</t>
  </si>
  <si>
    <t>A.enc.bits.reflectance</t>
  </si>
  <si>
    <t>col.C1 losslG,lossyA,intra.A.enc.bits.reflectance</t>
  </si>
  <si>
    <t>End-to-end PSNR [dB]</t>
  </si>
  <si>
    <t>Luma</t>
  </si>
  <si>
    <t>A.dec.y-psnr</t>
  </si>
  <si>
    <t>col.C1 losslG,lossyA,intra.A.dec.y-psnr</t>
  </si>
  <si>
    <t>Chroma Cb</t>
  </si>
  <si>
    <t>A.dec.cb-psnr</t>
  </si>
  <si>
    <t>col.C1 losslG,lossyA,intra.A.dec.cb-psnr</t>
  </si>
  <si>
    <t>Chroma Cr</t>
  </si>
  <si>
    <t>A.dec.cr-psnr</t>
  </si>
  <si>
    <t>col.C1 losslG,lossyA,intra.A.dec.cr-psnr</t>
  </si>
  <si>
    <t>A.dec.reflectance-psnr</t>
  </si>
  <si>
    <t>col.C1 losslG,lossyA,intra.A.dec.reflectance-psnr</t>
  </si>
  <si>
    <t>User Encoder runtime [s]</t>
  </si>
  <si>
    <t>A.enc.utime</t>
  </si>
  <si>
    <t>col.C1 losslG,lossyA,intra.A.enc.utime</t>
  </si>
  <si>
    <t>User Decoder runtime [s]</t>
  </si>
  <si>
    <t>A.dec.utime</t>
  </si>
  <si>
    <t>col.C1 losslG,lossyA,intra.A.dec.utime</t>
  </si>
  <si>
    <t>B.eqn.bitrate</t>
  </si>
  <si>
    <t>col.C1 losslG,lossyA,intra.B.eqn.bitrate</t>
  </si>
  <si>
    <t>B.eqn.bpp</t>
  </si>
  <si>
    <t>col.C1 losslG,lossyA,intra.B.eqn.bpp</t>
  </si>
  <si>
    <t>B.eqn.bpp.geometry</t>
  </si>
  <si>
    <t>col.C1 losslG,lossyA,intra.B.eqn.bpp.geometry</t>
  </si>
  <si>
    <t>B.eqn.bpp.colour</t>
  </si>
  <si>
    <t>col.C1 losslG,lossyA,intra.B.eqn.bpp.colour</t>
  </si>
  <si>
    <t>B.eqn.bpp.reflectance</t>
  </si>
  <si>
    <t>col.C1 losslG,lossyA,intra.B.eqn.bpp.reflectance</t>
  </si>
  <si>
    <t>B.eqn.bpop</t>
  </si>
  <si>
    <t>col.C1 losslG,lossyA,intra.B.eqn.bpop</t>
  </si>
  <si>
    <t>B.dec.numpoints</t>
  </si>
  <si>
    <t>col.C1 losslG,lossyA,intra.B.dec.numpoints</t>
  </si>
  <si>
    <t>B.enc.ext.bits</t>
  </si>
  <si>
    <t>col.C1 losslG,lossyA,intra.B.enc.ext.bits</t>
  </si>
  <si>
    <t>B.enc.bits.geometry</t>
  </si>
  <si>
    <t>col.C1 losslG,lossyA,intra.B.enc.bits.geometry</t>
  </si>
  <si>
    <t>B.enc.bits.colour</t>
  </si>
  <si>
    <t>col.C1 losslG,lossyA,intra.B.enc.bits.colour</t>
  </si>
  <si>
    <t>B.enc.bits.reflectance</t>
  </si>
  <si>
    <t>col.C1 losslG,lossyA,intra.B.enc.bits.reflectance</t>
  </si>
  <si>
    <t>B.dec.y-psnr</t>
  </si>
  <si>
    <t>col.C1 losslG,lossyA,intra.B.dec.y-psnr</t>
  </si>
  <si>
    <t>B.dec.cb-psnr</t>
  </si>
  <si>
    <t>col.C1 losslG,lossyA,intra.B.dec.cb-psnr</t>
  </si>
  <si>
    <t>B.dec.cr-psnr</t>
  </si>
  <si>
    <t>col.C1 losslG,lossyA,intra.B.dec.cr-psnr</t>
  </si>
  <si>
    <t>B.dec.reflectance-psnr</t>
  </si>
  <si>
    <t>col.C1 losslG,lossyA,intra.B.dec.reflectance-psnr</t>
  </si>
  <si>
    <t>B.enc.utime</t>
  </si>
  <si>
    <t>col.C1 losslG,lossyA,intra.B.enc.utime</t>
  </si>
  <si>
    <t>B.dec.utime</t>
  </si>
  <si>
    <t>col.C1 losslG,lossyA,intra.B.dec.utime</t>
  </si>
  <si>
    <t>Shift in G:T bits ratio [pp]</t>
  </si>
  <si>
    <t>eqn.ab.delta-geom_texture_bits_ratio</t>
  </si>
  <si>
    <t>col.C1 losslG,lossyA,intra.eqn.ab.delta-geom_texture_bits_ratio</t>
  </si>
  <si>
    <t>eqn.ab.summary-delta-geom_texture_bits_ratio</t>
  </si>
  <si>
    <t>col.C1 losslG,lossyA,intra.eqn.ab.summary-delta-geom_texture_bits_ratio</t>
  </si>
  <si>
    <t>End-to-End BD‑AttrRate [%]</t>
  </si>
  <si>
    <t>eqn.ab.bdrate-y-attrrate</t>
  </si>
  <si>
    <t>col.C1 losslG,lossyA,intra.eqn.ab.bdrate-y-attrrate</t>
  </si>
  <si>
    <t>eqn.ab.bdrate-cb-attrrate</t>
  </si>
  <si>
    <t>col.C1 losslG,lossyA,intra.eqn.ab.bdrate-cb-attrrate</t>
  </si>
  <si>
    <t>eqn.ab.bdrate-cr-attrrate</t>
  </si>
  <si>
    <t>col.C1 losslG,lossyA,intra.eqn.ab.bdrate-cr-attrrate</t>
  </si>
  <si>
    <t>eqn.ab.bdrate-reflectance-attrrate</t>
  </si>
  <si>
    <t>col.C1 losslG,lossyA,intra.eqn.ab.bdrate-reflectance-attrrate</t>
  </si>
  <si>
    <t>End-to-End BD‑TotalRate [%]</t>
  </si>
  <si>
    <t>eqn.ab.bdrate-y</t>
  </si>
  <si>
    <t>col.C1 losslG,lossyA,intra.eqn.ab.bdrate-y</t>
  </si>
  <si>
    <t>eqn.ab.bdrate-cb</t>
  </si>
  <si>
    <t>col.C1 losslG,lossyA,intra.eqn.ab.bdrate-cb</t>
  </si>
  <si>
    <t>eqn.ab.bdrate-cr</t>
  </si>
  <si>
    <t>col.C1 losslG,lossyA,intra.eqn.ab.bdrate-cr</t>
  </si>
  <si>
    <t>eqn.ab.bdrate-reflectance</t>
  </si>
  <si>
    <t>col.C1 losslG,lossyA,intra.eqn.ab.bdrate-reflectance</t>
  </si>
  <si>
    <t>C1_ai — lossless geometry, lossy attributes [all intra]</t>
  </si>
  <si>
    <t>name.A.C1 losslG,lossyA,intra</t>
  </si>
  <si>
    <t>'C1 losslG,lossyA,intra'!$I$1</t>
  </si>
  <si>
    <t>name.B.C1 losslG,lossyA,intra</t>
  </si>
  <si>
    <t>'C1 losslG,lossyA,intra'!$AA$1</t>
  </si>
  <si>
    <t>basketball_player_vox11_00000200</t>
  </si>
  <si>
    <t>solid</t>
  </si>
  <si>
    <t>r01</t>
  </si>
  <si>
    <t>r02</t>
  </si>
  <si>
    <t>r03</t>
  </si>
  <si>
    <t>r04</t>
  </si>
  <si>
    <t>r05</t>
  </si>
  <si>
    <t>r06</t>
  </si>
  <si>
    <t>range.C1 losslG,lossyA,intra.basketball_player_vox11_00000200</t>
  </si>
  <si>
    <t>'C1 losslG,lossyA,intra'!$A$5:$BD$10</t>
  </si>
  <si>
    <t>dancer_vox11_00000001</t>
  </si>
  <si>
    <t>range.C1 losslG,lossyA,intra.dancer_vox11_00000001</t>
  </si>
  <si>
    <t>'C1 losslG,lossyA,intra'!$A$11:$BD$16</t>
  </si>
  <si>
    <t>facade_00064_vox11</t>
  </si>
  <si>
    <t>range.C1 losslG,lossyA,intra.facade_00064_vox11</t>
  </si>
  <si>
    <t>'C1 losslG,lossyA,intra'!$A$17:$BD$22</t>
  </si>
  <si>
    <t>longdress_vox10_1300</t>
  </si>
  <si>
    <t>range.C1 losslG,lossyA,intra.longdress_vox10_1300</t>
  </si>
  <si>
    <t>'C1 losslG,lossyA,intra'!$A$23:$BD$28</t>
  </si>
  <si>
    <t>loot_vox10_1200</t>
  </si>
  <si>
    <t>range.C1 losslG,lossyA,intra.loot_vox10_1200</t>
  </si>
  <si>
    <t>'C1 losslG,lossyA,intra'!$A$29:$BD$34</t>
  </si>
  <si>
    <t>queen_0200</t>
  </si>
  <si>
    <t>range.C1 losslG,lossyA,intra.queen_0200</t>
  </si>
  <si>
    <t>'C1 losslG,lossyA,intra'!$A$35:$BD$40</t>
  </si>
  <si>
    <t>redandblack_vox10_1550</t>
  </si>
  <si>
    <t>range.C1 losslG,lossyA,intra.redandblack_vox10_1550</t>
  </si>
  <si>
    <t>'C1 losslG,lossyA,intra'!$A$41:$BD$46</t>
  </si>
  <si>
    <t>soldier_vox10_0690</t>
  </si>
  <si>
    <t>range.C1 losslG,lossyA,intra.soldier_vox10_0690</t>
  </si>
  <si>
    <t>'C1 losslG,lossyA,intra'!$A$47:$BD$52</t>
  </si>
  <si>
    <t>thaidancer_viewdep_vox12</t>
  </si>
  <si>
    <t>range.C1 losslG,lossyA,intra.thaidancer_viewdep_vox12</t>
  </si>
  <si>
    <t>'C1 losslG,lossyA,intra'!$A$53:$BD$58</t>
  </si>
  <si>
    <t>boxer_viewdep_vox12</t>
  </si>
  <si>
    <t>dense</t>
  </si>
  <si>
    <t>range.C1 losslG,lossyA,intra.boxer_viewdep_vox12</t>
  </si>
  <si>
    <t>'C1 losslG,lossyA,intra'!$A$59:$BD$64</t>
  </si>
  <si>
    <t>facade_00009_vox12</t>
  </si>
  <si>
    <t>range.C1 losslG,lossyA,intra.facade_00009_vox12</t>
  </si>
  <si>
    <t>'C1 losslG,lossyA,intra'!$A$65:$BD$70</t>
  </si>
  <si>
    <t>facade_00015_vox14</t>
  </si>
  <si>
    <t>range.C1 losslG,lossyA,intra.facade_00015_vox14</t>
  </si>
  <si>
    <t>'C1 losslG,lossyA,intra'!$A$71:$BD$76</t>
  </si>
  <si>
    <t>facade_00064_vox14</t>
  </si>
  <si>
    <t>range.C1 losslG,lossyA,intra.facade_00064_vox14</t>
  </si>
  <si>
    <t>'C1 losslG,lossyA,intra'!$A$77:$BD$82</t>
  </si>
  <si>
    <t>frog_00067_vox12</t>
  </si>
  <si>
    <t>range.C1 losslG,lossyA,intra.frog_00067_vox12</t>
  </si>
  <si>
    <t>'C1 losslG,lossyA,intra'!$A$83:$BD$88</t>
  </si>
  <si>
    <t>head_00039_vox12</t>
  </si>
  <si>
    <t>range.C1 losslG,lossyA,intra.head_00039_vox12</t>
  </si>
  <si>
    <t>'C1 losslG,lossyA,intra'!$A$89:$BD$94</t>
  </si>
  <si>
    <t>house_without_roof_00057_vox12</t>
  </si>
  <si>
    <t>range.C1 losslG,lossyA,intra.house_without_roof_00057_vox12</t>
  </si>
  <si>
    <t>'C1 losslG,lossyA,intra'!$A$95:$BD$100</t>
  </si>
  <si>
    <t>landscape_00014_vox14</t>
  </si>
  <si>
    <t>range.C1 losslG,lossyA,intra.landscape_00014_vox14</t>
  </si>
  <si>
    <t>'C1 losslG,lossyA,intra'!$A$101:$BD$106</t>
  </si>
  <si>
    <t>longdress_viewdep_vox12</t>
  </si>
  <si>
    <t>range.C1 losslG,lossyA,intra.longdress_viewdep_vox12</t>
  </si>
  <si>
    <t>'C1 losslG,lossyA,intra'!$A$107:$BD$112</t>
  </si>
  <si>
    <t>loot_viewdep_vox12</t>
  </si>
  <si>
    <t>range.C1 losslG,lossyA,intra.loot_viewdep_vox12</t>
  </si>
  <si>
    <t>'C1 losslG,lossyA,intra'!$A$113:$BD$118</t>
  </si>
  <si>
    <t>redandblack_viewdep_vox12</t>
  </si>
  <si>
    <t>range.C1 losslG,lossyA,intra.redandblack_viewdep_vox12</t>
  </si>
  <si>
    <t>'C1 losslG,lossyA,intra'!$A$119:$BD$124</t>
  </si>
  <si>
    <t>soldier_viewdep_vox12</t>
  </si>
  <si>
    <t>range.C1 losslG,lossyA,intra.soldier_viewdep_vox12</t>
  </si>
  <si>
    <t>'C1 losslG,lossyA,intra'!$A$125:$BD$130</t>
  </si>
  <si>
    <t>arco_valentino_dense_vox12</t>
  </si>
  <si>
    <t>sparse</t>
  </si>
  <si>
    <t>range.C1 losslG,lossyA,intra.arco_valentino_dense_vox12</t>
  </si>
  <si>
    <t>'C1 losslG,lossyA,intra'!$A$131:$BD$136</t>
  </si>
  <si>
    <t>egyptian_mask_vox12</t>
  </si>
  <si>
    <t>range.C1 losslG,lossyA,intra.egyptian_mask_vox12</t>
  </si>
  <si>
    <t>'C1 losslG,lossyA,intra'!$A$137:$BD$142</t>
  </si>
  <si>
    <t>palazzo_carignano_dense_vox14</t>
  </si>
  <si>
    <t>range.C1 losslG,lossyA,intra.palazzo_carignano_dense_vox14</t>
  </si>
  <si>
    <t>'C1 losslG,lossyA,intra'!$A$143:$BD$148</t>
  </si>
  <si>
    <t>shiva_00035_vox12</t>
  </si>
  <si>
    <t>range.C1 losslG,lossyA,intra.shiva_00035_vox12</t>
  </si>
  <si>
    <t>'C1 losslG,lossyA,intra'!$A$149:$BD$154</t>
  </si>
  <si>
    <t>stanford_area_2_vox16</t>
  </si>
  <si>
    <t>range.C1 losslG,lossyA,intra.stanford_area_2_vox16</t>
  </si>
  <si>
    <t>'C1 losslG,lossyA,intra'!$A$155:$BD$160</t>
  </si>
  <si>
    <t>stanford_area_4_vox16</t>
  </si>
  <si>
    <t>range.C1 losslG,lossyA,intra.stanford_area_4_vox16</t>
  </si>
  <si>
    <t>'C1 losslG,lossyA,intra'!$A$161:$BD$166</t>
  </si>
  <si>
    <t>staue_klimt_vox12</t>
  </si>
  <si>
    <t>range.C1 losslG,lossyA,intra.staue_klimt_vox12</t>
  </si>
  <si>
    <t>'C1 losslG,lossyA,intra'!$A$167:$BD$172</t>
  </si>
  <si>
    <t>ulb_unicorn_hires_vox15</t>
  </si>
  <si>
    <t>range.C1 losslG,lossyA,intra.ulb_unicorn_hires_vox15</t>
  </si>
  <si>
    <t>'C1 losslG,lossyA,intra'!$A$173:$BD$178</t>
  </si>
  <si>
    <t>ulb_unicorn_vox13</t>
  </si>
  <si>
    <t>range.C1 losslG,lossyA,intra.ulb_unicorn_vox13</t>
  </si>
  <si>
    <t>'C1 losslG,lossyA,intra'!$A$179:$BD$184</t>
  </si>
  <si>
    <t>arco_valentino_dense_vox20</t>
  </si>
  <si>
    <t>scant</t>
  </si>
  <si>
    <t>range.C1 losslG,lossyA,intra.arco_valentino_dense_vox20</t>
  </si>
  <si>
    <t>'C1 losslG,lossyA,intra'!$A$185:$BD$190</t>
  </si>
  <si>
    <t>egyptian_mask_vox20</t>
  </si>
  <si>
    <t>range.C1 losslG,lossyA,intra.egyptian_mask_vox20</t>
  </si>
  <si>
    <t>'C1 losslG,lossyA,intra'!$A$191:$BD$196</t>
  </si>
  <si>
    <t>facade_00009_vox20</t>
  </si>
  <si>
    <t>range.C1 losslG,lossyA,intra.facade_00009_vox20</t>
  </si>
  <si>
    <t>'C1 losslG,lossyA,intra'!$A$197:$BD$202</t>
  </si>
  <si>
    <t>facade_00015_vox20</t>
  </si>
  <si>
    <t>range.C1 losslG,lossyA,intra.facade_00015_vox20</t>
  </si>
  <si>
    <t>'C1 losslG,lossyA,intra'!$A$203:$BD$208</t>
  </si>
  <si>
    <t>facade_00064_vox20</t>
  </si>
  <si>
    <t>range.C1 losslG,lossyA,intra.facade_00064_vox20</t>
  </si>
  <si>
    <t>'C1 losslG,lossyA,intra'!$A$209:$BD$214</t>
  </si>
  <si>
    <t>frog_00067_vox20</t>
  </si>
  <si>
    <t>range.C1 losslG,lossyA,intra.frog_00067_vox20</t>
  </si>
  <si>
    <t>'C1 losslG,lossyA,intra'!$A$215:$BD$220</t>
  </si>
  <si>
    <t>head_00039_vox20</t>
  </si>
  <si>
    <t>range.C1 losslG,lossyA,intra.head_00039_vox20</t>
  </si>
  <si>
    <t>'C1 losslG,lossyA,intra'!$A$221:$BD$226</t>
  </si>
  <si>
    <t>house_without_roof_00057_vox20</t>
  </si>
  <si>
    <t>range.C1 losslG,lossyA,intra.house_without_roof_00057_vox20</t>
  </si>
  <si>
    <t>'C1 losslG,lossyA,intra'!$A$227:$BD$232</t>
  </si>
  <si>
    <t>landscape_00014_vox20</t>
  </si>
  <si>
    <t>range.C1 losslG,lossyA,intra.landscape_00014_vox20</t>
  </si>
  <si>
    <t>'C1 losslG,lossyA,intra'!$A$233:$BD$238</t>
  </si>
  <si>
    <t>palazzo_carignano_dense_vox20</t>
  </si>
  <si>
    <t>range.C1 losslG,lossyA,intra.palazzo_carignano_dense_vox20</t>
  </si>
  <si>
    <t>'C1 losslG,lossyA,intra'!$A$239:$BD$244</t>
  </si>
  <si>
    <t>shiva_00035_vox20</t>
  </si>
  <si>
    <t>range.C1 losslG,lossyA,intra.shiva_00035_vox20</t>
  </si>
  <si>
    <t>'C1 losslG,lossyA,intra'!$A$245:$BD$250</t>
  </si>
  <si>
    <t>stanford_area_2_vox20</t>
  </si>
  <si>
    <t>range.C1 losslG,lossyA,intra.stanford_area_2_vox20</t>
  </si>
  <si>
    <t>'C1 losslG,lossyA,intra'!$A$251:$BD$256</t>
  </si>
  <si>
    <t>stanford_area_4_vox20</t>
  </si>
  <si>
    <t>range.C1 losslG,lossyA,intra.stanford_area_4_vox20</t>
  </si>
  <si>
    <t>'C1 losslG,lossyA,intra'!$A$257:$BD$262</t>
  </si>
  <si>
    <t>staue_klimt_vox20</t>
  </si>
  <si>
    <t>range.C1 losslG,lossyA,intra.staue_klimt_vox20</t>
  </si>
  <si>
    <t>'C1 losslG,lossyA,intra'!$A$263:$BD$268</t>
  </si>
  <si>
    <t>ulb_unicorn_hires_vox20</t>
  </si>
  <si>
    <t>range.C1 losslG,lossyA,intra.ulb_unicorn_hires_vox20</t>
  </si>
  <si>
    <t>'C1 losslG,lossyA,intra'!$A$269:$BD$274</t>
  </si>
  <si>
    <t>ulb_unicorn_vox20</t>
  </si>
  <si>
    <t>range.C1 losslG,lossyA,intra.ulb_unicorn_vox20</t>
  </si>
  <si>
    <t>'C1 losslG,lossyA,intra'!$A$275:$BD$280</t>
  </si>
  <si>
    <t>citytunnel_q1mm</t>
  </si>
  <si>
    <t>am-fused</t>
  </si>
  <si>
    <t>range.C1 losslG,lossyA,intra.citytunnel_q1mm</t>
  </si>
  <si>
    <t>'C1 losslG,lossyA,intra'!$A$281:$BD$286</t>
  </si>
  <si>
    <t>overpass_q1mm</t>
  </si>
  <si>
    <t>range.C1 losslG,lossyA,intra.overpass_q1mm</t>
  </si>
  <si>
    <t>'C1 losslG,lossyA,intra'!$A$287:$BD$292</t>
  </si>
  <si>
    <t>tollbooth_q1mm</t>
  </si>
  <si>
    <t>range.C1 losslG,lossyA,intra.tollbooth_q1mm</t>
  </si>
  <si>
    <t>'C1 losslG,lossyA,intra'!$A$293:$BD$298</t>
  </si>
  <si>
    <t>ford_01_q1mm</t>
  </si>
  <si>
    <t>range.C1 losslG,lossyA,intra.ford_01_q1mm</t>
  </si>
  <si>
    <t>'C1 losslG,lossyA,intra'!$A$299:$BD$304</t>
  </si>
  <si>
    <t>ford_02_q1mm</t>
  </si>
  <si>
    <t>range.C1 losslG,lossyA,intra.ford_02_q1mm</t>
  </si>
  <si>
    <t>'C1 losslG,lossyA,intra'!$A$305:$BD$310</t>
  </si>
  <si>
    <t>ford_03_q1mm</t>
  </si>
  <si>
    <t>range.C1 losslG,lossyA,intra.ford_03_q1mm</t>
  </si>
  <si>
    <t>'C1 losslG,lossyA,intra'!$A$311:$BD$316</t>
  </si>
  <si>
    <t>qnxadas-junction-approach</t>
  </si>
  <si>
    <t>range.C1 losslG,lossyA,intra.qnxadas-junction-approach</t>
  </si>
  <si>
    <t>'C1 losslG,lossyA,intra'!$A$317:$BD$322</t>
  </si>
  <si>
    <t>qnxadas-junction-exit</t>
  </si>
  <si>
    <t>range.C1 losslG,lossyA,intra.qnxadas-junction-exit</t>
  </si>
  <si>
    <t>'C1 losslG,lossyA,intra'!$A$323:$BD$328</t>
  </si>
  <si>
    <t>qnxadas-motorway-join</t>
  </si>
  <si>
    <t>range.C1 losslG,lossyA,intra.qnxadas-motorway-join</t>
  </si>
  <si>
    <t>'C1 losslG,lossyA,intra'!$A$329:$BD$334</t>
  </si>
  <si>
    <t>qnxadas-navigating-bends</t>
  </si>
  <si>
    <t>range.C1 losslG,lossyA,intra.qnxadas-navigating-bends</t>
  </si>
  <si>
    <t>'C1 losslG,lossyA,intra'!$A$335:$BD$340</t>
  </si>
  <si>
    <t>Solid average</t>
  </si>
  <si>
    <t>Dense average</t>
  </si>
  <si>
    <t>Sparse average</t>
  </si>
  <si>
    <t>Scant average</t>
  </si>
  <si>
    <t>Am-fused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</si>
  <si>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</si>
  <si>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</si>
  <si>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</si>
  <si>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</si>
  <si>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</si>
  <si>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</si>
  <si>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</si>
  <si>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C1_ai</t>
  </si>
  <si>
    <t>lossless geometry, lossy attributes [all intra]</t>
  </si>
  <si>
    <t>Avg. Enc Time [%]</t>
  </si>
  <si>
    <t>Avg. Dec Time [%]</t>
  </si>
  <si>
    <t>C1 losslG,lossyA,intra</t>
  </si>
  <si>
    <t>cols.C1 losslG,lossyA,intra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</si>
  <si>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</si>
  <si>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</si>
  <si>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</si>
  <si>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</si>
  <si>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</si>
  <si>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</si>
  <si>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</si>
  <si>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</si>
  <si>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</si>
  <si>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</t>
  </si>
  <si>
    <t>col.C2 lossyG,lossyA,intra.A.eqn.bpp.colour</t>
  </si>
  <si>
    <t>col.C2 lossyG,lossyA,intra.A.eqn.bpp.reflectance</t>
  </si>
  <si>
    <t>col.C2 lossyG,lossyA,intra.A.eqn.bpop</t>
  </si>
  <si>
    <t>col.C2 lossyG,lossyA,intra.A.dec.numpoints</t>
  </si>
  <si>
    <t>col.C2 lossyG,lossyA,intra.A.enc.ext.bits</t>
  </si>
  <si>
    <t>col.C2 lossyG,lossyA,intra.A.enc.bits.geometry</t>
  </si>
  <si>
    <t>col.C2 lossyG,lossyA,intra.A.enc.bits.colour</t>
  </si>
  <si>
    <t>col.C2 lossyG,lossyA,intra.A.enc.bits.reflectance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</si>
  <si>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</si>
  <si>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</si>
  <si>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</si>
  <si>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</si>
  <si>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</si>
  <si>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</si>
  <si>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</si>
  <si>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</si>
  <si>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</si>
  <si>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</si>
  <si>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lossyG,lossyA,intra.A.dec.reflectance-psnr</t>
  </si>
  <si>
    <t>col.C2 lossyG,lossyA,intra.A.enc.utime</t>
  </si>
  <si>
    <t>col.C2 lossyG,lossyA,intra.A.dec.utime</t>
  </si>
  <si>
    <t>col.C2 lossyG,lossyA,intra.B.eqn.bitrate</t>
  </si>
  <si>
    <t>col.C2 lossyG,lossyA,intra.B.eqn.bpp</t>
  </si>
  <si>
    <t>col.C2 lossyG,lossyA,intra.B.eqn.bpp.geometry</t>
  </si>
  <si>
    <t>col.C2 lossyG,lossyA,intra.B.eqn.bpp.colour</t>
  </si>
  <si>
    <t>col.C2 lossyG,lossyA,intra.B.eqn.bpp.reflectance</t>
  </si>
  <si>
    <t>col.C2 lossyG,lossyA,intra.B.eqn.bpop</t>
  </si>
  <si>
    <t>col.C2 lossyG,lossyA,intra.B.dec.numpoints</t>
  </si>
  <si>
    <t>col.C2 lossyG,lossyA,intra.B.enc.ext.bits</t>
  </si>
  <si>
    <t>col.C2 lossyG,lossyA,intra.B.enc.bits.geometry</t>
  </si>
  <si>
    <t>col.C2 lossyG,lossyA,intra.B.enc.bits.colour</t>
  </si>
  <si>
    <t>col.C2 lossyG,lossyA,intra.B.enc.bits.reflectance</t>
  </si>
  <si>
    <t>B.dec.d1-psnr</t>
  </si>
  <si>
    <t>col.C2 lossyG,lossyA,intra.B.dec.d1-psnr</t>
  </si>
  <si>
    <t>B.dec.d2-psnr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</si>
  <si>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</si>
  <si>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</si>
  <si>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</si>
  <si>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</si>
  <si>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lossyG,lossyA,intra.B.dec.reflectance-psnr</t>
  </si>
  <si>
    <t>col.C2 lossyG,lossyA,intra.B.enc.utime</t>
  </si>
  <si>
    <t>col.C2 lossyG,lossyA,intra.B.dec.utime</t>
  </si>
  <si>
    <t>col.C2 lossyG,lossyA,intra.eqn.ab.delta-geom_texture_bits_ratio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</si>
  <si>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</si>
  <si>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</si>
  <si>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</si>
  <si>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</si>
  <si>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</si>
  <si>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</si>
  <si>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</si>
  <si>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</si>
  <si>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</si>
  <si>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lossyG,lossyA,intra.eqn.ab.bdrate-reflectance-attrrate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</si>
  <si>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</si>
  <si>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</si>
  <si>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</si>
  <si>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</si>
  <si>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</si>
  <si>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</si>
  <si>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</si>
  <si>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</si>
  <si>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col.C2 lossyG,lossyA,intra.eqn.ab.bdrate-reflectance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</si>
  <si>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</si>
  <si>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</si>
  <si>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</si>
  <si>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</si>
  <si>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lossyG,lossyA,intra'!$AC$1</t>
  </si>
  <si>
    <t>range.C2 lossyG,lossyA,intra.basketball_player_vox11_00000200</t>
  </si>
  <si>
    <t>'C2 lossyG,lossyA,intra'!$A$5:$BL$10</t>
  </si>
  <si>
    <t>range.C2 lossyG,lossyA,intra.dancer_vox11_00000001</t>
  </si>
  <si>
    <t>'C2 lossyG,lossyA,intra'!$A$11:$BL$16</t>
  </si>
  <si>
    <t>range.C2 lossyG,lossyA,intra.facade_00064_vox11</t>
  </si>
  <si>
    <t>'C2 lossyG,lossyA,intra'!$A$17:$BL$22</t>
  </si>
  <si>
    <t>range.C2 lossyG,lossyA,intra.longdress_vox10_1300</t>
  </si>
  <si>
    <t>'C2 lossyG,lossyA,intra'!$A$23:$BL$28</t>
  </si>
  <si>
    <t>range.C2 lossyG,lossyA,intra.loot_vox10_1200</t>
  </si>
  <si>
    <t>'C2 lossyG,lossyA,intra'!$A$29:$BL$34</t>
  </si>
  <si>
    <t>range.C2 lossyG,lossyA,intra.queen_0200</t>
  </si>
  <si>
    <t>'C2 lossyG,lossyA,intra'!$A$35:$BL$40</t>
  </si>
  <si>
    <t>range.C2 lossyG,lossyA,intra.redandblack_vox10_1550</t>
  </si>
  <si>
    <t>'C2 lossyG,lossyA,intra'!$A$41:$BL$46</t>
  </si>
  <si>
    <t>range.C2 lossyG,lossyA,intra.soldier_vox10_0690</t>
  </si>
  <si>
    <t>'C2 lossyG,lossyA,intra'!$A$47:$BL$52</t>
  </si>
  <si>
    <t>range.C2 lossyG,lossyA,intra.thaidancer_viewdep_vox12</t>
  </si>
  <si>
    <t>'C2 lossyG,lossyA,intra'!$A$53:$BL$58</t>
  </si>
  <si>
    <t>range.C2 lossyG,lossyA,intra.boxer_viewdep_vox12</t>
  </si>
  <si>
    <t>'C2 lossyG,lossyA,intra'!$A$59:$BL$64</t>
  </si>
  <si>
    <t>range.C2 lossyG,lossyA,intra.facade_00009_vox12</t>
  </si>
  <si>
    <t>'C2 lossyG,lossyA,intra'!$A$65:$BL$70</t>
  </si>
  <si>
    <t>range.C2 lossyG,lossyA,intra.facade_00015_vox14</t>
  </si>
  <si>
    <t>'C2 lossyG,lossyA,intra'!$A$71:$BL$76</t>
  </si>
  <si>
    <t>range.C2 lossyG,lossyA,intra.facade_00064_vox14</t>
  </si>
  <si>
    <t>'C2 lossyG,lossyA,intra'!$A$77:$BL$82</t>
  </si>
  <si>
    <t>range.C2 lossyG,lossyA,intra.frog_00067_vox12</t>
  </si>
  <si>
    <t>'C2 lossyG,lossyA,intra'!$A$83:$BL$88</t>
  </si>
  <si>
    <t>range.C2 lossyG,lossyA,intra.head_00039_vox12</t>
  </si>
  <si>
    <t>'C2 lossyG,lossyA,intra'!$A$89:$BL$94</t>
  </si>
  <si>
    <t>range.C2 lossyG,lossyA,intra.house_without_roof_00057_vox12</t>
  </si>
  <si>
    <t>'C2 lossyG,lossyA,intra'!$A$95:$BL$100</t>
  </si>
  <si>
    <t>range.C2 lossyG,lossyA,intra.landscape_00014_vox14</t>
  </si>
  <si>
    <t>'C2 lossyG,lossyA,intra'!$A$101:$BL$106</t>
  </si>
  <si>
    <t>range.C2 lossyG,lossyA,intra.longdress_viewdep_vox12</t>
  </si>
  <si>
    <t>'C2 lossyG,lossyA,intra'!$A$107:$BL$112</t>
  </si>
  <si>
    <t>range.C2 lossyG,lossyA,intra.loot_viewdep_vox12</t>
  </si>
  <si>
    <t>'C2 lossyG,lossyA,intra'!$A$113:$BL$118</t>
  </si>
  <si>
    <t>range.C2 lossyG,lossyA,intra.redandblack_viewdep_vox12</t>
  </si>
  <si>
    <t>'C2 lossyG,lossyA,intra'!$A$119:$BL$124</t>
  </si>
  <si>
    <t>range.C2 lossyG,lossyA,intra.soldier_viewdep_vox12</t>
  </si>
  <si>
    <t>'C2 lossyG,lossyA,intra'!$A$125:$BL$130</t>
  </si>
  <si>
    <t>range.C2 lossyG,lossyA,intra.arco_valentino_dense_vox12</t>
  </si>
  <si>
    <t>'C2 lossyG,lossyA,intra'!$A$131:$BL$136</t>
  </si>
  <si>
    <t>range.C2 lossyG,lossyA,intra.egyptian_mask_vox12</t>
  </si>
  <si>
    <t>'C2 lossyG,lossyA,intra'!$A$137:$BL$142</t>
  </si>
  <si>
    <t>range.C2 lossyG,lossyA,intra.palazzo_carignano_dense_vox14</t>
  </si>
  <si>
    <t>'C2 lossyG,lossyA,intra'!$A$143:$BL$148</t>
  </si>
  <si>
    <t>range.C2 lossyG,lossyA,intra.shiva_00035_vox12</t>
  </si>
  <si>
    <t>'C2 lossyG,lossyA,intra'!$A$149:$BL$154</t>
  </si>
  <si>
    <t>range.C2 lossyG,lossyA,intra.stanford_area_2_vox16</t>
  </si>
  <si>
    <t>'C2 lossyG,lossyA,intra'!$A$155:$BL$160</t>
  </si>
  <si>
    <t>range.C2 lossyG,lossyA,intra.stanford_area_4_vox16</t>
  </si>
  <si>
    <t>'C2 lossyG,lossyA,intra'!$A$161:$BL$166</t>
  </si>
  <si>
    <t>range.C2 lossyG,lossyA,intra.staue_klimt_vox12</t>
  </si>
  <si>
    <t>'C2 lossyG,lossyA,intra'!$A$167:$BL$172</t>
  </si>
  <si>
    <t>range.C2 lossyG,lossyA,intra.ulb_unicorn_hires_vox15</t>
  </si>
  <si>
    <t>'C2 lossyG,lossyA,intra'!$A$173:$BL$178</t>
  </si>
  <si>
    <t>range.C2 lossyG,lossyA,intra.ulb_unicorn_vox13</t>
  </si>
  <si>
    <t>'C2 lossyG,lossyA,intra'!$A$179:$BL$184</t>
  </si>
  <si>
    <t>range.C2 lossyG,lossyA,intra.arco_valentino_dense_vox20</t>
  </si>
  <si>
    <t>'C2 lossyG,lossyA,intra'!$A$185:$BL$190</t>
  </si>
  <si>
    <t>range.C2 lossyG,lossyA,intra.egyptian_mask_vox20</t>
  </si>
  <si>
    <t>'C2 lossyG,lossyA,intra'!$A$191:$BL$196</t>
  </si>
  <si>
    <t>range.C2 lossyG,lossyA,intra.facade_00009_vox20</t>
  </si>
  <si>
    <t>'C2 lossyG,lossyA,intra'!$A$197:$BL$202</t>
  </si>
  <si>
    <t>range.C2 lossyG,lossyA,intra.facade_00015_vox20</t>
  </si>
  <si>
    <t>'C2 lossyG,lossyA,intra'!$A$203:$BL$208</t>
  </si>
  <si>
    <t>range.C2 lossyG,lossyA,intra.facade_00064_vox20</t>
  </si>
  <si>
    <t>'C2 lossyG,lossyA,intra'!$A$209:$BL$214</t>
  </si>
  <si>
    <t>range.C2 lossyG,lossyA,intra.frog_00067_vox20</t>
  </si>
  <si>
    <t>'C2 lossyG,lossyA,intra'!$A$215:$BL$220</t>
  </si>
  <si>
    <t>range.C2 lossyG,lossyA,intra.head_00039_vox20</t>
  </si>
  <si>
    <t>'C2 lossyG,lossyA,intra'!$A$221:$BL$226</t>
  </si>
  <si>
    <t>range.C2 lossyG,lossyA,intra.house_without_roof_00057_vox20</t>
  </si>
  <si>
    <t>'C2 lossyG,lossyA,intra'!$A$227:$BL$232</t>
  </si>
  <si>
    <t>range.C2 lossyG,lossyA,intra.landscape_00014_vox20</t>
  </si>
  <si>
    <t>'C2 lossyG,lossyA,intra'!$A$233:$BL$238</t>
  </si>
  <si>
    <t>range.C2 lossyG,lossyA,intra.palazzo_carignano_dense_vox20</t>
  </si>
  <si>
    <t>'C2 lossyG,lossyA,intra'!$A$239:$BL$244</t>
  </si>
  <si>
    <t>range.C2 lossyG,lossyA,intra.shiva_00035_vox20</t>
  </si>
  <si>
    <t>'C2 lossyG,lossyA,intra'!$A$245:$BL$250</t>
  </si>
  <si>
    <t>range.C2 lossyG,lossyA,intra.stanford_area_2_vox20</t>
  </si>
  <si>
    <t>'C2 lossyG,lossyA,intra'!$A$251:$BL$256</t>
  </si>
  <si>
    <t>range.C2 lossyG,lossyA,intra.stanford_area_4_vox20</t>
  </si>
  <si>
    <t>'C2 lossyG,lossyA,intra'!$A$257:$BL$262</t>
  </si>
  <si>
    <t>range.C2 lossyG,lossyA,intra.staue_klimt_vox20</t>
  </si>
  <si>
    <t>'C2 lossyG,lossyA,intra'!$A$263:$BL$268</t>
  </si>
  <si>
    <t>range.C2 lossyG,lossyA,intra.ulb_unicorn_hires_vox20</t>
  </si>
  <si>
    <t>'C2 lossyG,lossyA,intra'!$A$269:$BL$274</t>
  </si>
  <si>
    <t>range.C2 lossyG,lossyA,intra.ulb_unicorn_vox20</t>
  </si>
  <si>
    <t>'C2 lossyG,lossyA,intra'!$A$275:$BL$280</t>
  </si>
  <si>
    <t>range.C2 lossyG,lossyA,intra.citytunnel_q1mm</t>
  </si>
  <si>
    <t>'C2 lossyG,lossyA,intra'!$A$281:$BL$286</t>
  </si>
  <si>
    <t>range.C2 lossyG,lossyA,intra.overpass_q1mm</t>
  </si>
  <si>
    <t>'C2 lossyG,lossyA,intra'!$A$287:$BL$292</t>
  </si>
  <si>
    <t>range.C2 lossyG,lossyA,intra.tollbooth_q1mm</t>
  </si>
  <si>
    <t>'C2 lossyG,lossyA,intra'!$A$293:$BL$298</t>
  </si>
  <si>
    <t>range.C2 lossyG,lossyA,intra.ford_01_q1mm</t>
  </si>
  <si>
    <t>'C2 lossyG,lossyA,intra'!$A$299:$BL$304</t>
  </si>
  <si>
    <t>range.C2 lossyG,lossyA,intra.ford_02_q1mm</t>
  </si>
  <si>
    <t>'C2 lossyG,lossyA,intra'!$A$305:$BL$310</t>
  </si>
  <si>
    <t>range.C2 lossyG,lossyA,intra.ford_03_q1mm</t>
  </si>
  <si>
    <t>'C2 lossyG,lossyA,intra'!$A$311:$BL$316</t>
  </si>
  <si>
    <t>range.C2 lossyG,lossyA,intra.qnxadas-junction-approach</t>
  </si>
  <si>
    <t>'C2 lossyG,lossyA,intra'!$A$317:$BL$322</t>
  </si>
  <si>
    <t>range.C2 lossyG,lossyA,intra.qnxadas-junction-exit</t>
  </si>
  <si>
    <t>'C2 lossyG,lossyA,intra'!$A$323:$BL$328</t>
  </si>
  <si>
    <t>range.C2 lossyG,lossyA,intra.qnxadas-motorway-join</t>
  </si>
  <si>
    <t>'C2 lossyG,lossyA,intra'!$A$329:$BL$334</t>
  </si>
  <si>
    <t>range.C2 lossyG,lossyA,intra.qnxadas-navigating-bends</t>
  </si>
  <si>
    <t>'C2 lossyG,lossyA,intra'!$A$335:$BL$340</t>
  </si>
  <si>
    <t>C2_ai</t>
  </si>
  <si>
    <t>lossy geometry, lossy attributes [all intra]</t>
  </si>
  <si>
    <t>C2 lossyG,lossyA,intra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</si>
  <si>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</si>
  <si>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</si>
  <si>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</si>
  <si>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</si>
  <si>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</si>
  <si>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</si>
  <si>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</si>
  <si>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</si>
  <si>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</si>
  <si>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</si>
  <si>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</si>
  <si>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</si>
  <si>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</t>
  </si>
  <si>
    <t>col.CW losslG,losslA,intra.A.eqn.bpp.colour</t>
  </si>
  <si>
    <t>col.CW losslG,losslA,intra.A.eqn.bpp.reflectance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</si>
  <si>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</si>
  <si>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</si>
  <si>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</si>
  <si>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</si>
  <si>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losslG,losslA,intra.A.enc.bits.colour</t>
  </si>
  <si>
    <t>col.CW losslG,losslA,intra.A.enc.bits.reflectance</t>
  </si>
  <si>
    <t>col.CW losslG,losslA,intra.A.enc.utime</t>
  </si>
  <si>
    <t>col.CW losslG,losslA,intra.A.dec.utime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</si>
  <si>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</si>
  <si>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</si>
  <si>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</si>
  <si>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</si>
  <si>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</t>
  </si>
  <si>
    <t>col.CW losslG,losslA,intra.B.eqn.bpp.colour</t>
  </si>
  <si>
    <t>col.CW losslG,losslA,intra.B.eqn.bpp.reflectance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</si>
  <si>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</si>
  <si>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</si>
  <si>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</si>
  <si>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</si>
  <si>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losslG,losslA,intra.B.enc.bits.colour</t>
  </si>
  <si>
    <t>col.CW losslG,losslA,intra.B.enc.bits.reflectance</t>
  </si>
  <si>
    <t>col.CW losslG,losslA,intra.B.enc.utime</t>
  </si>
  <si>
    <t>col.CW losslG,losslA,intra.B.dec.utime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</si>
  <si>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</si>
  <si>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</si>
  <si>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</si>
  <si>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</si>
  <si>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</si>
  <si>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</si>
  <si>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</si>
  <si>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eqn.ab.ratio-bpp-reflectance</t>
  </si>
  <si>
    <t>col.CW losslG,losslA,intra.eqn.ab.ratio-bpp-reflectance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</si>
  <si>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</si>
  <si>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</si>
  <si>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</si>
  <si>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</si>
  <si>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</si>
  <si>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</si>
  <si>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losslG,losslA,intra'!$W$1</t>
  </si>
  <si>
    <t>range.CW losslG,losslA,intra.basketball_player_vox11_00000200</t>
  </si>
  <si>
    <t>'CW losslG,losslA,intra'!$A$5:$AQ$5</t>
  </si>
  <si>
    <t>range.CW losslG,losslA,intra.dancer_vox11_00000001</t>
  </si>
  <si>
    <t>'CW losslG,losslA,intra'!$A$6:$AQ$6</t>
  </si>
  <si>
    <t>range.CW losslG,losslA,intra.facade_00064_vox11</t>
  </si>
  <si>
    <t>'CW losslG,losslA,intra'!$A$7:$AQ$7</t>
  </si>
  <si>
    <t>range.CW losslG,losslA,intra.longdress_vox10_1300</t>
  </si>
  <si>
    <t>'CW losslG,losslA,intra'!$A$8:$AQ$8</t>
  </si>
  <si>
    <t>range.CW losslG,losslA,intra.loot_vox10_1200</t>
  </si>
  <si>
    <t>'CW losslG,losslA,intra'!$A$9:$AQ$9</t>
  </si>
  <si>
    <t>range.CW losslG,losslA,intra.queen_0200</t>
  </si>
  <si>
    <t>'CW losslG,losslA,intra'!$A$10:$AQ$10</t>
  </si>
  <si>
    <t>range.CW losslG,losslA,intra.redandblack_vox10_1550</t>
  </si>
  <si>
    <t>'CW losslG,losslA,intra'!$A$11:$AQ$11</t>
  </si>
  <si>
    <t>range.CW losslG,losslA,intra.soldier_vox10_0690</t>
  </si>
  <si>
    <t>'CW losslG,losslA,intra'!$A$12:$AQ$12</t>
  </si>
  <si>
    <t>range.CW losslG,losslA,intra.thaidancer_viewdep_vox12</t>
  </si>
  <si>
    <t>'CW losslG,losslA,intra'!$A$13:$AQ$13</t>
  </si>
  <si>
    <t>range.CW losslG,losslA,intra.boxer_viewdep_vox12</t>
  </si>
  <si>
    <t>'CW losslG,losslA,intra'!$A$14:$AQ$14</t>
  </si>
  <si>
    <t>range.CW losslG,losslA,intra.facade_00009_vox12</t>
  </si>
  <si>
    <t>'CW losslG,losslA,intra'!$A$15:$AQ$15</t>
  </si>
  <si>
    <t>range.CW losslG,losslA,intra.facade_00015_vox14</t>
  </si>
  <si>
    <t>'CW losslG,losslA,intra'!$A$16:$AQ$16</t>
  </si>
  <si>
    <t>range.CW losslG,losslA,intra.facade_00064_vox14</t>
  </si>
  <si>
    <t>'CW losslG,losslA,intra'!$A$17:$AQ$17</t>
  </si>
  <si>
    <t>range.CW losslG,losslA,intra.frog_00067_vox12</t>
  </si>
  <si>
    <t>'CW losslG,losslA,intra'!$A$18:$AQ$18</t>
  </si>
  <si>
    <t>range.CW losslG,losslA,intra.head_00039_vox12</t>
  </si>
  <si>
    <t>'CW losslG,losslA,intra'!$A$19:$AQ$19</t>
  </si>
  <si>
    <t>range.CW losslG,losslA,intra.house_without_roof_00057_vox12</t>
  </si>
  <si>
    <t>'CW losslG,losslA,intra'!$A$20:$AQ$20</t>
  </si>
  <si>
    <t>range.CW losslG,losslA,intra.landscape_00014_vox14</t>
  </si>
  <si>
    <t>'CW losslG,losslA,intra'!$A$21:$AQ$21</t>
  </si>
  <si>
    <t>range.CW losslG,losslA,intra.longdress_viewdep_vox12</t>
  </si>
  <si>
    <t>'CW losslG,losslA,intra'!$A$22:$AQ$22</t>
  </si>
  <si>
    <t>range.CW losslG,losslA,intra.loot_viewdep_vox12</t>
  </si>
  <si>
    <t>'CW losslG,losslA,intra'!$A$23:$AQ$23</t>
  </si>
  <si>
    <t>range.CW losslG,losslA,intra.redandblack_viewdep_vox12</t>
  </si>
  <si>
    <t>'CW losslG,losslA,intra'!$A$24:$AQ$24</t>
  </si>
  <si>
    <t>range.CW losslG,losslA,intra.soldier_viewdep_vox12</t>
  </si>
  <si>
    <t>'CW losslG,losslA,intra'!$A$25:$AQ$25</t>
  </si>
  <si>
    <t>range.CW losslG,losslA,intra.arco_valentino_dense_vox12</t>
  </si>
  <si>
    <t>'CW losslG,losslA,intra'!$A$26:$AQ$26</t>
  </si>
  <si>
    <t>range.CW losslG,losslA,intra.egyptian_mask_vox12</t>
  </si>
  <si>
    <t>'CW losslG,losslA,intra'!$A$27:$AQ$27</t>
  </si>
  <si>
    <t>range.CW losslG,losslA,intra.palazzo_carignano_dense_vox14</t>
  </si>
  <si>
    <t>'CW losslG,losslA,intra'!$A$28:$AQ$28</t>
  </si>
  <si>
    <t>range.CW losslG,losslA,intra.shiva_00035_vox12</t>
  </si>
  <si>
    <t>'CW losslG,losslA,intra'!$A$29:$AQ$29</t>
  </si>
  <si>
    <t>range.CW losslG,losslA,intra.stanford_area_2_vox16</t>
  </si>
  <si>
    <t>'CW losslG,losslA,intra'!$A$30:$AQ$30</t>
  </si>
  <si>
    <t>range.CW losslG,losslA,intra.stanford_area_4_vox16</t>
  </si>
  <si>
    <t>'CW losslG,losslA,intra'!$A$31:$AQ$31</t>
  </si>
  <si>
    <t>range.CW losslG,losslA,intra.staue_klimt_vox12</t>
  </si>
  <si>
    <t>'CW losslG,losslA,intra'!$A$32:$AQ$32</t>
  </si>
  <si>
    <t>range.CW losslG,losslA,intra.ulb_unicorn_hires_vox15</t>
  </si>
  <si>
    <t>'CW losslG,losslA,intra'!$A$33:$AQ$33</t>
  </si>
  <si>
    <t>range.CW losslG,losslA,intra.ulb_unicorn_vox13</t>
  </si>
  <si>
    <t>'CW losslG,losslA,intra'!$A$34:$AQ$34</t>
  </si>
  <si>
    <t>range.CW losslG,losslA,intra.arco_valentino_dense_vox20</t>
  </si>
  <si>
    <t>'CW losslG,losslA,intra'!$A$35:$AQ$35</t>
  </si>
  <si>
    <t>range.CW losslG,losslA,intra.egyptian_mask_vox20</t>
  </si>
  <si>
    <t>'CW losslG,losslA,intra'!$A$36:$AQ$36</t>
  </si>
  <si>
    <t>range.CW losslG,losslA,intra.facade_00009_vox20</t>
  </si>
  <si>
    <t>'CW losslG,losslA,intra'!$A$37:$AQ$37</t>
  </si>
  <si>
    <t>range.CW losslG,losslA,intra.facade_00015_vox20</t>
  </si>
  <si>
    <t>'CW losslG,losslA,intra'!$A$38:$AQ$38</t>
  </si>
  <si>
    <t>range.CW losslG,losslA,intra.facade_00064_vox20</t>
  </si>
  <si>
    <t>'CW losslG,losslA,intra'!$A$39:$AQ$39</t>
  </si>
  <si>
    <t>range.CW losslG,losslA,intra.frog_00067_vox20</t>
  </si>
  <si>
    <t>'CW losslG,losslA,intra'!$A$40:$AQ$40</t>
  </si>
  <si>
    <t>range.CW losslG,losslA,intra.head_00039_vox20</t>
  </si>
  <si>
    <t>'CW losslG,losslA,intra'!$A$41:$AQ$41</t>
  </si>
  <si>
    <t>range.CW losslG,losslA,intra.house_without_roof_00057_vox20</t>
  </si>
  <si>
    <t>'CW losslG,losslA,intra'!$A$42:$AQ$42</t>
  </si>
  <si>
    <t>range.CW losslG,losslA,intra.landscape_00014_vox20</t>
  </si>
  <si>
    <t>'CW losslG,losslA,intra'!$A$43:$AQ$43</t>
  </si>
  <si>
    <t>range.CW losslG,losslA,intra.palazzo_carignano_dense_vox20</t>
  </si>
  <si>
    <t>'CW losslG,losslA,intra'!$A$44:$AQ$44</t>
  </si>
  <si>
    <t>range.CW losslG,losslA,intra.shiva_00035_vox20</t>
  </si>
  <si>
    <t>'CW losslG,losslA,intra'!$A$45:$AQ$45</t>
  </si>
  <si>
    <t>range.CW losslG,losslA,intra.stanford_area_2_vox20</t>
  </si>
  <si>
    <t>'CW losslG,losslA,intra'!$A$46:$AQ$46</t>
  </si>
  <si>
    <t>range.CW losslG,losslA,intra.stanford_area_4_vox20</t>
  </si>
  <si>
    <t>'CW losslG,losslA,intra'!$A$47:$AQ$47</t>
  </si>
  <si>
    <t>range.CW losslG,losslA,intra.staue_klimt_vox20</t>
  </si>
  <si>
    <t>'CW losslG,losslA,intra'!$A$48:$AQ$48</t>
  </si>
  <si>
    <t>range.CW losslG,losslA,intra.ulb_unicorn_hires_vox20</t>
  </si>
  <si>
    <t>'CW losslG,losslA,intra'!$A$49:$AQ$49</t>
  </si>
  <si>
    <t>range.CW losslG,losslA,intra.ulb_unicorn_vox20</t>
  </si>
  <si>
    <t>'CW losslG,losslA,intra'!$A$50:$AQ$50</t>
  </si>
  <si>
    <t>range.CW losslG,losslA,intra.citytunnel_q1mm</t>
  </si>
  <si>
    <t>'CW losslG,losslA,intra'!$A$51:$AQ$51</t>
  </si>
  <si>
    <t>range.CW losslG,losslA,intra.overpass_q1mm</t>
  </si>
  <si>
    <t>'CW losslG,losslA,intra'!$A$52:$AQ$52</t>
  </si>
  <si>
    <t>range.CW losslG,losslA,intra.tollbooth_q1mm</t>
  </si>
  <si>
    <t>'CW losslG,losslA,intra'!$A$53:$AQ$53</t>
  </si>
  <si>
    <t>range.CW losslG,losslA,intra.ford_01_q1mm</t>
  </si>
  <si>
    <t>'CW losslG,losslA,intra'!$A$54:$AQ$54</t>
  </si>
  <si>
    <t>range.CW losslG,losslA,intra.ford_02_q1mm</t>
  </si>
  <si>
    <t>'CW losslG,losslA,intra'!$A$55:$AQ$55</t>
  </si>
  <si>
    <t>range.CW losslG,losslA,intra.ford_03_q1mm</t>
  </si>
  <si>
    <t>'CW losslG,losslA,intra'!$A$56:$AQ$56</t>
  </si>
  <si>
    <t>range.CW losslG,losslA,intra.qnxadas-junction-approach</t>
  </si>
  <si>
    <t>'CW losslG,losslA,intra'!$A$57:$AQ$57</t>
  </si>
  <si>
    <t>range.CW losslG,losslA,intra.qnxadas-junction-exit</t>
  </si>
  <si>
    <t>'CW losslG,losslA,intra'!$A$58:$AQ$58</t>
  </si>
  <si>
    <t>range.CW losslG,losslA,intra.qnxadas-motorway-join</t>
  </si>
  <si>
    <t>'CW losslG,losslA,intra'!$A$59:$AQ$59</t>
  </si>
  <si>
    <t>range.CW losslG,losslA,intra.qnxadas-navigating-bends</t>
  </si>
  <si>
    <t>'CW losslG,losslA,intra'!$A$60:$AQ$60</t>
  </si>
  <si>
    <t>CW_ai</t>
  </si>
  <si>
    <t>lossless geometry, lossless attributes [all intra]</t>
  </si>
  <si>
    <t>CW losslG,losslA,intra</t>
  </si>
  <si>
    <t>cols.CW losslG,losslA,intra</t>
  </si>
  <si>
    <t>col.CY losslG,nearllA,intra.class</t>
  </si>
  <si>
    <t>col.CY losslG,nearllA,intra.sequence</t>
  </si>
  <si>
    <t>col.CY losslG,nearllA,intra.variant</t>
  </si>
  <si>
    <t>col.CY losslG,nearllA,intra.src.numpoints</t>
  </si>
  <si>
    <t>col.CY losslG,nearllA,intra.src.geometry-precision</t>
  </si>
  <si>
    <t>col.CY losslG,nearllA,intra.src.framecount</t>
  </si>
  <si>
    <t>col.CY losslG,nearllA,intra.src.framerate</t>
  </si>
  <si>
    <t>col.CY losslG,nearllA,intra.A.eqn.bitrate</t>
  </si>
  <si>
    <t>col.CY losslG,nearllA,intra.A.eqn.bpp</t>
  </si>
  <si>
    <t>col.CY losslG,nearllA,intra.A.eqn.bpp.geometry</t>
  </si>
  <si>
    <t>col.CY losslG,nearllA,intra.A.eqn.bpp.colour</t>
  </si>
  <si>
    <t>col.CY losslG,nearllA,intra.A.eqn.bpp.reflectance</t>
  </si>
  <si>
    <t>col.CY losslG,nearllA,intra.A.eqn.bpop</t>
  </si>
  <si>
    <t>col.CY losslG,nearllA,intra.A.dec.numpoints</t>
  </si>
  <si>
    <t>col.CY losslG,nearllA,intra.A.enc.ext.bits</t>
  </si>
  <si>
    <t>col.CY losslG,nearllA,intra.A.enc.bits.geometry</t>
  </si>
  <si>
    <t>col.CY losslG,nearllA,intra.A.enc.bits.colour</t>
  </si>
  <si>
    <t>col.CY losslG,nearllA,intra.A.enc.bits.reflectance</t>
  </si>
  <si>
    <t>col.CY losslG,nearllA,intra.A.dec.y-psnr</t>
  </si>
  <si>
    <t>col.CY losslG,nearllA,intra.A.dec.cb-psnr</t>
  </si>
  <si>
    <t>col.CY losslG,nearllA,intra.A.dec.cr-psnr</t>
  </si>
  <si>
    <t>col.CY losslG,nearllA,intra.A.dec.reflectance-psnr</t>
  </si>
  <si>
    <t>EtE Hausdorff PSNR [dB]</t>
  </si>
  <si>
    <t>A.dec.y-hpsnr</t>
  </si>
  <si>
    <t>col.CY losslG,nearllA,intra.A.dec.y-hpsnr</t>
  </si>
  <si>
    <t>A.dec.cb-hpsnr</t>
  </si>
  <si>
    <t>col.CY losslG,nearllA,intra.A.dec.cb-hpsnr</t>
  </si>
  <si>
    <t>A.dec.cr-hpsnr</t>
  </si>
  <si>
    <t>col.CY losslG,nearllA,intra.A.dec.cr-hpsnr</t>
  </si>
  <si>
    <t>A.dec.reflectance-hpsnr</t>
  </si>
  <si>
    <t>col.CY losslG,nearllA,intra.A.dec.reflectance-hpsnr</t>
  </si>
  <si>
    <t>col.CY losslG,nearllA,intra.A.enc.utime</t>
  </si>
  <si>
    <t>col.CY losslG,nearllA,intra.A.dec.utime</t>
  </si>
  <si>
    <t>col.CY losslG,nearllA,intra.B.eqn.bitrate</t>
  </si>
  <si>
    <t>col.CY losslG,nearllA,intra.B.eqn.bpp</t>
  </si>
  <si>
    <t>col.CY losslG,nearllA,intra.B.eqn.bpp.geometry</t>
  </si>
  <si>
    <t>col.CY losslG,nearllA,intra.B.eqn.bpp.colour</t>
  </si>
  <si>
    <t>col.CY losslG,nearllA,intra.B.eqn.bpp.reflectance</t>
  </si>
  <si>
    <t>col.CY losslG,nearllA,intra.B.eqn.bpop</t>
  </si>
  <si>
    <t>col.CY losslG,nearllA,intra.B.dec.numpoints</t>
  </si>
  <si>
    <t>col.CY losslG,nearllA,intra.B.enc.ext.bits</t>
  </si>
  <si>
    <t>col.CY losslG,nearllA,intra.B.enc.bits.geometry</t>
  </si>
  <si>
    <t>col.CY losslG,nearllA,intra.B.enc.bits.colour</t>
  </si>
  <si>
    <t>col.CY losslG,nearllA,intra.B.enc.bits.reflectance</t>
  </si>
  <si>
    <t>col.CY losslG,nearllA,intra.B.dec.y-psnr</t>
  </si>
  <si>
    <t>col.CY losslG,nearllA,intra.B.dec.cb-psnr</t>
  </si>
  <si>
    <t>col.CY losslG,nearllA,intra.B.dec.cr-psnr</t>
  </si>
  <si>
    <t>col.CY losslG,nearllA,intra.B.dec.reflectance-psnr</t>
  </si>
  <si>
    <t>B.dec.y-hpsnr</t>
  </si>
  <si>
    <t>col.CY losslG,nearllA,intra.B.dec.y-hpsnr</t>
  </si>
  <si>
    <t>B.dec.cb-hpsnr</t>
  </si>
  <si>
    <t>col.CY losslG,nearllA,intra.B.dec.cb-hpsnr</t>
  </si>
  <si>
    <t>B.dec.cr-hpsnr</t>
  </si>
  <si>
    <t>col.CY losslG,nearllA,intra.B.dec.cr-hpsnr</t>
  </si>
  <si>
    <t>B.dec.reflectance-hpsnr</t>
  </si>
  <si>
    <t>col.CY losslG,nearllA,intra.B.dec.reflectance-hpsnr</t>
  </si>
  <si>
    <t>col.CY losslG,nearllA,intra.B.enc.utime</t>
  </si>
  <si>
    <t>col.CY losslG,nearllA,intra.B.dec.utime</t>
  </si>
  <si>
    <t>col.CY losslG,nearllA,intra.eqn.ab.delta-geom_texture_bits_ratio</t>
  </si>
  <si>
    <t>col.CY losslG,nearllA,intra.eqn.ab.summary-delta-geom_texture_bits_ratio</t>
  </si>
  <si>
    <t>col.CY losslG,nearllA,intra.eqn.ab.bdrate-y-attrrate</t>
  </si>
  <si>
    <t>col.CY losslG,nearllA,intra.eqn.ab.bdrate-cb-attrrate</t>
  </si>
  <si>
    <t>col.CY losslG,nearllA,intra.eqn.ab.bdrate-cr-attrrate</t>
  </si>
  <si>
    <t>col.CY losslG,nearllA,intra.eqn.ab.bdrate-reflectance-attrrate</t>
  </si>
  <si>
    <t>EtE Hausdorff BD‑AttrRate [%]</t>
  </si>
  <si>
    <t>eqn.ab.bdrate-hy-attrrate</t>
  </si>
  <si>
    <t>col.CY losslG,nearllA,intra.eqn.ab.bdrate-hy-attrrate</t>
  </si>
  <si>
    <t>eqn.ab.bdrate-hcb-attrrate</t>
  </si>
  <si>
    <t>col.CY losslG,nearllA,intra.eqn.ab.bdrate-hcb-attrrate</t>
  </si>
  <si>
    <t>eqn.ab.bdrate-hcr-attrrate</t>
  </si>
  <si>
    <t>col.CY losslG,nearllA,intra.eqn.ab.bdrate-hcr-attrrate</t>
  </si>
  <si>
    <t>eqn.ab.bdrate-hreflectance-attrrate</t>
  </si>
  <si>
    <t>col.CY losslG,nearllA,intra.eqn.ab.bdrate-hreflectance-attrrate</t>
  </si>
  <si>
    <t>col.CY losslG,nearllA,intra.eqn.ab.bdrate-y</t>
  </si>
  <si>
    <t>col.CY losslG,nearllA,intra.eqn.ab.bdrate-cb</t>
  </si>
  <si>
    <t>col.CY losslG,nearllA,intra.eqn.ab.bdrate-cr</t>
  </si>
  <si>
    <t>col.CY losslG,nearllA,intra.eqn.ab.bdrate-reflectance</t>
  </si>
  <si>
    <t>EtE Hausdorff BD‑TotalRate [%]</t>
  </si>
  <si>
    <t>eqn.ab.bdrate-hy</t>
  </si>
  <si>
    <t>col.CY losslG,nearllA,intra.eqn.ab.bdrate-hy</t>
  </si>
  <si>
    <t>eqn.ab.bdrate-hcb</t>
  </si>
  <si>
    <t>col.CY losslG,nearllA,intra.eqn.ab.bdrate-hcb</t>
  </si>
  <si>
    <t>eqn.ab.bdrate-hcr</t>
  </si>
  <si>
    <t>col.CY losslG,nearllA,intra.eqn.ab.bdrate-hcr</t>
  </si>
  <si>
    <t>eqn.ab.bdrate-hreflectance</t>
  </si>
  <si>
    <t>col.CY losslG,nearllA,intra.eqn.ab.bdrate-hreflectance</t>
  </si>
  <si>
    <t>CY_ai — lossless geometry, near-lossless attributes [all intra]</t>
  </si>
  <si>
    <t>name.A.CY losslG,nearllA,intra</t>
  </si>
  <si>
    <t>'CY losslG,nearllA,intra'!$I$1</t>
  </si>
  <si>
    <t>name.B.CY losslG,nearllA,intra</t>
  </si>
  <si>
    <t>'CY losslG,nearllA,intra'!$AE$1</t>
  </si>
  <si>
    <t>range.CY losslG,nearllA,intra.basketball_player_vox11_00000200</t>
  </si>
  <si>
    <t>'CY losslG,nearllA,intra'!$A$5:$BV$9</t>
  </si>
  <si>
    <t>range.CY losslG,nearllA,intra.dancer_vox11_00000001</t>
  </si>
  <si>
    <t>'CY losslG,nearllA,intra'!$A$10:$BV$14</t>
  </si>
  <si>
    <t>range.CY losslG,nearllA,intra.facade_00064_vox11</t>
  </si>
  <si>
    <t>'CY losslG,nearllA,intra'!$A$15:$BV$19</t>
  </si>
  <si>
    <t>range.CY losslG,nearllA,intra.longdress_vox10_1300</t>
  </si>
  <si>
    <t>'CY losslG,nearllA,intra'!$A$20:$BV$24</t>
  </si>
  <si>
    <t>range.CY losslG,nearllA,intra.loot_vox10_1200</t>
  </si>
  <si>
    <t>'CY losslG,nearllA,intra'!$A$25:$BV$29</t>
  </si>
  <si>
    <t>range.CY losslG,nearllA,intra.queen_0200</t>
  </si>
  <si>
    <t>'CY losslG,nearllA,intra'!$A$30:$BV$34</t>
  </si>
  <si>
    <t>range.CY losslG,nearllA,intra.redandblack_vox10_1550</t>
  </si>
  <si>
    <t>'CY losslG,nearllA,intra'!$A$35:$BV$39</t>
  </si>
  <si>
    <t>range.CY losslG,nearllA,intra.soldier_vox10_0690</t>
  </si>
  <si>
    <t>'CY losslG,nearllA,intra'!$A$40:$BV$44</t>
  </si>
  <si>
    <t>range.CY losslG,nearllA,intra.thaidancer_viewdep_vox12</t>
  </si>
  <si>
    <t>'CY losslG,nearllA,intra'!$A$45:$BV$49</t>
  </si>
  <si>
    <t>range.CY losslG,nearllA,intra.boxer_viewdep_vox12</t>
  </si>
  <si>
    <t>'CY losslG,nearllA,intra'!$A$50:$BV$54</t>
  </si>
  <si>
    <t>range.CY losslG,nearllA,intra.facade_00009_vox12</t>
  </si>
  <si>
    <t>'CY losslG,nearllA,intra'!$A$55:$BV$59</t>
  </si>
  <si>
    <t>range.CY losslG,nearllA,intra.facade_00015_vox14</t>
  </si>
  <si>
    <t>'CY losslG,nearllA,intra'!$A$60:$BV$64</t>
  </si>
  <si>
    <t>range.CY losslG,nearllA,intra.facade_00064_vox14</t>
  </si>
  <si>
    <t>'CY losslG,nearllA,intra'!$A$65:$BV$69</t>
  </si>
  <si>
    <t>range.CY losslG,nearllA,intra.frog_00067_vox12</t>
  </si>
  <si>
    <t>'CY losslG,nearllA,intra'!$A$70:$BV$74</t>
  </si>
  <si>
    <t>range.CY losslG,nearllA,intra.head_00039_vox12</t>
  </si>
  <si>
    <t>'CY losslG,nearllA,intra'!$A$75:$BV$79</t>
  </si>
  <si>
    <t>range.CY losslG,nearllA,intra.house_without_roof_00057_vox12</t>
  </si>
  <si>
    <t>'CY losslG,nearllA,intra'!$A$80:$BV$84</t>
  </si>
  <si>
    <t>range.CY losslG,nearllA,intra.landscape_00014_vox14</t>
  </si>
  <si>
    <t>'CY losslG,nearllA,intra'!$A$85:$BV$89</t>
  </si>
  <si>
    <t>range.CY losslG,nearllA,intra.longdress_viewdep_vox12</t>
  </si>
  <si>
    <t>'CY losslG,nearllA,intra'!$A$90:$BV$94</t>
  </si>
  <si>
    <t>range.CY losslG,nearllA,intra.loot_viewdep_vox12</t>
  </si>
  <si>
    <t>'CY losslG,nearllA,intra'!$A$95:$BV$99</t>
  </si>
  <si>
    <t>range.CY losslG,nearllA,intra.redandblack_viewdep_vox12</t>
  </si>
  <si>
    <t>'CY losslG,nearllA,intra'!$A$100:$BV$104</t>
  </si>
  <si>
    <t>range.CY losslG,nearllA,intra.soldier_viewdep_vox12</t>
  </si>
  <si>
    <t>'CY losslG,nearllA,intra'!$A$105:$BV$109</t>
  </si>
  <si>
    <t>range.CY losslG,nearllA,intra.arco_valentino_dense_vox12</t>
  </si>
  <si>
    <t>'CY losslG,nearllA,intra'!$A$110:$BV$114</t>
  </si>
  <si>
    <t>range.CY losslG,nearllA,intra.egyptian_mask_vox12</t>
  </si>
  <si>
    <t>'CY losslG,nearllA,intra'!$A$115:$BV$119</t>
  </si>
  <si>
    <t>range.CY losslG,nearllA,intra.palazzo_carignano_dense_vox14</t>
  </si>
  <si>
    <t>'CY losslG,nearllA,intra'!$A$120:$BV$124</t>
  </si>
  <si>
    <t>range.CY losslG,nearllA,intra.shiva_00035_vox12</t>
  </si>
  <si>
    <t>'CY losslG,nearllA,intra'!$A$125:$BV$129</t>
  </si>
  <si>
    <t>range.CY losslG,nearllA,intra.stanford_area_2_vox16</t>
  </si>
  <si>
    <t>'CY losslG,nearllA,intra'!$A$130:$BV$134</t>
  </si>
  <si>
    <t>range.CY losslG,nearllA,intra.stanford_area_4_vox16</t>
  </si>
  <si>
    <t>'CY losslG,nearllA,intra'!$A$135:$BV$139</t>
  </si>
  <si>
    <t>range.CY losslG,nearllA,intra.staue_klimt_vox12</t>
  </si>
  <si>
    <t>'CY losslG,nearllA,intra'!$A$140:$BV$144</t>
  </si>
  <si>
    <t>range.CY losslG,nearllA,intra.ulb_unicorn_hires_vox15</t>
  </si>
  <si>
    <t>'CY losslG,nearllA,intra'!$A$145:$BV$149</t>
  </si>
  <si>
    <t>range.CY losslG,nearllA,intra.ulb_unicorn_vox13</t>
  </si>
  <si>
    <t>'CY losslG,nearllA,intra'!$A$150:$BV$154</t>
  </si>
  <si>
    <t>range.CY losslG,nearllA,intra.arco_valentino_dense_vox20</t>
  </si>
  <si>
    <t>'CY losslG,nearllA,intra'!$A$155:$BV$159</t>
  </si>
  <si>
    <t>range.CY losslG,nearllA,intra.egyptian_mask_vox20</t>
  </si>
  <si>
    <t>'CY losslG,nearllA,intra'!$A$160:$BV$164</t>
  </si>
  <si>
    <t>range.CY losslG,nearllA,intra.facade_00009_vox20</t>
  </si>
  <si>
    <t>'CY losslG,nearllA,intra'!$A$165:$BV$169</t>
  </si>
  <si>
    <t>range.CY losslG,nearllA,intra.facade_00015_vox20</t>
  </si>
  <si>
    <t>'CY losslG,nearllA,intra'!$A$170:$BV$174</t>
  </si>
  <si>
    <t>range.CY losslG,nearllA,intra.facade_00064_vox20</t>
  </si>
  <si>
    <t>'CY losslG,nearllA,intra'!$A$175:$BV$179</t>
  </si>
  <si>
    <t>range.CY losslG,nearllA,intra.frog_00067_vox20</t>
  </si>
  <si>
    <t>'CY losslG,nearllA,intra'!$A$180:$BV$184</t>
  </si>
  <si>
    <t>range.CY losslG,nearllA,intra.head_00039_vox20</t>
  </si>
  <si>
    <t>'CY losslG,nearllA,intra'!$A$185:$BV$189</t>
  </si>
  <si>
    <t>range.CY losslG,nearllA,intra.house_without_roof_00057_vox20</t>
  </si>
  <si>
    <t>'CY losslG,nearllA,intra'!$A$190:$BV$194</t>
  </si>
  <si>
    <t>range.CY losslG,nearllA,intra.landscape_00014_vox20</t>
  </si>
  <si>
    <t>'CY losslG,nearllA,intra'!$A$195:$BV$199</t>
  </si>
  <si>
    <t>range.CY losslG,nearllA,intra.palazzo_carignano_dense_vox20</t>
  </si>
  <si>
    <t>'CY losslG,nearllA,intra'!$A$200:$BV$204</t>
  </si>
  <si>
    <t>range.CY losslG,nearllA,intra.shiva_00035_vox20</t>
  </si>
  <si>
    <t>'CY losslG,nearllA,intra'!$A$205:$BV$209</t>
  </si>
  <si>
    <t>range.CY losslG,nearllA,intra.stanford_area_2_vox20</t>
  </si>
  <si>
    <t>'CY losslG,nearllA,intra'!$A$210:$BV$214</t>
  </si>
  <si>
    <t>range.CY losslG,nearllA,intra.stanford_area_4_vox20</t>
  </si>
  <si>
    <t>'CY losslG,nearllA,intra'!$A$215:$BV$219</t>
  </si>
  <si>
    <t>range.CY losslG,nearllA,intra.staue_klimt_vox20</t>
  </si>
  <si>
    <t>'CY losslG,nearllA,intra'!$A$220:$BV$224</t>
  </si>
  <si>
    <t>range.CY losslG,nearllA,intra.ulb_unicorn_hires_vox20</t>
  </si>
  <si>
    <t>'CY losslG,nearllA,intra'!$A$225:$BV$229</t>
  </si>
  <si>
    <t>range.CY losslG,nearllA,intra.ulb_unicorn_vox20</t>
  </si>
  <si>
    <t>'CY losslG,nearllA,intra'!$A$230:$BV$234</t>
  </si>
  <si>
    <t>range.CY losslG,nearllA,intra.citytunnel_q1mm</t>
  </si>
  <si>
    <t>'CY losslG,nearllA,intra'!$A$235:$BV$239</t>
  </si>
  <si>
    <t>range.CY losslG,nearllA,intra.overpass_q1mm</t>
  </si>
  <si>
    <t>'CY losslG,nearllA,intra'!$A$240:$BV$244</t>
  </si>
  <si>
    <t>range.CY losslG,nearllA,intra.tollbooth_q1mm</t>
  </si>
  <si>
    <t>'CY losslG,nearllA,intra'!$A$245:$BV$249</t>
  </si>
  <si>
    <t>range.CY losslG,nearllA,intra.ford_01_q1mm</t>
  </si>
  <si>
    <t>'CY losslG,nearllA,intra'!$A$250:$BV$254</t>
  </si>
  <si>
    <t>range.CY losslG,nearllA,intra.ford_02_q1mm</t>
  </si>
  <si>
    <t>'CY losslG,nearllA,intra'!$A$255:$BV$259</t>
  </si>
  <si>
    <t>range.CY losslG,nearllA,intra.ford_03_q1mm</t>
  </si>
  <si>
    <t>'CY losslG,nearllA,intra'!$A$260:$BV$264</t>
  </si>
  <si>
    <t>range.CY losslG,nearllA,intra.qnxadas-junction-approach</t>
  </si>
  <si>
    <t>'CY losslG,nearllA,intra'!$A$265:$BV$269</t>
  </si>
  <si>
    <t>range.CY losslG,nearllA,intra.qnxadas-junction-exit</t>
  </si>
  <si>
    <t>'CY losslG,nearllA,intra'!$A$270:$BV$274</t>
  </si>
  <si>
    <t>range.CY losslG,nearllA,intra.qnxadas-motorway-join</t>
  </si>
  <si>
    <t>'CY losslG,nearllA,intra'!$A$275:$BV$279</t>
  </si>
  <si>
    <t>range.CY losslG,nearllA,intra.qnxadas-navigating-bends</t>
  </si>
  <si>
    <t>'CY losslG,nearllA,intra'!$A$280:$BV$284</t>
  </si>
  <si>
    <t>CY_ai</t>
  </si>
  <si>
    <t>lossless geometry, near-lossless attributes [all intra]</t>
  </si>
  <si>
    <t>CY losslG,nearllA,intra</t>
  </si>
  <si>
    <t>cols.CY losslG,nearllA,intra</t>
  </si>
  <si>
    <t>innoviz-qc1</t>
  </si>
  <si>
    <t>innoviz-qc2</t>
  </si>
  <si>
    <t>innoviz-qc3</t>
  </si>
  <si>
    <t>C1 losslG,lossyA,intra'!$A$341:$BD$346</t>
  </si>
  <si>
    <t>C1 losslG,lossyA,intra'!$A$347:$BD$352</t>
  </si>
  <si>
    <t>C1 losslG,lossyA,intra'!$A$353:$BD$358</t>
  </si>
  <si>
    <t>range.C1 losslG,lossyA,intra.innoviz-qc1</t>
  </si>
  <si>
    <t>range.C1 losslG,lossyA,intra.innoviz-qc2</t>
  </si>
  <si>
    <t>range.C1 losslG,lossyA,intra.innoviz-qc3</t>
  </si>
  <si>
    <t>range.C2 lossyG,lossyA,intra.innoviz-qc1</t>
  </si>
  <si>
    <t>range.C2 lossyG,lossyA,intra.innoviz-qc2</t>
  </si>
  <si>
    <t>range.C2 lossyG,lossyA,intra.innoviz-qc3</t>
  </si>
  <si>
    <t>C2 lossyG,lossyA,intra'!$A$341:$BL$346</t>
  </si>
  <si>
    <t>C2 lossyG,lossyA,intra'!$A$347:$BL$352</t>
  </si>
  <si>
    <t>C2 lossyG,lossyA,intra'!$A$353:$BL$358</t>
  </si>
  <si>
    <t>range.CW losslG,losslA,intra.innoviz-qc1</t>
  </si>
  <si>
    <t>range.CW losslG,losslA,intra.innoviz-qc2</t>
  </si>
  <si>
    <t>range.CW losslG,losslA,intra.innoviz-qc3</t>
  </si>
  <si>
    <t>CW losslG,losslA,intra'!$A$61:$AQ$61</t>
  </si>
  <si>
    <t>CW losslG,losslA,intra'!$A$62:$AQ$62</t>
  </si>
  <si>
    <t>CW losslG,losslA,intra'!$A$63:$AQ$63</t>
  </si>
  <si>
    <t>range.CY losslG,nearllA,intra.innoviz-qc1</t>
  </si>
  <si>
    <t>range.CY losslG,nearllA,intra.innoviz-qc2</t>
  </si>
  <si>
    <t>range.CY losslG,nearllA,intra.innoviz-qc3</t>
  </si>
  <si>
    <t>CY losslG,nearllA,intra'!$A$285:$BV$289</t>
  </si>
  <si>
    <t>CY losslG,nearllA,intra'!$A$290:$BV$294</t>
  </si>
  <si>
    <t>CY losslG,nearllA,intra'!$A$295:$BV$299</t>
  </si>
  <si>
    <t>names!$B$113:$R$113</t>
  </si>
  <si>
    <t>names!$B$234:$T$234</t>
  </si>
  <si>
    <t>names!$B$336:$O$336</t>
  </si>
  <si>
    <t>names!$B$465:$V$465</t>
  </si>
  <si>
    <t>am-frame spinning</t>
  </si>
  <si>
    <t>am-frame non-spinning</t>
  </si>
  <si>
    <t>Am-frame spinning average</t>
  </si>
  <si>
    <t>Am-frame non-spinning average</t>
  </si>
  <si>
    <t>Tool</t>
  </si>
  <si>
    <t>Config</t>
  </si>
  <si>
    <t>Rate point</t>
  </si>
  <si>
    <t># output points</t>
  </si>
  <si>
    <t>h-Luma</t>
  </si>
  <si>
    <t>h-Cb</t>
  </si>
  <si>
    <t>h-Cr</t>
  </si>
  <si>
    <t>h-ce</t>
  </si>
  <si>
    <t>mismatch</t>
  </si>
  <si>
    <t>ok</t>
  </si>
  <si>
    <t>lossy-geom-lossy-attrs</t>
  </si>
  <si>
    <t>None</t>
  </si>
  <si>
    <t>trisoup-predlift</t>
  </si>
  <si>
    <t>incomplete0</t>
  </si>
  <si>
    <t>incomplete</t>
  </si>
  <si>
    <t>trisoup-raht</t>
  </si>
  <si>
    <t>boxer_viewdep_vox12</t>
    <phoneticPr fontId="2" type="noConversion"/>
  </si>
  <si>
    <t>v20.0-rc1-trisoup-raht+18edges</t>
    <phoneticPr fontId="2" type="noConversion"/>
  </si>
  <si>
    <t>v20.0-rc1-trisoup-raht+18edges+flagCtx_test</t>
    <phoneticPr fontId="2" type="noConversion"/>
  </si>
  <si>
    <t>frog_00067_vox12</t>
    <phoneticPr fontId="2" type="noConversion"/>
  </si>
  <si>
    <t>shiva_00035_vox12</t>
    <phoneticPr fontId="2" type="noConversion"/>
  </si>
  <si>
    <t>frog_00067_vox20</t>
    <phoneticPr fontId="2" type="noConversion"/>
  </si>
  <si>
    <t>shiva_00035_vox20</t>
    <phoneticPr fontId="2" type="noConversion"/>
  </si>
  <si>
    <t>ulb_unicorn_vox20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</si>
</sst>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0.000"/>
    <numFmt numFmtId="178" formatCode="[&gt;1000]0;[&gt;100]0.0;0.00"/>
    <numFmt numFmtId="179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lightUp">
        <fgColor rgb="FF404040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auto="1"/>
      </patternFill>
    </fill>
    <fill>
      <patternFill patternType="lightUp">
        <fgColor rgb="FF404040"/>
        <bgColor rgb="FFDCE6F1"/>
      </patternFill>
    </fill>
    <fill>
      <patternFill patternType="solid">
        <fgColor rgb="FFD9D9D9"/>
        <bgColor auto="1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auto="1"/>
      </patternFill>
    </fill>
    <fill>
      <patternFill patternType="lightUp">
        <fgColor rgb="FF404040"/>
        <bgColor rgb="FFB8CCE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76" fontId="0" fillId="5" borderId="0" xfId="0" applyNumberFormat="1" applyFill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1" fillId="6" borderId="3" xfId="0" applyFont="1" applyFill="1" applyBorder="1" applyAlignment="1">
      <alignment horizontal="center" vertical="center" wrapText="1"/>
    </xf>
    <xf numFmtId="0" fontId="0" fillId="7" borderId="0" xfId="0" applyFill="1"/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9" borderId="0" xfId="0" applyFill="1"/>
    <xf numFmtId="0" fontId="0" fillId="9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177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1" fontId="0" fillId="11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176" fontId="0" fillId="9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1" fontId="0" fillId="13" borderId="0" xfId="0" applyNumberFormat="1" applyFill="1" applyAlignment="1">
      <alignment horizontal="center"/>
    </xf>
    <xf numFmtId="177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0" fillId="15" borderId="0" xfId="0" applyFill="1"/>
    <xf numFmtId="1" fontId="0" fillId="15" borderId="0" xfId="0" applyNumberFormat="1" applyFill="1" applyAlignment="1">
      <alignment horizontal="center"/>
    </xf>
    <xf numFmtId="1" fontId="0" fillId="16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78" fontId="0" fillId="15" borderId="0" xfId="0" applyNumberFormat="1" applyFill="1" applyAlignment="1">
      <alignment horizontal="center"/>
    </xf>
    <xf numFmtId="9" fontId="0" fillId="13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4" borderId="0" xfId="0" applyNumberFormat="1" applyFill="1" applyAlignment="1">
      <alignment horizontal="center"/>
    </xf>
    <xf numFmtId="0" fontId="0" fillId="13" borderId="3" xfId="0" applyFill="1" applyBorder="1"/>
    <xf numFmtId="0" fontId="0" fillId="13" borderId="3" xfId="0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77" fontId="0" fillId="13" borderId="3" xfId="0" applyNumberForma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0" fillId="14" borderId="3" xfId="0" applyNumberFormat="1" applyFill="1" applyBorder="1" applyAlignment="1">
      <alignment horizontal="center"/>
    </xf>
    <xf numFmtId="0" fontId="0" fillId="15" borderId="3" xfId="0" applyFill="1" applyBorder="1"/>
    <xf numFmtId="1" fontId="0" fillId="15" borderId="3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2" fontId="0" fillId="15" borderId="3" xfId="0" applyNumberFormat="1" applyFill="1" applyBorder="1" applyAlignment="1">
      <alignment horizontal="center"/>
    </xf>
    <xf numFmtId="2" fontId="0" fillId="16" borderId="3" xfId="0" applyNumberFormat="1" applyFill="1" applyBorder="1" applyAlignment="1">
      <alignment horizontal="center"/>
    </xf>
    <xf numFmtId="178" fontId="0" fillId="15" borderId="3" xfId="0" applyNumberFormat="1" applyFill="1" applyBorder="1" applyAlignment="1">
      <alignment horizontal="center"/>
    </xf>
    <xf numFmtId="9" fontId="0" fillId="13" borderId="3" xfId="0" applyNumberFormat="1" applyFill="1" applyBorder="1" applyAlignment="1">
      <alignment horizontal="center"/>
    </xf>
    <xf numFmtId="176" fontId="0" fillId="13" borderId="3" xfId="0" applyNumberFormat="1" applyFill="1" applyBorder="1" applyAlignment="1">
      <alignment horizontal="center"/>
    </xf>
    <xf numFmtId="176" fontId="0" fillId="14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0" fillId="5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9" fontId="0" fillId="9" borderId="3" xfId="0" applyNumberFormat="1" applyFill="1" applyBorder="1" applyAlignment="1">
      <alignment horizontal="center"/>
    </xf>
    <xf numFmtId="177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1" fontId="0" fillId="11" borderId="3" xfId="0" applyNumberFormat="1" applyFill="1" applyBorder="1" applyAlignment="1">
      <alignment horizontal="center"/>
    </xf>
    <xf numFmtId="1" fontId="0" fillId="12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9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2" fontId="0" fillId="12" borderId="3" xfId="0" applyNumberFormat="1" applyFill="1" applyBorder="1" applyAlignment="1">
      <alignment horizontal="center"/>
    </xf>
    <xf numFmtId="0" fontId="0" fillId="0" borderId="0" xfId="0" quotePrefix="1"/>
    <xf numFmtId="0" fontId="0" fillId="9" borderId="2" xfId="0" applyFill="1" applyBorder="1"/>
    <xf numFmtId="1" fontId="0" fillId="9" borderId="2" xfId="0" applyNumberForma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9" fontId="0" fillId="9" borderId="2" xfId="0" applyNumberFormat="1" applyFill="1" applyBorder="1" applyAlignment="1">
      <alignment horizontal="center"/>
    </xf>
    <xf numFmtId="177" fontId="0" fillId="9" borderId="2" xfId="0" applyNumberFormat="1" applyFill="1" applyBorder="1" applyAlignment="1">
      <alignment horizontal="center"/>
    </xf>
    <xf numFmtId="2" fontId="0" fillId="9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1" borderId="2" xfId="0" applyFill="1" applyBorder="1"/>
    <xf numFmtId="1" fontId="0" fillId="11" borderId="2" xfId="0" applyNumberFormat="1" applyFill="1" applyBorder="1" applyAlignment="1">
      <alignment horizontal="center"/>
    </xf>
    <xf numFmtId="1" fontId="0" fillId="12" borderId="2" xfId="0" applyNumberFormat="1" applyFill="1" applyBorder="1" applyAlignment="1">
      <alignment horizontal="center"/>
    </xf>
    <xf numFmtId="178" fontId="0" fillId="11" borderId="2" xfId="0" applyNumberFormat="1" applyFill="1" applyBorder="1" applyAlignment="1">
      <alignment horizontal="center"/>
    </xf>
    <xf numFmtId="176" fontId="0" fillId="9" borderId="2" xfId="0" applyNumberFormat="1" applyFill="1" applyBorder="1" applyAlignment="1">
      <alignment horizontal="center"/>
    </xf>
    <xf numFmtId="176" fontId="0" fillId="10" borderId="2" xfId="0" applyNumberFormat="1" applyFill="1" applyBorder="1" applyAlignment="1">
      <alignment horizontal="center"/>
    </xf>
    <xf numFmtId="0" fontId="1" fillId="4" borderId="0" xfId="0" applyFont="1" applyFill="1" applyAlignment="1">
      <alignment horizontal="center" wrapText="1"/>
    </xf>
    <xf numFmtId="179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1" fillId="8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</cellXfs>
  <cellStyles count="1">
    <cellStyle name="常规" xfId="0" builtinId="0"/>
  </cellStyles>
  <dxfs count="21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Graphs!graph_a_x_range_A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B-41B1-A3B5-2A42A4A6F1A0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Graphs!graph_a_x_range_B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DB-41B1-A3B5-2A42A4A6F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Graphs!graph_b_x_range_A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2F-4EA9-94D9-05CD914FE218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Graphs!graph_b_x_range_B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2F-4EA9-94D9-05CD914FE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Graphs!graph_c_x_range_A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0A-4DA7-A569-82D030D69FEA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Graphs!graph_c_x_range_B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0A-4DA7-A569-82D030D69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Graphs!graph_d_x_range_A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8E-4976-B815-5968E79C3508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Graphs!graph_d_x_range_B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8E-4976-B815-5968E79C3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Graphs!graph_e_x_range_A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6-4EF8-BCEA-967589CC5A65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Graphs!graph_e_x_range_B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B6-4EF8-BCEA-967589CC5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6"/>
              </c:numCache>
            </c:numRef>
          </c:xVal>
          <c:yVal>
            <c:numRef>
              <c:f>Graphs!graph_f_y_range_A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1-4153-9F2F-7043D38FFEFE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6"/>
              </c:numCache>
            </c:numRef>
          </c:xVal>
          <c:yVal>
            <c:numRef>
              <c:f>Graphs!graph_f_y_range_B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1-4153-9F2F-7043D38FF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Reflectance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H60"/>
  <sheetViews>
    <sheetView tabSelected="1" topLeftCell="B7" workbookViewId="0">
      <selection activeCell="C31" sqref="C31:H31"/>
    </sheetView>
  </sheetViews>
  <sheetFormatPr defaultRowHeight="13.5" x14ac:dyDescent="0.15"/>
  <cols>
    <col min="1" max="1" width="0" hidden="1" customWidth="1"/>
    <col min="2" max="2" width="28" bestFit="1" customWidth="1"/>
    <col min="3" max="8" width="24.625" customWidth="1"/>
  </cols>
  <sheetData>
    <row r="1" spans="2:6" x14ac:dyDescent="0.15">
      <c r="B1" t="s">
        <v>0</v>
      </c>
      <c r="C1" s="101" t="s">
        <v>1041</v>
      </c>
      <c r="D1" s="101"/>
      <c r="E1" s="101"/>
    </row>
    <row r="2" spans="2:6" x14ac:dyDescent="0.15">
      <c r="B2" t="s">
        <v>1</v>
      </c>
      <c r="C2" s="102" t="s">
        <v>1042</v>
      </c>
      <c r="D2" s="102"/>
      <c r="E2" s="102"/>
    </row>
    <row r="4" spans="2:6" s="1" customFormat="1" x14ac:dyDescent="0.15">
      <c r="B4" s="1" t="s">
        <v>413</v>
      </c>
    </row>
    <row r="6" spans="2:6" x14ac:dyDescent="0.15">
      <c r="B6" s="97" t="s">
        <v>414</v>
      </c>
      <c r="C6" s="98" t="s">
        <v>415</v>
      </c>
      <c r="D6" s="98"/>
      <c r="E6" s="98"/>
      <c r="F6" s="98"/>
    </row>
    <row r="7" spans="2:6" x14ac:dyDescent="0.15">
      <c r="B7" s="97"/>
      <c r="C7" s="99" t="s">
        <v>200</v>
      </c>
      <c r="D7" s="99"/>
      <c r="E7" s="99"/>
      <c r="F7" s="99"/>
    </row>
    <row r="8" spans="2:6" x14ac:dyDescent="0.15">
      <c r="B8" s="97"/>
      <c r="C8" s="2" t="s">
        <v>144</v>
      </c>
      <c r="D8" s="2" t="s">
        <v>147</v>
      </c>
      <c r="E8" s="2" t="s">
        <v>150</v>
      </c>
      <c r="F8" s="2" t="s">
        <v>125</v>
      </c>
    </row>
    <row r="9" spans="2:6" x14ac:dyDescent="0.15">
      <c r="B9" t="s">
        <v>402</v>
      </c>
      <c r="C9" s="3" t="e">
        <f>'C1 losslG,lossyA,intra'!$AV$359:$AV$359</f>
        <v>#DIV/0!</v>
      </c>
      <c r="D9" s="3" t="e">
        <f>'C1 losslG,lossyA,intra'!$AW$359:$AW$359</f>
        <v>#DIV/0!</v>
      </c>
      <c r="E9" s="3" t="e">
        <f>'C1 losslG,lossyA,intra'!$AX$359:$AX$359</f>
        <v>#DIV/0!</v>
      </c>
      <c r="F9" s="4"/>
    </row>
    <row r="10" spans="2:6" x14ac:dyDescent="0.15">
      <c r="B10" t="s">
        <v>403</v>
      </c>
      <c r="C10" s="3" t="e">
        <f>'C1 losslG,lossyA,intra'!$AV$360:$AV$360</f>
        <v>#DIV/0!</v>
      </c>
      <c r="D10" s="3" t="e">
        <f>'C1 losslG,lossyA,intra'!$AW$360:$AW$360</f>
        <v>#DIV/0!</v>
      </c>
      <c r="E10" s="3" t="e">
        <f>'C1 losslG,lossyA,intra'!$AX$360:$AX$360</f>
        <v>#DIV/0!</v>
      </c>
      <c r="F10" s="4"/>
    </row>
    <row r="11" spans="2:6" x14ac:dyDescent="0.15">
      <c r="B11" t="s">
        <v>404</v>
      </c>
      <c r="C11" s="3" t="e">
        <f>'C1 losslG,lossyA,intra'!$AV$361:$AV$361</f>
        <v>#DIV/0!</v>
      </c>
      <c r="D11" s="3" t="e">
        <f>'C1 losslG,lossyA,intra'!$AW$361:$AW$361</f>
        <v>#DIV/0!</v>
      </c>
      <c r="E11" s="3" t="e">
        <f>'C1 losslG,lossyA,intra'!$AX$361:$AX$361</f>
        <v>#DIV/0!</v>
      </c>
      <c r="F11" s="4"/>
    </row>
    <row r="12" spans="2:6" x14ac:dyDescent="0.15">
      <c r="B12" t="s">
        <v>405</v>
      </c>
      <c r="C12" s="3" t="e">
        <f>'C1 losslG,lossyA,intra'!$AV$362:$AV$362</f>
        <v>#DIV/0!</v>
      </c>
      <c r="D12" s="3" t="e">
        <f>'C1 losslG,lossyA,intra'!$AW$362:$AW$362</f>
        <v>#DIV/0!</v>
      </c>
      <c r="E12" s="3" t="e">
        <f>'C1 losslG,lossyA,intra'!$AX$362:$AX$362</f>
        <v>#DIV/0!</v>
      </c>
      <c r="F12" s="4"/>
    </row>
    <row r="13" spans="2:6" x14ac:dyDescent="0.15">
      <c r="B13" t="s">
        <v>406</v>
      </c>
      <c r="C13" s="3" t="e">
        <f>'C1 losslG,lossyA,intra'!$AV$363:$AV$363</f>
        <v>#DIV/0!</v>
      </c>
      <c r="D13" s="3" t="e">
        <f>'C1 losslG,lossyA,intra'!$AW$363:$AW$363</f>
        <v>#DIV/0!</v>
      </c>
      <c r="E13" s="3" t="e">
        <f>'C1 losslG,lossyA,intra'!$AX$363:$AX$363</f>
        <v>#DIV/0!</v>
      </c>
      <c r="F13" s="3" t="e">
        <f>'C1 losslG,lossyA,intra'!$AY$363:$AY$363</f>
        <v>#DIV/0!</v>
      </c>
    </row>
    <row r="14" spans="2:6" x14ac:dyDescent="0.15">
      <c r="B14" t="s">
        <v>1022</v>
      </c>
      <c r="C14" s="4"/>
      <c r="D14" s="4"/>
      <c r="E14" s="4"/>
      <c r="F14" s="3" t="e">
        <f>'C1 losslG,lossyA,intra'!$AY$364:$AY$364</f>
        <v>#DIV/0!</v>
      </c>
    </row>
    <row r="15" spans="2:6" x14ac:dyDescent="0.15">
      <c r="B15" t="s">
        <v>1023</v>
      </c>
      <c r="C15" s="4"/>
      <c r="D15" s="4"/>
      <c r="E15" s="4"/>
      <c r="F15" s="3" t="e">
        <f>'C1 losslG,lossyA,intra'!$AY$365:$AY$365</f>
        <v>#DIV/0!</v>
      </c>
    </row>
    <row r="16" spans="2:6" x14ac:dyDescent="0.15">
      <c r="B16" s="5" t="s">
        <v>407</v>
      </c>
      <c r="C16" s="6" t="e">
        <f>'C1 losslG,lossyA,intra'!$AV$366:$AV$366</f>
        <v>#DIV/0!</v>
      </c>
      <c r="D16" s="6" t="e">
        <f>'C1 losslG,lossyA,intra'!$AW$366:$AW$366</f>
        <v>#DIV/0!</v>
      </c>
      <c r="E16" s="6" t="e">
        <f>'C1 losslG,lossyA,intra'!$AX$366:$AX$366</f>
        <v>#DIV/0!</v>
      </c>
      <c r="F16" s="6" t="e">
        <f>'C1 losslG,lossyA,intra'!$AY$366:$AY$366</f>
        <v>#DIV/0!</v>
      </c>
    </row>
    <row r="17" spans="2:8" x14ac:dyDescent="0.15">
      <c r="B17" t="s">
        <v>416</v>
      </c>
      <c r="C17" s="95" t="e">
        <f>'C1 losslG,lossyA,intra'!AP370</f>
        <v>#NUM!</v>
      </c>
      <c r="D17" s="95"/>
      <c r="E17" s="95"/>
      <c r="F17" s="95"/>
    </row>
    <row r="18" spans="2:8" x14ac:dyDescent="0.15">
      <c r="B18" s="8" t="s">
        <v>417</v>
      </c>
      <c r="C18" s="96" t="e">
        <f>'C1 losslG,lossyA,intra'!AQ370</f>
        <v>#NUM!</v>
      </c>
      <c r="D18" s="96"/>
      <c r="E18" s="96"/>
      <c r="F18" s="96"/>
    </row>
    <row r="20" spans="2:8" x14ac:dyDescent="0.15">
      <c r="B20" s="97" t="s">
        <v>609</v>
      </c>
      <c r="C20" s="98" t="s">
        <v>610</v>
      </c>
      <c r="D20" s="98"/>
      <c r="E20" s="98"/>
      <c r="F20" s="98"/>
      <c r="G20" s="98"/>
      <c r="H20" s="98"/>
    </row>
    <row r="21" spans="2:8" x14ac:dyDescent="0.15">
      <c r="B21" s="97"/>
      <c r="C21" s="99" t="s">
        <v>200</v>
      </c>
      <c r="D21" s="99"/>
      <c r="E21" s="99"/>
      <c r="F21" s="99"/>
      <c r="G21" s="100" t="s">
        <v>474</v>
      </c>
      <c r="H21" s="100"/>
    </row>
    <row r="22" spans="2:8" x14ac:dyDescent="0.15">
      <c r="B22" s="97"/>
      <c r="C22" s="2" t="s">
        <v>144</v>
      </c>
      <c r="D22" s="2" t="s">
        <v>147</v>
      </c>
      <c r="E22" s="2" t="s">
        <v>150</v>
      </c>
      <c r="F22" s="2" t="s">
        <v>125</v>
      </c>
      <c r="G22" s="9" t="s">
        <v>439</v>
      </c>
      <c r="H22" s="9" t="s">
        <v>442</v>
      </c>
    </row>
    <row r="23" spans="2:8" x14ac:dyDescent="0.15">
      <c r="B23" t="s">
        <v>402</v>
      </c>
      <c r="C23" s="3">
        <f>'C2 lossyG,lossyA,intra'!$BB$359:$BB$359</f>
        <v>0</v>
      </c>
      <c r="D23" s="3">
        <f>'C2 lossyG,lossyA,intra'!$BC$359:$BC$359</f>
        <v>0</v>
      </c>
      <c r="E23" s="3">
        <f>'C2 lossyG,lossyA,intra'!$BD$359:$BD$359</f>
        <v>0</v>
      </c>
      <c r="F23" s="4">
        <f>(D23+E23)/2</f>
        <v>0</v>
      </c>
      <c r="G23" s="3">
        <f>'C2 lossyG,lossyA,intra'!$AZ$359:$AZ$359</f>
        <v>9.3238846618625259E-3</v>
      </c>
      <c r="H23" s="3">
        <f>'C2 lossyG,lossyA,intra'!$BA$359:$BA$359</f>
        <v>9.5619404152584367E-3</v>
      </c>
    </row>
    <row r="24" spans="2:8" x14ac:dyDescent="0.15">
      <c r="B24" t="s">
        <v>403</v>
      </c>
      <c r="C24" s="3">
        <f>'C2 lossyG,lossyA,intra'!$BB$360:$BB$360</f>
        <v>0</v>
      </c>
      <c r="D24" s="3">
        <f>'C2 lossyG,lossyA,intra'!$BC$360:$BC$360</f>
        <v>0</v>
      </c>
      <c r="E24" s="3">
        <f>'C2 lossyG,lossyA,intra'!$BD$360:$BD$360</f>
        <v>0</v>
      </c>
      <c r="F24" s="4">
        <f t="shared" ref="F24:F26" si="0">(D24+E24)/2</f>
        <v>0</v>
      </c>
      <c r="G24" s="3">
        <f>'C2 lossyG,lossyA,intra'!$AZ$360:$AZ$360</f>
        <v>4.1609656069317158E-3</v>
      </c>
      <c r="H24" s="3">
        <f>'C2 lossyG,lossyA,intra'!$BA$360:$BA$360</f>
        <v>4.702272996079661E-3</v>
      </c>
    </row>
    <row r="25" spans="2:8" x14ac:dyDescent="0.15">
      <c r="B25" t="s">
        <v>404</v>
      </c>
      <c r="C25" s="3">
        <f>'C2 lossyG,lossyA,intra'!$BB$361:$BB$361</f>
        <v>0</v>
      </c>
      <c r="D25" s="3">
        <f>'C2 lossyG,lossyA,intra'!$BC$361:$BC$361</f>
        <v>0</v>
      </c>
      <c r="E25" s="3">
        <f>'C2 lossyG,lossyA,intra'!$BD$361:$BD$361</f>
        <v>0</v>
      </c>
      <c r="F25" s="4">
        <f t="shared" si="0"/>
        <v>0</v>
      </c>
      <c r="G25" s="3">
        <f>'C2 lossyG,lossyA,intra'!$AZ$361:$AZ$361</f>
        <v>1.0992883346273574E-3</v>
      </c>
      <c r="H25" s="3">
        <f>'C2 lossyG,lossyA,intra'!$BA$361:$BA$361</f>
        <v>1.4988171974864943E-3</v>
      </c>
    </row>
    <row r="26" spans="2:8" x14ac:dyDescent="0.15">
      <c r="B26" t="s">
        <v>405</v>
      </c>
      <c r="C26" s="3">
        <f>'C2 lossyG,lossyA,intra'!$BB$362:$BB$362</f>
        <v>0</v>
      </c>
      <c r="D26" s="3">
        <f>'C2 lossyG,lossyA,intra'!$BC$362:$BC$362</f>
        <v>0</v>
      </c>
      <c r="E26" s="3">
        <f>'C2 lossyG,lossyA,intra'!$BD$362:$BD$362</f>
        <v>0</v>
      </c>
      <c r="F26" s="4">
        <f t="shared" si="0"/>
        <v>0</v>
      </c>
      <c r="G26" s="3">
        <f>'C2 lossyG,lossyA,intra'!$AZ$362:$AZ$362</f>
        <v>2.2858332174343354E-3</v>
      </c>
      <c r="H26" s="3">
        <f>'C2 lossyG,lossyA,intra'!$BA$362:$BA$362</f>
        <v>2.4429309014127737E-3</v>
      </c>
    </row>
    <row r="27" spans="2:8" x14ac:dyDescent="0.15">
      <c r="B27" t="s">
        <v>406</v>
      </c>
      <c r="C27" s="3" t="e">
        <f>'C2 lossyG,lossyA,intra'!$BB$363:$BB$363</f>
        <v>#DIV/0!</v>
      </c>
      <c r="D27" s="3" t="e">
        <f>'C2 lossyG,lossyA,intra'!$BC$363:$BC$363</f>
        <v>#DIV/0!</v>
      </c>
      <c r="E27" s="3" t="e">
        <f>'C2 lossyG,lossyA,intra'!$BD$363:$BD$363</f>
        <v>#DIV/0!</v>
      </c>
      <c r="F27" s="3" t="e">
        <f>'C2 lossyG,lossyA,intra'!$BE$363:$BE$363</f>
        <v>#DIV/0!</v>
      </c>
      <c r="G27" s="3" t="e">
        <f>'C2 lossyG,lossyA,intra'!$AZ$363:$AZ$363</f>
        <v>#DIV/0!</v>
      </c>
      <c r="H27" s="3" t="e">
        <f>'C2 lossyG,lossyA,intra'!$BA$363:$BA$363</f>
        <v>#DIV/0!</v>
      </c>
    </row>
    <row r="28" spans="2:8" x14ac:dyDescent="0.15">
      <c r="B28" t="s">
        <v>1022</v>
      </c>
      <c r="C28" s="4"/>
      <c r="D28" s="4"/>
      <c r="E28" s="4"/>
      <c r="F28" s="3" t="e">
        <f>'C2 lossyG,lossyA,intra'!$BE$364:$BE$364</f>
        <v>#DIV/0!</v>
      </c>
      <c r="G28" s="3" t="e">
        <f>'C2 lossyG,lossyA,intra'!$AZ$364:$AZ$364</f>
        <v>#DIV/0!</v>
      </c>
      <c r="H28" s="3" t="e">
        <f>'C2 lossyG,lossyA,intra'!$BA$364:$BA$364</f>
        <v>#DIV/0!</v>
      </c>
    </row>
    <row r="29" spans="2:8" x14ac:dyDescent="0.15">
      <c r="B29" t="s">
        <v>1023</v>
      </c>
      <c r="C29" s="4"/>
      <c r="D29" s="4"/>
      <c r="E29" s="4"/>
      <c r="F29" s="3" t="e">
        <f>'C2 lossyG,lossyA,intra'!$BE$365:$BE$365</f>
        <v>#DIV/0!</v>
      </c>
      <c r="G29" s="3" t="e">
        <f>'C2 lossyG,lossyA,intra'!$AZ$365:$AZ$365</f>
        <v>#DIV/0!</v>
      </c>
      <c r="H29" s="4"/>
    </row>
    <row r="30" spans="2:8" x14ac:dyDescent="0.15">
      <c r="B30" s="5" t="s">
        <v>407</v>
      </c>
      <c r="C30" s="6">
        <f>'C2 lossyG,lossyA,intra'!$BB$366:$BB$366</f>
        <v>0</v>
      </c>
      <c r="D30" s="6">
        <f>'C2 lossyG,lossyA,intra'!$BC$366:$BC$366</f>
        <v>0</v>
      </c>
      <c r="E30" s="6">
        <f>'C2 lossyG,lossyA,intra'!$BD$366:$BD$366</f>
        <v>0</v>
      </c>
      <c r="F30" s="6" t="e">
        <f>'C2 lossyG,lossyA,intra'!$BE$366:$BE$366</f>
        <v>#DIV/0!</v>
      </c>
      <c r="G30" s="6">
        <f>'C2 lossyG,lossyA,intra'!$AZ$366:$AZ$366</f>
        <v>3.9198581680551939E-3</v>
      </c>
      <c r="H30" s="6">
        <f>'C2 lossyG,lossyA,intra'!$BA$366:$BA$366</f>
        <v>4.2404562802231451E-3</v>
      </c>
    </row>
    <row r="31" spans="2:8" x14ac:dyDescent="0.15">
      <c r="B31" t="s">
        <v>416</v>
      </c>
      <c r="C31" s="95">
        <f>'C2 lossyG,lossyA,intra'!AT370</f>
        <v>0.97485240233957859</v>
      </c>
      <c r="D31" s="95"/>
      <c r="E31" s="95"/>
      <c r="F31" s="95"/>
      <c r="G31" s="95"/>
      <c r="H31" s="95"/>
    </row>
    <row r="32" spans="2:8" x14ac:dyDescent="0.15">
      <c r="B32" s="8" t="s">
        <v>417</v>
      </c>
      <c r="C32" s="96">
        <f>'C2 lossyG,lossyA,intra'!AU370</f>
        <v>0.97982435178136751</v>
      </c>
      <c r="D32" s="96"/>
      <c r="E32" s="96"/>
      <c r="F32" s="96"/>
      <c r="G32" s="96"/>
      <c r="H32" s="96"/>
    </row>
    <row r="34" spans="2:6" x14ac:dyDescent="0.15">
      <c r="B34" s="97" t="s">
        <v>778</v>
      </c>
      <c r="C34" s="98" t="s">
        <v>779</v>
      </c>
      <c r="D34" s="98"/>
      <c r="E34" s="98"/>
      <c r="F34" s="98"/>
    </row>
    <row r="35" spans="2:6" x14ac:dyDescent="0.15">
      <c r="B35" s="97"/>
      <c r="C35" s="99" t="s">
        <v>650</v>
      </c>
      <c r="D35" s="99"/>
      <c r="E35" s="99"/>
      <c r="F35" s="99"/>
    </row>
    <row r="36" spans="2:6" x14ac:dyDescent="0.15">
      <c r="B36" s="97"/>
      <c r="C36" s="2" t="s">
        <v>119</v>
      </c>
      <c r="D36" s="2" t="s">
        <v>138</v>
      </c>
      <c r="E36" s="2" t="s">
        <v>125</v>
      </c>
      <c r="F36" s="2" t="s">
        <v>116</v>
      </c>
    </row>
    <row r="37" spans="2:6" x14ac:dyDescent="0.15">
      <c r="B37" t="s">
        <v>402</v>
      </c>
      <c r="C37" s="3" t="e">
        <f>'CW losslG,losslA,intra'!AM64</f>
        <v>#DIV/0!</v>
      </c>
      <c r="D37" s="3" t="e">
        <f>'CW losslG,losslA,intra'!AN64</f>
        <v>#DIV/0!</v>
      </c>
      <c r="E37" s="4"/>
      <c r="F37" s="3" t="e">
        <f>'CW losslG,losslA,intra'!AL64</f>
        <v>#DIV/0!</v>
      </c>
    </row>
    <row r="38" spans="2:6" x14ac:dyDescent="0.15">
      <c r="B38" t="s">
        <v>403</v>
      </c>
      <c r="C38" s="3" t="e">
        <f>'CW losslG,losslA,intra'!AM65</f>
        <v>#DIV/0!</v>
      </c>
      <c r="D38" s="3" t="e">
        <f>'CW losslG,losslA,intra'!AN65</f>
        <v>#DIV/0!</v>
      </c>
      <c r="E38" s="4"/>
      <c r="F38" s="3" t="e">
        <f>'CW losslG,losslA,intra'!AL65</f>
        <v>#DIV/0!</v>
      </c>
    </row>
    <row r="39" spans="2:6" x14ac:dyDescent="0.15">
      <c r="B39" t="s">
        <v>404</v>
      </c>
      <c r="C39" s="3" t="e">
        <f>'CW losslG,losslA,intra'!AM66</f>
        <v>#DIV/0!</v>
      </c>
      <c r="D39" s="3" t="e">
        <f>'CW losslG,losslA,intra'!AN66</f>
        <v>#DIV/0!</v>
      </c>
      <c r="E39" s="4"/>
      <c r="F39" s="3" t="e">
        <f>'CW losslG,losslA,intra'!AL66</f>
        <v>#DIV/0!</v>
      </c>
    </row>
    <row r="40" spans="2:6" x14ac:dyDescent="0.15">
      <c r="B40" t="s">
        <v>405</v>
      </c>
      <c r="C40" s="3" t="e">
        <f>'CW losslG,losslA,intra'!AM67</f>
        <v>#DIV/0!</v>
      </c>
      <c r="D40" s="3" t="e">
        <f>'CW losslG,losslA,intra'!AN67</f>
        <v>#DIV/0!</v>
      </c>
      <c r="E40" s="4"/>
      <c r="F40" s="3" t="e">
        <f>'CW losslG,losslA,intra'!AL67</f>
        <v>#DIV/0!</v>
      </c>
    </row>
    <row r="41" spans="2:6" x14ac:dyDescent="0.15">
      <c r="B41" t="s">
        <v>406</v>
      </c>
      <c r="C41" s="3" t="e">
        <f>'CW losslG,losslA,intra'!AM68</f>
        <v>#DIV/0!</v>
      </c>
      <c r="D41" s="3" t="e">
        <f>'CW losslG,losslA,intra'!AN68</f>
        <v>#DIV/0!</v>
      </c>
      <c r="E41" s="3" t="e">
        <f>'CW losslG,losslA,intra'!AO68</f>
        <v>#DIV/0!</v>
      </c>
      <c r="F41" s="3" t="e">
        <f>'CW losslG,losslA,intra'!AL68</f>
        <v>#DIV/0!</v>
      </c>
    </row>
    <row r="42" spans="2:6" x14ac:dyDescent="0.15">
      <c r="B42" t="s">
        <v>1022</v>
      </c>
      <c r="C42" s="3" t="e">
        <f>'CW losslG,losslA,intra'!AM69</f>
        <v>#DIV/0!</v>
      </c>
      <c r="D42" s="4"/>
      <c r="E42" s="3" t="e">
        <f>'CW losslG,losslA,intra'!AO69</f>
        <v>#DIV/0!</v>
      </c>
      <c r="F42" s="3" t="e">
        <f>'CW losslG,losslA,intra'!AL69</f>
        <v>#DIV/0!</v>
      </c>
    </row>
    <row r="43" spans="2:6" x14ac:dyDescent="0.15">
      <c r="B43" t="s">
        <v>1023</v>
      </c>
      <c r="C43" s="3" t="e">
        <f>'CW losslG,losslA,intra'!AM70</f>
        <v>#DIV/0!</v>
      </c>
      <c r="D43" s="4"/>
      <c r="E43" s="3" t="e">
        <f>'CW losslG,losslA,intra'!AO70</f>
        <v>#DIV/0!</v>
      </c>
      <c r="F43" s="3" t="e">
        <f>'CW losslG,losslA,intra'!AL70</f>
        <v>#DIV/0!</v>
      </c>
    </row>
    <row r="44" spans="2:6" x14ac:dyDescent="0.15">
      <c r="B44" s="5" t="s">
        <v>407</v>
      </c>
      <c r="C44" s="6" t="e">
        <f>'CW losslG,losslA,intra'!AM71</f>
        <v>#DIV/0!</v>
      </c>
      <c r="D44" s="6" t="e">
        <f>'CW losslG,losslA,intra'!AN71</f>
        <v>#DIV/0!</v>
      </c>
      <c r="E44" s="6" t="e">
        <f>'CW losslG,losslA,intra'!AO71</f>
        <v>#DIV/0!</v>
      </c>
      <c r="F44" s="6" t="e">
        <f>'CW losslG,losslA,intra'!AL71</f>
        <v>#DIV/0!</v>
      </c>
    </row>
    <row r="45" spans="2:6" x14ac:dyDescent="0.15">
      <c r="B45" t="s">
        <v>416</v>
      </c>
      <c r="C45" s="95" t="e">
        <f>'CW losslG,losslA,intra'!AI75</f>
        <v>#NUM!</v>
      </c>
      <c r="D45" s="95"/>
      <c r="E45" s="95"/>
      <c r="F45" s="95"/>
    </row>
    <row r="46" spans="2:6" x14ac:dyDescent="0.15">
      <c r="B46" s="8" t="s">
        <v>417</v>
      </c>
      <c r="C46" s="96" t="e">
        <f>'CW losslG,losslA,intra'!AJ75</f>
        <v>#NUM!</v>
      </c>
      <c r="D46" s="96"/>
      <c r="E46" s="96"/>
      <c r="F46" s="96"/>
    </row>
    <row r="48" spans="2:6" x14ac:dyDescent="0.15">
      <c r="B48" s="97" t="s">
        <v>985</v>
      </c>
      <c r="C48" s="98" t="s">
        <v>986</v>
      </c>
      <c r="D48" s="98"/>
      <c r="E48" s="98"/>
      <c r="F48" s="98"/>
    </row>
    <row r="49" spans="2:6" x14ac:dyDescent="0.15">
      <c r="B49" s="97"/>
      <c r="C49" s="99" t="s">
        <v>846</v>
      </c>
      <c r="D49" s="99"/>
      <c r="E49" s="99"/>
      <c r="F49" s="99"/>
    </row>
    <row r="50" spans="2:6" x14ac:dyDescent="0.15">
      <c r="B50" s="97"/>
      <c r="C50" s="2" t="s">
        <v>144</v>
      </c>
      <c r="D50" s="2" t="s">
        <v>147</v>
      </c>
      <c r="E50" s="2" t="s">
        <v>150</v>
      </c>
      <c r="F50" s="2" t="s">
        <v>125</v>
      </c>
    </row>
    <row r="51" spans="2:6" x14ac:dyDescent="0.15">
      <c r="B51" t="s">
        <v>402</v>
      </c>
      <c r="C51" s="3" t="e">
        <f>'CY losslG,nearllA,intra'!$BI$300:$BI$300</f>
        <v>#DIV/0!</v>
      </c>
      <c r="D51" s="3" t="e">
        <f>'CY losslG,nearllA,intra'!$BJ$300:$BJ$300</f>
        <v>#DIV/0!</v>
      </c>
      <c r="E51" s="3" t="e">
        <f>'CY losslG,nearllA,intra'!$BK$300:$BK$300</f>
        <v>#DIV/0!</v>
      </c>
      <c r="F51" s="4"/>
    </row>
    <row r="52" spans="2:6" x14ac:dyDescent="0.15">
      <c r="B52" t="s">
        <v>403</v>
      </c>
      <c r="C52" s="3" t="e">
        <f>'CY losslG,nearllA,intra'!$BI$301:$BI$301</f>
        <v>#DIV/0!</v>
      </c>
      <c r="D52" s="3" t="e">
        <f>'CY losslG,nearllA,intra'!$BJ$301:$BJ$301</f>
        <v>#DIV/0!</v>
      </c>
      <c r="E52" s="3" t="e">
        <f>'CY losslG,nearllA,intra'!$BK$301:$BK$301</f>
        <v>#DIV/0!</v>
      </c>
      <c r="F52" s="4"/>
    </row>
    <row r="53" spans="2:6" x14ac:dyDescent="0.15">
      <c r="B53" t="s">
        <v>404</v>
      </c>
      <c r="C53" s="3" t="e">
        <f>'CY losslG,nearllA,intra'!$BI$302:$BI$302</f>
        <v>#DIV/0!</v>
      </c>
      <c r="D53" s="3" t="e">
        <f>'CY losslG,nearllA,intra'!$BJ$302:$BJ$302</f>
        <v>#DIV/0!</v>
      </c>
      <c r="E53" s="3" t="e">
        <f>'CY losslG,nearllA,intra'!$BK$302:$BK$302</f>
        <v>#DIV/0!</v>
      </c>
      <c r="F53" s="4"/>
    </row>
    <row r="54" spans="2:6" x14ac:dyDescent="0.15">
      <c r="B54" t="s">
        <v>405</v>
      </c>
      <c r="C54" s="3" t="e">
        <f>'CY losslG,nearllA,intra'!$BI$303:$BI$303</f>
        <v>#DIV/0!</v>
      </c>
      <c r="D54" s="3" t="e">
        <f>'CY losslG,nearllA,intra'!$BJ$303:$BJ$303</f>
        <v>#DIV/0!</v>
      </c>
      <c r="E54" s="3" t="e">
        <f>'CY losslG,nearllA,intra'!$BK$303:$BK$303</f>
        <v>#DIV/0!</v>
      </c>
      <c r="F54" s="4"/>
    </row>
    <row r="55" spans="2:6" x14ac:dyDescent="0.15">
      <c r="B55" t="s">
        <v>406</v>
      </c>
      <c r="C55" s="3" t="e">
        <f>'CY losslG,nearllA,intra'!$BI$304:$BI$304</f>
        <v>#DIV/0!</v>
      </c>
      <c r="D55" s="3" t="e">
        <f>'CY losslG,nearllA,intra'!$BJ$304:$BJ$304</f>
        <v>#DIV/0!</v>
      </c>
      <c r="E55" s="3" t="e">
        <f>'CY losslG,nearllA,intra'!$BK$304:$BK$304</f>
        <v>#DIV/0!</v>
      </c>
      <c r="F55" s="3" t="e">
        <f>'CY losslG,nearllA,intra'!$BL$304:$BL$304</f>
        <v>#DIV/0!</v>
      </c>
    </row>
    <row r="56" spans="2:6" x14ac:dyDescent="0.15">
      <c r="B56" t="s">
        <v>1022</v>
      </c>
      <c r="C56" s="4"/>
      <c r="D56" s="4"/>
      <c r="E56" s="4"/>
      <c r="F56" s="3" t="e">
        <f>'CY losslG,nearllA,intra'!$BL$305:$BL$305</f>
        <v>#DIV/0!</v>
      </c>
    </row>
    <row r="57" spans="2:6" x14ac:dyDescent="0.15">
      <c r="B57" t="s">
        <v>1023</v>
      </c>
      <c r="C57" s="4"/>
      <c r="D57" s="4"/>
      <c r="E57" s="4"/>
      <c r="F57" s="3" t="e">
        <f>'CY losslG,nearllA,intra'!$BL$306:$BL$306</f>
        <v>#DIV/0!</v>
      </c>
    </row>
    <row r="58" spans="2:6" x14ac:dyDescent="0.15">
      <c r="B58" s="5" t="s">
        <v>407</v>
      </c>
      <c r="C58" s="6" t="e">
        <f>'CY losslG,nearllA,intra'!$BI$307:$BI$307</f>
        <v>#DIV/0!</v>
      </c>
      <c r="D58" s="6" t="e">
        <f>'CY losslG,nearllA,intra'!$BJ$307:$BJ$307</f>
        <v>#DIV/0!</v>
      </c>
      <c r="E58" s="6" t="e">
        <f>'CY losslG,nearllA,intra'!$BK$307:$BK$307</f>
        <v>#DIV/0!</v>
      </c>
      <c r="F58" s="6" t="e">
        <f>'CY losslG,nearllA,intra'!$BL$307:$BL$307</f>
        <v>#DIV/0!</v>
      </c>
    </row>
    <row r="59" spans="2:6" x14ac:dyDescent="0.15">
      <c r="B59" t="s">
        <v>416</v>
      </c>
      <c r="C59" s="95" t="e">
        <f>'CY losslG,nearllA,intra'!AX311</f>
        <v>#NUM!</v>
      </c>
      <c r="D59" s="95"/>
      <c r="E59" s="95"/>
      <c r="F59" s="95"/>
    </row>
    <row r="60" spans="2:6" x14ac:dyDescent="0.15">
      <c r="B60" s="8" t="s">
        <v>417</v>
      </c>
      <c r="C60" s="96" t="e">
        <f>'CY losslG,nearllA,intra'!AY311</f>
        <v>#NUM!</v>
      </c>
      <c r="D60" s="96"/>
      <c r="E60" s="96"/>
      <c r="F60" s="96"/>
    </row>
  </sheetData>
  <mergeCells count="23">
    <mergeCell ref="C1:E1"/>
    <mergeCell ref="C2:E2"/>
    <mergeCell ref="B6:B8"/>
    <mergeCell ref="C6:F6"/>
    <mergeCell ref="C7:F7"/>
    <mergeCell ref="C17:F17"/>
    <mergeCell ref="C18:F18"/>
    <mergeCell ref="B20:B22"/>
    <mergeCell ref="C20:H20"/>
    <mergeCell ref="C21:F21"/>
    <mergeCell ref="G21:H21"/>
    <mergeCell ref="C31:H31"/>
    <mergeCell ref="C32:H32"/>
    <mergeCell ref="B34:B36"/>
    <mergeCell ref="C34:F34"/>
    <mergeCell ref="C35:F35"/>
    <mergeCell ref="C59:F59"/>
    <mergeCell ref="C60:F60"/>
    <mergeCell ref="C45:F45"/>
    <mergeCell ref="C46:F46"/>
    <mergeCell ref="B48:B50"/>
    <mergeCell ref="C48:F48"/>
    <mergeCell ref="C49:F49"/>
  </mergeCells>
  <phoneticPr fontId="2" type="noConversion"/>
  <conditionalFormatting sqref="C23:C27 C30">
    <cfRule type="cellIs" dxfId="215" priority="25" operator="greaterThanOrEqual">
      <formula>0.03</formula>
    </cfRule>
    <cfRule type="cellIs" dxfId="214" priority="26" operator="lessThanOrEqual">
      <formula>-0.03</formula>
    </cfRule>
  </conditionalFormatting>
  <conditionalFormatting sqref="C37:C42 C44">
    <cfRule type="cellIs" dxfId="213" priority="43" operator="greaterThanOrEqual">
      <formula>1.03</formula>
    </cfRule>
    <cfRule type="cellIs" dxfId="212" priority="44" operator="lessThanOrEqual">
      <formula>0.97</formula>
    </cfRule>
  </conditionalFormatting>
  <conditionalFormatting sqref="C51:C55 C58">
    <cfRule type="cellIs" dxfId="211" priority="45" operator="greaterThanOrEqual">
      <formula>0.03</formula>
    </cfRule>
    <cfRule type="cellIs" dxfId="210" priority="46" operator="lessThanOrEqual">
      <formula>-0.03</formula>
    </cfRule>
  </conditionalFormatting>
  <conditionalFormatting sqref="C9:C13 C16">
    <cfRule type="cellIs" dxfId="209" priority="23" operator="greaterThanOrEqual">
      <formula>0.03</formula>
    </cfRule>
    <cfRule type="cellIs" dxfId="208" priority="24" operator="lessThanOrEqual">
      <formula>-0.03</formula>
    </cfRule>
  </conditionalFormatting>
  <conditionalFormatting sqref="D23:D27 D30">
    <cfRule type="cellIs" dxfId="207" priority="31" operator="greaterThanOrEqual">
      <formula>0.03</formula>
    </cfRule>
    <cfRule type="cellIs" dxfId="206" priority="32" operator="lessThanOrEqual">
      <formula>-0.03</formula>
    </cfRule>
  </conditionalFormatting>
  <conditionalFormatting sqref="D37:D41 D44">
    <cfRule type="cellIs" dxfId="205" priority="39" operator="greaterThanOrEqual">
      <formula>1.03</formula>
    </cfRule>
    <cfRule type="cellIs" dxfId="204" priority="40" operator="lessThanOrEqual">
      <formula>0.97</formula>
    </cfRule>
  </conditionalFormatting>
  <conditionalFormatting sqref="D51:D55 D58">
    <cfRule type="cellIs" dxfId="203" priority="49" operator="greaterThanOrEqual">
      <formula>0.03</formula>
    </cfRule>
    <cfRule type="cellIs" dxfId="202" priority="50" operator="lessThanOrEqual">
      <formula>-0.03</formula>
    </cfRule>
  </conditionalFormatting>
  <conditionalFormatting sqref="D9:D13 D16">
    <cfRule type="cellIs" dxfId="201" priority="19" operator="greaterThanOrEqual">
      <formula>0.03</formula>
    </cfRule>
    <cfRule type="cellIs" dxfId="200" priority="20" operator="lessThanOrEqual">
      <formula>-0.03</formula>
    </cfRule>
  </conditionalFormatting>
  <conditionalFormatting sqref="E23:E27 E30">
    <cfRule type="cellIs" dxfId="199" priority="29" operator="greaterThanOrEqual">
      <formula>0.03</formula>
    </cfRule>
    <cfRule type="cellIs" dxfId="198" priority="30" operator="lessThanOrEqual">
      <formula>-0.03</formula>
    </cfRule>
  </conditionalFormatting>
  <conditionalFormatting sqref="E41:E42 E44">
    <cfRule type="cellIs" dxfId="197" priority="41" operator="greaterThanOrEqual">
      <formula>1.03</formula>
    </cfRule>
    <cfRule type="cellIs" dxfId="196" priority="42" operator="lessThanOrEqual">
      <formula>0.97</formula>
    </cfRule>
  </conditionalFormatting>
  <conditionalFormatting sqref="E51:E55 E58">
    <cfRule type="cellIs" dxfId="195" priority="51" operator="greaterThanOrEqual">
      <formula>0.03</formula>
    </cfRule>
    <cfRule type="cellIs" dxfId="194" priority="52" operator="lessThanOrEqual">
      <formula>-0.03</formula>
    </cfRule>
  </conditionalFormatting>
  <conditionalFormatting sqref="E9:E13 E16">
    <cfRule type="cellIs" dxfId="193" priority="21" operator="greaterThanOrEqual">
      <formula>0.03</formula>
    </cfRule>
    <cfRule type="cellIs" dxfId="192" priority="22" operator="lessThanOrEqual">
      <formula>-0.03</formula>
    </cfRule>
  </conditionalFormatting>
  <conditionalFormatting sqref="F13:F14 F16">
    <cfRule type="cellIs" dxfId="191" priority="17" operator="greaterThanOrEqual">
      <formula>0.03</formula>
    </cfRule>
    <cfRule type="cellIs" dxfId="190" priority="18" operator="lessThanOrEqual">
      <formula>-0.03</formula>
    </cfRule>
  </conditionalFormatting>
  <conditionalFormatting sqref="F27:F28 F30">
    <cfRule type="cellIs" dxfId="189" priority="33" operator="greaterThanOrEqual">
      <formula>0.03</formula>
    </cfRule>
    <cfRule type="cellIs" dxfId="188" priority="34" operator="lessThanOrEqual">
      <formula>-0.03</formula>
    </cfRule>
  </conditionalFormatting>
  <conditionalFormatting sqref="F37:F42 F44">
    <cfRule type="cellIs" dxfId="187" priority="37" operator="greaterThanOrEqual">
      <formula>1.03</formula>
    </cfRule>
    <cfRule type="cellIs" dxfId="186" priority="38" operator="lessThanOrEqual">
      <formula>0.97</formula>
    </cfRule>
  </conditionalFormatting>
  <conditionalFormatting sqref="F55:F56 F58">
    <cfRule type="cellIs" dxfId="185" priority="47" operator="greaterThanOrEqual">
      <formula>0.03</formula>
    </cfRule>
    <cfRule type="cellIs" dxfId="184" priority="48" operator="lessThanOrEqual">
      <formula>-0.03</formula>
    </cfRule>
  </conditionalFormatting>
  <conditionalFormatting sqref="G23:G28 G30">
    <cfRule type="cellIs" dxfId="183" priority="27" operator="greaterThanOrEqual">
      <formula>0.03</formula>
    </cfRule>
    <cfRule type="cellIs" dxfId="182" priority="28" operator="lessThanOrEqual">
      <formula>-0.03</formula>
    </cfRule>
  </conditionalFormatting>
  <conditionalFormatting sqref="H23:H28 H30">
    <cfRule type="cellIs" dxfId="181" priority="35" operator="greaterThanOrEqual">
      <formula>0.03</formula>
    </cfRule>
    <cfRule type="cellIs" dxfId="180" priority="36" operator="lessThanOrEqual">
      <formula>-0.03</formula>
    </cfRule>
  </conditionalFormatting>
  <conditionalFormatting sqref="F15">
    <cfRule type="cellIs" dxfId="179" priority="15" operator="greaterThanOrEqual">
      <formula>0.03</formula>
    </cfRule>
    <cfRule type="cellIs" dxfId="178" priority="16" operator="lessThanOrEqual">
      <formula>-0.03</formula>
    </cfRule>
  </conditionalFormatting>
  <conditionalFormatting sqref="F29">
    <cfRule type="cellIs" dxfId="177" priority="11" operator="greaterThanOrEqual">
      <formula>0.03</formula>
    </cfRule>
    <cfRule type="cellIs" dxfId="176" priority="12" operator="lessThanOrEqual">
      <formula>-0.03</formula>
    </cfRule>
  </conditionalFormatting>
  <conditionalFormatting sqref="G29">
    <cfRule type="cellIs" dxfId="175" priority="9" operator="greaterThanOrEqual">
      <formula>0.03</formula>
    </cfRule>
    <cfRule type="cellIs" dxfId="174" priority="10" operator="lessThanOrEqual">
      <formula>-0.03</formula>
    </cfRule>
  </conditionalFormatting>
  <conditionalFormatting sqref="C43">
    <cfRule type="cellIs" dxfId="173" priority="7" operator="greaterThanOrEqual">
      <formula>1.03</formula>
    </cfRule>
    <cfRule type="cellIs" dxfId="172" priority="8" operator="lessThanOrEqual">
      <formula>0.97</formula>
    </cfRule>
  </conditionalFormatting>
  <conditionalFormatting sqref="E43">
    <cfRule type="cellIs" dxfId="171" priority="5" operator="greaterThanOrEqual">
      <formula>1.03</formula>
    </cfRule>
    <cfRule type="cellIs" dxfId="170" priority="6" operator="lessThanOrEqual">
      <formula>0.97</formula>
    </cfRule>
  </conditionalFormatting>
  <conditionalFormatting sqref="F43">
    <cfRule type="cellIs" dxfId="169" priority="3" operator="greaterThanOrEqual">
      <formula>1.03</formula>
    </cfRule>
    <cfRule type="cellIs" dxfId="168" priority="4" operator="lessThanOrEqual">
      <formula>0.97</formula>
    </cfRule>
  </conditionalFormatting>
  <conditionalFormatting sqref="F57">
    <cfRule type="cellIs" dxfId="167" priority="1" operator="greaterThanOrEqual">
      <formula>0.03</formula>
    </cfRule>
    <cfRule type="cellIs" dxfId="166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61"/>
  <sheetViews>
    <sheetView workbookViewId="0"/>
  </sheetViews>
  <sheetFormatPr defaultRowHeight="13.5" x14ac:dyDescent="0.15"/>
  <cols>
    <col min="1" max="1" width="12.625" customWidth="1"/>
    <col min="2" max="2" width="24.625" customWidth="1"/>
    <col min="4" max="4" width="24.625" customWidth="1"/>
    <col min="9" max="9" width="16.625" customWidth="1"/>
  </cols>
  <sheetData>
    <row r="1" spans="1:16" x14ac:dyDescent="0.15">
      <c r="A1" t="s">
        <v>79</v>
      </c>
      <c r="B1" s="10" t="str">
        <f>M1</f>
        <v>C1 losslG,lossyA,intra</v>
      </c>
      <c r="C1" t="s">
        <v>80</v>
      </c>
      <c r="I1" t="s">
        <v>2</v>
      </c>
      <c r="M1" t="s">
        <v>418</v>
      </c>
      <c r="N1" t="s">
        <v>611</v>
      </c>
      <c r="O1" t="s">
        <v>780</v>
      </c>
      <c r="P1" t="s">
        <v>987</v>
      </c>
    </row>
    <row r="2" spans="1:16" x14ac:dyDescent="0.15">
      <c r="A2" t="s">
        <v>81</v>
      </c>
      <c r="B2" s="10" t="str">
        <f>HLOOKUP(B1,M1:ZZ3,3,0)</f>
        <v>basketball_player_vox11_00000200</v>
      </c>
      <c r="C2" t="s">
        <v>82</v>
      </c>
      <c r="I2" t="s">
        <v>3</v>
      </c>
      <c r="J2" t="s">
        <v>4</v>
      </c>
      <c r="M2" t="s">
        <v>1016</v>
      </c>
      <c r="N2" t="s">
        <v>1017</v>
      </c>
      <c r="O2" t="s">
        <v>1018</v>
      </c>
      <c r="P2" t="s">
        <v>1019</v>
      </c>
    </row>
    <row r="3" spans="1:16" x14ac:dyDescent="0.15">
      <c r="I3" t="s">
        <v>5</v>
      </c>
      <c r="J3" t="s">
        <v>6</v>
      </c>
      <c r="M3" t="s">
        <v>223</v>
      </c>
      <c r="N3" t="s">
        <v>223</v>
      </c>
      <c r="O3" t="s">
        <v>223</v>
      </c>
      <c r="P3" t="s">
        <v>223</v>
      </c>
    </row>
    <row r="4" spans="1:16" x14ac:dyDescent="0.15">
      <c r="A4" t="s">
        <v>83</v>
      </c>
      <c r="B4" s="10" t="s">
        <v>71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233</v>
      </c>
      <c r="N4" t="s">
        <v>233</v>
      </c>
      <c r="O4" t="s">
        <v>233</v>
      </c>
      <c r="P4" t="s">
        <v>233</v>
      </c>
    </row>
    <row r="5" spans="1:16" x14ac:dyDescent="0.15">
      <c r="A5" t="s">
        <v>83</v>
      </c>
      <c r="B5" s="10" t="s">
        <v>71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236</v>
      </c>
      <c r="N5" t="s">
        <v>236</v>
      </c>
      <c r="O5" t="s">
        <v>236</v>
      </c>
      <c r="P5" t="s">
        <v>236</v>
      </c>
    </row>
    <row r="6" spans="1:16" x14ac:dyDescent="0.15">
      <c r="A6" t="s">
        <v>83</v>
      </c>
      <c r="B6" s="10" t="s">
        <v>69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239</v>
      </c>
      <c r="N6" t="s">
        <v>239</v>
      </c>
      <c r="O6" t="s">
        <v>239</v>
      </c>
      <c r="P6" t="s">
        <v>239</v>
      </c>
    </row>
    <row r="7" spans="1:16" x14ac:dyDescent="0.15">
      <c r="A7" t="s">
        <v>83</v>
      </c>
      <c r="B7" s="10" t="s">
        <v>69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242</v>
      </c>
      <c r="N7" t="s">
        <v>242</v>
      </c>
      <c r="O7" t="s">
        <v>242</v>
      </c>
      <c r="P7" t="s">
        <v>242</v>
      </c>
    </row>
    <row r="8" spans="1:16" x14ac:dyDescent="0.15">
      <c r="A8" t="s">
        <v>83</v>
      </c>
      <c r="B8" s="10" t="s">
        <v>69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  <c r="M8" t="s">
        <v>245</v>
      </c>
      <c r="N8" t="s">
        <v>245</v>
      </c>
      <c r="O8" t="s">
        <v>245</v>
      </c>
      <c r="P8" t="s">
        <v>245</v>
      </c>
    </row>
    <row r="9" spans="1:16" x14ac:dyDescent="0.15">
      <c r="A9" t="s">
        <v>83</v>
      </c>
      <c r="B9" s="10" t="s">
        <v>75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  <c r="M9" t="s">
        <v>248</v>
      </c>
      <c r="N9" t="s">
        <v>248</v>
      </c>
      <c r="O9" t="s">
        <v>248</v>
      </c>
      <c r="P9" t="s">
        <v>248</v>
      </c>
    </row>
    <row r="10" spans="1:16" x14ac:dyDescent="0.15">
      <c r="I10" t="s">
        <v>19</v>
      </c>
      <c r="J10" t="s">
        <v>20</v>
      </c>
      <c r="M10" t="s">
        <v>251</v>
      </c>
      <c r="N10" t="s">
        <v>251</v>
      </c>
      <c r="O10" t="s">
        <v>251</v>
      </c>
      <c r="P10" t="s">
        <v>251</v>
      </c>
    </row>
    <row r="11" spans="1:16" x14ac:dyDescent="0.15">
      <c r="I11" t="s">
        <v>21</v>
      </c>
      <c r="J11" t="s">
        <v>22</v>
      </c>
      <c r="M11" t="s">
        <v>254</v>
      </c>
      <c r="N11" t="s">
        <v>254</v>
      </c>
      <c r="O11" t="s">
        <v>254</v>
      </c>
      <c r="P11" t="s">
        <v>254</v>
      </c>
    </row>
    <row r="12" spans="1:16" x14ac:dyDescent="0.15">
      <c r="I12" t="s">
        <v>23</v>
      </c>
      <c r="J12" t="s">
        <v>24</v>
      </c>
      <c r="M12" t="s">
        <v>257</v>
      </c>
      <c r="N12" t="s">
        <v>257</v>
      </c>
      <c r="O12" t="s">
        <v>257</v>
      </c>
      <c r="P12" t="s">
        <v>257</v>
      </c>
    </row>
    <row r="13" spans="1:16" x14ac:dyDescent="0.15">
      <c r="I13" t="s">
        <v>25</v>
      </c>
      <c r="J13" t="s">
        <v>26</v>
      </c>
      <c r="M13" t="s">
        <v>261</v>
      </c>
      <c r="N13" t="s">
        <v>261</v>
      </c>
      <c r="O13" t="s">
        <v>261</v>
      </c>
      <c r="P13" t="s">
        <v>261</v>
      </c>
    </row>
    <row r="14" spans="1:16" x14ac:dyDescent="0.15">
      <c r="I14" t="s">
        <v>27</v>
      </c>
      <c r="J14" t="s">
        <v>28</v>
      </c>
      <c r="M14" t="s">
        <v>264</v>
      </c>
      <c r="N14" t="s">
        <v>264</v>
      </c>
      <c r="O14" t="s">
        <v>264</v>
      </c>
      <c r="P14" t="s">
        <v>264</v>
      </c>
    </row>
    <row r="15" spans="1:16" x14ac:dyDescent="0.15">
      <c r="I15" t="s">
        <v>29</v>
      </c>
      <c r="J15" t="s">
        <v>30</v>
      </c>
      <c r="M15" t="s">
        <v>267</v>
      </c>
      <c r="N15" t="s">
        <v>267</v>
      </c>
      <c r="O15" t="s">
        <v>267</v>
      </c>
      <c r="P15" t="s">
        <v>267</v>
      </c>
    </row>
    <row r="16" spans="1:16" x14ac:dyDescent="0.15">
      <c r="I16" t="s">
        <v>31</v>
      </c>
      <c r="J16" t="s">
        <v>32</v>
      </c>
      <c r="M16" t="s">
        <v>270</v>
      </c>
      <c r="N16" t="s">
        <v>270</v>
      </c>
      <c r="O16" t="s">
        <v>270</v>
      </c>
      <c r="P16" t="s">
        <v>270</v>
      </c>
    </row>
    <row r="17" spans="9:16" x14ac:dyDescent="0.15">
      <c r="I17" t="s">
        <v>33</v>
      </c>
      <c r="J17" t="s">
        <v>34</v>
      </c>
      <c r="M17" t="s">
        <v>273</v>
      </c>
      <c r="N17" t="s">
        <v>273</v>
      </c>
      <c r="O17" t="s">
        <v>273</v>
      </c>
      <c r="P17" t="s">
        <v>273</v>
      </c>
    </row>
    <row r="18" spans="9:16" x14ac:dyDescent="0.15">
      <c r="I18" t="s">
        <v>35</v>
      </c>
      <c r="J18" t="s">
        <v>36</v>
      </c>
      <c r="M18" t="s">
        <v>276</v>
      </c>
      <c r="N18" t="s">
        <v>276</v>
      </c>
      <c r="O18" t="s">
        <v>276</v>
      </c>
      <c r="P18" t="s">
        <v>276</v>
      </c>
    </row>
    <row r="19" spans="9:16" x14ac:dyDescent="0.15">
      <c r="I19" t="s">
        <v>37</v>
      </c>
      <c r="J19" t="s">
        <v>38</v>
      </c>
      <c r="M19" t="s">
        <v>279</v>
      </c>
      <c r="N19" t="s">
        <v>279</v>
      </c>
      <c r="O19" t="s">
        <v>279</v>
      </c>
      <c r="P19" t="s">
        <v>279</v>
      </c>
    </row>
    <row r="20" spans="9:16" x14ac:dyDescent="0.15">
      <c r="I20" t="s">
        <v>39</v>
      </c>
      <c r="J20" t="s">
        <v>40</v>
      </c>
      <c r="M20" t="s">
        <v>282</v>
      </c>
      <c r="N20" t="s">
        <v>282</v>
      </c>
      <c r="O20" t="s">
        <v>282</v>
      </c>
      <c r="P20" t="s">
        <v>282</v>
      </c>
    </row>
    <row r="21" spans="9:16" x14ac:dyDescent="0.15">
      <c r="I21" t="s">
        <v>41</v>
      </c>
      <c r="J21" t="s">
        <v>42</v>
      </c>
      <c r="M21" t="s">
        <v>285</v>
      </c>
      <c r="N21" t="s">
        <v>285</v>
      </c>
      <c r="O21" t="s">
        <v>285</v>
      </c>
      <c r="P21" t="s">
        <v>285</v>
      </c>
    </row>
    <row r="22" spans="9:16" x14ac:dyDescent="0.15">
      <c r="I22" t="s">
        <v>43</v>
      </c>
      <c r="J22" t="s">
        <v>44</v>
      </c>
      <c r="M22" t="s">
        <v>288</v>
      </c>
      <c r="N22" t="s">
        <v>288</v>
      </c>
      <c r="O22" t="s">
        <v>288</v>
      </c>
      <c r="P22" t="s">
        <v>288</v>
      </c>
    </row>
    <row r="23" spans="9:16" x14ac:dyDescent="0.15">
      <c r="I23" t="s">
        <v>45</v>
      </c>
      <c r="J23" t="s">
        <v>46</v>
      </c>
      <c r="M23" t="s">
        <v>291</v>
      </c>
      <c r="N23" t="s">
        <v>291</v>
      </c>
      <c r="O23" t="s">
        <v>291</v>
      </c>
      <c r="P23" t="s">
        <v>291</v>
      </c>
    </row>
    <row r="24" spans="9:16" x14ac:dyDescent="0.15">
      <c r="I24" t="s">
        <v>47</v>
      </c>
      <c r="J24" t="s">
        <v>48</v>
      </c>
      <c r="M24" t="s">
        <v>294</v>
      </c>
      <c r="N24" t="s">
        <v>294</v>
      </c>
      <c r="O24" t="s">
        <v>294</v>
      </c>
      <c r="P24" t="s">
        <v>294</v>
      </c>
    </row>
    <row r="25" spans="9:16" x14ac:dyDescent="0.15">
      <c r="I25" t="s">
        <v>49</v>
      </c>
      <c r="J25" t="s">
        <v>50</v>
      </c>
      <c r="M25" t="s">
        <v>298</v>
      </c>
      <c r="N25" t="s">
        <v>298</v>
      </c>
      <c r="O25" t="s">
        <v>298</v>
      </c>
      <c r="P25" t="s">
        <v>298</v>
      </c>
    </row>
    <row r="26" spans="9:16" x14ac:dyDescent="0.15">
      <c r="I26" t="s">
        <v>51</v>
      </c>
      <c r="J26" t="s">
        <v>52</v>
      </c>
      <c r="M26" t="s">
        <v>301</v>
      </c>
      <c r="N26" t="s">
        <v>301</v>
      </c>
      <c r="O26" t="s">
        <v>301</v>
      </c>
      <c r="P26" t="s">
        <v>301</v>
      </c>
    </row>
    <row r="27" spans="9:16" x14ac:dyDescent="0.15">
      <c r="I27" t="s">
        <v>53</v>
      </c>
      <c r="J27" t="s">
        <v>54</v>
      </c>
      <c r="M27" t="s">
        <v>304</v>
      </c>
      <c r="N27" t="s">
        <v>304</v>
      </c>
      <c r="O27" t="s">
        <v>304</v>
      </c>
      <c r="P27" t="s">
        <v>304</v>
      </c>
    </row>
    <row r="28" spans="9:16" x14ac:dyDescent="0.15">
      <c r="I28" t="s">
        <v>55</v>
      </c>
      <c r="J28" t="s">
        <v>56</v>
      </c>
      <c r="M28" t="s">
        <v>307</v>
      </c>
      <c r="N28" t="s">
        <v>307</v>
      </c>
      <c r="O28" t="s">
        <v>307</v>
      </c>
      <c r="P28" t="s">
        <v>307</v>
      </c>
    </row>
    <row r="29" spans="9:16" x14ac:dyDescent="0.15">
      <c r="I29" t="s">
        <v>57</v>
      </c>
      <c r="J29" t="s">
        <v>58</v>
      </c>
      <c r="M29" t="s">
        <v>310</v>
      </c>
      <c r="N29" t="s">
        <v>310</v>
      </c>
      <c r="O29" t="s">
        <v>310</v>
      </c>
      <c r="P29" t="s">
        <v>310</v>
      </c>
    </row>
    <row r="30" spans="9:16" x14ac:dyDescent="0.15">
      <c r="I30" t="s">
        <v>59</v>
      </c>
      <c r="J30" t="s">
        <v>60</v>
      </c>
      <c r="M30" t="s">
        <v>313</v>
      </c>
      <c r="N30" t="s">
        <v>313</v>
      </c>
      <c r="O30" t="s">
        <v>313</v>
      </c>
      <c r="P30" t="s">
        <v>313</v>
      </c>
    </row>
    <row r="31" spans="9:16" x14ac:dyDescent="0.15">
      <c r="I31" t="s">
        <v>61</v>
      </c>
      <c r="J31" t="s">
        <v>62</v>
      </c>
      <c r="M31" t="s">
        <v>316</v>
      </c>
      <c r="N31" t="s">
        <v>316</v>
      </c>
      <c r="O31" t="s">
        <v>316</v>
      </c>
      <c r="P31" t="s">
        <v>316</v>
      </c>
    </row>
    <row r="32" spans="9:16" x14ac:dyDescent="0.15">
      <c r="I32" t="s">
        <v>63</v>
      </c>
      <c r="J32" t="s">
        <v>64</v>
      </c>
      <c r="M32" t="s">
        <v>319</v>
      </c>
      <c r="N32" t="s">
        <v>319</v>
      </c>
      <c r="O32" t="s">
        <v>319</v>
      </c>
      <c r="P32" t="s">
        <v>319</v>
      </c>
    </row>
    <row r="33" spans="9:16" x14ac:dyDescent="0.15">
      <c r="I33" t="s">
        <v>65</v>
      </c>
      <c r="J33" t="s">
        <v>66</v>
      </c>
      <c r="M33" t="s">
        <v>322</v>
      </c>
      <c r="N33" t="s">
        <v>322</v>
      </c>
      <c r="O33" t="s">
        <v>322</v>
      </c>
      <c r="P33" t="s">
        <v>322</v>
      </c>
    </row>
    <row r="34" spans="9:16" x14ac:dyDescent="0.15">
      <c r="I34" t="s">
        <v>67</v>
      </c>
      <c r="J34" t="s">
        <v>68</v>
      </c>
      <c r="M34" t="s">
        <v>326</v>
      </c>
      <c r="N34" t="s">
        <v>326</v>
      </c>
      <c r="O34" t="s">
        <v>326</v>
      </c>
      <c r="P34" t="s">
        <v>326</v>
      </c>
    </row>
    <row r="35" spans="9:16" x14ac:dyDescent="0.15">
      <c r="I35" t="s">
        <v>69</v>
      </c>
      <c r="J35" t="s">
        <v>70</v>
      </c>
      <c r="M35" t="s">
        <v>329</v>
      </c>
      <c r="N35" t="s">
        <v>329</v>
      </c>
      <c r="O35" t="s">
        <v>329</v>
      </c>
      <c r="P35" t="s">
        <v>329</v>
      </c>
    </row>
    <row r="36" spans="9:16" x14ac:dyDescent="0.15">
      <c r="I36" t="s">
        <v>71</v>
      </c>
      <c r="J36" t="s">
        <v>72</v>
      </c>
      <c r="M36" t="s">
        <v>332</v>
      </c>
      <c r="N36" t="s">
        <v>332</v>
      </c>
      <c r="O36" t="s">
        <v>332</v>
      </c>
      <c r="P36" t="s">
        <v>332</v>
      </c>
    </row>
    <row r="37" spans="9:16" x14ac:dyDescent="0.15">
      <c r="I37" t="s">
        <v>73</v>
      </c>
      <c r="J37" t="s">
        <v>74</v>
      </c>
      <c r="M37" t="s">
        <v>335</v>
      </c>
      <c r="N37" t="s">
        <v>335</v>
      </c>
      <c r="O37" t="s">
        <v>335</v>
      </c>
      <c r="P37" t="s">
        <v>335</v>
      </c>
    </row>
    <row r="38" spans="9:16" x14ac:dyDescent="0.15">
      <c r="I38" t="s">
        <v>75</v>
      </c>
      <c r="J38" t="s">
        <v>76</v>
      </c>
      <c r="M38" t="s">
        <v>338</v>
      </c>
      <c r="N38" t="s">
        <v>338</v>
      </c>
      <c r="O38" t="s">
        <v>338</v>
      </c>
      <c r="P38" t="s">
        <v>338</v>
      </c>
    </row>
    <row r="39" spans="9:16" x14ac:dyDescent="0.15">
      <c r="I39" t="s">
        <v>77</v>
      </c>
      <c r="J39" t="s">
        <v>78</v>
      </c>
      <c r="M39" t="s">
        <v>341</v>
      </c>
      <c r="N39" t="s">
        <v>341</v>
      </c>
      <c r="O39" t="s">
        <v>341</v>
      </c>
      <c r="P39" t="s">
        <v>341</v>
      </c>
    </row>
    <row r="40" spans="9:16" x14ac:dyDescent="0.15">
      <c r="M40" t="s">
        <v>344</v>
      </c>
      <c r="N40" t="s">
        <v>344</v>
      </c>
      <c r="O40" t="s">
        <v>344</v>
      </c>
      <c r="P40" t="s">
        <v>344</v>
      </c>
    </row>
    <row r="41" spans="9:16" x14ac:dyDescent="0.15">
      <c r="M41" t="s">
        <v>347</v>
      </c>
      <c r="N41" t="s">
        <v>347</v>
      </c>
      <c r="O41" t="s">
        <v>347</v>
      </c>
      <c r="P41" t="s">
        <v>347</v>
      </c>
    </row>
    <row r="42" spans="9:16" x14ac:dyDescent="0.15">
      <c r="M42" t="s">
        <v>350</v>
      </c>
      <c r="N42" t="s">
        <v>350</v>
      </c>
      <c r="O42" t="s">
        <v>350</v>
      </c>
      <c r="P42" t="s">
        <v>350</v>
      </c>
    </row>
    <row r="43" spans="9:16" x14ac:dyDescent="0.15">
      <c r="M43" t="s">
        <v>353</v>
      </c>
      <c r="N43" t="s">
        <v>353</v>
      </c>
      <c r="O43" t="s">
        <v>353</v>
      </c>
      <c r="P43" t="s">
        <v>353</v>
      </c>
    </row>
    <row r="44" spans="9:16" x14ac:dyDescent="0.15">
      <c r="M44" t="s">
        <v>356</v>
      </c>
      <c r="N44" t="s">
        <v>356</v>
      </c>
      <c r="O44" t="s">
        <v>356</v>
      </c>
      <c r="P44" t="s">
        <v>356</v>
      </c>
    </row>
    <row r="45" spans="9:16" x14ac:dyDescent="0.15">
      <c r="M45" t="s">
        <v>359</v>
      </c>
      <c r="N45" t="s">
        <v>359</v>
      </c>
      <c r="O45" t="s">
        <v>359</v>
      </c>
      <c r="P45" t="s">
        <v>359</v>
      </c>
    </row>
    <row r="46" spans="9:16" x14ac:dyDescent="0.15">
      <c r="M46" t="s">
        <v>362</v>
      </c>
      <c r="N46" t="s">
        <v>362</v>
      </c>
      <c r="O46" t="s">
        <v>362</v>
      </c>
      <c r="P46" t="s">
        <v>362</v>
      </c>
    </row>
    <row r="47" spans="9:16" x14ac:dyDescent="0.15">
      <c r="M47" t="s">
        <v>365</v>
      </c>
      <c r="N47" t="s">
        <v>365</v>
      </c>
      <c r="O47" t="s">
        <v>365</v>
      </c>
      <c r="P47" t="s">
        <v>365</v>
      </c>
    </row>
    <row r="48" spans="9:16" x14ac:dyDescent="0.15">
      <c r="M48" t="s">
        <v>368</v>
      </c>
      <c r="N48" t="s">
        <v>368</v>
      </c>
      <c r="O48" t="s">
        <v>368</v>
      </c>
      <c r="P48" t="s">
        <v>368</v>
      </c>
    </row>
    <row r="49" spans="13:16" x14ac:dyDescent="0.15">
      <c r="M49" t="s">
        <v>371</v>
      </c>
      <c r="N49" t="s">
        <v>371</v>
      </c>
      <c r="O49" t="s">
        <v>371</v>
      </c>
      <c r="P49" t="s">
        <v>371</v>
      </c>
    </row>
    <row r="50" spans="13:16" x14ac:dyDescent="0.15">
      <c r="M50" t="s">
        <v>375</v>
      </c>
      <c r="N50" t="s">
        <v>375</v>
      </c>
      <c r="O50" t="s">
        <v>375</v>
      </c>
      <c r="P50" t="s">
        <v>375</v>
      </c>
    </row>
    <row r="51" spans="13:16" x14ac:dyDescent="0.15">
      <c r="M51" t="s">
        <v>378</v>
      </c>
      <c r="N51" t="s">
        <v>378</v>
      </c>
      <c r="O51" t="s">
        <v>378</v>
      </c>
      <c r="P51" t="s">
        <v>378</v>
      </c>
    </row>
    <row r="52" spans="13:16" x14ac:dyDescent="0.15">
      <c r="M52" t="s">
        <v>381</v>
      </c>
      <c r="N52" t="s">
        <v>381</v>
      </c>
      <c r="O52" t="s">
        <v>381</v>
      </c>
      <c r="P52" t="s">
        <v>381</v>
      </c>
    </row>
    <row r="53" spans="13:16" x14ac:dyDescent="0.15">
      <c r="M53" t="s">
        <v>384</v>
      </c>
      <c r="N53" t="s">
        <v>384</v>
      </c>
      <c r="O53" t="s">
        <v>384</v>
      </c>
      <c r="P53" t="s">
        <v>384</v>
      </c>
    </row>
    <row r="54" spans="13:16" x14ac:dyDescent="0.15">
      <c r="M54" t="s">
        <v>387</v>
      </c>
      <c r="N54" t="s">
        <v>387</v>
      </c>
      <c r="O54" t="s">
        <v>387</v>
      </c>
      <c r="P54" t="s">
        <v>387</v>
      </c>
    </row>
    <row r="55" spans="13:16" x14ac:dyDescent="0.15">
      <c r="M55" t="s">
        <v>390</v>
      </c>
      <c r="N55" t="s">
        <v>390</v>
      </c>
      <c r="O55" t="s">
        <v>390</v>
      </c>
      <c r="P55" t="s">
        <v>390</v>
      </c>
    </row>
    <row r="56" spans="13:16" x14ac:dyDescent="0.15">
      <c r="M56" t="s">
        <v>393</v>
      </c>
      <c r="N56" t="s">
        <v>393</v>
      </c>
      <c r="O56" t="s">
        <v>393</v>
      </c>
      <c r="P56" t="s">
        <v>393</v>
      </c>
    </row>
    <row r="57" spans="13:16" x14ac:dyDescent="0.15">
      <c r="M57" t="s">
        <v>396</v>
      </c>
      <c r="N57" t="s">
        <v>396</v>
      </c>
      <c r="O57" t="s">
        <v>396</v>
      </c>
      <c r="P57" t="s">
        <v>396</v>
      </c>
    </row>
    <row r="58" spans="13:16" x14ac:dyDescent="0.15">
      <c r="M58" t="s">
        <v>399</v>
      </c>
      <c r="N58" t="s">
        <v>399</v>
      </c>
      <c r="O58" t="s">
        <v>399</v>
      </c>
      <c r="P58" t="s">
        <v>399</v>
      </c>
    </row>
    <row r="59" spans="13:16" x14ac:dyDescent="0.15">
      <c r="M59" t="s">
        <v>989</v>
      </c>
      <c r="N59" t="s">
        <v>989</v>
      </c>
      <c r="O59" t="s">
        <v>989</v>
      </c>
      <c r="P59" t="s">
        <v>989</v>
      </c>
    </row>
    <row r="60" spans="13:16" x14ac:dyDescent="0.15">
      <c r="M60" t="s">
        <v>990</v>
      </c>
      <c r="N60" t="s">
        <v>990</v>
      </c>
      <c r="O60" t="s">
        <v>990</v>
      </c>
      <c r="P60" t="s">
        <v>990</v>
      </c>
    </row>
    <row r="61" spans="13:16" x14ac:dyDescent="0.15">
      <c r="M61" t="s">
        <v>991</v>
      </c>
      <c r="N61" t="s">
        <v>991</v>
      </c>
      <c r="O61" t="s">
        <v>991</v>
      </c>
      <c r="P61" t="s">
        <v>991</v>
      </c>
    </row>
  </sheetData>
  <phoneticPr fontId="2" type="noConversion"/>
  <conditionalFormatting sqref="B2">
    <cfRule type="expression" dxfId="165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164" priority="2">
      <formula>ISNA(MATCH(B4,filter_cols,0))</formula>
    </cfRule>
  </conditionalFormatting>
  <dataValidations disablePrompts="1"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D370"/>
  <sheetViews>
    <sheetView zoomScale="55" zoomScaleNormal="5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T6" sqref="T6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3" width="11.625" customWidth="1"/>
    <col min="26" max="26" width="1.625" customWidth="1"/>
    <col min="28" max="30" width="10.625" customWidth="1"/>
    <col min="31" max="31" width="11.625" customWidth="1"/>
    <col min="32" max="32" width="12.625" customWidth="1"/>
    <col min="33" max="33" width="10.625" customWidth="1"/>
    <col min="34" max="37" width="12.625" customWidth="1"/>
    <col min="38" max="41" width="11.625" customWidth="1"/>
    <col min="44" max="44" width="1.625" customWidth="1"/>
    <col min="47" max="47" width="1.625" customWidth="1"/>
    <col min="48" max="51" width="11.625" customWidth="1"/>
    <col min="52" max="52" width="1.625" customWidth="1"/>
    <col min="53" max="56" width="11.625" customWidth="1"/>
    <col min="57" max="57" width="1.625" customWidth="1"/>
  </cols>
  <sheetData>
    <row r="1" spans="1:56" x14ac:dyDescent="0.15">
      <c r="A1" s="105" t="s">
        <v>218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AA1" s="102" t="str">
        <f>Summary!C2</f>
        <v>v20.0-rc1-trisoup-raht+18edges+flagCtx_test</v>
      </c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</row>
    <row r="2" spans="1:56" ht="30" customHeight="1" x14ac:dyDescent="0.1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143</v>
      </c>
      <c r="U2" s="104"/>
      <c r="V2" s="104"/>
      <c r="W2" s="104"/>
      <c r="X2" s="106" t="s">
        <v>155</v>
      </c>
      <c r="Y2" s="107" t="s">
        <v>158</v>
      </c>
      <c r="AA2" s="106" t="s">
        <v>112</v>
      </c>
      <c r="AB2" s="104" t="s">
        <v>115</v>
      </c>
      <c r="AC2" s="104"/>
      <c r="AD2" s="104"/>
      <c r="AE2" s="104"/>
      <c r="AF2" s="106" t="s">
        <v>128</v>
      </c>
      <c r="AG2" s="107" t="s">
        <v>22</v>
      </c>
      <c r="AH2" s="103" t="s">
        <v>133</v>
      </c>
      <c r="AI2" s="103"/>
      <c r="AJ2" s="103"/>
      <c r="AK2" s="103"/>
      <c r="AL2" s="104" t="s">
        <v>143</v>
      </c>
      <c r="AM2" s="104"/>
      <c r="AN2" s="104"/>
      <c r="AO2" s="104"/>
      <c r="AP2" s="106" t="s">
        <v>155</v>
      </c>
      <c r="AQ2" s="107" t="s">
        <v>158</v>
      </c>
      <c r="AS2" s="106" t="s">
        <v>195</v>
      </c>
      <c r="AT2" s="107" t="s">
        <v>195</v>
      </c>
      <c r="AV2" s="103" t="s">
        <v>200</v>
      </c>
      <c r="AW2" s="103"/>
      <c r="AX2" s="103"/>
      <c r="AY2" s="103"/>
      <c r="BA2" s="104" t="s">
        <v>209</v>
      </c>
      <c r="BB2" s="104"/>
      <c r="BC2" s="104"/>
      <c r="BD2" s="104"/>
    </row>
    <row r="3" spans="1:56" ht="27.75" thickBot="1" x14ac:dyDescent="0.2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06"/>
      <c r="Y3" s="107"/>
      <c r="AA3" s="106"/>
      <c r="AB3" s="11" t="s">
        <v>116</v>
      </c>
      <c r="AC3" s="11" t="s">
        <v>119</v>
      </c>
      <c r="AD3" s="11" t="s">
        <v>122</v>
      </c>
      <c r="AE3" s="11" t="s">
        <v>125</v>
      </c>
      <c r="AF3" s="106"/>
      <c r="AG3" s="107"/>
      <c r="AH3" s="12" t="s">
        <v>116</v>
      </c>
      <c r="AI3" s="12" t="s">
        <v>119</v>
      </c>
      <c r="AJ3" s="12" t="s">
        <v>138</v>
      </c>
      <c r="AK3" s="12" t="s">
        <v>125</v>
      </c>
      <c r="AL3" s="11" t="s">
        <v>144</v>
      </c>
      <c r="AM3" s="11" t="s">
        <v>147</v>
      </c>
      <c r="AN3" s="11" t="s">
        <v>150</v>
      </c>
      <c r="AO3" s="11" t="s">
        <v>125</v>
      </c>
      <c r="AP3" s="106"/>
      <c r="AQ3" s="107"/>
      <c r="AS3" s="106"/>
      <c r="AT3" s="107"/>
      <c r="AV3" s="12" t="s">
        <v>144</v>
      </c>
      <c r="AW3" s="12" t="s">
        <v>147</v>
      </c>
      <c r="AX3" s="12" t="s">
        <v>150</v>
      </c>
      <c r="AY3" s="12" t="s">
        <v>125</v>
      </c>
      <c r="BA3" s="11" t="s">
        <v>144</v>
      </c>
      <c r="BB3" s="11" t="s">
        <v>147</v>
      </c>
      <c r="BC3" s="11" t="s">
        <v>150</v>
      </c>
      <c r="BD3" s="11" t="s">
        <v>125</v>
      </c>
    </row>
    <row r="4" spans="1:56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156</v>
      </c>
      <c r="Y4" s="13" t="s">
        <v>159</v>
      </c>
      <c r="AA4" s="14" t="s">
        <v>161</v>
      </c>
      <c r="AB4" s="13" t="s">
        <v>163</v>
      </c>
      <c r="AC4" s="13" t="s">
        <v>165</v>
      </c>
      <c r="AD4" s="13" t="s">
        <v>167</v>
      </c>
      <c r="AE4" s="13" t="s">
        <v>169</v>
      </c>
      <c r="AF4" s="14" t="s">
        <v>171</v>
      </c>
      <c r="AG4" s="13" t="s">
        <v>173</v>
      </c>
      <c r="AH4" s="14" t="s">
        <v>175</v>
      </c>
      <c r="AI4" s="14" t="s">
        <v>177</v>
      </c>
      <c r="AJ4" s="14" t="s">
        <v>179</v>
      </c>
      <c r="AK4" s="14" t="s">
        <v>181</v>
      </c>
      <c r="AL4" s="13" t="s">
        <v>183</v>
      </c>
      <c r="AM4" s="13" t="s">
        <v>185</v>
      </c>
      <c r="AN4" s="13" t="s">
        <v>187</v>
      </c>
      <c r="AO4" s="13" t="s">
        <v>189</v>
      </c>
      <c r="AP4" s="14" t="s">
        <v>191</v>
      </c>
      <c r="AQ4" s="13" t="s">
        <v>193</v>
      </c>
      <c r="AS4" s="14" t="s">
        <v>196</v>
      </c>
      <c r="AT4" s="13" t="s">
        <v>198</v>
      </c>
      <c r="AV4" s="14" t="s">
        <v>201</v>
      </c>
      <c r="AW4" s="14" t="s">
        <v>203</v>
      </c>
      <c r="AX4" s="14" t="s">
        <v>205</v>
      </c>
      <c r="AY4" s="14" t="s">
        <v>207</v>
      </c>
      <c r="BA4" s="13" t="s">
        <v>210</v>
      </c>
      <c r="BB4" s="13" t="s">
        <v>212</v>
      </c>
      <c r="BC4" s="13" t="s">
        <v>214</v>
      </c>
      <c r="BD4" s="13" t="s">
        <v>216</v>
      </c>
    </row>
    <row r="5" spans="1:56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 t="str">
        <f t="shared" ref="J5:J68" si="1">IF(ISBLANK(P5),"·",P5/D5)</f>
        <v>·</v>
      </c>
      <c r="K5" s="19" t="str">
        <f t="shared" ref="K5:K68" si="2">IF(Q5="","·",Q5/D5)</f>
        <v>·</v>
      </c>
      <c r="L5" s="19" t="str">
        <f t="shared" ref="L5:L68" si="3">IF(ISBLANK(R5),"·",R5/D5)</f>
        <v>·</v>
      </c>
      <c r="M5" s="20"/>
      <c r="N5" s="19" t="str">
        <f t="shared" ref="N5:N68" si="4">IF(ISBLANK(P5),"·",P5/O5)</f>
        <v>·</v>
      </c>
      <c r="O5" s="21"/>
      <c r="P5" s="22"/>
      <c r="Q5" s="22"/>
      <c r="R5" s="22"/>
      <c r="S5" s="23"/>
      <c r="T5" s="24"/>
      <c r="U5" s="24"/>
      <c r="V5" s="24"/>
      <c r="W5" s="23"/>
      <c r="X5" s="26"/>
      <c r="Y5" s="26"/>
      <c r="AA5" s="18" t="str">
        <f t="shared" ref="AA5:AA68" si="5">IF(OR(ISBLANK(AH5),ISBLANK(G5)),"·",AH5*G5/F5/1000000)</f>
        <v>·</v>
      </c>
      <c r="AB5" s="19" t="str">
        <f t="shared" ref="AB5:AB68" si="6">IF(ISBLANK(AH5),"·",AH5/D5)</f>
        <v>·</v>
      </c>
      <c r="AC5" s="19" t="str">
        <f t="shared" ref="AC5:AC68" si="7">IF(AI5="","·",AI5/D5)</f>
        <v>·</v>
      </c>
      <c r="AD5" s="19" t="str">
        <f t="shared" ref="AD5:AD68" si="8">IF(ISBLANK(AJ5),"·",AJ5/D5)</f>
        <v>·</v>
      </c>
      <c r="AE5" s="20"/>
      <c r="AF5" s="19" t="str">
        <f t="shared" ref="AF5:AF68" si="9">IF(ISBLANK(AH5),"·",AH5/AG5)</f>
        <v>·</v>
      </c>
      <c r="AG5" s="21"/>
      <c r="AH5" s="22"/>
      <c r="AI5" s="22"/>
      <c r="AJ5" s="22"/>
      <c r="AK5" s="23"/>
      <c r="AL5" s="24"/>
      <c r="AM5" s="24"/>
      <c r="AN5" s="24"/>
      <c r="AO5" s="23"/>
      <c r="AP5" s="26"/>
      <c r="AQ5" s="26"/>
      <c r="AS5" s="27" t="e">
        <f t="shared" ref="AS5:AS68" si="10">(AI5/AH5) - (Q5/P5)</f>
        <v>#DIV/0!</v>
      </c>
      <c r="AT5" s="27" t="e">
        <f t="array" ref="AT5">AVERAGE(AI5:AI10/AH5:AH10) - AVERAGE(Q5:Q10/P5:P10)</f>
        <v>#DIV/0!</v>
      </c>
      <c r="AV5" s="28" t="str">
        <f>IF( OR(ISBLANK(R5:R10),ISBLANK(AJ5:AJ10), ISBLANK(T5:T10),ISBLANK(AL5:AL10)), "·", bdRateExtend( R5:R10,T5:T10, AJ5:AJ10,AL5:AL10))</f>
        <v>·</v>
      </c>
      <c r="AW5" s="28" t="str">
        <f>IF( OR(ISBLANK(R5:R10),ISBLANK(AJ5:AJ10), ISBLANK(U5:U10),ISBLANK(AM5:AM10)), "·", bdRateExtend( R5:R10,U5:U10, AJ5:AJ10,AM5:AM10))</f>
        <v>·</v>
      </c>
      <c r="AX5" s="28" t="str">
        <f>IF( OR(ISBLANK(R5:R10),ISBLANK(AJ5:AJ10), ISBLANK(V5:V10),ISBLANK(AN5:AN10)), "·", bdRateExtend( R5:R10,V5:V10, AJ5:AJ10,AN5:AN10))</f>
        <v>·</v>
      </c>
      <c r="AY5" s="29"/>
      <c r="BA5" s="28" t="str">
        <f>IF( OR(ISBLANK(P5:P10),ISBLANK(AH5:AH10), ISBLANK(T5:T10),ISBLANK(AL5:AL10)), "·", bdRateExtend( P5:P10,T5:T10, AH5:AH10,AL5:AL10))</f>
        <v>·</v>
      </c>
      <c r="BB5" s="28" t="str">
        <f>IF( OR(ISBLANK(P5:P10),ISBLANK(AH5:AH10), ISBLANK(U5:U10),ISBLANK(AM5:AM10)), "·", bdRateExtend( P5:P10,U5:U10, AH5:AH10,AM5:AM10))</f>
        <v>·</v>
      </c>
      <c r="BC5" s="28" t="str">
        <f>IF( OR(ISBLANK(P5:P10),ISBLANK(AH5:AH10), ISBLANK(V5:V10),ISBLANK(AN5:AN10)), "·", bdRateExtend( P5:P10,V5:V10, AH5:AH10,AN5:AN10))</f>
        <v>·</v>
      </c>
      <c r="BD5" s="29"/>
    </row>
    <row r="6" spans="1:56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39"/>
      <c r="U6" s="39"/>
      <c r="V6" s="39"/>
      <c r="W6" s="38"/>
      <c r="X6" s="41"/>
      <c r="Y6" s="41"/>
      <c r="AA6" s="33" t="str">
        <f t="shared" si="5"/>
        <v>·</v>
      </c>
      <c r="AB6" s="34" t="str">
        <f t="shared" si="6"/>
        <v>·</v>
      </c>
      <c r="AC6" s="34" t="str">
        <f t="shared" si="7"/>
        <v>·</v>
      </c>
      <c r="AD6" s="34" t="str">
        <f t="shared" si="8"/>
        <v>·</v>
      </c>
      <c r="AE6" s="35"/>
      <c r="AF6" s="34" t="str">
        <f t="shared" si="9"/>
        <v>·</v>
      </c>
      <c r="AG6" s="36"/>
      <c r="AH6" s="37"/>
      <c r="AI6" s="37"/>
      <c r="AJ6" s="37"/>
      <c r="AK6" s="38"/>
      <c r="AL6" s="39"/>
      <c r="AM6" s="39"/>
      <c r="AN6" s="39"/>
      <c r="AO6" s="38"/>
      <c r="AP6" s="41"/>
      <c r="AQ6" s="41"/>
      <c r="AS6" s="42" t="e">
        <f t="shared" si="10"/>
        <v>#DIV/0!</v>
      </c>
      <c r="AT6" s="42"/>
      <c r="AV6" s="43"/>
      <c r="AW6" s="43"/>
      <c r="AX6" s="43"/>
      <c r="AY6" s="44"/>
      <c r="BA6" s="43"/>
      <c r="BB6" s="43"/>
      <c r="BC6" s="43"/>
      <c r="BD6" s="44"/>
    </row>
    <row r="7" spans="1:56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4"/>
      <c r="U7" s="24"/>
      <c r="V7" s="24"/>
      <c r="W7" s="23"/>
      <c r="X7" s="26"/>
      <c r="Y7" s="26"/>
      <c r="AA7" s="18" t="str">
        <f t="shared" si="5"/>
        <v>·</v>
      </c>
      <c r="AB7" s="19" t="str">
        <f t="shared" si="6"/>
        <v>·</v>
      </c>
      <c r="AC7" s="19" t="str">
        <f t="shared" si="7"/>
        <v>·</v>
      </c>
      <c r="AD7" s="19" t="str">
        <f t="shared" si="8"/>
        <v>·</v>
      </c>
      <c r="AE7" s="20"/>
      <c r="AF7" s="19" t="str">
        <f t="shared" si="9"/>
        <v>·</v>
      </c>
      <c r="AG7" s="21"/>
      <c r="AH7" s="22"/>
      <c r="AI7" s="22"/>
      <c r="AJ7" s="22"/>
      <c r="AK7" s="23"/>
      <c r="AL7" s="24"/>
      <c r="AM7" s="24"/>
      <c r="AN7" s="24"/>
      <c r="AO7" s="23"/>
      <c r="AP7" s="26"/>
      <c r="AQ7" s="26"/>
      <c r="AS7" s="27" t="e">
        <f t="shared" si="10"/>
        <v>#DIV/0!</v>
      </c>
      <c r="AT7" s="27"/>
      <c r="AV7" s="28"/>
      <c r="AW7" s="28"/>
      <c r="AX7" s="28"/>
      <c r="AY7" s="29"/>
      <c r="BA7" s="28"/>
      <c r="BB7" s="28"/>
      <c r="BC7" s="28"/>
      <c r="BD7" s="29"/>
    </row>
    <row r="8" spans="1:56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39"/>
      <c r="U8" s="39"/>
      <c r="V8" s="39"/>
      <c r="W8" s="38"/>
      <c r="X8" s="41"/>
      <c r="Y8" s="41"/>
      <c r="AA8" s="33" t="str">
        <f t="shared" si="5"/>
        <v>·</v>
      </c>
      <c r="AB8" s="34" t="str">
        <f t="shared" si="6"/>
        <v>·</v>
      </c>
      <c r="AC8" s="34" t="str">
        <f t="shared" si="7"/>
        <v>·</v>
      </c>
      <c r="AD8" s="34" t="str">
        <f t="shared" si="8"/>
        <v>·</v>
      </c>
      <c r="AE8" s="35"/>
      <c r="AF8" s="34" t="str">
        <f t="shared" si="9"/>
        <v>·</v>
      </c>
      <c r="AG8" s="36"/>
      <c r="AH8" s="37"/>
      <c r="AI8" s="37"/>
      <c r="AJ8" s="37"/>
      <c r="AK8" s="38"/>
      <c r="AL8" s="39"/>
      <c r="AM8" s="39"/>
      <c r="AN8" s="39"/>
      <c r="AO8" s="38"/>
      <c r="AP8" s="41"/>
      <c r="AQ8" s="41"/>
      <c r="AS8" s="42" t="e">
        <f t="shared" si="10"/>
        <v>#DIV/0!</v>
      </c>
      <c r="AT8" s="42"/>
      <c r="AV8" s="43"/>
      <c r="AW8" s="43"/>
      <c r="AX8" s="43"/>
      <c r="AY8" s="44"/>
      <c r="BA8" s="43"/>
      <c r="BB8" s="43"/>
      <c r="BC8" s="43"/>
      <c r="BD8" s="44"/>
    </row>
    <row r="9" spans="1:56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3"/>
      <c r="X9" s="26"/>
      <c r="Y9" s="26"/>
      <c r="AA9" s="18" t="str">
        <f t="shared" si="5"/>
        <v>·</v>
      </c>
      <c r="AB9" s="19" t="str">
        <f t="shared" si="6"/>
        <v>·</v>
      </c>
      <c r="AC9" s="19" t="str">
        <f t="shared" si="7"/>
        <v>·</v>
      </c>
      <c r="AD9" s="19" t="str">
        <f t="shared" si="8"/>
        <v>·</v>
      </c>
      <c r="AE9" s="20"/>
      <c r="AF9" s="19" t="str">
        <f t="shared" si="9"/>
        <v>·</v>
      </c>
      <c r="AG9" s="21"/>
      <c r="AH9" s="22"/>
      <c r="AI9" s="22"/>
      <c r="AJ9" s="22"/>
      <c r="AK9" s="23"/>
      <c r="AL9" s="24"/>
      <c r="AM9" s="24"/>
      <c r="AN9" s="24"/>
      <c r="AO9" s="23"/>
      <c r="AP9" s="26"/>
      <c r="AQ9" s="26"/>
      <c r="AS9" s="27" t="e">
        <f t="shared" si="10"/>
        <v>#DIV/0!</v>
      </c>
      <c r="AT9" s="27"/>
      <c r="AV9" s="28"/>
      <c r="AW9" s="28"/>
      <c r="AX9" s="28"/>
      <c r="AY9" s="29"/>
      <c r="BA9" s="28"/>
      <c r="BB9" s="28"/>
      <c r="BC9" s="28"/>
      <c r="BD9" s="29"/>
    </row>
    <row r="10" spans="1:56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3"/>
      <c r="X10" s="56"/>
      <c r="Y10" s="56"/>
      <c r="AA10" s="48" t="str">
        <f t="shared" si="5"/>
        <v>·</v>
      </c>
      <c r="AB10" s="49" t="str">
        <f t="shared" si="6"/>
        <v>·</v>
      </c>
      <c r="AC10" s="49" t="str">
        <f t="shared" si="7"/>
        <v>·</v>
      </c>
      <c r="AD10" s="49" t="str">
        <f t="shared" si="8"/>
        <v>·</v>
      </c>
      <c r="AE10" s="50"/>
      <c r="AF10" s="49" t="str">
        <f t="shared" si="9"/>
        <v>·</v>
      </c>
      <c r="AG10" s="51"/>
      <c r="AH10" s="52"/>
      <c r="AI10" s="52"/>
      <c r="AJ10" s="52"/>
      <c r="AK10" s="53"/>
      <c r="AL10" s="54"/>
      <c r="AM10" s="54"/>
      <c r="AN10" s="54"/>
      <c r="AO10" s="53"/>
      <c r="AP10" s="56"/>
      <c r="AQ10" s="56"/>
      <c r="AS10" s="57" t="e">
        <f t="shared" si="10"/>
        <v>#DIV/0!</v>
      </c>
      <c r="AT10" s="57"/>
      <c r="AV10" s="58"/>
      <c r="AW10" s="58"/>
      <c r="AX10" s="58"/>
      <c r="AY10" s="59"/>
      <c r="BA10" s="58"/>
      <c r="BB10" s="58"/>
      <c r="BC10" s="58"/>
      <c r="BD10" s="59"/>
    </row>
    <row r="11" spans="1:56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4"/>
      <c r="U11" s="24"/>
      <c r="V11" s="24"/>
      <c r="W11" s="23"/>
      <c r="X11" s="26"/>
      <c r="Y11" s="26"/>
      <c r="AA11" s="18" t="str">
        <f t="shared" si="5"/>
        <v>·</v>
      </c>
      <c r="AB11" s="19" t="str">
        <f t="shared" si="6"/>
        <v>·</v>
      </c>
      <c r="AC11" s="19" t="str">
        <f t="shared" si="7"/>
        <v>·</v>
      </c>
      <c r="AD11" s="19" t="str">
        <f t="shared" si="8"/>
        <v>·</v>
      </c>
      <c r="AE11" s="20"/>
      <c r="AF11" s="19" t="str">
        <f t="shared" si="9"/>
        <v>·</v>
      </c>
      <c r="AG11" s="21"/>
      <c r="AH11" s="22"/>
      <c r="AI11" s="22"/>
      <c r="AJ11" s="22"/>
      <c r="AK11" s="23"/>
      <c r="AL11" s="24"/>
      <c r="AM11" s="24"/>
      <c r="AN11" s="24"/>
      <c r="AO11" s="23"/>
      <c r="AP11" s="26"/>
      <c r="AQ11" s="26"/>
      <c r="AS11" s="27" t="e">
        <f t="shared" si="10"/>
        <v>#DIV/0!</v>
      </c>
      <c r="AT11" s="27" t="e">
        <f t="array" ref="AT11">AVERAGE(AI11:AI16/AH11:AH16) - AVERAGE(Q11:Q16/P11:P16)</f>
        <v>#DIV/0!</v>
      </c>
      <c r="AV11" s="28" t="str">
        <f>IF( OR(ISBLANK(R11:R16),ISBLANK(AJ11:AJ16), ISBLANK(T11:T16),ISBLANK(AL11:AL16)), "·", bdRateExtend( R11:R16,T11:T16, AJ11:AJ16,AL11:AL16))</f>
        <v>·</v>
      </c>
      <c r="AW11" s="28" t="str">
        <f>IF( OR(ISBLANK(R11:R16),ISBLANK(AJ11:AJ16), ISBLANK(U11:U16),ISBLANK(AM11:AM16)), "·", bdRateExtend( R11:R16,U11:U16, AJ11:AJ16,AM11:AM16))</f>
        <v>·</v>
      </c>
      <c r="AX11" s="28" t="str">
        <f>IF( OR(ISBLANK(R11:R16),ISBLANK(AJ11:AJ16), ISBLANK(V11:V16),ISBLANK(AN11:AN16)), "·", bdRateExtend( R11:R16,V11:V16, AJ11:AJ16,AN11:AN16))</f>
        <v>·</v>
      </c>
      <c r="AY11" s="29"/>
      <c r="BA11" s="28" t="str">
        <f>IF( OR(ISBLANK(P11:P16),ISBLANK(AH11:AH16), ISBLANK(T11:T16),ISBLANK(AL11:AL16)), "·", bdRateExtend( P11:P16,T11:T16, AH11:AH16,AL11:AL16))</f>
        <v>·</v>
      </c>
      <c r="BB11" s="28" t="str">
        <f>IF( OR(ISBLANK(P11:P16),ISBLANK(AH11:AH16), ISBLANK(U11:U16),ISBLANK(AM11:AM16)), "·", bdRateExtend( P11:P16,U11:U16, AH11:AH16,AM11:AM16))</f>
        <v>·</v>
      </c>
      <c r="BC11" s="28" t="str">
        <f>IF( OR(ISBLANK(P11:P16),ISBLANK(AH11:AH16), ISBLANK(V11:V16),ISBLANK(AN11:AN16)), "·", bdRateExtend( P11:P16,V11:V16, AH11:AH16,AN11:AN16))</f>
        <v>·</v>
      </c>
      <c r="BD11" s="29"/>
    </row>
    <row r="12" spans="1:56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39"/>
      <c r="U12" s="39"/>
      <c r="V12" s="39"/>
      <c r="W12" s="38"/>
      <c r="X12" s="41"/>
      <c r="Y12" s="41"/>
      <c r="AA12" s="33" t="str">
        <f t="shared" si="5"/>
        <v>·</v>
      </c>
      <c r="AB12" s="34" t="str">
        <f t="shared" si="6"/>
        <v>·</v>
      </c>
      <c r="AC12" s="34" t="str">
        <f t="shared" si="7"/>
        <v>·</v>
      </c>
      <c r="AD12" s="34" t="str">
        <f t="shared" si="8"/>
        <v>·</v>
      </c>
      <c r="AE12" s="35"/>
      <c r="AF12" s="34" t="str">
        <f t="shared" si="9"/>
        <v>·</v>
      </c>
      <c r="AG12" s="36"/>
      <c r="AH12" s="37"/>
      <c r="AI12" s="37"/>
      <c r="AJ12" s="37"/>
      <c r="AK12" s="38"/>
      <c r="AL12" s="39"/>
      <c r="AM12" s="39"/>
      <c r="AN12" s="39"/>
      <c r="AO12" s="38"/>
      <c r="AP12" s="41"/>
      <c r="AQ12" s="41"/>
      <c r="AS12" s="42" t="e">
        <f t="shared" si="10"/>
        <v>#DIV/0!</v>
      </c>
      <c r="AT12" s="42"/>
      <c r="AV12" s="43"/>
      <c r="AW12" s="43"/>
      <c r="AX12" s="43"/>
      <c r="AY12" s="44"/>
      <c r="BA12" s="43"/>
      <c r="BB12" s="43"/>
      <c r="BC12" s="43"/>
      <c r="BD12" s="44"/>
    </row>
    <row r="13" spans="1:56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 t="str">
        <f t="shared" si="1"/>
        <v>·</v>
      </c>
      <c r="K13" s="19" t="str">
        <f t="shared" si="2"/>
        <v>·</v>
      </c>
      <c r="L13" s="19" t="str">
        <f t="shared" si="3"/>
        <v>·</v>
      </c>
      <c r="M13" s="20"/>
      <c r="N13" s="19" t="str">
        <f t="shared" si="4"/>
        <v>·</v>
      </c>
      <c r="O13" s="21"/>
      <c r="P13" s="22"/>
      <c r="Q13" s="22"/>
      <c r="R13" s="22"/>
      <c r="S13" s="23"/>
      <c r="T13" s="24"/>
      <c r="U13" s="24"/>
      <c r="V13" s="24"/>
      <c r="W13" s="23"/>
      <c r="X13" s="26"/>
      <c r="Y13" s="26"/>
      <c r="AA13" s="18" t="str">
        <f t="shared" si="5"/>
        <v>·</v>
      </c>
      <c r="AB13" s="19" t="str">
        <f t="shared" si="6"/>
        <v>·</v>
      </c>
      <c r="AC13" s="19" t="str">
        <f t="shared" si="7"/>
        <v>·</v>
      </c>
      <c r="AD13" s="19" t="str">
        <f t="shared" si="8"/>
        <v>·</v>
      </c>
      <c r="AE13" s="20"/>
      <c r="AF13" s="19" t="str">
        <f t="shared" si="9"/>
        <v>·</v>
      </c>
      <c r="AG13" s="21"/>
      <c r="AH13" s="22"/>
      <c r="AI13" s="22"/>
      <c r="AJ13" s="22"/>
      <c r="AK13" s="23"/>
      <c r="AL13" s="24"/>
      <c r="AM13" s="24"/>
      <c r="AN13" s="24"/>
      <c r="AO13" s="23"/>
      <c r="AP13" s="26"/>
      <c r="AQ13" s="26"/>
      <c r="AS13" s="27" t="e">
        <f t="shared" si="10"/>
        <v>#DIV/0!</v>
      </c>
      <c r="AT13" s="27"/>
      <c r="AV13" s="28"/>
      <c r="AW13" s="28"/>
      <c r="AX13" s="28"/>
      <c r="AY13" s="29"/>
      <c r="BA13" s="28"/>
      <c r="BB13" s="28"/>
      <c r="BC13" s="28"/>
      <c r="BD13" s="29"/>
    </row>
    <row r="14" spans="1:56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39"/>
      <c r="U14" s="39"/>
      <c r="V14" s="39"/>
      <c r="W14" s="38"/>
      <c r="X14" s="41"/>
      <c r="Y14" s="41"/>
      <c r="AA14" s="33" t="str">
        <f t="shared" si="5"/>
        <v>·</v>
      </c>
      <c r="AB14" s="34" t="str">
        <f t="shared" si="6"/>
        <v>·</v>
      </c>
      <c r="AC14" s="34" t="str">
        <f t="shared" si="7"/>
        <v>·</v>
      </c>
      <c r="AD14" s="34" t="str">
        <f t="shared" si="8"/>
        <v>·</v>
      </c>
      <c r="AE14" s="35"/>
      <c r="AF14" s="34" t="str">
        <f t="shared" si="9"/>
        <v>·</v>
      </c>
      <c r="AG14" s="36"/>
      <c r="AH14" s="37"/>
      <c r="AI14" s="37"/>
      <c r="AJ14" s="37"/>
      <c r="AK14" s="38"/>
      <c r="AL14" s="39"/>
      <c r="AM14" s="39"/>
      <c r="AN14" s="39"/>
      <c r="AO14" s="38"/>
      <c r="AP14" s="41"/>
      <c r="AQ14" s="41"/>
      <c r="AS14" s="42" t="e">
        <f t="shared" si="10"/>
        <v>#DIV/0!</v>
      </c>
      <c r="AT14" s="42"/>
      <c r="AV14" s="43"/>
      <c r="AW14" s="43"/>
      <c r="AX14" s="43"/>
      <c r="AY14" s="44"/>
      <c r="BA14" s="43"/>
      <c r="BB14" s="43"/>
      <c r="BC14" s="43"/>
      <c r="BD14" s="44"/>
    </row>
    <row r="15" spans="1:56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3"/>
      <c r="X15" s="26"/>
      <c r="Y15" s="26"/>
      <c r="AA15" s="18" t="str">
        <f t="shared" si="5"/>
        <v>·</v>
      </c>
      <c r="AB15" s="19" t="str">
        <f t="shared" si="6"/>
        <v>·</v>
      </c>
      <c r="AC15" s="19" t="str">
        <f t="shared" si="7"/>
        <v>·</v>
      </c>
      <c r="AD15" s="19" t="str">
        <f t="shared" si="8"/>
        <v>·</v>
      </c>
      <c r="AE15" s="20"/>
      <c r="AF15" s="19" t="str">
        <f t="shared" si="9"/>
        <v>·</v>
      </c>
      <c r="AG15" s="21"/>
      <c r="AH15" s="22"/>
      <c r="AI15" s="22"/>
      <c r="AJ15" s="22"/>
      <c r="AK15" s="23"/>
      <c r="AL15" s="24"/>
      <c r="AM15" s="24"/>
      <c r="AN15" s="24"/>
      <c r="AO15" s="23"/>
      <c r="AP15" s="26"/>
      <c r="AQ15" s="26"/>
      <c r="AS15" s="27" t="e">
        <f t="shared" si="10"/>
        <v>#DIV/0!</v>
      </c>
      <c r="AT15" s="27"/>
      <c r="AV15" s="28"/>
      <c r="AW15" s="28"/>
      <c r="AX15" s="28"/>
      <c r="AY15" s="29"/>
      <c r="BA15" s="28"/>
      <c r="BB15" s="28"/>
      <c r="BC15" s="28"/>
      <c r="BD15" s="29"/>
    </row>
    <row r="16" spans="1:56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3"/>
      <c r="X16" s="56"/>
      <c r="Y16" s="56"/>
      <c r="AA16" s="48" t="str">
        <f t="shared" si="5"/>
        <v>·</v>
      </c>
      <c r="AB16" s="49" t="str">
        <f t="shared" si="6"/>
        <v>·</v>
      </c>
      <c r="AC16" s="49" t="str">
        <f t="shared" si="7"/>
        <v>·</v>
      </c>
      <c r="AD16" s="49" t="str">
        <f t="shared" si="8"/>
        <v>·</v>
      </c>
      <c r="AE16" s="50"/>
      <c r="AF16" s="49" t="str">
        <f t="shared" si="9"/>
        <v>·</v>
      </c>
      <c r="AG16" s="51"/>
      <c r="AH16" s="52"/>
      <c r="AI16" s="52"/>
      <c r="AJ16" s="52"/>
      <c r="AK16" s="53"/>
      <c r="AL16" s="54"/>
      <c r="AM16" s="54"/>
      <c r="AN16" s="54"/>
      <c r="AO16" s="53"/>
      <c r="AP16" s="56"/>
      <c r="AQ16" s="56"/>
      <c r="AS16" s="57" t="e">
        <f t="shared" si="10"/>
        <v>#DIV/0!</v>
      </c>
      <c r="AT16" s="57"/>
      <c r="AV16" s="58"/>
      <c r="AW16" s="58"/>
      <c r="AX16" s="58"/>
      <c r="AY16" s="59"/>
      <c r="BA16" s="58"/>
      <c r="BB16" s="58"/>
      <c r="BC16" s="58"/>
      <c r="BD16" s="59"/>
    </row>
    <row r="17" spans="1:56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4"/>
      <c r="U17" s="24"/>
      <c r="V17" s="24"/>
      <c r="W17" s="23"/>
      <c r="X17" s="26"/>
      <c r="Y17" s="26"/>
      <c r="AA17" s="18" t="str">
        <f t="shared" si="5"/>
        <v>·</v>
      </c>
      <c r="AB17" s="19" t="str">
        <f t="shared" si="6"/>
        <v>·</v>
      </c>
      <c r="AC17" s="19" t="str">
        <f t="shared" si="7"/>
        <v>·</v>
      </c>
      <c r="AD17" s="19" t="str">
        <f t="shared" si="8"/>
        <v>·</v>
      </c>
      <c r="AE17" s="20"/>
      <c r="AF17" s="19" t="str">
        <f t="shared" si="9"/>
        <v>·</v>
      </c>
      <c r="AG17" s="21"/>
      <c r="AH17" s="22"/>
      <c r="AI17" s="22"/>
      <c r="AJ17" s="22"/>
      <c r="AK17" s="23"/>
      <c r="AL17" s="24"/>
      <c r="AM17" s="24"/>
      <c r="AN17" s="24"/>
      <c r="AO17" s="23"/>
      <c r="AP17" s="26"/>
      <c r="AQ17" s="26"/>
      <c r="AS17" s="27" t="e">
        <f t="shared" si="10"/>
        <v>#DIV/0!</v>
      </c>
      <c r="AT17" s="27" t="e">
        <f t="array" ref="AT17">AVERAGE(AI17:AI22/AH17:AH22) - AVERAGE(Q17:Q22/P17:P22)</f>
        <v>#DIV/0!</v>
      </c>
      <c r="AV17" s="28" t="str">
        <f>IF( OR(ISBLANK(R17:R22),ISBLANK(AJ17:AJ22), ISBLANK(T17:T22),ISBLANK(AL17:AL22)), "·", bdRateExtend( R17:R22,T17:T22, AJ17:AJ22,AL17:AL22))</f>
        <v>·</v>
      </c>
      <c r="AW17" s="28" t="str">
        <f>IF( OR(ISBLANK(R17:R22),ISBLANK(AJ17:AJ22), ISBLANK(U17:U22),ISBLANK(AM17:AM22)), "·", bdRateExtend( R17:R22,U17:U22, AJ17:AJ22,AM17:AM22))</f>
        <v>·</v>
      </c>
      <c r="AX17" s="28" t="str">
        <f>IF( OR(ISBLANK(R17:R22),ISBLANK(AJ17:AJ22), ISBLANK(V17:V22),ISBLANK(AN17:AN22)), "·", bdRateExtend( R17:R22,V17:V22, AJ17:AJ22,AN17:AN22))</f>
        <v>·</v>
      </c>
      <c r="AY17" s="29"/>
      <c r="BA17" s="28" t="str">
        <f>IF( OR(ISBLANK(P17:P22),ISBLANK(AH17:AH22), ISBLANK(T17:T22),ISBLANK(AL17:AL22)), "·", bdRateExtend( P17:P22,T17:T22, AH17:AH22,AL17:AL22))</f>
        <v>·</v>
      </c>
      <c r="BB17" s="28" t="str">
        <f>IF( OR(ISBLANK(P17:P22),ISBLANK(AH17:AH22), ISBLANK(U17:U22),ISBLANK(AM17:AM22)), "·", bdRateExtend( P17:P22,U17:U22, AH17:AH22,AM17:AM22))</f>
        <v>·</v>
      </c>
      <c r="BC17" s="28" t="str">
        <f>IF( OR(ISBLANK(P17:P22),ISBLANK(AH17:AH22), ISBLANK(V17:V22),ISBLANK(AN17:AN22)), "·", bdRateExtend( P17:P22,V17:V22, AH17:AH22,AN17:AN22))</f>
        <v>·</v>
      </c>
      <c r="BD17" s="29"/>
    </row>
    <row r="18" spans="1:56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39"/>
      <c r="U18" s="39"/>
      <c r="V18" s="39"/>
      <c r="W18" s="38"/>
      <c r="X18" s="41"/>
      <c r="Y18" s="41"/>
      <c r="AA18" s="33" t="str">
        <f t="shared" si="5"/>
        <v>·</v>
      </c>
      <c r="AB18" s="34" t="str">
        <f t="shared" si="6"/>
        <v>·</v>
      </c>
      <c r="AC18" s="34" t="str">
        <f t="shared" si="7"/>
        <v>·</v>
      </c>
      <c r="AD18" s="34" t="str">
        <f t="shared" si="8"/>
        <v>·</v>
      </c>
      <c r="AE18" s="35"/>
      <c r="AF18" s="34" t="str">
        <f t="shared" si="9"/>
        <v>·</v>
      </c>
      <c r="AG18" s="36"/>
      <c r="AH18" s="37"/>
      <c r="AI18" s="37"/>
      <c r="AJ18" s="37"/>
      <c r="AK18" s="38"/>
      <c r="AL18" s="39"/>
      <c r="AM18" s="39"/>
      <c r="AN18" s="39"/>
      <c r="AO18" s="38"/>
      <c r="AP18" s="41"/>
      <c r="AQ18" s="41"/>
      <c r="AS18" s="42" t="e">
        <f t="shared" si="10"/>
        <v>#DIV/0!</v>
      </c>
      <c r="AT18" s="42"/>
      <c r="AV18" s="43"/>
      <c r="AW18" s="43"/>
      <c r="AX18" s="43"/>
      <c r="AY18" s="44"/>
      <c r="BA18" s="43"/>
      <c r="BB18" s="43"/>
      <c r="BC18" s="43"/>
      <c r="BD18" s="44"/>
    </row>
    <row r="19" spans="1:56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4"/>
      <c r="U19" s="24"/>
      <c r="V19" s="24"/>
      <c r="W19" s="23"/>
      <c r="X19" s="26"/>
      <c r="Y19" s="26"/>
      <c r="AA19" s="18" t="str">
        <f t="shared" si="5"/>
        <v>·</v>
      </c>
      <c r="AB19" s="19" t="str">
        <f t="shared" si="6"/>
        <v>·</v>
      </c>
      <c r="AC19" s="19" t="str">
        <f t="shared" si="7"/>
        <v>·</v>
      </c>
      <c r="AD19" s="19" t="str">
        <f t="shared" si="8"/>
        <v>·</v>
      </c>
      <c r="AE19" s="20"/>
      <c r="AF19" s="19" t="str">
        <f t="shared" si="9"/>
        <v>·</v>
      </c>
      <c r="AG19" s="21"/>
      <c r="AH19" s="22"/>
      <c r="AI19" s="22"/>
      <c r="AJ19" s="22"/>
      <c r="AK19" s="23"/>
      <c r="AL19" s="24"/>
      <c r="AM19" s="24"/>
      <c r="AN19" s="24"/>
      <c r="AO19" s="23"/>
      <c r="AP19" s="26"/>
      <c r="AQ19" s="26"/>
      <c r="AS19" s="27" t="e">
        <f t="shared" si="10"/>
        <v>#DIV/0!</v>
      </c>
      <c r="AT19" s="27"/>
      <c r="AV19" s="28"/>
      <c r="AW19" s="28"/>
      <c r="AX19" s="28"/>
      <c r="AY19" s="29"/>
      <c r="BA19" s="28"/>
      <c r="BB19" s="28"/>
      <c r="BC19" s="28"/>
      <c r="BD19" s="29"/>
    </row>
    <row r="20" spans="1:56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39"/>
      <c r="U20" s="39"/>
      <c r="V20" s="39"/>
      <c r="W20" s="38"/>
      <c r="X20" s="41"/>
      <c r="Y20" s="41"/>
      <c r="AA20" s="33" t="str">
        <f t="shared" si="5"/>
        <v>·</v>
      </c>
      <c r="AB20" s="34" t="str">
        <f t="shared" si="6"/>
        <v>·</v>
      </c>
      <c r="AC20" s="34" t="str">
        <f t="shared" si="7"/>
        <v>·</v>
      </c>
      <c r="AD20" s="34" t="str">
        <f t="shared" si="8"/>
        <v>·</v>
      </c>
      <c r="AE20" s="35"/>
      <c r="AF20" s="34" t="str">
        <f t="shared" si="9"/>
        <v>·</v>
      </c>
      <c r="AG20" s="36"/>
      <c r="AH20" s="37"/>
      <c r="AI20" s="37"/>
      <c r="AJ20" s="37"/>
      <c r="AK20" s="38"/>
      <c r="AL20" s="39"/>
      <c r="AM20" s="39"/>
      <c r="AN20" s="39"/>
      <c r="AO20" s="38"/>
      <c r="AP20" s="41"/>
      <c r="AQ20" s="41"/>
      <c r="AS20" s="42" t="e">
        <f t="shared" si="10"/>
        <v>#DIV/0!</v>
      </c>
      <c r="AT20" s="42"/>
      <c r="AV20" s="43"/>
      <c r="AW20" s="43"/>
      <c r="AX20" s="43"/>
      <c r="AY20" s="44"/>
      <c r="BA20" s="43"/>
      <c r="BB20" s="43"/>
      <c r="BC20" s="43"/>
      <c r="BD20" s="44"/>
    </row>
    <row r="21" spans="1:56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3"/>
      <c r="X21" s="26"/>
      <c r="Y21" s="26"/>
      <c r="AA21" s="18" t="str">
        <f t="shared" si="5"/>
        <v>·</v>
      </c>
      <c r="AB21" s="19" t="str">
        <f t="shared" si="6"/>
        <v>·</v>
      </c>
      <c r="AC21" s="19" t="str">
        <f t="shared" si="7"/>
        <v>·</v>
      </c>
      <c r="AD21" s="19" t="str">
        <f t="shared" si="8"/>
        <v>·</v>
      </c>
      <c r="AE21" s="20"/>
      <c r="AF21" s="19" t="str">
        <f t="shared" si="9"/>
        <v>·</v>
      </c>
      <c r="AG21" s="21"/>
      <c r="AH21" s="22"/>
      <c r="AI21" s="22"/>
      <c r="AJ21" s="22"/>
      <c r="AK21" s="23"/>
      <c r="AL21" s="24"/>
      <c r="AM21" s="24"/>
      <c r="AN21" s="24"/>
      <c r="AO21" s="23"/>
      <c r="AP21" s="26"/>
      <c r="AQ21" s="26"/>
      <c r="AS21" s="27" t="e">
        <f t="shared" si="10"/>
        <v>#DIV/0!</v>
      </c>
      <c r="AT21" s="27"/>
      <c r="AV21" s="28"/>
      <c r="AW21" s="28"/>
      <c r="AX21" s="28"/>
      <c r="AY21" s="29"/>
      <c r="BA21" s="28"/>
      <c r="BB21" s="28"/>
      <c r="BC21" s="28"/>
      <c r="BD21" s="29"/>
    </row>
    <row r="22" spans="1:56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3"/>
      <c r="X22" s="56"/>
      <c r="Y22" s="56"/>
      <c r="AA22" s="48" t="str">
        <f t="shared" si="5"/>
        <v>·</v>
      </c>
      <c r="AB22" s="49" t="str">
        <f t="shared" si="6"/>
        <v>·</v>
      </c>
      <c r="AC22" s="49" t="str">
        <f t="shared" si="7"/>
        <v>·</v>
      </c>
      <c r="AD22" s="49" t="str">
        <f t="shared" si="8"/>
        <v>·</v>
      </c>
      <c r="AE22" s="50"/>
      <c r="AF22" s="49" t="str">
        <f t="shared" si="9"/>
        <v>·</v>
      </c>
      <c r="AG22" s="51"/>
      <c r="AH22" s="52"/>
      <c r="AI22" s="52"/>
      <c r="AJ22" s="52"/>
      <c r="AK22" s="53"/>
      <c r="AL22" s="54"/>
      <c r="AM22" s="54"/>
      <c r="AN22" s="54"/>
      <c r="AO22" s="53"/>
      <c r="AP22" s="56"/>
      <c r="AQ22" s="56"/>
      <c r="AS22" s="57" t="e">
        <f t="shared" si="10"/>
        <v>#DIV/0!</v>
      </c>
      <c r="AT22" s="57"/>
      <c r="AV22" s="58"/>
      <c r="AW22" s="58"/>
      <c r="AX22" s="58"/>
      <c r="AY22" s="59"/>
      <c r="BA22" s="58"/>
      <c r="BB22" s="58"/>
      <c r="BC22" s="58"/>
      <c r="BD22" s="59"/>
    </row>
    <row r="23" spans="1:56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4"/>
      <c r="U23" s="24"/>
      <c r="V23" s="24"/>
      <c r="W23" s="23"/>
      <c r="X23" s="26"/>
      <c r="Y23" s="26"/>
      <c r="AA23" s="18" t="str">
        <f t="shared" si="5"/>
        <v>·</v>
      </c>
      <c r="AB23" s="19" t="str">
        <f t="shared" si="6"/>
        <v>·</v>
      </c>
      <c r="AC23" s="19" t="str">
        <f t="shared" si="7"/>
        <v>·</v>
      </c>
      <c r="AD23" s="19" t="str">
        <f t="shared" si="8"/>
        <v>·</v>
      </c>
      <c r="AE23" s="20"/>
      <c r="AF23" s="19" t="str">
        <f t="shared" si="9"/>
        <v>·</v>
      </c>
      <c r="AG23" s="21"/>
      <c r="AH23" s="22"/>
      <c r="AI23" s="22"/>
      <c r="AJ23" s="22"/>
      <c r="AK23" s="23"/>
      <c r="AL23" s="24"/>
      <c r="AM23" s="24"/>
      <c r="AN23" s="24"/>
      <c r="AO23" s="23"/>
      <c r="AP23" s="26"/>
      <c r="AQ23" s="26"/>
      <c r="AS23" s="27" t="e">
        <f t="shared" si="10"/>
        <v>#DIV/0!</v>
      </c>
      <c r="AT23" s="27" t="e">
        <f t="array" ref="AT23">AVERAGE(AI23:AI28/AH23:AH28) - AVERAGE(Q23:Q28/P23:P28)</f>
        <v>#DIV/0!</v>
      </c>
      <c r="AV23" s="28" t="str">
        <f>IF( OR(ISBLANK(R23:R28),ISBLANK(AJ23:AJ28), ISBLANK(T23:T28),ISBLANK(AL23:AL28)), "·", bdRateExtend( R23:R28,T23:T28, AJ23:AJ28,AL23:AL28))</f>
        <v>·</v>
      </c>
      <c r="AW23" s="28" t="str">
        <f>IF( OR(ISBLANK(R23:R28),ISBLANK(AJ23:AJ28), ISBLANK(U23:U28),ISBLANK(AM23:AM28)), "·", bdRateExtend( R23:R28,U23:U28, AJ23:AJ28,AM23:AM28))</f>
        <v>·</v>
      </c>
      <c r="AX23" s="28" t="str">
        <f>IF( OR(ISBLANK(R23:R28),ISBLANK(AJ23:AJ28), ISBLANK(V23:V28),ISBLANK(AN23:AN28)), "·", bdRateExtend( R23:R28,V23:V28, AJ23:AJ28,AN23:AN28))</f>
        <v>·</v>
      </c>
      <c r="AY23" s="29"/>
      <c r="BA23" s="28" t="str">
        <f>IF( OR(ISBLANK(P23:P28),ISBLANK(AH23:AH28), ISBLANK(T23:T28),ISBLANK(AL23:AL28)), "·", bdRateExtend( P23:P28,T23:T28, AH23:AH28,AL23:AL28))</f>
        <v>·</v>
      </c>
      <c r="BB23" s="28" t="str">
        <f>IF( OR(ISBLANK(P23:P28),ISBLANK(AH23:AH28), ISBLANK(U23:U28),ISBLANK(AM23:AM28)), "·", bdRateExtend( P23:P28,U23:U28, AH23:AH28,AM23:AM28))</f>
        <v>·</v>
      </c>
      <c r="BC23" s="28" t="str">
        <f>IF( OR(ISBLANK(P23:P28),ISBLANK(AH23:AH28), ISBLANK(V23:V28),ISBLANK(AN23:AN28)), "·", bdRateExtend( P23:P28,V23:V28, AH23:AH28,AN23:AN28))</f>
        <v>·</v>
      </c>
      <c r="BD23" s="29"/>
    </row>
    <row r="24" spans="1:56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39"/>
      <c r="U24" s="39"/>
      <c r="V24" s="39"/>
      <c r="W24" s="38"/>
      <c r="X24" s="41"/>
      <c r="Y24" s="41"/>
      <c r="AA24" s="33" t="str">
        <f t="shared" si="5"/>
        <v>·</v>
      </c>
      <c r="AB24" s="34" t="str">
        <f t="shared" si="6"/>
        <v>·</v>
      </c>
      <c r="AC24" s="34" t="str">
        <f t="shared" si="7"/>
        <v>·</v>
      </c>
      <c r="AD24" s="34" t="str">
        <f t="shared" si="8"/>
        <v>·</v>
      </c>
      <c r="AE24" s="35"/>
      <c r="AF24" s="34" t="str">
        <f t="shared" si="9"/>
        <v>·</v>
      </c>
      <c r="AG24" s="36"/>
      <c r="AH24" s="37"/>
      <c r="AI24" s="37"/>
      <c r="AJ24" s="37"/>
      <c r="AK24" s="38"/>
      <c r="AL24" s="39"/>
      <c r="AM24" s="39"/>
      <c r="AN24" s="39"/>
      <c r="AO24" s="38"/>
      <c r="AP24" s="41"/>
      <c r="AQ24" s="41"/>
      <c r="AS24" s="42" t="e">
        <f t="shared" si="10"/>
        <v>#DIV/0!</v>
      </c>
      <c r="AT24" s="42"/>
      <c r="AV24" s="43"/>
      <c r="AW24" s="43"/>
      <c r="AX24" s="43"/>
      <c r="AY24" s="44"/>
      <c r="BA24" s="43"/>
      <c r="BB24" s="43"/>
      <c r="BC24" s="43"/>
      <c r="BD24" s="44"/>
    </row>
    <row r="25" spans="1:56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 t="str">
        <f t="shared" si="1"/>
        <v>·</v>
      </c>
      <c r="K25" s="19" t="str">
        <f t="shared" si="2"/>
        <v>·</v>
      </c>
      <c r="L25" s="19" t="str">
        <f t="shared" si="3"/>
        <v>·</v>
      </c>
      <c r="M25" s="20"/>
      <c r="N25" s="19" t="str">
        <f t="shared" si="4"/>
        <v>·</v>
      </c>
      <c r="O25" s="21"/>
      <c r="P25" s="22"/>
      <c r="Q25" s="22"/>
      <c r="R25" s="22"/>
      <c r="S25" s="23"/>
      <c r="T25" s="24"/>
      <c r="U25" s="24"/>
      <c r="V25" s="24"/>
      <c r="W25" s="23"/>
      <c r="X25" s="26"/>
      <c r="Y25" s="26"/>
      <c r="AA25" s="18" t="str">
        <f t="shared" si="5"/>
        <v>·</v>
      </c>
      <c r="AB25" s="19" t="str">
        <f t="shared" si="6"/>
        <v>·</v>
      </c>
      <c r="AC25" s="19" t="str">
        <f t="shared" si="7"/>
        <v>·</v>
      </c>
      <c r="AD25" s="19" t="str">
        <f t="shared" si="8"/>
        <v>·</v>
      </c>
      <c r="AE25" s="20"/>
      <c r="AF25" s="19" t="str">
        <f t="shared" si="9"/>
        <v>·</v>
      </c>
      <c r="AG25" s="21"/>
      <c r="AH25" s="22"/>
      <c r="AI25" s="22"/>
      <c r="AJ25" s="22"/>
      <c r="AK25" s="23"/>
      <c r="AL25" s="24"/>
      <c r="AM25" s="24"/>
      <c r="AN25" s="24"/>
      <c r="AO25" s="23"/>
      <c r="AP25" s="26"/>
      <c r="AQ25" s="26"/>
      <c r="AS25" s="27" t="e">
        <f t="shared" si="10"/>
        <v>#DIV/0!</v>
      </c>
      <c r="AT25" s="27"/>
      <c r="AV25" s="28"/>
      <c r="AW25" s="28"/>
      <c r="AX25" s="28"/>
      <c r="AY25" s="29"/>
      <c r="BA25" s="28"/>
      <c r="BB25" s="28"/>
      <c r="BC25" s="28"/>
      <c r="BD25" s="29"/>
    </row>
    <row r="26" spans="1:56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39"/>
      <c r="U26" s="39"/>
      <c r="V26" s="39"/>
      <c r="W26" s="38"/>
      <c r="X26" s="41"/>
      <c r="Y26" s="41"/>
      <c r="AA26" s="33" t="str">
        <f t="shared" si="5"/>
        <v>·</v>
      </c>
      <c r="AB26" s="34" t="str">
        <f t="shared" si="6"/>
        <v>·</v>
      </c>
      <c r="AC26" s="34" t="str">
        <f t="shared" si="7"/>
        <v>·</v>
      </c>
      <c r="AD26" s="34" t="str">
        <f t="shared" si="8"/>
        <v>·</v>
      </c>
      <c r="AE26" s="35"/>
      <c r="AF26" s="34" t="str">
        <f t="shared" si="9"/>
        <v>·</v>
      </c>
      <c r="AG26" s="36"/>
      <c r="AH26" s="37"/>
      <c r="AI26" s="37"/>
      <c r="AJ26" s="37"/>
      <c r="AK26" s="38"/>
      <c r="AL26" s="39"/>
      <c r="AM26" s="39"/>
      <c r="AN26" s="39"/>
      <c r="AO26" s="38"/>
      <c r="AP26" s="41"/>
      <c r="AQ26" s="41"/>
      <c r="AS26" s="42" t="e">
        <f t="shared" si="10"/>
        <v>#DIV/0!</v>
      </c>
      <c r="AT26" s="42"/>
      <c r="AV26" s="43"/>
      <c r="AW26" s="43"/>
      <c r="AX26" s="43"/>
      <c r="AY26" s="44"/>
      <c r="BA26" s="43"/>
      <c r="BB26" s="43"/>
      <c r="BC26" s="43"/>
      <c r="BD26" s="44"/>
    </row>
    <row r="27" spans="1:56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3"/>
      <c r="X27" s="26"/>
      <c r="Y27" s="26"/>
      <c r="AA27" s="18" t="str">
        <f t="shared" si="5"/>
        <v>·</v>
      </c>
      <c r="AB27" s="19" t="str">
        <f t="shared" si="6"/>
        <v>·</v>
      </c>
      <c r="AC27" s="19" t="str">
        <f t="shared" si="7"/>
        <v>·</v>
      </c>
      <c r="AD27" s="19" t="str">
        <f t="shared" si="8"/>
        <v>·</v>
      </c>
      <c r="AE27" s="20"/>
      <c r="AF27" s="19" t="str">
        <f t="shared" si="9"/>
        <v>·</v>
      </c>
      <c r="AG27" s="21"/>
      <c r="AH27" s="22"/>
      <c r="AI27" s="22"/>
      <c r="AJ27" s="22"/>
      <c r="AK27" s="23"/>
      <c r="AL27" s="24"/>
      <c r="AM27" s="24"/>
      <c r="AN27" s="24"/>
      <c r="AO27" s="23"/>
      <c r="AP27" s="26"/>
      <c r="AQ27" s="26"/>
      <c r="AS27" s="27" t="e">
        <f t="shared" si="10"/>
        <v>#DIV/0!</v>
      </c>
      <c r="AT27" s="27"/>
      <c r="AV27" s="28"/>
      <c r="AW27" s="28"/>
      <c r="AX27" s="28"/>
      <c r="AY27" s="29"/>
      <c r="BA27" s="28"/>
      <c r="BB27" s="28"/>
      <c r="BC27" s="28"/>
      <c r="BD27" s="29"/>
    </row>
    <row r="28" spans="1:56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3"/>
      <c r="X28" s="56"/>
      <c r="Y28" s="56"/>
      <c r="AA28" s="48" t="str">
        <f t="shared" si="5"/>
        <v>·</v>
      </c>
      <c r="AB28" s="49" t="str">
        <f t="shared" si="6"/>
        <v>·</v>
      </c>
      <c r="AC28" s="49" t="str">
        <f t="shared" si="7"/>
        <v>·</v>
      </c>
      <c r="AD28" s="49" t="str">
        <f t="shared" si="8"/>
        <v>·</v>
      </c>
      <c r="AE28" s="50"/>
      <c r="AF28" s="49" t="str">
        <f t="shared" si="9"/>
        <v>·</v>
      </c>
      <c r="AG28" s="51"/>
      <c r="AH28" s="52"/>
      <c r="AI28" s="52"/>
      <c r="AJ28" s="52"/>
      <c r="AK28" s="53"/>
      <c r="AL28" s="54"/>
      <c r="AM28" s="54"/>
      <c r="AN28" s="54"/>
      <c r="AO28" s="53"/>
      <c r="AP28" s="56"/>
      <c r="AQ28" s="56"/>
      <c r="AS28" s="57" t="e">
        <f t="shared" si="10"/>
        <v>#DIV/0!</v>
      </c>
      <c r="AT28" s="57"/>
      <c r="AV28" s="58"/>
      <c r="AW28" s="58"/>
      <c r="AX28" s="58"/>
      <c r="AY28" s="59"/>
      <c r="BA28" s="58"/>
      <c r="BB28" s="58"/>
      <c r="BC28" s="58"/>
      <c r="BD28" s="59"/>
    </row>
    <row r="29" spans="1:56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4"/>
      <c r="U29" s="24"/>
      <c r="V29" s="24"/>
      <c r="W29" s="23"/>
      <c r="X29" s="26"/>
      <c r="Y29" s="26"/>
      <c r="AA29" s="18" t="str">
        <f t="shared" si="5"/>
        <v>·</v>
      </c>
      <c r="AB29" s="19" t="str">
        <f t="shared" si="6"/>
        <v>·</v>
      </c>
      <c r="AC29" s="19" t="str">
        <f t="shared" si="7"/>
        <v>·</v>
      </c>
      <c r="AD29" s="19" t="str">
        <f t="shared" si="8"/>
        <v>·</v>
      </c>
      <c r="AE29" s="20"/>
      <c r="AF29" s="19" t="str">
        <f t="shared" si="9"/>
        <v>·</v>
      </c>
      <c r="AG29" s="21"/>
      <c r="AH29" s="22"/>
      <c r="AI29" s="22"/>
      <c r="AJ29" s="22"/>
      <c r="AK29" s="23"/>
      <c r="AL29" s="24"/>
      <c r="AM29" s="24"/>
      <c r="AN29" s="24"/>
      <c r="AO29" s="23"/>
      <c r="AP29" s="26"/>
      <c r="AQ29" s="26"/>
      <c r="AS29" s="27" t="e">
        <f t="shared" si="10"/>
        <v>#DIV/0!</v>
      </c>
      <c r="AT29" s="27" t="e">
        <f t="array" ref="AT29">AVERAGE(AI29:AI34/AH29:AH34) - AVERAGE(Q29:Q34/P29:P34)</f>
        <v>#DIV/0!</v>
      </c>
      <c r="AV29" s="28" t="str">
        <f>IF( OR(ISBLANK(R29:R34),ISBLANK(AJ29:AJ34), ISBLANK(T29:T34),ISBLANK(AL29:AL34)), "·", bdRateExtend( R29:R34,T29:T34, AJ29:AJ34,AL29:AL34))</f>
        <v>·</v>
      </c>
      <c r="AW29" s="28" t="str">
        <f>IF( OR(ISBLANK(R29:R34),ISBLANK(AJ29:AJ34), ISBLANK(U29:U34),ISBLANK(AM29:AM34)), "·", bdRateExtend( R29:R34,U29:U34, AJ29:AJ34,AM29:AM34))</f>
        <v>·</v>
      </c>
      <c r="AX29" s="28" t="str">
        <f>IF( OR(ISBLANK(R29:R34),ISBLANK(AJ29:AJ34), ISBLANK(V29:V34),ISBLANK(AN29:AN34)), "·", bdRateExtend( R29:R34,V29:V34, AJ29:AJ34,AN29:AN34))</f>
        <v>·</v>
      </c>
      <c r="AY29" s="29"/>
      <c r="BA29" s="28" t="str">
        <f>IF( OR(ISBLANK(P29:P34),ISBLANK(AH29:AH34), ISBLANK(T29:T34),ISBLANK(AL29:AL34)), "·", bdRateExtend( P29:P34,T29:T34, AH29:AH34,AL29:AL34))</f>
        <v>·</v>
      </c>
      <c r="BB29" s="28" t="str">
        <f>IF( OR(ISBLANK(P29:P34),ISBLANK(AH29:AH34), ISBLANK(U29:U34),ISBLANK(AM29:AM34)), "·", bdRateExtend( P29:P34,U29:U34, AH29:AH34,AM29:AM34))</f>
        <v>·</v>
      </c>
      <c r="BC29" s="28" t="str">
        <f>IF( OR(ISBLANK(P29:P34),ISBLANK(AH29:AH34), ISBLANK(V29:V34),ISBLANK(AN29:AN34)), "·", bdRateExtend( P29:P34,V29:V34, AH29:AH34,AN29:AN34))</f>
        <v>·</v>
      </c>
      <c r="BD29" s="29"/>
    </row>
    <row r="30" spans="1:56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39"/>
      <c r="U30" s="39"/>
      <c r="V30" s="39"/>
      <c r="W30" s="38"/>
      <c r="X30" s="41"/>
      <c r="Y30" s="41"/>
      <c r="AA30" s="33" t="str">
        <f t="shared" si="5"/>
        <v>·</v>
      </c>
      <c r="AB30" s="34" t="str">
        <f t="shared" si="6"/>
        <v>·</v>
      </c>
      <c r="AC30" s="34" t="str">
        <f t="shared" si="7"/>
        <v>·</v>
      </c>
      <c r="AD30" s="34" t="str">
        <f t="shared" si="8"/>
        <v>·</v>
      </c>
      <c r="AE30" s="35"/>
      <c r="AF30" s="34" t="str">
        <f t="shared" si="9"/>
        <v>·</v>
      </c>
      <c r="AG30" s="36"/>
      <c r="AH30" s="37"/>
      <c r="AI30" s="37"/>
      <c r="AJ30" s="37"/>
      <c r="AK30" s="38"/>
      <c r="AL30" s="39"/>
      <c r="AM30" s="39"/>
      <c r="AN30" s="39"/>
      <c r="AO30" s="38"/>
      <c r="AP30" s="41"/>
      <c r="AQ30" s="41"/>
      <c r="AS30" s="42" t="e">
        <f t="shared" si="10"/>
        <v>#DIV/0!</v>
      </c>
      <c r="AT30" s="42"/>
      <c r="AV30" s="43"/>
      <c r="AW30" s="43"/>
      <c r="AX30" s="43"/>
      <c r="AY30" s="44"/>
      <c r="BA30" s="43"/>
      <c r="BB30" s="43"/>
      <c r="BC30" s="43"/>
      <c r="BD30" s="44"/>
    </row>
    <row r="31" spans="1:56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4"/>
      <c r="U31" s="24"/>
      <c r="V31" s="24"/>
      <c r="W31" s="23"/>
      <c r="X31" s="26"/>
      <c r="Y31" s="26"/>
      <c r="AA31" s="18" t="str">
        <f t="shared" si="5"/>
        <v>·</v>
      </c>
      <c r="AB31" s="19" t="str">
        <f t="shared" si="6"/>
        <v>·</v>
      </c>
      <c r="AC31" s="19" t="str">
        <f t="shared" si="7"/>
        <v>·</v>
      </c>
      <c r="AD31" s="19" t="str">
        <f t="shared" si="8"/>
        <v>·</v>
      </c>
      <c r="AE31" s="20"/>
      <c r="AF31" s="19" t="str">
        <f t="shared" si="9"/>
        <v>·</v>
      </c>
      <c r="AG31" s="21"/>
      <c r="AH31" s="22"/>
      <c r="AI31" s="22"/>
      <c r="AJ31" s="22"/>
      <c r="AK31" s="23"/>
      <c r="AL31" s="24"/>
      <c r="AM31" s="24"/>
      <c r="AN31" s="24"/>
      <c r="AO31" s="23"/>
      <c r="AP31" s="26"/>
      <c r="AQ31" s="26"/>
      <c r="AS31" s="27" t="e">
        <f t="shared" si="10"/>
        <v>#DIV/0!</v>
      </c>
      <c r="AT31" s="27"/>
      <c r="AV31" s="28"/>
      <c r="AW31" s="28"/>
      <c r="AX31" s="28"/>
      <c r="AY31" s="29"/>
      <c r="BA31" s="28"/>
      <c r="BB31" s="28"/>
      <c r="BC31" s="28"/>
      <c r="BD31" s="29"/>
    </row>
    <row r="32" spans="1:56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39"/>
      <c r="U32" s="39"/>
      <c r="V32" s="39"/>
      <c r="W32" s="38"/>
      <c r="X32" s="41"/>
      <c r="Y32" s="41"/>
      <c r="AA32" s="33" t="str">
        <f t="shared" si="5"/>
        <v>·</v>
      </c>
      <c r="AB32" s="34" t="str">
        <f t="shared" si="6"/>
        <v>·</v>
      </c>
      <c r="AC32" s="34" t="str">
        <f t="shared" si="7"/>
        <v>·</v>
      </c>
      <c r="AD32" s="34" t="str">
        <f t="shared" si="8"/>
        <v>·</v>
      </c>
      <c r="AE32" s="35"/>
      <c r="AF32" s="34" t="str">
        <f t="shared" si="9"/>
        <v>·</v>
      </c>
      <c r="AG32" s="36"/>
      <c r="AH32" s="37"/>
      <c r="AI32" s="37"/>
      <c r="AJ32" s="37"/>
      <c r="AK32" s="38"/>
      <c r="AL32" s="39"/>
      <c r="AM32" s="39"/>
      <c r="AN32" s="39"/>
      <c r="AO32" s="38"/>
      <c r="AP32" s="41"/>
      <c r="AQ32" s="41"/>
      <c r="AS32" s="42" t="e">
        <f t="shared" si="10"/>
        <v>#DIV/0!</v>
      </c>
      <c r="AT32" s="42"/>
      <c r="AV32" s="43"/>
      <c r="AW32" s="43"/>
      <c r="AX32" s="43"/>
      <c r="AY32" s="44"/>
      <c r="BA32" s="43"/>
      <c r="BB32" s="43"/>
      <c r="BC32" s="43"/>
      <c r="BD32" s="44"/>
    </row>
    <row r="33" spans="1:56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3"/>
      <c r="X33" s="26"/>
      <c r="Y33" s="26"/>
      <c r="AA33" s="18" t="str">
        <f t="shared" si="5"/>
        <v>·</v>
      </c>
      <c r="AB33" s="19" t="str">
        <f t="shared" si="6"/>
        <v>·</v>
      </c>
      <c r="AC33" s="19" t="str">
        <f t="shared" si="7"/>
        <v>·</v>
      </c>
      <c r="AD33" s="19" t="str">
        <f t="shared" si="8"/>
        <v>·</v>
      </c>
      <c r="AE33" s="20"/>
      <c r="AF33" s="19" t="str">
        <f t="shared" si="9"/>
        <v>·</v>
      </c>
      <c r="AG33" s="21"/>
      <c r="AH33" s="22"/>
      <c r="AI33" s="22"/>
      <c r="AJ33" s="22"/>
      <c r="AK33" s="23"/>
      <c r="AL33" s="24"/>
      <c r="AM33" s="24"/>
      <c r="AN33" s="24"/>
      <c r="AO33" s="23"/>
      <c r="AP33" s="26"/>
      <c r="AQ33" s="26"/>
      <c r="AS33" s="27" t="e">
        <f t="shared" si="10"/>
        <v>#DIV/0!</v>
      </c>
      <c r="AT33" s="27"/>
      <c r="AV33" s="28"/>
      <c r="AW33" s="28"/>
      <c r="AX33" s="28"/>
      <c r="AY33" s="29"/>
      <c r="BA33" s="28"/>
      <c r="BB33" s="28"/>
      <c r="BC33" s="28"/>
      <c r="BD33" s="29"/>
    </row>
    <row r="34" spans="1:56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3"/>
      <c r="X34" s="56"/>
      <c r="Y34" s="56"/>
      <c r="AA34" s="48" t="str">
        <f t="shared" si="5"/>
        <v>·</v>
      </c>
      <c r="AB34" s="49" t="str">
        <f t="shared" si="6"/>
        <v>·</v>
      </c>
      <c r="AC34" s="49" t="str">
        <f t="shared" si="7"/>
        <v>·</v>
      </c>
      <c r="AD34" s="49" t="str">
        <f t="shared" si="8"/>
        <v>·</v>
      </c>
      <c r="AE34" s="50"/>
      <c r="AF34" s="49" t="str">
        <f t="shared" si="9"/>
        <v>·</v>
      </c>
      <c r="AG34" s="51"/>
      <c r="AH34" s="52"/>
      <c r="AI34" s="52"/>
      <c r="AJ34" s="52"/>
      <c r="AK34" s="53"/>
      <c r="AL34" s="54"/>
      <c r="AM34" s="54"/>
      <c r="AN34" s="54"/>
      <c r="AO34" s="53"/>
      <c r="AP34" s="56"/>
      <c r="AQ34" s="56"/>
      <c r="AS34" s="57" t="e">
        <f t="shared" si="10"/>
        <v>#DIV/0!</v>
      </c>
      <c r="AT34" s="57"/>
      <c r="AV34" s="58"/>
      <c r="AW34" s="58"/>
      <c r="AX34" s="58"/>
      <c r="AY34" s="59"/>
      <c r="BA34" s="58"/>
      <c r="BB34" s="58"/>
      <c r="BC34" s="58"/>
      <c r="BD34" s="59"/>
    </row>
    <row r="35" spans="1:56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4"/>
      <c r="U35" s="24"/>
      <c r="V35" s="24"/>
      <c r="W35" s="23"/>
      <c r="X35" s="26"/>
      <c r="Y35" s="26"/>
      <c r="AA35" s="18" t="str">
        <f t="shared" si="5"/>
        <v>·</v>
      </c>
      <c r="AB35" s="19" t="str">
        <f t="shared" si="6"/>
        <v>·</v>
      </c>
      <c r="AC35" s="19" t="str">
        <f t="shared" si="7"/>
        <v>·</v>
      </c>
      <c r="AD35" s="19" t="str">
        <f t="shared" si="8"/>
        <v>·</v>
      </c>
      <c r="AE35" s="20"/>
      <c r="AF35" s="19" t="str">
        <f t="shared" si="9"/>
        <v>·</v>
      </c>
      <c r="AG35" s="21"/>
      <c r="AH35" s="22"/>
      <c r="AI35" s="22"/>
      <c r="AJ35" s="22"/>
      <c r="AK35" s="23"/>
      <c r="AL35" s="24"/>
      <c r="AM35" s="24"/>
      <c r="AN35" s="24"/>
      <c r="AO35" s="23"/>
      <c r="AP35" s="26"/>
      <c r="AQ35" s="26"/>
      <c r="AS35" s="27" t="e">
        <f t="shared" si="10"/>
        <v>#DIV/0!</v>
      </c>
      <c r="AT35" s="27" t="e">
        <f t="array" ref="AT35">AVERAGE(AI35:AI40/AH35:AH40) - AVERAGE(Q35:Q40/P35:P40)</f>
        <v>#DIV/0!</v>
      </c>
      <c r="AV35" s="28" t="str">
        <f>IF( OR(ISBLANK(R35:R40),ISBLANK(AJ35:AJ40), ISBLANK(T35:T40),ISBLANK(AL35:AL40)), "·", bdRateExtend( R35:R40,T35:T40, AJ35:AJ40,AL35:AL40))</f>
        <v>·</v>
      </c>
      <c r="AW35" s="28" t="str">
        <f>IF( OR(ISBLANK(R35:R40),ISBLANK(AJ35:AJ40), ISBLANK(U35:U40),ISBLANK(AM35:AM40)), "·", bdRateExtend( R35:R40,U35:U40, AJ35:AJ40,AM35:AM40))</f>
        <v>·</v>
      </c>
      <c r="AX35" s="28" t="str">
        <f>IF( OR(ISBLANK(R35:R40),ISBLANK(AJ35:AJ40), ISBLANK(V35:V40),ISBLANK(AN35:AN40)), "·", bdRateExtend( R35:R40,V35:V40, AJ35:AJ40,AN35:AN40))</f>
        <v>·</v>
      </c>
      <c r="AY35" s="29"/>
      <c r="BA35" s="28" t="str">
        <f>IF( OR(ISBLANK(P35:P40),ISBLANK(AH35:AH40), ISBLANK(T35:T40),ISBLANK(AL35:AL40)), "·", bdRateExtend( P35:P40,T35:T40, AH35:AH40,AL35:AL40))</f>
        <v>·</v>
      </c>
      <c r="BB35" s="28" t="str">
        <f>IF( OR(ISBLANK(P35:P40),ISBLANK(AH35:AH40), ISBLANK(U35:U40),ISBLANK(AM35:AM40)), "·", bdRateExtend( P35:P40,U35:U40, AH35:AH40,AM35:AM40))</f>
        <v>·</v>
      </c>
      <c r="BC35" s="28" t="str">
        <f>IF( OR(ISBLANK(P35:P40),ISBLANK(AH35:AH40), ISBLANK(V35:V40),ISBLANK(AN35:AN40)), "·", bdRateExtend( P35:P40,V35:V40, AH35:AH40,AN35:AN40))</f>
        <v>·</v>
      </c>
      <c r="BD35" s="29"/>
    </row>
    <row r="36" spans="1:56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39"/>
      <c r="U36" s="39"/>
      <c r="V36" s="39"/>
      <c r="W36" s="38"/>
      <c r="X36" s="41"/>
      <c r="Y36" s="41"/>
      <c r="AA36" s="33" t="str">
        <f t="shared" si="5"/>
        <v>·</v>
      </c>
      <c r="AB36" s="34" t="str">
        <f t="shared" si="6"/>
        <v>·</v>
      </c>
      <c r="AC36" s="34" t="str">
        <f t="shared" si="7"/>
        <v>·</v>
      </c>
      <c r="AD36" s="34" t="str">
        <f t="shared" si="8"/>
        <v>·</v>
      </c>
      <c r="AE36" s="35"/>
      <c r="AF36" s="34" t="str">
        <f t="shared" si="9"/>
        <v>·</v>
      </c>
      <c r="AG36" s="36"/>
      <c r="AH36" s="37"/>
      <c r="AI36" s="37"/>
      <c r="AJ36" s="37"/>
      <c r="AK36" s="38"/>
      <c r="AL36" s="39"/>
      <c r="AM36" s="39"/>
      <c r="AN36" s="39"/>
      <c r="AO36" s="38"/>
      <c r="AP36" s="41"/>
      <c r="AQ36" s="41"/>
      <c r="AS36" s="42" t="e">
        <f t="shared" si="10"/>
        <v>#DIV/0!</v>
      </c>
      <c r="AT36" s="42"/>
      <c r="AV36" s="43"/>
      <c r="AW36" s="43"/>
      <c r="AX36" s="43"/>
      <c r="AY36" s="44"/>
      <c r="BA36" s="43"/>
      <c r="BB36" s="43"/>
      <c r="BC36" s="43"/>
      <c r="BD36" s="44"/>
    </row>
    <row r="37" spans="1:56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 t="str">
        <f t="shared" si="1"/>
        <v>·</v>
      </c>
      <c r="K37" s="19" t="str">
        <f t="shared" si="2"/>
        <v>·</v>
      </c>
      <c r="L37" s="19" t="str">
        <f t="shared" si="3"/>
        <v>·</v>
      </c>
      <c r="M37" s="20"/>
      <c r="N37" s="19" t="str">
        <f t="shared" si="4"/>
        <v>·</v>
      </c>
      <c r="O37" s="21"/>
      <c r="P37" s="22"/>
      <c r="Q37" s="22"/>
      <c r="R37" s="22"/>
      <c r="S37" s="23"/>
      <c r="T37" s="24"/>
      <c r="U37" s="24"/>
      <c r="V37" s="24"/>
      <c r="W37" s="23"/>
      <c r="X37" s="26"/>
      <c r="Y37" s="26"/>
      <c r="AA37" s="18" t="str">
        <f t="shared" si="5"/>
        <v>·</v>
      </c>
      <c r="AB37" s="19" t="str">
        <f t="shared" si="6"/>
        <v>·</v>
      </c>
      <c r="AC37" s="19" t="str">
        <f t="shared" si="7"/>
        <v>·</v>
      </c>
      <c r="AD37" s="19" t="str">
        <f t="shared" si="8"/>
        <v>·</v>
      </c>
      <c r="AE37" s="20"/>
      <c r="AF37" s="19" t="str">
        <f t="shared" si="9"/>
        <v>·</v>
      </c>
      <c r="AG37" s="21"/>
      <c r="AH37" s="22"/>
      <c r="AI37" s="22"/>
      <c r="AJ37" s="22"/>
      <c r="AK37" s="23"/>
      <c r="AL37" s="24"/>
      <c r="AM37" s="24"/>
      <c r="AN37" s="24"/>
      <c r="AO37" s="23"/>
      <c r="AP37" s="26"/>
      <c r="AQ37" s="26"/>
      <c r="AS37" s="27" t="e">
        <f t="shared" si="10"/>
        <v>#DIV/0!</v>
      </c>
      <c r="AT37" s="27"/>
      <c r="AV37" s="28"/>
      <c r="AW37" s="28"/>
      <c r="AX37" s="28"/>
      <c r="AY37" s="29"/>
      <c r="BA37" s="28"/>
      <c r="BB37" s="28"/>
      <c r="BC37" s="28"/>
      <c r="BD37" s="29"/>
    </row>
    <row r="38" spans="1:56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 t="str">
        <f t="shared" si="1"/>
        <v>·</v>
      </c>
      <c r="K38" s="34" t="str">
        <f t="shared" si="2"/>
        <v>·</v>
      </c>
      <c r="L38" s="34" t="str">
        <f t="shared" si="3"/>
        <v>·</v>
      </c>
      <c r="M38" s="35"/>
      <c r="N38" s="34" t="str">
        <f t="shared" si="4"/>
        <v>·</v>
      </c>
      <c r="O38" s="36"/>
      <c r="P38" s="37"/>
      <c r="Q38" s="37"/>
      <c r="R38" s="37"/>
      <c r="S38" s="38"/>
      <c r="T38" s="39"/>
      <c r="U38" s="39"/>
      <c r="V38" s="39"/>
      <c r="W38" s="38"/>
      <c r="X38" s="41"/>
      <c r="Y38" s="41"/>
      <c r="AA38" s="33" t="str">
        <f t="shared" si="5"/>
        <v>·</v>
      </c>
      <c r="AB38" s="34" t="str">
        <f t="shared" si="6"/>
        <v>·</v>
      </c>
      <c r="AC38" s="34" t="str">
        <f t="shared" si="7"/>
        <v>·</v>
      </c>
      <c r="AD38" s="34" t="str">
        <f t="shared" si="8"/>
        <v>·</v>
      </c>
      <c r="AE38" s="35"/>
      <c r="AF38" s="34" t="str">
        <f t="shared" si="9"/>
        <v>·</v>
      </c>
      <c r="AG38" s="36"/>
      <c r="AH38" s="37"/>
      <c r="AI38" s="37"/>
      <c r="AJ38" s="37"/>
      <c r="AK38" s="38"/>
      <c r="AL38" s="39"/>
      <c r="AM38" s="39"/>
      <c r="AN38" s="39"/>
      <c r="AO38" s="38"/>
      <c r="AP38" s="41"/>
      <c r="AQ38" s="41"/>
      <c r="AS38" s="42" t="e">
        <f t="shared" si="10"/>
        <v>#DIV/0!</v>
      </c>
      <c r="AT38" s="42"/>
      <c r="AV38" s="43"/>
      <c r="AW38" s="43"/>
      <c r="AX38" s="43"/>
      <c r="AY38" s="44"/>
      <c r="BA38" s="43"/>
      <c r="BB38" s="43"/>
      <c r="BC38" s="43"/>
      <c r="BD38" s="44"/>
    </row>
    <row r="39" spans="1:56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3"/>
      <c r="X39" s="26"/>
      <c r="Y39" s="26"/>
      <c r="AA39" s="18" t="str">
        <f t="shared" si="5"/>
        <v>·</v>
      </c>
      <c r="AB39" s="19" t="str">
        <f t="shared" si="6"/>
        <v>·</v>
      </c>
      <c r="AC39" s="19" t="str">
        <f t="shared" si="7"/>
        <v>·</v>
      </c>
      <c r="AD39" s="19" t="str">
        <f t="shared" si="8"/>
        <v>·</v>
      </c>
      <c r="AE39" s="20"/>
      <c r="AF39" s="19" t="str">
        <f t="shared" si="9"/>
        <v>·</v>
      </c>
      <c r="AG39" s="21"/>
      <c r="AH39" s="22"/>
      <c r="AI39" s="22"/>
      <c r="AJ39" s="22"/>
      <c r="AK39" s="23"/>
      <c r="AL39" s="24"/>
      <c r="AM39" s="24"/>
      <c r="AN39" s="24"/>
      <c r="AO39" s="23"/>
      <c r="AP39" s="26"/>
      <c r="AQ39" s="26"/>
      <c r="AS39" s="27" t="e">
        <f t="shared" si="10"/>
        <v>#DIV/0!</v>
      </c>
      <c r="AT39" s="27"/>
      <c r="AV39" s="28"/>
      <c r="AW39" s="28"/>
      <c r="AX39" s="28"/>
      <c r="AY39" s="29"/>
      <c r="BA39" s="28"/>
      <c r="BB39" s="28"/>
      <c r="BC39" s="28"/>
      <c r="BD39" s="29"/>
    </row>
    <row r="40" spans="1:56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3"/>
      <c r="X40" s="56"/>
      <c r="Y40" s="56"/>
      <c r="AA40" s="48" t="str">
        <f t="shared" si="5"/>
        <v>·</v>
      </c>
      <c r="AB40" s="49" t="str">
        <f t="shared" si="6"/>
        <v>·</v>
      </c>
      <c r="AC40" s="49" t="str">
        <f t="shared" si="7"/>
        <v>·</v>
      </c>
      <c r="AD40" s="49" t="str">
        <f t="shared" si="8"/>
        <v>·</v>
      </c>
      <c r="AE40" s="50"/>
      <c r="AF40" s="49" t="str">
        <f t="shared" si="9"/>
        <v>·</v>
      </c>
      <c r="AG40" s="51"/>
      <c r="AH40" s="52"/>
      <c r="AI40" s="52"/>
      <c r="AJ40" s="52"/>
      <c r="AK40" s="53"/>
      <c r="AL40" s="54"/>
      <c r="AM40" s="54"/>
      <c r="AN40" s="54"/>
      <c r="AO40" s="53"/>
      <c r="AP40" s="56"/>
      <c r="AQ40" s="56"/>
      <c r="AS40" s="57" t="e">
        <f t="shared" si="10"/>
        <v>#DIV/0!</v>
      </c>
      <c r="AT40" s="57"/>
      <c r="AV40" s="58"/>
      <c r="AW40" s="58"/>
      <c r="AX40" s="58"/>
      <c r="AY40" s="59"/>
      <c r="BA40" s="58"/>
      <c r="BB40" s="58"/>
      <c r="BC40" s="58"/>
      <c r="BD40" s="59"/>
    </row>
    <row r="41" spans="1:56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 t="str">
        <f t="shared" si="1"/>
        <v>·</v>
      </c>
      <c r="K41" s="19" t="str">
        <f t="shared" si="2"/>
        <v>·</v>
      </c>
      <c r="L41" s="19" t="str">
        <f t="shared" si="3"/>
        <v>·</v>
      </c>
      <c r="M41" s="20"/>
      <c r="N41" s="19" t="str">
        <f t="shared" si="4"/>
        <v>·</v>
      </c>
      <c r="O41" s="21"/>
      <c r="P41" s="22"/>
      <c r="Q41" s="22"/>
      <c r="R41" s="22"/>
      <c r="S41" s="23"/>
      <c r="T41" s="24"/>
      <c r="U41" s="24"/>
      <c r="V41" s="24"/>
      <c r="W41" s="23"/>
      <c r="X41" s="26"/>
      <c r="Y41" s="26"/>
      <c r="AA41" s="18" t="str">
        <f t="shared" si="5"/>
        <v>·</v>
      </c>
      <c r="AB41" s="19" t="str">
        <f t="shared" si="6"/>
        <v>·</v>
      </c>
      <c r="AC41" s="19" t="str">
        <f t="shared" si="7"/>
        <v>·</v>
      </c>
      <c r="AD41" s="19" t="str">
        <f t="shared" si="8"/>
        <v>·</v>
      </c>
      <c r="AE41" s="20"/>
      <c r="AF41" s="19" t="str">
        <f t="shared" si="9"/>
        <v>·</v>
      </c>
      <c r="AG41" s="21"/>
      <c r="AH41" s="22"/>
      <c r="AI41" s="22"/>
      <c r="AJ41" s="22"/>
      <c r="AK41" s="23"/>
      <c r="AL41" s="24"/>
      <c r="AM41" s="24"/>
      <c r="AN41" s="24"/>
      <c r="AO41" s="23"/>
      <c r="AP41" s="26"/>
      <c r="AQ41" s="26"/>
      <c r="AS41" s="27" t="e">
        <f t="shared" si="10"/>
        <v>#DIV/0!</v>
      </c>
      <c r="AT41" s="27" t="e">
        <f t="array" ref="AT41">AVERAGE(AI41:AI46/AH41:AH46) - AVERAGE(Q41:Q46/P41:P46)</f>
        <v>#DIV/0!</v>
      </c>
      <c r="AV41" s="28" t="str">
        <f>IF( OR(ISBLANK(R41:R46),ISBLANK(AJ41:AJ46), ISBLANK(T41:T46),ISBLANK(AL41:AL46)), "·", bdRateExtend( R41:R46,T41:T46, AJ41:AJ46,AL41:AL46))</f>
        <v>·</v>
      </c>
      <c r="AW41" s="28" t="str">
        <f>IF( OR(ISBLANK(R41:R46),ISBLANK(AJ41:AJ46), ISBLANK(U41:U46),ISBLANK(AM41:AM46)), "·", bdRateExtend( R41:R46,U41:U46, AJ41:AJ46,AM41:AM46))</f>
        <v>·</v>
      </c>
      <c r="AX41" s="28" t="str">
        <f>IF( OR(ISBLANK(R41:R46),ISBLANK(AJ41:AJ46), ISBLANK(V41:V46),ISBLANK(AN41:AN46)), "·", bdRateExtend( R41:R46,V41:V46, AJ41:AJ46,AN41:AN46))</f>
        <v>·</v>
      </c>
      <c r="AY41" s="29"/>
      <c r="BA41" s="28" t="str">
        <f>IF( OR(ISBLANK(P41:P46),ISBLANK(AH41:AH46), ISBLANK(T41:T46),ISBLANK(AL41:AL46)), "·", bdRateExtend( P41:P46,T41:T46, AH41:AH46,AL41:AL46))</f>
        <v>·</v>
      </c>
      <c r="BB41" s="28" t="str">
        <f>IF( OR(ISBLANK(P41:P46),ISBLANK(AH41:AH46), ISBLANK(U41:U46),ISBLANK(AM41:AM46)), "·", bdRateExtend( P41:P46,U41:U46, AH41:AH46,AM41:AM46))</f>
        <v>·</v>
      </c>
      <c r="BC41" s="28" t="str">
        <f>IF( OR(ISBLANK(P41:P46),ISBLANK(AH41:AH46), ISBLANK(V41:V46),ISBLANK(AN41:AN46)), "·", bdRateExtend( P41:P46,V41:V46, AH41:AH46,AN41:AN46))</f>
        <v>·</v>
      </c>
      <c r="BD41" s="29"/>
    </row>
    <row r="42" spans="1:56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 t="str">
        <f t="shared" si="1"/>
        <v>·</v>
      </c>
      <c r="K42" s="34" t="str">
        <f t="shared" si="2"/>
        <v>·</v>
      </c>
      <c r="L42" s="34" t="str">
        <f t="shared" si="3"/>
        <v>·</v>
      </c>
      <c r="M42" s="35"/>
      <c r="N42" s="34" t="str">
        <f t="shared" si="4"/>
        <v>·</v>
      </c>
      <c r="O42" s="36"/>
      <c r="P42" s="37"/>
      <c r="Q42" s="37"/>
      <c r="R42" s="37"/>
      <c r="S42" s="38"/>
      <c r="T42" s="39"/>
      <c r="U42" s="39"/>
      <c r="V42" s="39"/>
      <c r="W42" s="38"/>
      <c r="X42" s="41"/>
      <c r="Y42" s="41"/>
      <c r="AA42" s="33" t="str">
        <f t="shared" si="5"/>
        <v>·</v>
      </c>
      <c r="AB42" s="34" t="str">
        <f t="shared" si="6"/>
        <v>·</v>
      </c>
      <c r="AC42" s="34" t="str">
        <f t="shared" si="7"/>
        <v>·</v>
      </c>
      <c r="AD42" s="34" t="str">
        <f t="shared" si="8"/>
        <v>·</v>
      </c>
      <c r="AE42" s="35"/>
      <c r="AF42" s="34" t="str">
        <f t="shared" si="9"/>
        <v>·</v>
      </c>
      <c r="AG42" s="36"/>
      <c r="AH42" s="37"/>
      <c r="AI42" s="37"/>
      <c r="AJ42" s="37"/>
      <c r="AK42" s="38"/>
      <c r="AL42" s="39"/>
      <c r="AM42" s="39"/>
      <c r="AN42" s="39"/>
      <c r="AO42" s="38"/>
      <c r="AP42" s="41"/>
      <c r="AQ42" s="41"/>
      <c r="AS42" s="42" t="e">
        <f t="shared" si="10"/>
        <v>#DIV/0!</v>
      </c>
      <c r="AT42" s="42"/>
      <c r="AV42" s="43"/>
      <c r="AW42" s="43"/>
      <c r="AX42" s="43"/>
      <c r="AY42" s="44"/>
      <c r="BA42" s="43"/>
      <c r="BB42" s="43"/>
      <c r="BC42" s="43"/>
      <c r="BD42" s="44"/>
    </row>
    <row r="43" spans="1:56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 t="str">
        <f t="shared" si="1"/>
        <v>·</v>
      </c>
      <c r="K43" s="19" t="str">
        <f t="shared" si="2"/>
        <v>·</v>
      </c>
      <c r="L43" s="19" t="str">
        <f t="shared" si="3"/>
        <v>·</v>
      </c>
      <c r="M43" s="20"/>
      <c r="N43" s="19" t="str">
        <f t="shared" si="4"/>
        <v>·</v>
      </c>
      <c r="O43" s="21"/>
      <c r="P43" s="22"/>
      <c r="Q43" s="22"/>
      <c r="R43" s="22"/>
      <c r="S43" s="23"/>
      <c r="T43" s="24"/>
      <c r="U43" s="24"/>
      <c r="V43" s="24"/>
      <c r="W43" s="23"/>
      <c r="X43" s="26"/>
      <c r="Y43" s="26"/>
      <c r="AA43" s="18" t="str">
        <f t="shared" si="5"/>
        <v>·</v>
      </c>
      <c r="AB43" s="19" t="str">
        <f t="shared" si="6"/>
        <v>·</v>
      </c>
      <c r="AC43" s="19" t="str">
        <f t="shared" si="7"/>
        <v>·</v>
      </c>
      <c r="AD43" s="19" t="str">
        <f t="shared" si="8"/>
        <v>·</v>
      </c>
      <c r="AE43" s="20"/>
      <c r="AF43" s="19" t="str">
        <f t="shared" si="9"/>
        <v>·</v>
      </c>
      <c r="AG43" s="21"/>
      <c r="AH43" s="22"/>
      <c r="AI43" s="22"/>
      <c r="AJ43" s="22"/>
      <c r="AK43" s="23"/>
      <c r="AL43" s="24"/>
      <c r="AM43" s="24"/>
      <c r="AN43" s="24"/>
      <c r="AO43" s="23"/>
      <c r="AP43" s="26"/>
      <c r="AQ43" s="26"/>
      <c r="AS43" s="27" t="e">
        <f t="shared" si="10"/>
        <v>#DIV/0!</v>
      </c>
      <c r="AT43" s="27"/>
      <c r="AV43" s="28"/>
      <c r="AW43" s="28"/>
      <c r="AX43" s="28"/>
      <c r="AY43" s="29"/>
      <c r="BA43" s="28"/>
      <c r="BB43" s="28"/>
      <c r="BC43" s="28"/>
      <c r="BD43" s="29"/>
    </row>
    <row r="44" spans="1:56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 t="str">
        <f t="shared" si="1"/>
        <v>·</v>
      </c>
      <c r="K44" s="34" t="str">
        <f t="shared" si="2"/>
        <v>·</v>
      </c>
      <c r="L44" s="34" t="str">
        <f t="shared" si="3"/>
        <v>·</v>
      </c>
      <c r="M44" s="35"/>
      <c r="N44" s="34" t="str">
        <f t="shared" si="4"/>
        <v>·</v>
      </c>
      <c r="O44" s="36"/>
      <c r="P44" s="37"/>
      <c r="Q44" s="37"/>
      <c r="R44" s="37"/>
      <c r="S44" s="38"/>
      <c r="T44" s="39"/>
      <c r="U44" s="39"/>
      <c r="V44" s="39"/>
      <c r="W44" s="38"/>
      <c r="X44" s="41"/>
      <c r="Y44" s="41"/>
      <c r="AA44" s="33" t="str">
        <f t="shared" si="5"/>
        <v>·</v>
      </c>
      <c r="AB44" s="34" t="str">
        <f t="shared" si="6"/>
        <v>·</v>
      </c>
      <c r="AC44" s="34" t="str">
        <f t="shared" si="7"/>
        <v>·</v>
      </c>
      <c r="AD44" s="34" t="str">
        <f t="shared" si="8"/>
        <v>·</v>
      </c>
      <c r="AE44" s="35"/>
      <c r="AF44" s="34" t="str">
        <f t="shared" si="9"/>
        <v>·</v>
      </c>
      <c r="AG44" s="36"/>
      <c r="AH44" s="37"/>
      <c r="AI44" s="37"/>
      <c r="AJ44" s="37"/>
      <c r="AK44" s="38"/>
      <c r="AL44" s="39"/>
      <c r="AM44" s="39"/>
      <c r="AN44" s="39"/>
      <c r="AO44" s="38"/>
      <c r="AP44" s="41"/>
      <c r="AQ44" s="41"/>
      <c r="AS44" s="42" t="e">
        <f t="shared" si="10"/>
        <v>#DIV/0!</v>
      </c>
      <c r="AT44" s="42"/>
      <c r="AV44" s="43"/>
      <c r="AW44" s="43"/>
      <c r="AX44" s="43"/>
      <c r="AY44" s="44"/>
      <c r="BA44" s="43"/>
      <c r="BB44" s="43"/>
      <c r="BC44" s="43"/>
      <c r="BD44" s="44"/>
    </row>
    <row r="45" spans="1:56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3"/>
      <c r="X45" s="26"/>
      <c r="Y45" s="26"/>
      <c r="AA45" s="18" t="str">
        <f t="shared" si="5"/>
        <v>·</v>
      </c>
      <c r="AB45" s="19" t="str">
        <f t="shared" si="6"/>
        <v>·</v>
      </c>
      <c r="AC45" s="19" t="str">
        <f t="shared" si="7"/>
        <v>·</v>
      </c>
      <c r="AD45" s="19" t="str">
        <f t="shared" si="8"/>
        <v>·</v>
      </c>
      <c r="AE45" s="20"/>
      <c r="AF45" s="19" t="str">
        <f t="shared" si="9"/>
        <v>·</v>
      </c>
      <c r="AG45" s="21"/>
      <c r="AH45" s="22"/>
      <c r="AI45" s="22"/>
      <c r="AJ45" s="22"/>
      <c r="AK45" s="23"/>
      <c r="AL45" s="24"/>
      <c r="AM45" s="24"/>
      <c r="AN45" s="24"/>
      <c r="AO45" s="23"/>
      <c r="AP45" s="26"/>
      <c r="AQ45" s="26"/>
      <c r="AS45" s="27" t="e">
        <f t="shared" si="10"/>
        <v>#DIV/0!</v>
      </c>
      <c r="AT45" s="27"/>
      <c r="AV45" s="28"/>
      <c r="AW45" s="28"/>
      <c r="AX45" s="28"/>
      <c r="AY45" s="29"/>
      <c r="BA45" s="28"/>
      <c r="BB45" s="28"/>
      <c r="BC45" s="28"/>
      <c r="BD45" s="29"/>
    </row>
    <row r="46" spans="1:56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3"/>
      <c r="X46" s="56"/>
      <c r="Y46" s="56"/>
      <c r="AA46" s="48" t="str">
        <f t="shared" si="5"/>
        <v>·</v>
      </c>
      <c r="AB46" s="49" t="str">
        <f t="shared" si="6"/>
        <v>·</v>
      </c>
      <c r="AC46" s="49" t="str">
        <f t="shared" si="7"/>
        <v>·</v>
      </c>
      <c r="AD46" s="49" t="str">
        <f t="shared" si="8"/>
        <v>·</v>
      </c>
      <c r="AE46" s="50"/>
      <c r="AF46" s="49" t="str">
        <f t="shared" si="9"/>
        <v>·</v>
      </c>
      <c r="AG46" s="51"/>
      <c r="AH46" s="52"/>
      <c r="AI46" s="52"/>
      <c r="AJ46" s="52"/>
      <c r="AK46" s="53"/>
      <c r="AL46" s="54"/>
      <c r="AM46" s="54"/>
      <c r="AN46" s="54"/>
      <c r="AO46" s="53"/>
      <c r="AP46" s="56"/>
      <c r="AQ46" s="56"/>
      <c r="AS46" s="57" t="e">
        <f t="shared" si="10"/>
        <v>#DIV/0!</v>
      </c>
      <c r="AT46" s="57"/>
      <c r="AV46" s="58"/>
      <c r="AW46" s="58"/>
      <c r="AX46" s="58"/>
      <c r="AY46" s="59"/>
      <c r="BA46" s="58"/>
      <c r="BB46" s="58"/>
      <c r="BC46" s="58"/>
      <c r="BD46" s="59"/>
    </row>
    <row r="47" spans="1:56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 t="str">
        <f t="shared" si="1"/>
        <v>·</v>
      </c>
      <c r="K47" s="19" t="str">
        <f t="shared" si="2"/>
        <v>·</v>
      </c>
      <c r="L47" s="19" t="str">
        <f t="shared" si="3"/>
        <v>·</v>
      </c>
      <c r="M47" s="20"/>
      <c r="N47" s="19" t="str">
        <f t="shared" si="4"/>
        <v>·</v>
      </c>
      <c r="O47" s="21"/>
      <c r="P47" s="22"/>
      <c r="Q47" s="22"/>
      <c r="R47" s="22"/>
      <c r="S47" s="23"/>
      <c r="T47" s="24"/>
      <c r="U47" s="24"/>
      <c r="V47" s="24"/>
      <c r="W47" s="23"/>
      <c r="X47" s="26"/>
      <c r="Y47" s="26"/>
      <c r="AA47" s="18" t="str">
        <f t="shared" si="5"/>
        <v>·</v>
      </c>
      <c r="AB47" s="19" t="str">
        <f t="shared" si="6"/>
        <v>·</v>
      </c>
      <c r="AC47" s="19" t="str">
        <f t="shared" si="7"/>
        <v>·</v>
      </c>
      <c r="AD47" s="19" t="str">
        <f t="shared" si="8"/>
        <v>·</v>
      </c>
      <c r="AE47" s="20"/>
      <c r="AF47" s="19" t="str">
        <f t="shared" si="9"/>
        <v>·</v>
      </c>
      <c r="AG47" s="21"/>
      <c r="AH47" s="22"/>
      <c r="AI47" s="22"/>
      <c r="AJ47" s="22"/>
      <c r="AK47" s="23"/>
      <c r="AL47" s="24"/>
      <c r="AM47" s="24"/>
      <c r="AN47" s="24"/>
      <c r="AO47" s="23"/>
      <c r="AP47" s="26"/>
      <c r="AQ47" s="26"/>
      <c r="AS47" s="27" t="e">
        <f t="shared" si="10"/>
        <v>#DIV/0!</v>
      </c>
      <c r="AT47" s="27" t="e">
        <f t="array" ref="AT47">AVERAGE(AI47:AI52/AH47:AH52) - AVERAGE(Q47:Q52/P47:P52)</f>
        <v>#DIV/0!</v>
      </c>
      <c r="AV47" s="28" t="str">
        <f>IF( OR(ISBLANK(R47:R52),ISBLANK(AJ47:AJ52), ISBLANK(T47:T52),ISBLANK(AL47:AL52)), "·", bdRateExtend( R47:R52,T47:T52, AJ47:AJ52,AL47:AL52))</f>
        <v>·</v>
      </c>
      <c r="AW47" s="28" t="str">
        <f>IF( OR(ISBLANK(R47:R52),ISBLANK(AJ47:AJ52), ISBLANK(U47:U52),ISBLANK(AM47:AM52)), "·", bdRateExtend( R47:R52,U47:U52, AJ47:AJ52,AM47:AM52))</f>
        <v>·</v>
      </c>
      <c r="AX47" s="28" t="str">
        <f>IF( OR(ISBLANK(R47:R52),ISBLANK(AJ47:AJ52), ISBLANK(V47:V52),ISBLANK(AN47:AN52)), "·", bdRateExtend( R47:R52,V47:V52, AJ47:AJ52,AN47:AN52))</f>
        <v>·</v>
      </c>
      <c r="AY47" s="29"/>
      <c r="BA47" s="28" t="str">
        <f>IF( OR(ISBLANK(P47:P52),ISBLANK(AH47:AH52), ISBLANK(T47:T52),ISBLANK(AL47:AL52)), "·", bdRateExtend( P47:P52,T47:T52, AH47:AH52,AL47:AL52))</f>
        <v>·</v>
      </c>
      <c r="BB47" s="28" t="str">
        <f>IF( OR(ISBLANK(P47:P52),ISBLANK(AH47:AH52), ISBLANK(U47:U52),ISBLANK(AM47:AM52)), "·", bdRateExtend( P47:P52,U47:U52, AH47:AH52,AM47:AM52))</f>
        <v>·</v>
      </c>
      <c r="BC47" s="28" t="str">
        <f>IF( OR(ISBLANK(P47:P52),ISBLANK(AH47:AH52), ISBLANK(V47:V52),ISBLANK(AN47:AN52)), "·", bdRateExtend( P47:P52,V47:V52, AH47:AH52,AN47:AN52))</f>
        <v>·</v>
      </c>
      <c r="BD47" s="29"/>
    </row>
    <row r="48" spans="1:56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 t="str">
        <f t="shared" si="1"/>
        <v>·</v>
      </c>
      <c r="K48" s="34" t="str">
        <f t="shared" si="2"/>
        <v>·</v>
      </c>
      <c r="L48" s="34" t="str">
        <f t="shared" si="3"/>
        <v>·</v>
      </c>
      <c r="M48" s="35"/>
      <c r="N48" s="34" t="str">
        <f t="shared" si="4"/>
        <v>·</v>
      </c>
      <c r="O48" s="36"/>
      <c r="P48" s="37"/>
      <c r="Q48" s="37"/>
      <c r="R48" s="37"/>
      <c r="S48" s="38"/>
      <c r="T48" s="39"/>
      <c r="U48" s="39"/>
      <c r="V48" s="39"/>
      <c r="W48" s="38"/>
      <c r="X48" s="41"/>
      <c r="Y48" s="41"/>
      <c r="AA48" s="33" t="str">
        <f t="shared" si="5"/>
        <v>·</v>
      </c>
      <c r="AB48" s="34" t="str">
        <f t="shared" si="6"/>
        <v>·</v>
      </c>
      <c r="AC48" s="34" t="str">
        <f t="shared" si="7"/>
        <v>·</v>
      </c>
      <c r="AD48" s="34" t="str">
        <f t="shared" si="8"/>
        <v>·</v>
      </c>
      <c r="AE48" s="35"/>
      <c r="AF48" s="34" t="str">
        <f t="shared" si="9"/>
        <v>·</v>
      </c>
      <c r="AG48" s="36"/>
      <c r="AH48" s="37"/>
      <c r="AI48" s="37"/>
      <c r="AJ48" s="37"/>
      <c r="AK48" s="38"/>
      <c r="AL48" s="39"/>
      <c r="AM48" s="39"/>
      <c r="AN48" s="39"/>
      <c r="AO48" s="38"/>
      <c r="AP48" s="41"/>
      <c r="AQ48" s="41"/>
      <c r="AS48" s="42" t="e">
        <f t="shared" si="10"/>
        <v>#DIV/0!</v>
      </c>
      <c r="AT48" s="42"/>
      <c r="AV48" s="43"/>
      <c r="AW48" s="43"/>
      <c r="AX48" s="43"/>
      <c r="AY48" s="44"/>
      <c r="BA48" s="43"/>
      <c r="BB48" s="43"/>
      <c r="BC48" s="43"/>
      <c r="BD48" s="44"/>
    </row>
    <row r="49" spans="1:56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 t="str">
        <f t="shared" si="1"/>
        <v>·</v>
      </c>
      <c r="K49" s="19" t="str">
        <f t="shared" si="2"/>
        <v>·</v>
      </c>
      <c r="L49" s="19" t="str">
        <f t="shared" si="3"/>
        <v>·</v>
      </c>
      <c r="M49" s="20"/>
      <c r="N49" s="19" t="str">
        <f t="shared" si="4"/>
        <v>·</v>
      </c>
      <c r="O49" s="21"/>
      <c r="P49" s="22"/>
      <c r="Q49" s="22"/>
      <c r="R49" s="22"/>
      <c r="S49" s="23"/>
      <c r="T49" s="24"/>
      <c r="U49" s="24"/>
      <c r="V49" s="24"/>
      <c r="W49" s="23"/>
      <c r="X49" s="26"/>
      <c r="Y49" s="26"/>
      <c r="AA49" s="18" t="str">
        <f t="shared" si="5"/>
        <v>·</v>
      </c>
      <c r="AB49" s="19" t="str">
        <f t="shared" si="6"/>
        <v>·</v>
      </c>
      <c r="AC49" s="19" t="str">
        <f t="shared" si="7"/>
        <v>·</v>
      </c>
      <c r="AD49" s="19" t="str">
        <f t="shared" si="8"/>
        <v>·</v>
      </c>
      <c r="AE49" s="20"/>
      <c r="AF49" s="19" t="str">
        <f t="shared" si="9"/>
        <v>·</v>
      </c>
      <c r="AG49" s="21"/>
      <c r="AH49" s="22"/>
      <c r="AI49" s="22"/>
      <c r="AJ49" s="22"/>
      <c r="AK49" s="23"/>
      <c r="AL49" s="24"/>
      <c r="AM49" s="24"/>
      <c r="AN49" s="24"/>
      <c r="AO49" s="23"/>
      <c r="AP49" s="26"/>
      <c r="AQ49" s="26"/>
      <c r="AS49" s="27" t="e">
        <f t="shared" si="10"/>
        <v>#DIV/0!</v>
      </c>
      <c r="AT49" s="27"/>
      <c r="AV49" s="28"/>
      <c r="AW49" s="28"/>
      <c r="AX49" s="28"/>
      <c r="AY49" s="29"/>
      <c r="BA49" s="28"/>
      <c r="BB49" s="28"/>
      <c r="BC49" s="28"/>
      <c r="BD49" s="29"/>
    </row>
    <row r="50" spans="1:56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 t="str">
        <f t="shared" si="1"/>
        <v>·</v>
      </c>
      <c r="K50" s="34" t="str">
        <f t="shared" si="2"/>
        <v>·</v>
      </c>
      <c r="L50" s="34" t="str">
        <f t="shared" si="3"/>
        <v>·</v>
      </c>
      <c r="M50" s="35"/>
      <c r="N50" s="34" t="str">
        <f t="shared" si="4"/>
        <v>·</v>
      </c>
      <c r="O50" s="36"/>
      <c r="P50" s="37"/>
      <c r="Q50" s="37"/>
      <c r="R50" s="37"/>
      <c r="S50" s="38"/>
      <c r="T50" s="39"/>
      <c r="U50" s="39"/>
      <c r="V50" s="39"/>
      <c r="W50" s="38"/>
      <c r="X50" s="41"/>
      <c r="Y50" s="41"/>
      <c r="AA50" s="33" t="str">
        <f t="shared" si="5"/>
        <v>·</v>
      </c>
      <c r="AB50" s="34" t="str">
        <f t="shared" si="6"/>
        <v>·</v>
      </c>
      <c r="AC50" s="34" t="str">
        <f t="shared" si="7"/>
        <v>·</v>
      </c>
      <c r="AD50" s="34" t="str">
        <f t="shared" si="8"/>
        <v>·</v>
      </c>
      <c r="AE50" s="35"/>
      <c r="AF50" s="34" t="str">
        <f t="shared" si="9"/>
        <v>·</v>
      </c>
      <c r="AG50" s="36"/>
      <c r="AH50" s="37"/>
      <c r="AI50" s="37"/>
      <c r="AJ50" s="37"/>
      <c r="AK50" s="38"/>
      <c r="AL50" s="39"/>
      <c r="AM50" s="39"/>
      <c r="AN50" s="39"/>
      <c r="AO50" s="38"/>
      <c r="AP50" s="41"/>
      <c r="AQ50" s="41"/>
      <c r="AS50" s="42" t="e">
        <f t="shared" si="10"/>
        <v>#DIV/0!</v>
      </c>
      <c r="AT50" s="42"/>
      <c r="AV50" s="43"/>
      <c r="AW50" s="43"/>
      <c r="AX50" s="43"/>
      <c r="AY50" s="44"/>
      <c r="BA50" s="43"/>
      <c r="BB50" s="43"/>
      <c r="BC50" s="43"/>
      <c r="BD50" s="44"/>
    </row>
    <row r="51" spans="1:56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3"/>
      <c r="X51" s="26"/>
      <c r="Y51" s="26"/>
      <c r="AA51" s="18" t="str">
        <f t="shared" si="5"/>
        <v>·</v>
      </c>
      <c r="AB51" s="19" t="str">
        <f t="shared" si="6"/>
        <v>·</v>
      </c>
      <c r="AC51" s="19" t="str">
        <f t="shared" si="7"/>
        <v>·</v>
      </c>
      <c r="AD51" s="19" t="str">
        <f t="shared" si="8"/>
        <v>·</v>
      </c>
      <c r="AE51" s="20"/>
      <c r="AF51" s="19" t="str">
        <f t="shared" si="9"/>
        <v>·</v>
      </c>
      <c r="AG51" s="21"/>
      <c r="AH51" s="22"/>
      <c r="AI51" s="22"/>
      <c r="AJ51" s="22"/>
      <c r="AK51" s="23"/>
      <c r="AL51" s="24"/>
      <c r="AM51" s="24"/>
      <c r="AN51" s="24"/>
      <c r="AO51" s="23"/>
      <c r="AP51" s="26"/>
      <c r="AQ51" s="26"/>
      <c r="AS51" s="27" t="e">
        <f t="shared" si="10"/>
        <v>#DIV/0!</v>
      </c>
      <c r="AT51" s="27"/>
      <c r="AV51" s="28"/>
      <c r="AW51" s="28"/>
      <c r="AX51" s="28"/>
      <c r="AY51" s="29"/>
      <c r="BA51" s="28"/>
      <c r="BB51" s="28"/>
      <c r="BC51" s="28"/>
      <c r="BD51" s="29"/>
    </row>
    <row r="52" spans="1:56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3"/>
      <c r="X52" s="56"/>
      <c r="Y52" s="56"/>
      <c r="AA52" s="48" t="str">
        <f t="shared" si="5"/>
        <v>·</v>
      </c>
      <c r="AB52" s="49" t="str">
        <f t="shared" si="6"/>
        <v>·</v>
      </c>
      <c r="AC52" s="49" t="str">
        <f t="shared" si="7"/>
        <v>·</v>
      </c>
      <c r="AD52" s="49" t="str">
        <f t="shared" si="8"/>
        <v>·</v>
      </c>
      <c r="AE52" s="50"/>
      <c r="AF52" s="49" t="str">
        <f t="shared" si="9"/>
        <v>·</v>
      </c>
      <c r="AG52" s="51"/>
      <c r="AH52" s="52"/>
      <c r="AI52" s="52"/>
      <c r="AJ52" s="52"/>
      <c r="AK52" s="53"/>
      <c r="AL52" s="54"/>
      <c r="AM52" s="54"/>
      <c r="AN52" s="54"/>
      <c r="AO52" s="53"/>
      <c r="AP52" s="56"/>
      <c r="AQ52" s="56"/>
      <c r="AS52" s="57" t="e">
        <f t="shared" si="10"/>
        <v>#DIV/0!</v>
      </c>
      <c r="AT52" s="57"/>
      <c r="AV52" s="58"/>
      <c r="AW52" s="58"/>
      <c r="AX52" s="58"/>
      <c r="AY52" s="59"/>
      <c r="BA52" s="58"/>
      <c r="BB52" s="58"/>
      <c r="BC52" s="58"/>
      <c r="BD52" s="59"/>
    </row>
    <row r="53" spans="1:56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 t="str">
        <f t="shared" si="1"/>
        <v>·</v>
      </c>
      <c r="K53" s="19" t="str">
        <f t="shared" si="2"/>
        <v>·</v>
      </c>
      <c r="L53" s="19" t="str">
        <f t="shared" si="3"/>
        <v>·</v>
      </c>
      <c r="M53" s="20"/>
      <c r="N53" s="19" t="str">
        <f t="shared" si="4"/>
        <v>·</v>
      </c>
      <c r="O53" s="21"/>
      <c r="P53" s="22"/>
      <c r="Q53" s="22"/>
      <c r="R53" s="22"/>
      <c r="S53" s="23"/>
      <c r="T53" s="24"/>
      <c r="U53" s="24"/>
      <c r="V53" s="24"/>
      <c r="W53" s="23"/>
      <c r="X53" s="26"/>
      <c r="Y53" s="26"/>
      <c r="AA53" s="18" t="str">
        <f t="shared" si="5"/>
        <v>·</v>
      </c>
      <c r="AB53" s="19" t="str">
        <f t="shared" si="6"/>
        <v>·</v>
      </c>
      <c r="AC53" s="19" t="str">
        <f t="shared" si="7"/>
        <v>·</v>
      </c>
      <c r="AD53" s="19" t="str">
        <f t="shared" si="8"/>
        <v>·</v>
      </c>
      <c r="AE53" s="20"/>
      <c r="AF53" s="19" t="str">
        <f t="shared" si="9"/>
        <v>·</v>
      </c>
      <c r="AG53" s="21"/>
      <c r="AH53" s="22"/>
      <c r="AI53" s="22"/>
      <c r="AJ53" s="22"/>
      <c r="AK53" s="23"/>
      <c r="AL53" s="24"/>
      <c r="AM53" s="24"/>
      <c r="AN53" s="24"/>
      <c r="AO53" s="23"/>
      <c r="AP53" s="26"/>
      <c r="AQ53" s="26"/>
      <c r="AS53" s="27" t="e">
        <f t="shared" si="10"/>
        <v>#DIV/0!</v>
      </c>
      <c r="AT53" s="27" t="e">
        <f t="array" ref="AT53">AVERAGE(AI53:AI58/AH53:AH58) - AVERAGE(Q53:Q58/P53:P58)</f>
        <v>#DIV/0!</v>
      </c>
      <c r="AV53" s="28" t="str">
        <f>IF( OR(ISBLANK(R53:R58),ISBLANK(AJ53:AJ58), ISBLANK(T53:T58),ISBLANK(AL53:AL58)), "·", bdRateExtend( R53:R58,T53:T58, AJ53:AJ58,AL53:AL58))</f>
        <v>·</v>
      </c>
      <c r="AW53" s="28" t="str">
        <f>IF( OR(ISBLANK(R53:R58),ISBLANK(AJ53:AJ58), ISBLANK(U53:U58),ISBLANK(AM53:AM58)), "·", bdRateExtend( R53:R58,U53:U58, AJ53:AJ58,AM53:AM58))</f>
        <v>·</v>
      </c>
      <c r="AX53" s="28" t="str">
        <f>IF( OR(ISBLANK(R53:R58),ISBLANK(AJ53:AJ58), ISBLANK(V53:V58),ISBLANK(AN53:AN58)), "·", bdRateExtend( R53:R58,V53:V58, AJ53:AJ58,AN53:AN58))</f>
        <v>·</v>
      </c>
      <c r="AY53" s="29"/>
      <c r="BA53" s="28" t="str">
        <f>IF( OR(ISBLANK(P53:P58),ISBLANK(AH53:AH58), ISBLANK(T53:T58),ISBLANK(AL53:AL58)), "·", bdRateExtend( P53:P58,T53:T58, AH53:AH58,AL53:AL58))</f>
        <v>·</v>
      </c>
      <c r="BB53" s="28" t="str">
        <f>IF( OR(ISBLANK(P53:P58),ISBLANK(AH53:AH58), ISBLANK(U53:U58),ISBLANK(AM53:AM58)), "·", bdRateExtend( P53:P58,U53:U58, AH53:AH58,AM53:AM58))</f>
        <v>·</v>
      </c>
      <c r="BC53" s="28" t="str">
        <f>IF( OR(ISBLANK(P53:P58),ISBLANK(AH53:AH58), ISBLANK(V53:V58),ISBLANK(AN53:AN58)), "·", bdRateExtend( P53:P58,V53:V58, AH53:AH58,AN53:AN58))</f>
        <v>·</v>
      </c>
      <c r="BD53" s="29"/>
    </row>
    <row r="54" spans="1:56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 t="str">
        <f t="shared" si="1"/>
        <v>·</v>
      </c>
      <c r="K54" s="34" t="str">
        <f t="shared" si="2"/>
        <v>·</v>
      </c>
      <c r="L54" s="34" t="str">
        <f t="shared" si="3"/>
        <v>·</v>
      </c>
      <c r="M54" s="35"/>
      <c r="N54" s="34" t="str">
        <f t="shared" si="4"/>
        <v>·</v>
      </c>
      <c r="O54" s="36"/>
      <c r="P54" s="37"/>
      <c r="Q54" s="37"/>
      <c r="R54" s="37"/>
      <c r="S54" s="38"/>
      <c r="T54" s="39"/>
      <c r="U54" s="39"/>
      <c r="V54" s="39"/>
      <c r="W54" s="38"/>
      <c r="X54" s="41"/>
      <c r="Y54" s="41"/>
      <c r="AA54" s="33" t="str">
        <f t="shared" si="5"/>
        <v>·</v>
      </c>
      <c r="AB54" s="34" t="str">
        <f t="shared" si="6"/>
        <v>·</v>
      </c>
      <c r="AC54" s="34" t="str">
        <f t="shared" si="7"/>
        <v>·</v>
      </c>
      <c r="AD54" s="34" t="str">
        <f t="shared" si="8"/>
        <v>·</v>
      </c>
      <c r="AE54" s="35"/>
      <c r="AF54" s="34" t="str">
        <f t="shared" si="9"/>
        <v>·</v>
      </c>
      <c r="AG54" s="36"/>
      <c r="AH54" s="37"/>
      <c r="AI54" s="37"/>
      <c r="AJ54" s="37"/>
      <c r="AK54" s="38"/>
      <c r="AL54" s="39"/>
      <c r="AM54" s="39"/>
      <c r="AN54" s="39"/>
      <c r="AO54" s="38"/>
      <c r="AP54" s="41"/>
      <c r="AQ54" s="41"/>
      <c r="AS54" s="42" t="e">
        <f t="shared" si="10"/>
        <v>#DIV/0!</v>
      </c>
      <c r="AT54" s="42"/>
      <c r="AV54" s="43"/>
      <c r="AW54" s="43"/>
      <c r="AX54" s="43"/>
      <c r="AY54" s="44"/>
      <c r="BA54" s="43"/>
      <c r="BB54" s="43"/>
      <c r="BC54" s="43"/>
      <c r="BD54" s="44"/>
    </row>
    <row r="55" spans="1:56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 t="str">
        <f t="shared" si="1"/>
        <v>·</v>
      </c>
      <c r="K55" s="19" t="str">
        <f t="shared" si="2"/>
        <v>·</v>
      </c>
      <c r="L55" s="19" t="str">
        <f t="shared" si="3"/>
        <v>·</v>
      </c>
      <c r="M55" s="20"/>
      <c r="N55" s="19" t="str">
        <f t="shared" si="4"/>
        <v>·</v>
      </c>
      <c r="O55" s="21"/>
      <c r="P55" s="22"/>
      <c r="Q55" s="22"/>
      <c r="R55" s="22"/>
      <c r="S55" s="23"/>
      <c r="T55" s="24"/>
      <c r="U55" s="24"/>
      <c r="V55" s="24"/>
      <c r="W55" s="23"/>
      <c r="X55" s="26"/>
      <c r="Y55" s="26"/>
      <c r="AA55" s="18" t="str">
        <f t="shared" si="5"/>
        <v>·</v>
      </c>
      <c r="AB55" s="19" t="str">
        <f t="shared" si="6"/>
        <v>·</v>
      </c>
      <c r="AC55" s="19" t="str">
        <f t="shared" si="7"/>
        <v>·</v>
      </c>
      <c r="AD55" s="19" t="str">
        <f t="shared" si="8"/>
        <v>·</v>
      </c>
      <c r="AE55" s="20"/>
      <c r="AF55" s="19" t="str">
        <f t="shared" si="9"/>
        <v>·</v>
      </c>
      <c r="AG55" s="21"/>
      <c r="AH55" s="22"/>
      <c r="AI55" s="22"/>
      <c r="AJ55" s="22"/>
      <c r="AK55" s="23"/>
      <c r="AL55" s="24"/>
      <c r="AM55" s="24"/>
      <c r="AN55" s="24"/>
      <c r="AO55" s="23"/>
      <c r="AP55" s="26"/>
      <c r="AQ55" s="26"/>
      <c r="AS55" s="27" t="e">
        <f t="shared" si="10"/>
        <v>#DIV/0!</v>
      </c>
      <c r="AT55" s="27"/>
      <c r="AV55" s="28"/>
      <c r="AW55" s="28"/>
      <c r="AX55" s="28"/>
      <c r="AY55" s="29"/>
      <c r="BA55" s="28"/>
      <c r="BB55" s="28"/>
      <c r="BC55" s="28"/>
      <c r="BD55" s="29"/>
    </row>
    <row r="56" spans="1:56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 t="str">
        <f t="shared" si="1"/>
        <v>·</v>
      </c>
      <c r="K56" s="34" t="str">
        <f t="shared" si="2"/>
        <v>·</v>
      </c>
      <c r="L56" s="34" t="str">
        <f t="shared" si="3"/>
        <v>·</v>
      </c>
      <c r="M56" s="35"/>
      <c r="N56" s="34" t="str">
        <f t="shared" si="4"/>
        <v>·</v>
      </c>
      <c r="O56" s="36"/>
      <c r="P56" s="37"/>
      <c r="Q56" s="37"/>
      <c r="R56" s="37"/>
      <c r="S56" s="38"/>
      <c r="T56" s="39"/>
      <c r="U56" s="39"/>
      <c r="V56" s="39"/>
      <c r="W56" s="38"/>
      <c r="X56" s="41"/>
      <c r="Y56" s="41"/>
      <c r="AA56" s="33" t="str">
        <f t="shared" si="5"/>
        <v>·</v>
      </c>
      <c r="AB56" s="34" t="str">
        <f t="shared" si="6"/>
        <v>·</v>
      </c>
      <c r="AC56" s="34" t="str">
        <f t="shared" si="7"/>
        <v>·</v>
      </c>
      <c r="AD56" s="34" t="str">
        <f t="shared" si="8"/>
        <v>·</v>
      </c>
      <c r="AE56" s="35"/>
      <c r="AF56" s="34" t="str">
        <f t="shared" si="9"/>
        <v>·</v>
      </c>
      <c r="AG56" s="36"/>
      <c r="AH56" s="37"/>
      <c r="AI56" s="37"/>
      <c r="AJ56" s="37"/>
      <c r="AK56" s="38"/>
      <c r="AL56" s="39"/>
      <c r="AM56" s="39"/>
      <c r="AN56" s="39"/>
      <c r="AO56" s="38"/>
      <c r="AP56" s="41"/>
      <c r="AQ56" s="41"/>
      <c r="AS56" s="42" t="e">
        <f t="shared" si="10"/>
        <v>#DIV/0!</v>
      </c>
      <c r="AT56" s="42"/>
      <c r="AV56" s="43"/>
      <c r="AW56" s="43"/>
      <c r="AX56" s="43"/>
      <c r="AY56" s="44"/>
      <c r="BA56" s="43"/>
      <c r="BB56" s="43"/>
      <c r="BC56" s="43"/>
      <c r="BD56" s="44"/>
    </row>
    <row r="57" spans="1:56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3"/>
      <c r="X57" s="26"/>
      <c r="Y57" s="26"/>
      <c r="AA57" s="18" t="str">
        <f t="shared" si="5"/>
        <v>·</v>
      </c>
      <c r="AB57" s="19" t="str">
        <f t="shared" si="6"/>
        <v>·</v>
      </c>
      <c r="AC57" s="19" t="str">
        <f t="shared" si="7"/>
        <v>·</v>
      </c>
      <c r="AD57" s="19" t="str">
        <f t="shared" si="8"/>
        <v>·</v>
      </c>
      <c r="AE57" s="20"/>
      <c r="AF57" s="19" t="str">
        <f t="shared" si="9"/>
        <v>·</v>
      </c>
      <c r="AG57" s="21"/>
      <c r="AH57" s="22"/>
      <c r="AI57" s="22"/>
      <c r="AJ57" s="22"/>
      <c r="AK57" s="23"/>
      <c r="AL57" s="24"/>
      <c r="AM57" s="24"/>
      <c r="AN57" s="24"/>
      <c r="AO57" s="23"/>
      <c r="AP57" s="26"/>
      <c r="AQ57" s="26"/>
      <c r="AS57" s="27" t="e">
        <f t="shared" si="10"/>
        <v>#DIV/0!</v>
      </c>
      <c r="AT57" s="27"/>
      <c r="AV57" s="28"/>
      <c r="AW57" s="28"/>
      <c r="AX57" s="28"/>
      <c r="AY57" s="29"/>
      <c r="BA57" s="28"/>
      <c r="BB57" s="28"/>
      <c r="BC57" s="28"/>
      <c r="BD57" s="29"/>
    </row>
    <row r="58" spans="1:56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3"/>
      <c r="X58" s="56"/>
      <c r="Y58" s="56"/>
      <c r="AA58" s="48" t="str">
        <f t="shared" si="5"/>
        <v>·</v>
      </c>
      <c r="AB58" s="49" t="str">
        <f t="shared" si="6"/>
        <v>·</v>
      </c>
      <c r="AC58" s="49" t="str">
        <f t="shared" si="7"/>
        <v>·</v>
      </c>
      <c r="AD58" s="49" t="str">
        <f t="shared" si="8"/>
        <v>·</v>
      </c>
      <c r="AE58" s="50"/>
      <c r="AF58" s="49" t="str">
        <f t="shared" si="9"/>
        <v>·</v>
      </c>
      <c r="AG58" s="51"/>
      <c r="AH58" s="52"/>
      <c r="AI58" s="52"/>
      <c r="AJ58" s="52"/>
      <c r="AK58" s="53"/>
      <c r="AL58" s="54"/>
      <c r="AM58" s="54"/>
      <c r="AN58" s="54"/>
      <c r="AO58" s="53"/>
      <c r="AP58" s="56"/>
      <c r="AQ58" s="56"/>
      <c r="AS58" s="57" t="e">
        <f t="shared" si="10"/>
        <v>#DIV/0!</v>
      </c>
      <c r="AT58" s="57"/>
      <c r="AV58" s="58"/>
      <c r="AW58" s="58"/>
      <c r="AX58" s="58"/>
      <c r="AY58" s="59"/>
      <c r="BA58" s="58"/>
      <c r="BB58" s="58"/>
      <c r="BC58" s="58"/>
      <c r="BD58" s="59"/>
    </row>
    <row r="59" spans="1:56" x14ac:dyDescent="0.15">
      <c r="A59" s="15" t="s">
        <v>258</v>
      </c>
      <c r="B59" s="15" t="s">
        <v>257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 t="str">
        <f t="shared" si="1"/>
        <v>·</v>
      </c>
      <c r="K59" s="19" t="str">
        <f t="shared" si="2"/>
        <v>·</v>
      </c>
      <c r="L59" s="19" t="str">
        <f t="shared" si="3"/>
        <v>·</v>
      </c>
      <c r="M59" s="20"/>
      <c r="N59" s="19" t="str">
        <f t="shared" si="4"/>
        <v>·</v>
      </c>
      <c r="O59" s="21"/>
      <c r="P59" s="22"/>
      <c r="Q59" s="22"/>
      <c r="R59" s="22"/>
      <c r="S59" s="23"/>
      <c r="T59" s="24"/>
      <c r="U59" s="24"/>
      <c r="V59" s="24"/>
      <c r="W59" s="23"/>
      <c r="X59" s="26"/>
      <c r="Y59" s="26"/>
      <c r="AA59" s="18" t="str">
        <f t="shared" si="5"/>
        <v>·</v>
      </c>
      <c r="AB59" s="19" t="str">
        <f t="shared" si="6"/>
        <v>·</v>
      </c>
      <c r="AC59" s="19" t="str">
        <f t="shared" si="7"/>
        <v>·</v>
      </c>
      <c r="AD59" s="19" t="str">
        <f t="shared" si="8"/>
        <v>·</v>
      </c>
      <c r="AE59" s="20"/>
      <c r="AF59" s="19" t="str">
        <f t="shared" si="9"/>
        <v>·</v>
      </c>
      <c r="AG59" s="21"/>
      <c r="AH59" s="22"/>
      <c r="AI59" s="22"/>
      <c r="AJ59" s="22"/>
      <c r="AK59" s="23"/>
      <c r="AL59" s="24"/>
      <c r="AM59" s="24"/>
      <c r="AN59" s="24"/>
      <c r="AO59" s="23"/>
      <c r="AP59" s="26"/>
      <c r="AQ59" s="26"/>
      <c r="AS59" s="27" t="e">
        <f t="shared" si="10"/>
        <v>#DIV/0!</v>
      </c>
      <c r="AT59" s="27" t="e">
        <f t="array" ref="AT59">AVERAGE(AI59:AI64/AH59:AH64) - AVERAGE(Q59:Q64/P59:P64)</f>
        <v>#DIV/0!</v>
      </c>
      <c r="AV59" s="28" t="str">
        <f>IF( OR(ISBLANK(R59:R64),ISBLANK(AJ59:AJ64), ISBLANK(T59:T64),ISBLANK(AL59:AL64)), "·", bdRateExtend( R59:R64,T59:T64, AJ59:AJ64,AL59:AL64))</f>
        <v>·</v>
      </c>
      <c r="AW59" s="28" t="str">
        <f>IF( OR(ISBLANK(R59:R64),ISBLANK(AJ59:AJ64), ISBLANK(U59:U64),ISBLANK(AM59:AM64)), "·", bdRateExtend( R59:R64,U59:U64, AJ59:AJ64,AM59:AM64))</f>
        <v>·</v>
      </c>
      <c r="AX59" s="28" t="str">
        <f>IF( OR(ISBLANK(R59:R64),ISBLANK(AJ59:AJ64), ISBLANK(V59:V64),ISBLANK(AN59:AN64)), "·", bdRateExtend( R59:R64,V59:V64, AJ59:AJ64,AN59:AN64))</f>
        <v>·</v>
      </c>
      <c r="AY59" s="29"/>
      <c r="BA59" s="28" t="str">
        <f>IF( OR(ISBLANK(P59:P64),ISBLANK(AH59:AH64), ISBLANK(T59:T64),ISBLANK(AL59:AL64)), "·", bdRateExtend( P59:P64,T59:T64, AH59:AH64,AL59:AL64))</f>
        <v>·</v>
      </c>
      <c r="BB59" s="28" t="str">
        <f>IF( OR(ISBLANK(P59:P64),ISBLANK(AH59:AH64), ISBLANK(U59:U64),ISBLANK(AM59:AM64)), "·", bdRateExtend( P59:P64,U59:U64, AH59:AH64,AM59:AM64))</f>
        <v>·</v>
      </c>
      <c r="BC59" s="28" t="str">
        <f>IF( OR(ISBLANK(P59:P64),ISBLANK(AH59:AH64), ISBLANK(V59:V64),ISBLANK(AN59:AN64)), "·", bdRateExtend( P59:P64,V59:V64, AH59:AH64,AN59:AN64))</f>
        <v>·</v>
      </c>
      <c r="BD59" s="29"/>
    </row>
    <row r="60" spans="1:56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 t="str">
        <f t="shared" si="1"/>
        <v>·</v>
      </c>
      <c r="K60" s="34" t="str">
        <f t="shared" si="2"/>
        <v>·</v>
      </c>
      <c r="L60" s="34" t="str">
        <f t="shared" si="3"/>
        <v>·</v>
      </c>
      <c r="M60" s="35"/>
      <c r="N60" s="34" t="str">
        <f t="shared" si="4"/>
        <v>·</v>
      </c>
      <c r="O60" s="36"/>
      <c r="P60" s="37"/>
      <c r="Q60" s="37"/>
      <c r="R60" s="37"/>
      <c r="S60" s="38"/>
      <c r="T60" s="39"/>
      <c r="U60" s="39"/>
      <c r="V60" s="39"/>
      <c r="W60" s="38"/>
      <c r="X60" s="41"/>
      <c r="Y60" s="41"/>
      <c r="AA60" s="33" t="str">
        <f t="shared" si="5"/>
        <v>·</v>
      </c>
      <c r="AB60" s="34" t="str">
        <f t="shared" si="6"/>
        <v>·</v>
      </c>
      <c r="AC60" s="34" t="str">
        <f t="shared" si="7"/>
        <v>·</v>
      </c>
      <c r="AD60" s="34" t="str">
        <f t="shared" si="8"/>
        <v>·</v>
      </c>
      <c r="AE60" s="35"/>
      <c r="AF60" s="34" t="str">
        <f t="shared" si="9"/>
        <v>·</v>
      </c>
      <c r="AG60" s="36"/>
      <c r="AH60" s="37"/>
      <c r="AI60" s="37"/>
      <c r="AJ60" s="37"/>
      <c r="AK60" s="38"/>
      <c r="AL60" s="39"/>
      <c r="AM60" s="39"/>
      <c r="AN60" s="39"/>
      <c r="AO60" s="38"/>
      <c r="AP60" s="41"/>
      <c r="AQ60" s="41"/>
      <c r="AS60" s="42" t="e">
        <f t="shared" si="10"/>
        <v>#DIV/0!</v>
      </c>
      <c r="AT60" s="42"/>
      <c r="AV60" s="43"/>
      <c r="AW60" s="43"/>
      <c r="AX60" s="43"/>
      <c r="AY60" s="44"/>
      <c r="BA60" s="43"/>
      <c r="BB60" s="43"/>
      <c r="BC60" s="43"/>
      <c r="BD60" s="44"/>
    </row>
    <row r="61" spans="1:56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 t="str">
        <f t="shared" si="1"/>
        <v>·</v>
      </c>
      <c r="K61" s="19" t="str">
        <f t="shared" si="2"/>
        <v>·</v>
      </c>
      <c r="L61" s="19" t="str">
        <f t="shared" si="3"/>
        <v>·</v>
      </c>
      <c r="M61" s="20"/>
      <c r="N61" s="19" t="str">
        <f t="shared" si="4"/>
        <v>·</v>
      </c>
      <c r="O61" s="21"/>
      <c r="P61" s="22"/>
      <c r="Q61" s="22"/>
      <c r="R61" s="22"/>
      <c r="S61" s="23"/>
      <c r="T61" s="24"/>
      <c r="U61" s="24"/>
      <c r="V61" s="24"/>
      <c r="W61" s="23"/>
      <c r="X61" s="26"/>
      <c r="Y61" s="26"/>
      <c r="AA61" s="18" t="str">
        <f t="shared" si="5"/>
        <v>·</v>
      </c>
      <c r="AB61" s="19" t="str">
        <f t="shared" si="6"/>
        <v>·</v>
      </c>
      <c r="AC61" s="19" t="str">
        <f t="shared" si="7"/>
        <v>·</v>
      </c>
      <c r="AD61" s="19" t="str">
        <f t="shared" si="8"/>
        <v>·</v>
      </c>
      <c r="AE61" s="20"/>
      <c r="AF61" s="19" t="str">
        <f t="shared" si="9"/>
        <v>·</v>
      </c>
      <c r="AG61" s="21"/>
      <c r="AH61" s="22"/>
      <c r="AI61" s="22"/>
      <c r="AJ61" s="22"/>
      <c r="AK61" s="23"/>
      <c r="AL61" s="24"/>
      <c r="AM61" s="24"/>
      <c r="AN61" s="24"/>
      <c r="AO61" s="23"/>
      <c r="AP61" s="26"/>
      <c r="AQ61" s="26"/>
      <c r="AS61" s="27" t="e">
        <f t="shared" si="10"/>
        <v>#DIV/0!</v>
      </c>
      <c r="AT61" s="27"/>
      <c r="AV61" s="28"/>
      <c r="AW61" s="28"/>
      <c r="AX61" s="28"/>
      <c r="AY61" s="29"/>
      <c r="BA61" s="28"/>
      <c r="BB61" s="28"/>
      <c r="BC61" s="28"/>
      <c r="BD61" s="29"/>
    </row>
    <row r="62" spans="1:56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 t="str">
        <f t="shared" si="1"/>
        <v>·</v>
      </c>
      <c r="K62" s="34" t="str">
        <f t="shared" si="2"/>
        <v>·</v>
      </c>
      <c r="L62" s="34" t="str">
        <f t="shared" si="3"/>
        <v>·</v>
      </c>
      <c r="M62" s="35"/>
      <c r="N62" s="34" t="str">
        <f t="shared" si="4"/>
        <v>·</v>
      </c>
      <c r="O62" s="36"/>
      <c r="P62" s="37"/>
      <c r="Q62" s="37"/>
      <c r="R62" s="37"/>
      <c r="S62" s="38"/>
      <c r="T62" s="39"/>
      <c r="U62" s="39"/>
      <c r="V62" s="39"/>
      <c r="W62" s="38"/>
      <c r="X62" s="41"/>
      <c r="Y62" s="41"/>
      <c r="AA62" s="33" t="str">
        <f t="shared" si="5"/>
        <v>·</v>
      </c>
      <c r="AB62" s="34" t="str">
        <f t="shared" si="6"/>
        <v>·</v>
      </c>
      <c r="AC62" s="34" t="str">
        <f t="shared" si="7"/>
        <v>·</v>
      </c>
      <c r="AD62" s="34" t="str">
        <f t="shared" si="8"/>
        <v>·</v>
      </c>
      <c r="AE62" s="35"/>
      <c r="AF62" s="34" t="str">
        <f t="shared" si="9"/>
        <v>·</v>
      </c>
      <c r="AG62" s="36"/>
      <c r="AH62" s="37"/>
      <c r="AI62" s="37"/>
      <c r="AJ62" s="37"/>
      <c r="AK62" s="38"/>
      <c r="AL62" s="39"/>
      <c r="AM62" s="39"/>
      <c r="AN62" s="39"/>
      <c r="AO62" s="38"/>
      <c r="AP62" s="41"/>
      <c r="AQ62" s="41"/>
      <c r="AS62" s="42" t="e">
        <f t="shared" si="10"/>
        <v>#DIV/0!</v>
      </c>
      <c r="AT62" s="42"/>
      <c r="AV62" s="43"/>
      <c r="AW62" s="43"/>
      <c r="AX62" s="43"/>
      <c r="AY62" s="44"/>
      <c r="BA62" s="43"/>
      <c r="BB62" s="43"/>
      <c r="BC62" s="43"/>
      <c r="BD62" s="44"/>
    </row>
    <row r="63" spans="1:56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3"/>
      <c r="X63" s="26"/>
      <c r="Y63" s="26"/>
      <c r="AA63" s="18" t="str">
        <f t="shared" si="5"/>
        <v>·</v>
      </c>
      <c r="AB63" s="19" t="str">
        <f t="shared" si="6"/>
        <v>·</v>
      </c>
      <c r="AC63" s="19" t="str">
        <f t="shared" si="7"/>
        <v>·</v>
      </c>
      <c r="AD63" s="19" t="str">
        <f t="shared" si="8"/>
        <v>·</v>
      </c>
      <c r="AE63" s="20"/>
      <c r="AF63" s="19" t="str">
        <f t="shared" si="9"/>
        <v>·</v>
      </c>
      <c r="AG63" s="21"/>
      <c r="AH63" s="22"/>
      <c r="AI63" s="22"/>
      <c r="AJ63" s="22"/>
      <c r="AK63" s="23"/>
      <c r="AL63" s="24"/>
      <c r="AM63" s="24"/>
      <c r="AN63" s="24"/>
      <c r="AO63" s="23"/>
      <c r="AP63" s="26"/>
      <c r="AQ63" s="26"/>
      <c r="AS63" s="27" t="e">
        <f t="shared" si="10"/>
        <v>#DIV/0!</v>
      </c>
      <c r="AT63" s="27"/>
      <c r="AV63" s="28"/>
      <c r="AW63" s="28"/>
      <c r="AX63" s="28"/>
      <c r="AY63" s="29"/>
      <c r="BA63" s="28"/>
      <c r="BB63" s="28"/>
      <c r="BC63" s="28"/>
      <c r="BD63" s="29"/>
    </row>
    <row r="64" spans="1:56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3"/>
      <c r="X64" s="56"/>
      <c r="Y64" s="56"/>
      <c r="AA64" s="48" t="str">
        <f t="shared" si="5"/>
        <v>·</v>
      </c>
      <c r="AB64" s="49" t="str">
        <f t="shared" si="6"/>
        <v>·</v>
      </c>
      <c r="AC64" s="49" t="str">
        <f t="shared" si="7"/>
        <v>·</v>
      </c>
      <c r="AD64" s="49" t="str">
        <f t="shared" si="8"/>
        <v>·</v>
      </c>
      <c r="AE64" s="50"/>
      <c r="AF64" s="49" t="str">
        <f t="shared" si="9"/>
        <v>·</v>
      </c>
      <c r="AG64" s="51"/>
      <c r="AH64" s="52"/>
      <c r="AI64" s="52"/>
      <c r="AJ64" s="52"/>
      <c r="AK64" s="53"/>
      <c r="AL64" s="54"/>
      <c r="AM64" s="54"/>
      <c r="AN64" s="54"/>
      <c r="AO64" s="53"/>
      <c r="AP64" s="56"/>
      <c r="AQ64" s="56"/>
      <c r="AS64" s="57" t="e">
        <f t="shared" si="10"/>
        <v>#DIV/0!</v>
      </c>
      <c r="AT64" s="57"/>
      <c r="AV64" s="58"/>
      <c r="AW64" s="58"/>
      <c r="AX64" s="58"/>
      <c r="AY64" s="59"/>
      <c r="BA64" s="58"/>
      <c r="BB64" s="58"/>
      <c r="BC64" s="58"/>
      <c r="BD64" s="59"/>
    </row>
    <row r="65" spans="1:56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 t="str">
        <f t="shared" si="1"/>
        <v>·</v>
      </c>
      <c r="K65" s="19" t="str">
        <f t="shared" si="2"/>
        <v>·</v>
      </c>
      <c r="L65" s="19" t="str">
        <f t="shared" si="3"/>
        <v>·</v>
      </c>
      <c r="M65" s="20"/>
      <c r="N65" s="19" t="str">
        <f t="shared" si="4"/>
        <v>·</v>
      </c>
      <c r="O65" s="21"/>
      <c r="P65" s="22"/>
      <c r="Q65" s="22"/>
      <c r="R65" s="22"/>
      <c r="S65" s="23"/>
      <c r="T65" s="24"/>
      <c r="U65" s="24"/>
      <c r="V65" s="24"/>
      <c r="W65" s="23"/>
      <c r="X65" s="26"/>
      <c r="Y65" s="26"/>
      <c r="AA65" s="18" t="str">
        <f t="shared" si="5"/>
        <v>·</v>
      </c>
      <c r="AB65" s="19" t="str">
        <f t="shared" si="6"/>
        <v>·</v>
      </c>
      <c r="AC65" s="19" t="str">
        <f t="shared" si="7"/>
        <v>·</v>
      </c>
      <c r="AD65" s="19" t="str">
        <f t="shared" si="8"/>
        <v>·</v>
      </c>
      <c r="AE65" s="20"/>
      <c r="AF65" s="19" t="str">
        <f t="shared" si="9"/>
        <v>·</v>
      </c>
      <c r="AG65" s="21"/>
      <c r="AH65" s="22"/>
      <c r="AI65" s="22"/>
      <c r="AJ65" s="22"/>
      <c r="AK65" s="23"/>
      <c r="AL65" s="24"/>
      <c r="AM65" s="24"/>
      <c r="AN65" s="24"/>
      <c r="AO65" s="23"/>
      <c r="AP65" s="26"/>
      <c r="AQ65" s="26"/>
      <c r="AS65" s="27" t="e">
        <f t="shared" si="10"/>
        <v>#DIV/0!</v>
      </c>
      <c r="AT65" s="27" t="e">
        <f t="array" ref="AT65">AVERAGE(AI65:AI70/AH65:AH70) - AVERAGE(Q65:Q70/P65:P70)</f>
        <v>#DIV/0!</v>
      </c>
      <c r="AV65" s="28" t="str">
        <f>IF( OR(ISBLANK(R65:R70),ISBLANK(AJ65:AJ70), ISBLANK(T65:T70),ISBLANK(AL65:AL70)), "·", bdRateExtend( R65:R70,T65:T70, AJ65:AJ70,AL65:AL70))</f>
        <v>·</v>
      </c>
      <c r="AW65" s="28" t="str">
        <f>IF( OR(ISBLANK(R65:R70),ISBLANK(AJ65:AJ70), ISBLANK(U65:U70),ISBLANK(AM65:AM70)), "·", bdRateExtend( R65:R70,U65:U70, AJ65:AJ70,AM65:AM70))</f>
        <v>·</v>
      </c>
      <c r="AX65" s="28" t="str">
        <f>IF( OR(ISBLANK(R65:R70),ISBLANK(AJ65:AJ70), ISBLANK(V65:V70),ISBLANK(AN65:AN70)), "·", bdRateExtend( R65:R70,V65:V70, AJ65:AJ70,AN65:AN70))</f>
        <v>·</v>
      </c>
      <c r="AY65" s="29"/>
      <c r="BA65" s="28" t="str">
        <f>IF( OR(ISBLANK(P65:P70),ISBLANK(AH65:AH70), ISBLANK(T65:T70),ISBLANK(AL65:AL70)), "·", bdRateExtend( P65:P70,T65:T70, AH65:AH70,AL65:AL70))</f>
        <v>·</v>
      </c>
      <c r="BB65" s="28" t="str">
        <f>IF( OR(ISBLANK(P65:P70),ISBLANK(AH65:AH70), ISBLANK(U65:U70),ISBLANK(AM65:AM70)), "·", bdRateExtend( P65:P70,U65:U70, AH65:AH70,AM65:AM70))</f>
        <v>·</v>
      </c>
      <c r="BC65" s="28" t="str">
        <f>IF( OR(ISBLANK(P65:P70),ISBLANK(AH65:AH70), ISBLANK(V65:V70),ISBLANK(AN65:AN70)), "·", bdRateExtend( P65:P70,V65:V70, AH65:AH70,AN65:AN70))</f>
        <v>·</v>
      </c>
      <c r="BD65" s="29"/>
    </row>
    <row r="66" spans="1:56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 t="str">
        <f t="shared" si="1"/>
        <v>·</v>
      </c>
      <c r="K66" s="34" t="str">
        <f t="shared" si="2"/>
        <v>·</v>
      </c>
      <c r="L66" s="34" t="str">
        <f t="shared" si="3"/>
        <v>·</v>
      </c>
      <c r="M66" s="35"/>
      <c r="N66" s="34" t="str">
        <f t="shared" si="4"/>
        <v>·</v>
      </c>
      <c r="O66" s="36"/>
      <c r="P66" s="37"/>
      <c r="Q66" s="37"/>
      <c r="R66" s="37"/>
      <c r="S66" s="38"/>
      <c r="T66" s="39"/>
      <c r="U66" s="39"/>
      <c r="V66" s="39"/>
      <c r="W66" s="38"/>
      <c r="X66" s="41"/>
      <c r="Y66" s="41"/>
      <c r="AA66" s="33" t="str">
        <f t="shared" si="5"/>
        <v>·</v>
      </c>
      <c r="AB66" s="34" t="str">
        <f t="shared" si="6"/>
        <v>·</v>
      </c>
      <c r="AC66" s="34" t="str">
        <f t="shared" si="7"/>
        <v>·</v>
      </c>
      <c r="AD66" s="34" t="str">
        <f t="shared" si="8"/>
        <v>·</v>
      </c>
      <c r="AE66" s="35"/>
      <c r="AF66" s="34" t="str">
        <f t="shared" si="9"/>
        <v>·</v>
      </c>
      <c r="AG66" s="36"/>
      <c r="AH66" s="37"/>
      <c r="AI66" s="37"/>
      <c r="AJ66" s="37"/>
      <c r="AK66" s="38"/>
      <c r="AL66" s="39"/>
      <c r="AM66" s="39"/>
      <c r="AN66" s="39"/>
      <c r="AO66" s="38"/>
      <c r="AP66" s="41"/>
      <c r="AQ66" s="41"/>
      <c r="AS66" s="42" t="e">
        <f t="shared" si="10"/>
        <v>#DIV/0!</v>
      </c>
      <c r="AT66" s="42"/>
      <c r="AV66" s="43"/>
      <c r="AW66" s="43"/>
      <c r="AX66" s="43"/>
      <c r="AY66" s="44"/>
      <c r="BA66" s="43"/>
      <c r="BB66" s="43"/>
      <c r="BC66" s="43"/>
      <c r="BD66" s="44"/>
    </row>
    <row r="67" spans="1:56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 t="str">
        <f t="shared" si="1"/>
        <v>·</v>
      </c>
      <c r="K67" s="19" t="str">
        <f t="shared" si="2"/>
        <v>·</v>
      </c>
      <c r="L67" s="19" t="str">
        <f t="shared" si="3"/>
        <v>·</v>
      </c>
      <c r="M67" s="20"/>
      <c r="N67" s="19" t="str">
        <f t="shared" si="4"/>
        <v>·</v>
      </c>
      <c r="O67" s="21"/>
      <c r="P67" s="22"/>
      <c r="Q67" s="22"/>
      <c r="R67" s="22"/>
      <c r="S67" s="23"/>
      <c r="T67" s="24"/>
      <c r="U67" s="24"/>
      <c r="V67" s="24"/>
      <c r="W67" s="23"/>
      <c r="X67" s="26"/>
      <c r="Y67" s="26"/>
      <c r="AA67" s="18" t="str">
        <f t="shared" si="5"/>
        <v>·</v>
      </c>
      <c r="AB67" s="19" t="str">
        <f t="shared" si="6"/>
        <v>·</v>
      </c>
      <c r="AC67" s="19" t="str">
        <f t="shared" si="7"/>
        <v>·</v>
      </c>
      <c r="AD67" s="19" t="str">
        <f t="shared" si="8"/>
        <v>·</v>
      </c>
      <c r="AE67" s="20"/>
      <c r="AF67" s="19" t="str">
        <f t="shared" si="9"/>
        <v>·</v>
      </c>
      <c r="AG67" s="21"/>
      <c r="AH67" s="22"/>
      <c r="AI67" s="22"/>
      <c r="AJ67" s="22"/>
      <c r="AK67" s="23"/>
      <c r="AL67" s="24"/>
      <c r="AM67" s="24"/>
      <c r="AN67" s="24"/>
      <c r="AO67" s="23"/>
      <c r="AP67" s="26"/>
      <c r="AQ67" s="26"/>
      <c r="AS67" s="27" t="e">
        <f t="shared" si="10"/>
        <v>#DIV/0!</v>
      </c>
      <c r="AT67" s="27"/>
      <c r="AV67" s="28"/>
      <c r="AW67" s="28"/>
      <c r="AX67" s="28"/>
      <c r="AY67" s="29"/>
      <c r="BA67" s="28"/>
      <c r="BB67" s="28"/>
      <c r="BC67" s="28"/>
      <c r="BD67" s="29"/>
    </row>
    <row r="68" spans="1:56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8"/>
      <c r="X68" s="41"/>
      <c r="Y68" s="41"/>
      <c r="AA68" s="33" t="str">
        <f t="shared" si="5"/>
        <v>·</v>
      </c>
      <c r="AB68" s="34" t="str">
        <f t="shared" si="6"/>
        <v>·</v>
      </c>
      <c r="AC68" s="34" t="str">
        <f t="shared" si="7"/>
        <v>·</v>
      </c>
      <c r="AD68" s="34" t="str">
        <f t="shared" si="8"/>
        <v>·</v>
      </c>
      <c r="AE68" s="35"/>
      <c r="AF68" s="34" t="str">
        <f t="shared" si="9"/>
        <v>·</v>
      </c>
      <c r="AG68" s="36"/>
      <c r="AH68" s="37"/>
      <c r="AI68" s="37"/>
      <c r="AJ68" s="37"/>
      <c r="AK68" s="38"/>
      <c r="AL68" s="39"/>
      <c r="AM68" s="39"/>
      <c r="AN68" s="39"/>
      <c r="AO68" s="38"/>
      <c r="AP68" s="41"/>
      <c r="AQ68" s="41"/>
      <c r="AS68" s="42" t="e">
        <f t="shared" si="10"/>
        <v>#DIV/0!</v>
      </c>
      <c r="AT68" s="42"/>
      <c r="AV68" s="43"/>
      <c r="AW68" s="43"/>
      <c r="AX68" s="43"/>
      <c r="AY68" s="44"/>
      <c r="BA68" s="43"/>
      <c r="BB68" s="43"/>
      <c r="BC68" s="43"/>
      <c r="BD68" s="44"/>
    </row>
    <row r="69" spans="1:56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3"/>
      <c r="X69" s="26"/>
      <c r="Y69" s="26"/>
      <c r="AA69" s="18" t="str">
        <f t="shared" ref="AA69:AA132" si="16">IF(OR(ISBLANK(AH69),ISBLANK(G69)),"·",AH69*G69/F69/1000000)</f>
        <v>·</v>
      </c>
      <c r="AB69" s="19" t="str">
        <f t="shared" ref="AB69:AB132" si="17">IF(ISBLANK(AH69),"·",AH69/D69)</f>
        <v>·</v>
      </c>
      <c r="AC69" s="19" t="str">
        <f t="shared" ref="AC69:AC132" si="18">IF(AI69="","·",AI69/D69)</f>
        <v>·</v>
      </c>
      <c r="AD69" s="19" t="str">
        <f t="shared" ref="AD69:AD132" si="19">IF(ISBLANK(AJ69),"·",AJ69/D69)</f>
        <v>·</v>
      </c>
      <c r="AE69" s="20"/>
      <c r="AF69" s="19" t="str">
        <f t="shared" ref="AF69:AF132" si="20">IF(ISBLANK(AH69),"·",AH69/AG69)</f>
        <v>·</v>
      </c>
      <c r="AG69" s="21"/>
      <c r="AH69" s="22"/>
      <c r="AI69" s="22"/>
      <c r="AJ69" s="22"/>
      <c r="AK69" s="23"/>
      <c r="AL69" s="24"/>
      <c r="AM69" s="24"/>
      <c r="AN69" s="24"/>
      <c r="AO69" s="23"/>
      <c r="AP69" s="26"/>
      <c r="AQ69" s="26"/>
      <c r="AS69" s="27" t="e">
        <f t="shared" ref="AS69:AS132" si="21">(AI69/AH69) - (Q69/P69)</f>
        <v>#DIV/0!</v>
      </c>
      <c r="AT69" s="27"/>
      <c r="AV69" s="28"/>
      <c r="AW69" s="28"/>
      <c r="AX69" s="28"/>
      <c r="AY69" s="29"/>
      <c r="BA69" s="28"/>
      <c r="BB69" s="28"/>
      <c r="BC69" s="28"/>
      <c r="BD69" s="29"/>
    </row>
    <row r="70" spans="1:56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3"/>
      <c r="X70" s="56"/>
      <c r="Y70" s="56"/>
      <c r="AA70" s="48" t="str">
        <f t="shared" si="16"/>
        <v>·</v>
      </c>
      <c r="AB70" s="49" t="str">
        <f t="shared" si="17"/>
        <v>·</v>
      </c>
      <c r="AC70" s="49" t="str">
        <f t="shared" si="18"/>
        <v>·</v>
      </c>
      <c r="AD70" s="49" t="str">
        <f t="shared" si="19"/>
        <v>·</v>
      </c>
      <c r="AE70" s="50"/>
      <c r="AF70" s="49" t="str">
        <f t="shared" si="20"/>
        <v>·</v>
      </c>
      <c r="AG70" s="51"/>
      <c r="AH70" s="52"/>
      <c r="AI70" s="52"/>
      <c r="AJ70" s="52"/>
      <c r="AK70" s="53"/>
      <c r="AL70" s="54"/>
      <c r="AM70" s="54"/>
      <c r="AN70" s="54"/>
      <c r="AO70" s="53"/>
      <c r="AP70" s="56"/>
      <c r="AQ70" s="56"/>
      <c r="AS70" s="57" t="e">
        <f t="shared" si="21"/>
        <v>#DIV/0!</v>
      </c>
      <c r="AT70" s="57"/>
      <c r="AV70" s="58"/>
      <c r="AW70" s="58"/>
      <c r="AX70" s="58"/>
      <c r="AY70" s="59"/>
      <c r="BA70" s="58"/>
      <c r="BB70" s="58"/>
      <c r="BC70" s="58"/>
      <c r="BD70" s="59"/>
    </row>
    <row r="71" spans="1:56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 t="str">
        <f t="shared" si="12"/>
        <v>·</v>
      </c>
      <c r="K71" s="19" t="str">
        <f t="shared" si="13"/>
        <v>·</v>
      </c>
      <c r="L71" s="19" t="str">
        <f t="shared" si="14"/>
        <v>·</v>
      </c>
      <c r="M71" s="20"/>
      <c r="N71" s="19" t="str">
        <f t="shared" si="15"/>
        <v>·</v>
      </c>
      <c r="O71" s="21"/>
      <c r="P71" s="22"/>
      <c r="Q71" s="22"/>
      <c r="R71" s="22"/>
      <c r="S71" s="23"/>
      <c r="T71" s="24"/>
      <c r="U71" s="24"/>
      <c r="V71" s="24"/>
      <c r="W71" s="23"/>
      <c r="X71" s="26"/>
      <c r="Y71" s="26"/>
      <c r="AA71" s="18" t="str">
        <f t="shared" si="16"/>
        <v>·</v>
      </c>
      <c r="AB71" s="19" t="str">
        <f t="shared" si="17"/>
        <v>·</v>
      </c>
      <c r="AC71" s="19" t="str">
        <f t="shared" si="18"/>
        <v>·</v>
      </c>
      <c r="AD71" s="19" t="str">
        <f t="shared" si="19"/>
        <v>·</v>
      </c>
      <c r="AE71" s="20"/>
      <c r="AF71" s="19" t="str">
        <f t="shared" si="20"/>
        <v>·</v>
      </c>
      <c r="AG71" s="21"/>
      <c r="AH71" s="22"/>
      <c r="AI71" s="22"/>
      <c r="AJ71" s="22"/>
      <c r="AK71" s="23"/>
      <c r="AL71" s="24"/>
      <c r="AM71" s="24"/>
      <c r="AN71" s="24"/>
      <c r="AO71" s="23"/>
      <c r="AP71" s="26"/>
      <c r="AQ71" s="26"/>
      <c r="AS71" s="27" t="e">
        <f t="shared" si="21"/>
        <v>#DIV/0!</v>
      </c>
      <c r="AT71" s="27" t="e">
        <f t="array" ref="AT71">AVERAGE(AI71:AI76/AH71:AH76) - AVERAGE(Q71:Q76/P71:P76)</f>
        <v>#DIV/0!</v>
      </c>
      <c r="AV71" s="28" t="str">
        <f>IF( OR(ISBLANK(R71:R76),ISBLANK(AJ71:AJ76), ISBLANK(T71:T76),ISBLANK(AL71:AL76)), "·", bdRateExtend( R71:R76,T71:T76, AJ71:AJ76,AL71:AL76))</f>
        <v>·</v>
      </c>
      <c r="AW71" s="28" t="str">
        <f>IF( OR(ISBLANK(R71:R76),ISBLANK(AJ71:AJ76), ISBLANK(U71:U76),ISBLANK(AM71:AM76)), "·", bdRateExtend( R71:R76,U71:U76, AJ71:AJ76,AM71:AM76))</f>
        <v>·</v>
      </c>
      <c r="AX71" s="28" t="str">
        <f>IF( OR(ISBLANK(R71:R76),ISBLANK(AJ71:AJ76), ISBLANK(V71:V76),ISBLANK(AN71:AN76)), "·", bdRateExtend( R71:R76,V71:V76, AJ71:AJ76,AN71:AN76))</f>
        <v>·</v>
      </c>
      <c r="AY71" s="29"/>
      <c r="BA71" s="28" t="str">
        <f>IF( OR(ISBLANK(P71:P76),ISBLANK(AH71:AH76), ISBLANK(T71:T76),ISBLANK(AL71:AL76)), "·", bdRateExtend( P71:P76,T71:T76, AH71:AH76,AL71:AL76))</f>
        <v>·</v>
      </c>
      <c r="BB71" s="28" t="str">
        <f>IF( OR(ISBLANK(P71:P76),ISBLANK(AH71:AH76), ISBLANK(U71:U76),ISBLANK(AM71:AM76)), "·", bdRateExtend( P71:P76,U71:U76, AH71:AH76,AM71:AM76))</f>
        <v>·</v>
      </c>
      <c r="BC71" s="28" t="str">
        <f>IF( OR(ISBLANK(P71:P76),ISBLANK(AH71:AH76), ISBLANK(V71:V76),ISBLANK(AN71:AN76)), "·", bdRateExtend( P71:P76,V71:V76, AH71:AH76,AN71:AN76))</f>
        <v>·</v>
      </c>
      <c r="BD71" s="29"/>
    </row>
    <row r="72" spans="1:56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 t="str">
        <f t="shared" si="12"/>
        <v>·</v>
      </c>
      <c r="K72" s="34" t="str">
        <f t="shared" si="13"/>
        <v>·</v>
      </c>
      <c r="L72" s="34" t="str">
        <f t="shared" si="14"/>
        <v>·</v>
      </c>
      <c r="M72" s="35"/>
      <c r="N72" s="34" t="str">
        <f t="shared" si="15"/>
        <v>·</v>
      </c>
      <c r="O72" s="36"/>
      <c r="P72" s="37"/>
      <c r="Q72" s="37"/>
      <c r="R72" s="37"/>
      <c r="S72" s="38"/>
      <c r="T72" s="39"/>
      <c r="U72" s="39"/>
      <c r="V72" s="39"/>
      <c r="W72" s="38"/>
      <c r="X72" s="41"/>
      <c r="Y72" s="41"/>
      <c r="AA72" s="33" t="str">
        <f t="shared" si="16"/>
        <v>·</v>
      </c>
      <c r="AB72" s="34" t="str">
        <f t="shared" si="17"/>
        <v>·</v>
      </c>
      <c r="AC72" s="34" t="str">
        <f t="shared" si="18"/>
        <v>·</v>
      </c>
      <c r="AD72" s="34" t="str">
        <f t="shared" si="19"/>
        <v>·</v>
      </c>
      <c r="AE72" s="35"/>
      <c r="AF72" s="34" t="str">
        <f t="shared" si="20"/>
        <v>·</v>
      </c>
      <c r="AG72" s="36"/>
      <c r="AH72" s="37"/>
      <c r="AI72" s="37"/>
      <c r="AJ72" s="37"/>
      <c r="AK72" s="38"/>
      <c r="AL72" s="39"/>
      <c r="AM72" s="39"/>
      <c r="AN72" s="39"/>
      <c r="AO72" s="38"/>
      <c r="AP72" s="41"/>
      <c r="AQ72" s="41"/>
      <c r="AS72" s="42" t="e">
        <f t="shared" si="21"/>
        <v>#DIV/0!</v>
      </c>
      <c r="AT72" s="42"/>
      <c r="AV72" s="43"/>
      <c r="AW72" s="43"/>
      <c r="AX72" s="43"/>
      <c r="AY72" s="44"/>
      <c r="BA72" s="43"/>
      <c r="BB72" s="43"/>
      <c r="BC72" s="43"/>
      <c r="BD72" s="44"/>
    </row>
    <row r="73" spans="1:56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 t="str">
        <f t="shared" si="12"/>
        <v>·</v>
      </c>
      <c r="K73" s="19" t="str">
        <f t="shared" si="13"/>
        <v>·</v>
      </c>
      <c r="L73" s="19" t="str">
        <f t="shared" si="14"/>
        <v>·</v>
      </c>
      <c r="M73" s="20"/>
      <c r="N73" s="19" t="str">
        <f t="shared" si="15"/>
        <v>·</v>
      </c>
      <c r="O73" s="21"/>
      <c r="P73" s="22"/>
      <c r="Q73" s="22"/>
      <c r="R73" s="22"/>
      <c r="S73" s="23"/>
      <c r="T73" s="24"/>
      <c r="U73" s="24"/>
      <c r="V73" s="24"/>
      <c r="W73" s="23"/>
      <c r="X73" s="26"/>
      <c r="Y73" s="26"/>
      <c r="AA73" s="18" t="str">
        <f t="shared" si="16"/>
        <v>·</v>
      </c>
      <c r="AB73" s="19" t="str">
        <f t="shared" si="17"/>
        <v>·</v>
      </c>
      <c r="AC73" s="19" t="str">
        <f t="shared" si="18"/>
        <v>·</v>
      </c>
      <c r="AD73" s="19" t="str">
        <f t="shared" si="19"/>
        <v>·</v>
      </c>
      <c r="AE73" s="20"/>
      <c r="AF73" s="19" t="str">
        <f t="shared" si="20"/>
        <v>·</v>
      </c>
      <c r="AG73" s="21"/>
      <c r="AH73" s="22"/>
      <c r="AI73" s="22"/>
      <c r="AJ73" s="22"/>
      <c r="AK73" s="23"/>
      <c r="AL73" s="24"/>
      <c r="AM73" s="24"/>
      <c r="AN73" s="24"/>
      <c r="AO73" s="23"/>
      <c r="AP73" s="26"/>
      <c r="AQ73" s="26"/>
      <c r="AS73" s="27" t="e">
        <f t="shared" si="21"/>
        <v>#DIV/0!</v>
      </c>
      <c r="AT73" s="27"/>
      <c r="AV73" s="28"/>
      <c r="AW73" s="28"/>
      <c r="AX73" s="28"/>
      <c r="AY73" s="29"/>
      <c r="BA73" s="28"/>
      <c r="BB73" s="28"/>
      <c r="BC73" s="28"/>
      <c r="BD73" s="29"/>
    </row>
    <row r="74" spans="1:56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 t="str">
        <f t="shared" si="12"/>
        <v>·</v>
      </c>
      <c r="K74" s="34" t="str">
        <f t="shared" si="13"/>
        <v>·</v>
      </c>
      <c r="L74" s="34" t="str">
        <f t="shared" si="14"/>
        <v>·</v>
      </c>
      <c r="M74" s="35"/>
      <c r="N74" s="34" t="str">
        <f t="shared" si="15"/>
        <v>·</v>
      </c>
      <c r="O74" s="36"/>
      <c r="P74" s="37"/>
      <c r="Q74" s="37"/>
      <c r="R74" s="37"/>
      <c r="S74" s="38"/>
      <c r="T74" s="39"/>
      <c r="U74" s="39"/>
      <c r="V74" s="39"/>
      <c r="W74" s="38"/>
      <c r="X74" s="41"/>
      <c r="Y74" s="41"/>
      <c r="AA74" s="33" t="str">
        <f t="shared" si="16"/>
        <v>·</v>
      </c>
      <c r="AB74" s="34" t="str">
        <f t="shared" si="17"/>
        <v>·</v>
      </c>
      <c r="AC74" s="34" t="str">
        <f t="shared" si="18"/>
        <v>·</v>
      </c>
      <c r="AD74" s="34" t="str">
        <f t="shared" si="19"/>
        <v>·</v>
      </c>
      <c r="AE74" s="35"/>
      <c r="AF74" s="34" t="str">
        <f t="shared" si="20"/>
        <v>·</v>
      </c>
      <c r="AG74" s="36"/>
      <c r="AH74" s="37"/>
      <c r="AI74" s="37"/>
      <c r="AJ74" s="37"/>
      <c r="AK74" s="38"/>
      <c r="AL74" s="39"/>
      <c r="AM74" s="39"/>
      <c r="AN74" s="39"/>
      <c r="AO74" s="38"/>
      <c r="AP74" s="41"/>
      <c r="AQ74" s="41"/>
      <c r="AS74" s="42" t="e">
        <f t="shared" si="21"/>
        <v>#DIV/0!</v>
      </c>
      <c r="AT74" s="42"/>
      <c r="AV74" s="43"/>
      <c r="AW74" s="43"/>
      <c r="AX74" s="43"/>
      <c r="AY74" s="44"/>
      <c r="BA74" s="43"/>
      <c r="BB74" s="43"/>
      <c r="BC74" s="43"/>
      <c r="BD74" s="44"/>
    </row>
    <row r="75" spans="1:56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3"/>
      <c r="X75" s="26"/>
      <c r="Y75" s="26"/>
      <c r="AA75" s="18" t="str">
        <f t="shared" si="16"/>
        <v>·</v>
      </c>
      <c r="AB75" s="19" t="str">
        <f t="shared" si="17"/>
        <v>·</v>
      </c>
      <c r="AC75" s="19" t="str">
        <f t="shared" si="18"/>
        <v>·</v>
      </c>
      <c r="AD75" s="19" t="str">
        <f t="shared" si="19"/>
        <v>·</v>
      </c>
      <c r="AE75" s="20"/>
      <c r="AF75" s="19" t="str">
        <f t="shared" si="20"/>
        <v>·</v>
      </c>
      <c r="AG75" s="21"/>
      <c r="AH75" s="22"/>
      <c r="AI75" s="22"/>
      <c r="AJ75" s="22"/>
      <c r="AK75" s="23"/>
      <c r="AL75" s="24"/>
      <c r="AM75" s="24"/>
      <c r="AN75" s="24"/>
      <c r="AO75" s="23"/>
      <c r="AP75" s="26"/>
      <c r="AQ75" s="26"/>
      <c r="AS75" s="27" t="e">
        <f t="shared" si="21"/>
        <v>#DIV/0!</v>
      </c>
      <c r="AT75" s="27"/>
      <c r="AV75" s="28"/>
      <c r="AW75" s="28"/>
      <c r="AX75" s="28"/>
      <c r="AY75" s="29"/>
      <c r="BA75" s="28"/>
      <c r="BB75" s="28"/>
      <c r="BC75" s="28"/>
      <c r="BD75" s="29"/>
    </row>
    <row r="76" spans="1:56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3"/>
      <c r="X76" s="56"/>
      <c r="Y76" s="56"/>
      <c r="AA76" s="48" t="str">
        <f t="shared" si="16"/>
        <v>·</v>
      </c>
      <c r="AB76" s="49" t="str">
        <f t="shared" si="17"/>
        <v>·</v>
      </c>
      <c r="AC76" s="49" t="str">
        <f t="shared" si="18"/>
        <v>·</v>
      </c>
      <c r="AD76" s="49" t="str">
        <f t="shared" si="19"/>
        <v>·</v>
      </c>
      <c r="AE76" s="50"/>
      <c r="AF76" s="49" t="str">
        <f t="shared" si="20"/>
        <v>·</v>
      </c>
      <c r="AG76" s="51"/>
      <c r="AH76" s="52"/>
      <c r="AI76" s="52"/>
      <c r="AJ76" s="52"/>
      <c r="AK76" s="53"/>
      <c r="AL76" s="54"/>
      <c r="AM76" s="54"/>
      <c r="AN76" s="54"/>
      <c r="AO76" s="53"/>
      <c r="AP76" s="56"/>
      <c r="AQ76" s="56"/>
      <c r="AS76" s="57" t="e">
        <f t="shared" si="21"/>
        <v>#DIV/0!</v>
      </c>
      <c r="AT76" s="57"/>
      <c r="AV76" s="58"/>
      <c r="AW76" s="58"/>
      <c r="AX76" s="58"/>
      <c r="AY76" s="59"/>
      <c r="BA76" s="58"/>
      <c r="BB76" s="58"/>
      <c r="BC76" s="58"/>
      <c r="BD76" s="59"/>
    </row>
    <row r="77" spans="1:56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 t="str">
        <f t="shared" si="12"/>
        <v>·</v>
      </c>
      <c r="K77" s="19" t="str">
        <f t="shared" si="13"/>
        <v>·</v>
      </c>
      <c r="L77" s="19" t="str">
        <f t="shared" si="14"/>
        <v>·</v>
      </c>
      <c r="M77" s="20"/>
      <c r="N77" s="19" t="str">
        <f t="shared" si="15"/>
        <v>·</v>
      </c>
      <c r="O77" s="21"/>
      <c r="P77" s="22"/>
      <c r="Q77" s="22"/>
      <c r="R77" s="22"/>
      <c r="S77" s="23"/>
      <c r="T77" s="24"/>
      <c r="U77" s="24"/>
      <c r="V77" s="24"/>
      <c r="W77" s="23"/>
      <c r="X77" s="26"/>
      <c r="Y77" s="26"/>
      <c r="AA77" s="18" t="str">
        <f t="shared" si="16"/>
        <v>·</v>
      </c>
      <c r="AB77" s="19" t="str">
        <f t="shared" si="17"/>
        <v>·</v>
      </c>
      <c r="AC77" s="19" t="str">
        <f t="shared" si="18"/>
        <v>·</v>
      </c>
      <c r="AD77" s="19" t="str">
        <f t="shared" si="19"/>
        <v>·</v>
      </c>
      <c r="AE77" s="20"/>
      <c r="AF77" s="19" t="str">
        <f t="shared" si="20"/>
        <v>·</v>
      </c>
      <c r="AG77" s="21"/>
      <c r="AH77" s="22"/>
      <c r="AI77" s="22"/>
      <c r="AJ77" s="22"/>
      <c r="AK77" s="23"/>
      <c r="AL77" s="24"/>
      <c r="AM77" s="24"/>
      <c r="AN77" s="24"/>
      <c r="AO77" s="23"/>
      <c r="AP77" s="26"/>
      <c r="AQ77" s="26"/>
      <c r="AS77" s="27" t="e">
        <f t="shared" si="21"/>
        <v>#DIV/0!</v>
      </c>
      <c r="AT77" s="27" t="e">
        <f t="array" ref="AT77">AVERAGE(AI77:AI82/AH77:AH82) - AVERAGE(Q77:Q82/P77:P82)</f>
        <v>#DIV/0!</v>
      </c>
      <c r="AV77" s="28" t="str">
        <f>IF( OR(ISBLANK(R77:R82),ISBLANK(AJ77:AJ82), ISBLANK(T77:T82),ISBLANK(AL77:AL82)), "·", bdRateExtend( R77:R82,T77:T82, AJ77:AJ82,AL77:AL82))</f>
        <v>·</v>
      </c>
      <c r="AW77" s="28" t="str">
        <f>IF( OR(ISBLANK(R77:R82),ISBLANK(AJ77:AJ82), ISBLANK(U77:U82),ISBLANK(AM77:AM82)), "·", bdRateExtend( R77:R82,U77:U82, AJ77:AJ82,AM77:AM82))</f>
        <v>·</v>
      </c>
      <c r="AX77" s="28" t="str">
        <f>IF( OR(ISBLANK(R77:R82),ISBLANK(AJ77:AJ82), ISBLANK(V77:V82),ISBLANK(AN77:AN82)), "·", bdRateExtend( R77:R82,V77:V82, AJ77:AJ82,AN77:AN82))</f>
        <v>·</v>
      </c>
      <c r="AY77" s="29"/>
      <c r="BA77" s="28" t="str">
        <f>IF( OR(ISBLANK(P77:P82),ISBLANK(AH77:AH82), ISBLANK(T77:T82),ISBLANK(AL77:AL82)), "·", bdRateExtend( P77:P82,T77:T82, AH77:AH82,AL77:AL82))</f>
        <v>·</v>
      </c>
      <c r="BB77" s="28" t="str">
        <f>IF( OR(ISBLANK(P77:P82),ISBLANK(AH77:AH82), ISBLANK(U77:U82),ISBLANK(AM77:AM82)), "·", bdRateExtend( P77:P82,U77:U82, AH77:AH82,AM77:AM82))</f>
        <v>·</v>
      </c>
      <c r="BC77" s="28" t="str">
        <f>IF( OR(ISBLANK(P77:P82),ISBLANK(AH77:AH82), ISBLANK(V77:V82),ISBLANK(AN77:AN82)), "·", bdRateExtend( P77:P82,V77:V82, AH77:AH82,AN77:AN82))</f>
        <v>·</v>
      </c>
      <c r="BD77" s="29"/>
    </row>
    <row r="78" spans="1:56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 t="str">
        <f t="shared" si="12"/>
        <v>·</v>
      </c>
      <c r="K78" s="34" t="str">
        <f t="shared" si="13"/>
        <v>·</v>
      </c>
      <c r="L78" s="34" t="str">
        <f t="shared" si="14"/>
        <v>·</v>
      </c>
      <c r="M78" s="35"/>
      <c r="N78" s="34" t="str">
        <f t="shared" si="15"/>
        <v>·</v>
      </c>
      <c r="O78" s="36"/>
      <c r="P78" s="37"/>
      <c r="Q78" s="37"/>
      <c r="R78" s="37"/>
      <c r="S78" s="38"/>
      <c r="T78" s="39"/>
      <c r="U78" s="39"/>
      <c r="V78" s="39"/>
      <c r="W78" s="38"/>
      <c r="X78" s="41"/>
      <c r="Y78" s="41"/>
      <c r="AA78" s="33" t="str">
        <f t="shared" si="16"/>
        <v>·</v>
      </c>
      <c r="AB78" s="34" t="str">
        <f t="shared" si="17"/>
        <v>·</v>
      </c>
      <c r="AC78" s="34" t="str">
        <f t="shared" si="18"/>
        <v>·</v>
      </c>
      <c r="AD78" s="34" t="str">
        <f t="shared" si="19"/>
        <v>·</v>
      </c>
      <c r="AE78" s="35"/>
      <c r="AF78" s="34" t="str">
        <f t="shared" si="20"/>
        <v>·</v>
      </c>
      <c r="AG78" s="36"/>
      <c r="AH78" s="37"/>
      <c r="AI78" s="37"/>
      <c r="AJ78" s="37"/>
      <c r="AK78" s="38"/>
      <c r="AL78" s="39"/>
      <c r="AM78" s="39"/>
      <c r="AN78" s="39"/>
      <c r="AO78" s="38"/>
      <c r="AP78" s="41"/>
      <c r="AQ78" s="41"/>
      <c r="AS78" s="42" t="e">
        <f t="shared" si="21"/>
        <v>#DIV/0!</v>
      </c>
      <c r="AT78" s="42"/>
      <c r="AV78" s="43"/>
      <c r="AW78" s="43"/>
      <c r="AX78" s="43"/>
      <c r="AY78" s="44"/>
      <c r="BA78" s="43"/>
      <c r="BB78" s="43"/>
      <c r="BC78" s="43"/>
      <c r="BD78" s="44"/>
    </row>
    <row r="79" spans="1:56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 t="str">
        <f t="shared" si="12"/>
        <v>·</v>
      </c>
      <c r="K79" s="19" t="str">
        <f t="shared" si="13"/>
        <v>·</v>
      </c>
      <c r="L79" s="19" t="str">
        <f t="shared" si="14"/>
        <v>·</v>
      </c>
      <c r="M79" s="20"/>
      <c r="N79" s="19" t="str">
        <f t="shared" si="15"/>
        <v>·</v>
      </c>
      <c r="O79" s="21"/>
      <c r="P79" s="22"/>
      <c r="Q79" s="22"/>
      <c r="R79" s="22"/>
      <c r="S79" s="23"/>
      <c r="T79" s="24"/>
      <c r="U79" s="24"/>
      <c r="V79" s="24"/>
      <c r="W79" s="23"/>
      <c r="X79" s="26"/>
      <c r="Y79" s="26"/>
      <c r="AA79" s="18" t="str">
        <f t="shared" si="16"/>
        <v>·</v>
      </c>
      <c r="AB79" s="19" t="str">
        <f t="shared" si="17"/>
        <v>·</v>
      </c>
      <c r="AC79" s="19" t="str">
        <f t="shared" si="18"/>
        <v>·</v>
      </c>
      <c r="AD79" s="19" t="str">
        <f t="shared" si="19"/>
        <v>·</v>
      </c>
      <c r="AE79" s="20"/>
      <c r="AF79" s="19" t="str">
        <f t="shared" si="20"/>
        <v>·</v>
      </c>
      <c r="AG79" s="21"/>
      <c r="AH79" s="22"/>
      <c r="AI79" s="22"/>
      <c r="AJ79" s="22"/>
      <c r="AK79" s="23"/>
      <c r="AL79" s="24"/>
      <c r="AM79" s="24"/>
      <c r="AN79" s="24"/>
      <c r="AO79" s="23"/>
      <c r="AP79" s="26"/>
      <c r="AQ79" s="26"/>
      <c r="AS79" s="27" t="e">
        <f t="shared" si="21"/>
        <v>#DIV/0!</v>
      </c>
      <c r="AT79" s="27"/>
      <c r="AV79" s="28"/>
      <c r="AW79" s="28"/>
      <c r="AX79" s="28"/>
      <c r="AY79" s="29"/>
      <c r="BA79" s="28"/>
      <c r="BB79" s="28"/>
      <c r="BC79" s="28"/>
      <c r="BD79" s="29"/>
    </row>
    <row r="80" spans="1:56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 t="str">
        <f t="shared" si="12"/>
        <v>·</v>
      </c>
      <c r="K80" s="34" t="str">
        <f t="shared" si="13"/>
        <v>·</v>
      </c>
      <c r="L80" s="34" t="str">
        <f t="shared" si="14"/>
        <v>·</v>
      </c>
      <c r="M80" s="35"/>
      <c r="N80" s="34" t="str">
        <f t="shared" si="15"/>
        <v>·</v>
      </c>
      <c r="O80" s="36"/>
      <c r="P80" s="37"/>
      <c r="Q80" s="37"/>
      <c r="R80" s="37"/>
      <c r="S80" s="38"/>
      <c r="T80" s="39"/>
      <c r="U80" s="39"/>
      <c r="V80" s="39"/>
      <c r="W80" s="38"/>
      <c r="X80" s="41"/>
      <c r="Y80" s="41"/>
      <c r="AA80" s="33" t="str">
        <f t="shared" si="16"/>
        <v>·</v>
      </c>
      <c r="AB80" s="34" t="str">
        <f t="shared" si="17"/>
        <v>·</v>
      </c>
      <c r="AC80" s="34" t="str">
        <f t="shared" si="18"/>
        <v>·</v>
      </c>
      <c r="AD80" s="34" t="str">
        <f t="shared" si="19"/>
        <v>·</v>
      </c>
      <c r="AE80" s="35"/>
      <c r="AF80" s="34" t="str">
        <f t="shared" si="20"/>
        <v>·</v>
      </c>
      <c r="AG80" s="36"/>
      <c r="AH80" s="37"/>
      <c r="AI80" s="37"/>
      <c r="AJ80" s="37"/>
      <c r="AK80" s="38"/>
      <c r="AL80" s="39"/>
      <c r="AM80" s="39"/>
      <c r="AN80" s="39"/>
      <c r="AO80" s="38"/>
      <c r="AP80" s="41"/>
      <c r="AQ80" s="41"/>
      <c r="AS80" s="42" t="e">
        <f t="shared" si="21"/>
        <v>#DIV/0!</v>
      </c>
      <c r="AT80" s="42"/>
      <c r="AV80" s="43"/>
      <c r="AW80" s="43"/>
      <c r="AX80" s="43"/>
      <c r="AY80" s="44"/>
      <c r="BA80" s="43"/>
      <c r="BB80" s="43"/>
      <c r="BC80" s="43"/>
      <c r="BD80" s="44"/>
    </row>
    <row r="81" spans="1:56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3"/>
      <c r="X81" s="26"/>
      <c r="Y81" s="26"/>
      <c r="AA81" s="18" t="str">
        <f t="shared" si="16"/>
        <v>·</v>
      </c>
      <c r="AB81" s="19" t="str">
        <f t="shared" si="17"/>
        <v>·</v>
      </c>
      <c r="AC81" s="19" t="str">
        <f t="shared" si="18"/>
        <v>·</v>
      </c>
      <c r="AD81" s="19" t="str">
        <f t="shared" si="19"/>
        <v>·</v>
      </c>
      <c r="AE81" s="20"/>
      <c r="AF81" s="19" t="str">
        <f t="shared" si="20"/>
        <v>·</v>
      </c>
      <c r="AG81" s="21"/>
      <c r="AH81" s="22"/>
      <c r="AI81" s="22"/>
      <c r="AJ81" s="22"/>
      <c r="AK81" s="23"/>
      <c r="AL81" s="24"/>
      <c r="AM81" s="24"/>
      <c r="AN81" s="24"/>
      <c r="AO81" s="23"/>
      <c r="AP81" s="26"/>
      <c r="AQ81" s="26"/>
      <c r="AS81" s="27" t="e">
        <f t="shared" si="21"/>
        <v>#DIV/0!</v>
      </c>
      <c r="AT81" s="27"/>
      <c r="AV81" s="28"/>
      <c r="AW81" s="28"/>
      <c r="AX81" s="28"/>
      <c r="AY81" s="29"/>
      <c r="BA81" s="28"/>
      <c r="BB81" s="28"/>
      <c r="BC81" s="28"/>
      <c r="BD81" s="29"/>
    </row>
    <row r="82" spans="1:56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3"/>
      <c r="X82" s="56"/>
      <c r="Y82" s="56"/>
      <c r="AA82" s="48" t="str">
        <f t="shared" si="16"/>
        <v>·</v>
      </c>
      <c r="AB82" s="49" t="str">
        <f t="shared" si="17"/>
        <v>·</v>
      </c>
      <c r="AC82" s="49" t="str">
        <f t="shared" si="18"/>
        <v>·</v>
      </c>
      <c r="AD82" s="49" t="str">
        <f t="shared" si="19"/>
        <v>·</v>
      </c>
      <c r="AE82" s="50"/>
      <c r="AF82" s="49" t="str">
        <f t="shared" si="20"/>
        <v>·</v>
      </c>
      <c r="AG82" s="51"/>
      <c r="AH82" s="52"/>
      <c r="AI82" s="52"/>
      <c r="AJ82" s="52"/>
      <c r="AK82" s="53"/>
      <c r="AL82" s="54"/>
      <c r="AM82" s="54"/>
      <c r="AN82" s="54"/>
      <c r="AO82" s="53"/>
      <c r="AP82" s="56"/>
      <c r="AQ82" s="56"/>
      <c r="AS82" s="57" t="e">
        <f t="shared" si="21"/>
        <v>#DIV/0!</v>
      </c>
      <c r="AT82" s="57"/>
      <c r="AV82" s="58"/>
      <c r="AW82" s="58"/>
      <c r="AX82" s="58"/>
      <c r="AY82" s="59"/>
      <c r="BA82" s="58"/>
      <c r="BB82" s="58"/>
      <c r="BC82" s="58"/>
      <c r="BD82" s="59"/>
    </row>
    <row r="83" spans="1:56" x14ac:dyDescent="0.15">
      <c r="A83" s="15"/>
      <c r="B83" s="15" t="s">
        <v>270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 t="str">
        <f t="shared" si="12"/>
        <v>·</v>
      </c>
      <c r="K83" s="19" t="str">
        <f t="shared" si="13"/>
        <v>·</v>
      </c>
      <c r="L83" s="19" t="str">
        <f t="shared" si="14"/>
        <v>·</v>
      </c>
      <c r="M83" s="20"/>
      <c r="N83" s="19" t="str">
        <f t="shared" si="15"/>
        <v>·</v>
      </c>
      <c r="O83" s="21"/>
      <c r="P83" s="22"/>
      <c r="Q83" s="22"/>
      <c r="R83" s="22"/>
      <c r="S83" s="23"/>
      <c r="T83" s="24"/>
      <c r="U83" s="24"/>
      <c r="V83" s="24"/>
      <c r="W83" s="23"/>
      <c r="X83" s="26"/>
      <c r="Y83" s="26"/>
      <c r="AA83" s="18" t="str">
        <f t="shared" si="16"/>
        <v>·</v>
      </c>
      <c r="AB83" s="19" t="str">
        <f t="shared" si="17"/>
        <v>·</v>
      </c>
      <c r="AC83" s="19" t="str">
        <f t="shared" si="18"/>
        <v>·</v>
      </c>
      <c r="AD83" s="19" t="str">
        <f t="shared" si="19"/>
        <v>·</v>
      </c>
      <c r="AE83" s="20"/>
      <c r="AF83" s="19" t="str">
        <f t="shared" si="20"/>
        <v>·</v>
      </c>
      <c r="AG83" s="21"/>
      <c r="AH83" s="22"/>
      <c r="AI83" s="22"/>
      <c r="AJ83" s="22"/>
      <c r="AK83" s="23"/>
      <c r="AL83" s="24"/>
      <c r="AM83" s="24"/>
      <c r="AN83" s="24"/>
      <c r="AO83" s="23"/>
      <c r="AP83" s="26"/>
      <c r="AQ83" s="26"/>
      <c r="AS83" s="27" t="e">
        <f t="shared" si="21"/>
        <v>#DIV/0!</v>
      </c>
      <c r="AT83" s="27" t="e">
        <f t="array" ref="AT83">AVERAGE(AI83:AI88/AH83:AH88) - AVERAGE(Q83:Q88/P83:P88)</f>
        <v>#DIV/0!</v>
      </c>
      <c r="AV83" s="28" t="str">
        <f>IF( OR(ISBLANK(R83:R88),ISBLANK(AJ83:AJ88), ISBLANK(T83:T88),ISBLANK(AL83:AL88)), "·", bdRateExtend( R83:R88,T83:T88, AJ83:AJ88,AL83:AL88))</f>
        <v>·</v>
      </c>
      <c r="AW83" s="28" t="str">
        <f>IF( OR(ISBLANK(R83:R88),ISBLANK(AJ83:AJ88), ISBLANK(U83:U88),ISBLANK(AM83:AM88)), "·", bdRateExtend( R83:R88,U83:U88, AJ83:AJ88,AM83:AM88))</f>
        <v>·</v>
      </c>
      <c r="AX83" s="28" t="str">
        <f>IF( OR(ISBLANK(R83:R88),ISBLANK(AJ83:AJ88), ISBLANK(V83:V88),ISBLANK(AN83:AN88)), "·", bdRateExtend( R83:R88,V83:V88, AJ83:AJ88,AN83:AN88))</f>
        <v>·</v>
      </c>
      <c r="AY83" s="29"/>
      <c r="BA83" s="28" t="str">
        <f>IF( OR(ISBLANK(P83:P88),ISBLANK(AH83:AH88), ISBLANK(T83:T88),ISBLANK(AL83:AL88)), "·", bdRateExtend( P83:P88,T83:T88, AH83:AH88,AL83:AL88))</f>
        <v>·</v>
      </c>
      <c r="BB83" s="28" t="str">
        <f>IF( OR(ISBLANK(P83:P88),ISBLANK(AH83:AH88), ISBLANK(U83:U88),ISBLANK(AM83:AM88)), "·", bdRateExtend( P83:P88,U83:U88, AH83:AH88,AM83:AM88))</f>
        <v>·</v>
      </c>
      <c r="BC83" s="28" t="str">
        <f>IF( OR(ISBLANK(P83:P88),ISBLANK(AH83:AH88), ISBLANK(V83:V88),ISBLANK(AN83:AN88)), "·", bdRateExtend( P83:P88,V83:V88, AH83:AH88,AN83:AN88))</f>
        <v>·</v>
      </c>
      <c r="BD83" s="29"/>
    </row>
    <row r="84" spans="1:56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 t="str">
        <f t="shared" si="12"/>
        <v>·</v>
      </c>
      <c r="K84" s="34" t="str">
        <f t="shared" si="13"/>
        <v>·</v>
      </c>
      <c r="L84" s="34" t="str">
        <f t="shared" si="14"/>
        <v>·</v>
      </c>
      <c r="M84" s="35"/>
      <c r="N84" s="34" t="str">
        <f t="shared" si="15"/>
        <v>·</v>
      </c>
      <c r="O84" s="36"/>
      <c r="P84" s="37"/>
      <c r="Q84" s="37"/>
      <c r="R84" s="37"/>
      <c r="S84" s="38"/>
      <c r="T84" s="39"/>
      <c r="U84" s="39"/>
      <c r="V84" s="39"/>
      <c r="W84" s="38"/>
      <c r="X84" s="41"/>
      <c r="Y84" s="41"/>
      <c r="AA84" s="33" t="str">
        <f t="shared" si="16"/>
        <v>·</v>
      </c>
      <c r="AB84" s="34" t="str">
        <f t="shared" si="17"/>
        <v>·</v>
      </c>
      <c r="AC84" s="34" t="str">
        <f t="shared" si="18"/>
        <v>·</v>
      </c>
      <c r="AD84" s="34" t="str">
        <f t="shared" si="19"/>
        <v>·</v>
      </c>
      <c r="AE84" s="35"/>
      <c r="AF84" s="34" t="str">
        <f t="shared" si="20"/>
        <v>·</v>
      </c>
      <c r="AG84" s="36"/>
      <c r="AH84" s="37"/>
      <c r="AI84" s="37"/>
      <c r="AJ84" s="37"/>
      <c r="AK84" s="38"/>
      <c r="AL84" s="39"/>
      <c r="AM84" s="39"/>
      <c r="AN84" s="39"/>
      <c r="AO84" s="38"/>
      <c r="AP84" s="41"/>
      <c r="AQ84" s="41"/>
      <c r="AS84" s="42" t="e">
        <f t="shared" si="21"/>
        <v>#DIV/0!</v>
      </c>
      <c r="AT84" s="42"/>
      <c r="AV84" s="43"/>
      <c r="AW84" s="43"/>
      <c r="AX84" s="43"/>
      <c r="AY84" s="44"/>
      <c r="BA84" s="43"/>
      <c r="BB84" s="43"/>
      <c r="BC84" s="43"/>
      <c r="BD84" s="44"/>
    </row>
    <row r="85" spans="1:56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 t="str">
        <f t="shared" si="12"/>
        <v>·</v>
      </c>
      <c r="K85" s="19" t="str">
        <f t="shared" si="13"/>
        <v>·</v>
      </c>
      <c r="L85" s="19" t="str">
        <f t="shared" si="14"/>
        <v>·</v>
      </c>
      <c r="M85" s="20"/>
      <c r="N85" s="19" t="str">
        <f t="shared" si="15"/>
        <v>·</v>
      </c>
      <c r="O85" s="21"/>
      <c r="P85" s="22"/>
      <c r="Q85" s="22"/>
      <c r="R85" s="22"/>
      <c r="S85" s="23"/>
      <c r="T85" s="24"/>
      <c r="U85" s="24"/>
      <c r="V85" s="24"/>
      <c r="W85" s="23"/>
      <c r="X85" s="26"/>
      <c r="Y85" s="26"/>
      <c r="AA85" s="18" t="str">
        <f t="shared" si="16"/>
        <v>·</v>
      </c>
      <c r="AB85" s="19" t="str">
        <f t="shared" si="17"/>
        <v>·</v>
      </c>
      <c r="AC85" s="19" t="str">
        <f t="shared" si="18"/>
        <v>·</v>
      </c>
      <c r="AD85" s="19" t="str">
        <f t="shared" si="19"/>
        <v>·</v>
      </c>
      <c r="AE85" s="20"/>
      <c r="AF85" s="19" t="str">
        <f t="shared" si="20"/>
        <v>·</v>
      </c>
      <c r="AG85" s="21"/>
      <c r="AH85" s="22"/>
      <c r="AI85" s="22"/>
      <c r="AJ85" s="22"/>
      <c r="AK85" s="23"/>
      <c r="AL85" s="24"/>
      <c r="AM85" s="24"/>
      <c r="AN85" s="24"/>
      <c r="AO85" s="23"/>
      <c r="AP85" s="26"/>
      <c r="AQ85" s="26"/>
      <c r="AS85" s="27" t="e">
        <f t="shared" si="21"/>
        <v>#DIV/0!</v>
      </c>
      <c r="AT85" s="27"/>
      <c r="AV85" s="28"/>
      <c r="AW85" s="28"/>
      <c r="AX85" s="28"/>
      <c r="AY85" s="29"/>
      <c r="BA85" s="28"/>
      <c r="BB85" s="28"/>
      <c r="BC85" s="28"/>
      <c r="BD85" s="29"/>
    </row>
    <row r="86" spans="1:56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8"/>
      <c r="X86" s="41"/>
      <c r="Y86" s="41"/>
      <c r="AA86" s="33" t="str">
        <f t="shared" si="16"/>
        <v>·</v>
      </c>
      <c r="AB86" s="34" t="str">
        <f t="shared" si="17"/>
        <v>·</v>
      </c>
      <c r="AC86" s="34" t="str">
        <f t="shared" si="18"/>
        <v>·</v>
      </c>
      <c r="AD86" s="34" t="str">
        <f t="shared" si="19"/>
        <v>·</v>
      </c>
      <c r="AE86" s="35"/>
      <c r="AF86" s="34" t="str">
        <f t="shared" si="20"/>
        <v>·</v>
      </c>
      <c r="AG86" s="36"/>
      <c r="AH86" s="37"/>
      <c r="AI86" s="37"/>
      <c r="AJ86" s="37"/>
      <c r="AK86" s="38"/>
      <c r="AL86" s="39"/>
      <c r="AM86" s="39"/>
      <c r="AN86" s="39"/>
      <c r="AO86" s="38"/>
      <c r="AP86" s="41"/>
      <c r="AQ86" s="41"/>
      <c r="AS86" s="42" t="e">
        <f t="shared" si="21"/>
        <v>#DIV/0!</v>
      </c>
      <c r="AT86" s="42"/>
      <c r="AV86" s="43"/>
      <c r="AW86" s="43"/>
      <c r="AX86" s="43"/>
      <c r="AY86" s="44"/>
      <c r="BA86" s="43"/>
      <c r="BB86" s="43"/>
      <c r="BC86" s="43"/>
      <c r="BD86" s="44"/>
    </row>
    <row r="87" spans="1:56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3"/>
      <c r="X87" s="26"/>
      <c r="Y87" s="26"/>
      <c r="AA87" s="18" t="str">
        <f t="shared" si="16"/>
        <v>·</v>
      </c>
      <c r="AB87" s="19" t="str">
        <f t="shared" si="17"/>
        <v>·</v>
      </c>
      <c r="AC87" s="19" t="str">
        <f t="shared" si="18"/>
        <v>·</v>
      </c>
      <c r="AD87" s="19" t="str">
        <f t="shared" si="19"/>
        <v>·</v>
      </c>
      <c r="AE87" s="20"/>
      <c r="AF87" s="19" t="str">
        <f t="shared" si="20"/>
        <v>·</v>
      </c>
      <c r="AG87" s="21"/>
      <c r="AH87" s="22"/>
      <c r="AI87" s="22"/>
      <c r="AJ87" s="22"/>
      <c r="AK87" s="23"/>
      <c r="AL87" s="24"/>
      <c r="AM87" s="24"/>
      <c r="AN87" s="24"/>
      <c r="AO87" s="23"/>
      <c r="AP87" s="26"/>
      <c r="AQ87" s="26"/>
      <c r="AS87" s="27" t="e">
        <f t="shared" si="21"/>
        <v>#DIV/0!</v>
      </c>
      <c r="AT87" s="27"/>
      <c r="AV87" s="28"/>
      <c r="AW87" s="28"/>
      <c r="AX87" s="28"/>
      <c r="AY87" s="29"/>
      <c r="BA87" s="28"/>
      <c r="BB87" s="28"/>
      <c r="BC87" s="28"/>
      <c r="BD87" s="29"/>
    </row>
    <row r="88" spans="1:56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3"/>
      <c r="X88" s="56"/>
      <c r="Y88" s="56"/>
      <c r="AA88" s="48" t="str">
        <f t="shared" si="16"/>
        <v>·</v>
      </c>
      <c r="AB88" s="49" t="str">
        <f t="shared" si="17"/>
        <v>·</v>
      </c>
      <c r="AC88" s="49" t="str">
        <f t="shared" si="18"/>
        <v>·</v>
      </c>
      <c r="AD88" s="49" t="str">
        <f t="shared" si="19"/>
        <v>·</v>
      </c>
      <c r="AE88" s="50"/>
      <c r="AF88" s="49" t="str">
        <f t="shared" si="20"/>
        <v>·</v>
      </c>
      <c r="AG88" s="51"/>
      <c r="AH88" s="52"/>
      <c r="AI88" s="52"/>
      <c r="AJ88" s="52"/>
      <c r="AK88" s="53"/>
      <c r="AL88" s="54"/>
      <c r="AM88" s="54"/>
      <c r="AN88" s="54"/>
      <c r="AO88" s="53"/>
      <c r="AP88" s="56"/>
      <c r="AQ88" s="56"/>
      <c r="AS88" s="57" t="e">
        <f t="shared" si="21"/>
        <v>#DIV/0!</v>
      </c>
      <c r="AT88" s="57"/>
      <c r="AV88" s="58"/>
      <c r="AW88" s="58"/>
      <c r="AX88" s="58"/>
      <c r="AY88" s="59"/>
      <c r="BA88" s="58"/>
      <c r="BB88" s="58"/>
      <c r="BC88" s="58"/>
      <c r="BD88" s="59"/>
    </row>
    <row r="89" spans="1:56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 t="str">
        <f t="shared" si="12"/>
        <v>·</v>
      </c>
      <c r="K89" s="19" t="str">
        <f t="shared" si="13"/>
        <v>·</v>
      </c>
      <c r="L89" s="19" t="str">
        <f t="shared" si="14"/>
        <v>·</v>
      </c>
      <c r="M89" s="20"/>
      <c r="N89" s="19" t="str">
        <f t="shared" si="15"/>
        <v>·</v>
      </c>
      <c r="O89" s="21"/>
      <c r="P89" s="22"/>
      <c r="Q89" s="22"/>
      <c r="R89" s="22"/>
      <c r="S89" s="23"/>
      <c r="T89" s="24"/>
      <c r="U89" s="24"/>
      <c r="V89" s="24"/>
      <c r="W89" s="23"/>
      <c r="X89" s="26"/>
      <c r="Y89" s="26"/>
      <c r="AA89" s="18" t="str">
        <f t="shared" si="16"/>
        <v>·</v>
      </c>
      <c r="AB89" s="19" t="str">
        <f t="shared" si="17"/>
        <v>·</v>
      </c>
      <c r="AC89" s="19" t="str">
        <f t="shared" si="18"/>
        <v>·</v>
      </c>
      <c r="AD89" s="19" t="str">
        <f t="shared" si="19"/>
        <v>·</v>
      </c>
      <c r="AE89" s="20"/>
      <c r="AF89" s="19" t="str">
        <f t="shared" si="20"/>
        <v>·</v>
      </c>
      <c r="AG89" s="21"/>
      <c r="AH89" s="22"/>
      <c r="AI89" s="22"/>
      <c r="AJ89" s="22"/>
      <c r="AK89" s="23"/>
      <c r="AL89" s="24"/>
      <c r="AM89" s="24"/>
      <c r="AN89" s="24"/>
      <c r="AO89" s="23"/>
      <c r="AP89" s="26"/>
      <c r="AQ89" s="26"/>
      <c r="AS89" s="27" t="e">
        <f t="shared" si="21"/>
        <v>#DIV/0!</v>
      </c>
      <c r="AT89" s="27" t="e">
        <f t="array" ref="AT89">AVERAGE(AI89:AI94/AH89:AH94) - AVERAGE(Q89:Q94/P89:P94)</f>
        <v>#DIV/0!</v>
      </c>
      <c r="AV89" s="28" t="str">
        <f>IF( OR(ISBLANK(R89:R94),ISBLANK(AJ89:AJ94), ISBLANK(T89:T94),ISBLANK(AL89:AL94)), "·", bdRateExtend( R89:R94,T89:T94, AJ89:AJ94,AL89:AL94))</f>
        <v>·</v>
      </c>
      <c r="AW89" s="28" t="str">
        <f>IF( OR(ISBLANK(R89:R94),ISBLANK(AJ89:AJ94), ISBLANK(U89:U94),ISBLANK(AM89:AM94)), "·", bdRateExtend( R89:R94,U89:U94, AJ89:AJ94,AM89:AM94))</f>
        <v>·</v>
      </c>
      <c r="AX89" s="28" t="str">
        <f>IF( OR(ISBLANK(R89:R94),ISBLANK(AJ89:AJ94), ISBLANK(V89:V94),ISBLANK(AN89:AN94)), "·", bdRateExtend( R89:R94,V89:V94, AJ89:AJ94,AN89:AN94))</f>
        <v>·</v>
      </c>
      <c r="AY89" s="29"/>
      <c r="BA89" s="28" t="str">
        <f>IF( OR(ISBLANK(P89:P94),ISBLANK(AH89:AH94), ISBLANK(T89:T94),ISBLANK(AL89:AL94)), "·", bdRateExtend( P89:P94,T89:T94, AH89:AH94,AL89:AL94))</f>
        <v>·</v>
      </c>
      <c r="BB89" s="28" t="str">
        <f>IF( OR(ISBLANK(P89:P94),ISBLANK(AH89:AH94), ISBLANK(U89:U94),ISBLANK(AM89:AM94)), "·", bdRateExtend( P89:P94,U89:U94, AH89:AH94,AM89:AM94))</f>
        <v>·</v>
      </c>
      <c r="BC89" s="28" t="str">
        <f>IF( OR(ISBLANK(P89:P94),ISBLANK(AH89:AH94), ISBLANK(V89:V94),ISBLANK(AN89:AN94)), "·", bdRateExtend( P89:P94,V89:V94, AH89:AH94,AN89:AN94))</f>
        <v>·</v>
      </c>
      <c r="BD89" s="29"/>
    </row>
    <row r="90" spans="1:56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 t="str">
        <f t="shared" si="12"/>
        <v>·</v>
      </c>
      <c r="K90" s="34" t="str">
        <f t="shared" si="13"/>
        <v>·</v>
      </c>
      <c r="L90" s="34" t="str">
        <f t="shared" si="14"/>
        <v>·</v>
      </c>
      <c r="M90" s="35"/>
      <c r="N90" s="34" t="str">
        <f t="shared" si="15"/>
        <v>·</v>
      </c>
      <c r="O90" s="36"/>
      <c r="P90" s="37"/>
      <c r="Q90" s="37"/>
      <c r="R90" s="37"/>
      <c r="S90" s="38"/>
      <c r="T90" s="39"/>
      <c r="U90" s="39"/>
      <c r="V90" s="39"/>
      <c r="W90" s="38"/>
      <c r="X90" s="41"/>
      <c r="Y90" s="41"/>
      <c r="AA90" s="33" t="str">
        <f t="shared" si="16"/>
        <v>·</v>
      </c>
      <c r="AB90" s="34" t="str">
        <f t="shared" si="17"/>
        <v>·</v>
      </c>
      <c r="AC90" s="34" t="str">
        <f t="shared" si="18"/>
        <v>·</v>
      </c>
      <c r="AD90" s="34" t="str">
        <f t="shared" si="19"/>
        <v>·</v>
      </c>
      <c r="AE90" s="35"/>
      <c r="AF90" s="34" t="str">
        <f t="shared" si="20"/>
        <v>·</v>
      </c>
      <c r="AG90" s="36"/>
      <c r="AH90" s="37"/>
      <c r="AI90" s="37"/>
      <c r="AJ90" s="37"/>
      <c r="AK90" s="38"/>
      <c r="AL90" s="39"/>
      <c r="AM90" s="39"/>
      <c r="AN90" s="39"/>
      <c r="AO90" s="38"/>
      <c r="AP90" s="41"/>
      <c r="AQ90" s="41"/>
      <c r="AS90" s="42" t="e">
        <f t="shared" si="21"/>
        <v>#DIV/0!</v>
      </c>
      <c r="AT90" s="42"/>
      <c r="AV90" s="43"/>
      <c r="AW90" s="43"/>
      <c r="AX90" s="43"/>
      <c r="AY90" s="44"/>
      <c r="BA90" s="43"/>
      <c r="BB90" s="43"/>
      <c r="BC90" s="43"/>
      <c r="BD90" s="44"/>
    </row>
    <row r="91" spans="1:56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 t="str">
        <f t="shared" si="12"/>
        <v>·</v>
      </c>
      <c r="K91" s="19" t="str">
        <f t="shared" si="13"/>
        <v>·</v>
      </c>
      <c r="L91" s="19" t="str">
        <f t="shared" si="14"/>
        <v>·</v>
      </c>
      <c r="M91" s="20"/>
      <c r="N91" s="19" t="str">
        <f t="shared" si="15"/>
        <v>·</v>
      </c>
      <c r="O91" s="21"/>
      <c r="P91" s="22"/>
      <c r="Q91" s="22"/>
      <c r="R91" s="22"/>
      <c r="S91" s="23"/>
      <c r="T91" s="24"/>
      <c r="U91" s="24"/>
      <c r="V91" s="24"/>
      <c r="W91" s="23"/>
      <c r="X91" s="26"/>
      <c r="Y91" s="26"/>
      <c r="AA91" s="18" t="str">
        <f t="shared" si="16"/>
        <v>·</v>
      </c>
      <c r="AB91" s="19" t="str">
        <f t="shared" si="17"/>
        <v>·</v>
      </c>
      <c r="AC91" s="19" t="str">
        <f t="shared" si="18"/>
        <v>·</v>
      </c>
      <c r="AD91" s="19" t="str">
        <f t="shared" si="19"/>
        <v>·</v>
      </c>
      <c r="AE91" s="20"/>
      <c r="AF91" s="19" t="str">
        <f t="shared" si="20"/>
        <v>·</v>
      </c>
      <c r="AG91" s="21"/>
      <c r="AH91" s="22"/>
      <c r="AI91" s="22"/>
      <c r="AJ91" s="22"/>
      <c r="AK91" s="23"/>
      <c r="AL91" s="24"/>
      <c r="AM91" s="24"/>
      <c r="AN91" s="24"/>
      <c r="AO91" s="23"/>
      <c r="AP91" s="26"/>
      <c r="AQ91" s="26"/>
      <c r="AS91" s="27" t="e">
        <f t="shared" si="21"/>
        <v>#DIV/0!</v>
      </c>
      <c r="AT91" s="27"/>
      <c r="AV91" s="28"/>
      <c r="AW91" s="28"/>
      <c r="AX91" s="28"/>
      <c r="AY91" s="29"/>
      <c r="BA91" s="28"/>
      <c r="BB91" s="28"/>
      <c r="BC91" s="28"/>
      <c r="BD91" s="29"/>
    </row>
    <row r="92" spans="1:56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8"/>
      <c r="X92" s="41"/>
      <c r="Y92" s="41"/>
      <c r="AA92" s="33" t="str">
        <f t="shared" si="16"/>
        <v>·</v>
      </c>
      <c r="AB92" s="34" t="str">
        <f t="shared" si="17"/>
        <v>·</v>
      </c>
      <c r="AC92" s="34" t="str">
        <f t="shared" si="18"/>
        <v>·</v>
      </c>
      <c r="AD92" s="34" t="str">
        <f t="shared" si="19"/>
        <v>·</v>
      </c>
      <c r="AE92" s="35"/>
      <c r="AF92" s="34" t="str">
        <f t="shared" si="20"/>
        <v>·</v>
      </c>
      <c r="AG92" s="36"/>
      <c r="AH92" s="37"/>
      <c r="AI92" s="37"/>
      <c r="AJ92" s="37"/>
      <c r="AK92" s="38"/>
      <c r="AL92" s="39"/>
      <c r="AM92" s="39"/>
      <c r="AN92" s="39"/>
      <c r="AO92" s="38"/>
      <c r="AP92" s="41"/>
      <c r="AQ92" s="41"/>
      <c r="AS92" s="42" t="e">
        <f t="shared" si="21"/>
        <v>#DIV/0!</v>
      </c>
      <c r="AT92" s="42"/>
      <c r="AV92" s="43"/>
      <c r="AW92" s="43"/>
      <c r="AX92" s="43"/>
      <c r="AY92" s="44"/>
      <c r="BA92" s="43"/>
      <c r="BB92" s="43"/>
      <c r="BC92" s="43"/>
      <c r="BD92" s="44"/>
    </row>
    <row r="93" spans="1:56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3"/>
      <c r="X93" s="26"/>
      <c r="Y93" s="26"/>
      <c r="AA93" s="18" t="str">
        <f t="shared" si="16"/>
        <v>·</v>
      </c>
      <c r="AB93" s="19" t="str">
        <f t="shared" si="17"/>
        <v>·</v>
      </c>
      <c r="AC93" s="19" t="str">
        <f t="shared" si="18"/>
        <v>·</v>
      </c>
      <c r="AD93" s="19" t="str">
        <f t="shared" si="19"/>
        <v>·</v>
      </c>
      <c r="AE93" s="20"/>
      <c r="AF93" s="19" t="str">
        <f t="shared" si="20"/>
        <v>·</v>
      </c>
      <c r="AG93" s="21"/>
      <c r="AH93" s="22"/>
      <c r="AI93" s="22"/>
      <c r="AJ93" s="22"/>
      <c r="AK93" s="23"/>
      <c r="AL93" s="24"/>
      <c r="AM93" s="24"/>
      <c r="AN93" s="24"/>
      <c r="AO93" s="23"/>
      <c r="AP93" s="26"/>
      <c r="AQ93" s="26"/>
      <c r="AS93" s="27" t="e">
        <f t="shared" si="21"/>
        <v>#DIV/0!</v>
      </c>
      <c r="AT93" s="27"/>
      <c r="AV93" s="28"/>
      <c r="AW93" s="28"/>
      <c r="AX93" s="28"/>
      <c r="AY93" s="29"/>
      <c r="BA93" s="28"/>
      <c r="BB93" s="28"/>
      <c r="BC93" s="28"/>
      <c r="BD93" s="29"/>
    </row>
    <row r="94" spans="1:56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3"/>
      <c r="X94" s="56"/>
      <c r="Y94" s="56"/>
      <c r="AA94" s="48" t="str">
        <f t="shared" si="16"/>
        <v>·</v>
      </c>
      <c r="AB94" s="49" t="str">
        <f t="shared" si="17"/>
        <v>·</v>
      </c>
      <c r="AC94" s="49" t="str">
        <f t="shared" si="18"/>
        <v>·</v>
      </c>
      <c r="AD94" s="49" t="str">
        <f t="shared" si="19"/>
        <v>·</v>
      </c>
      <c r="AE94" s="50"/>
      <c r="AF94" s="49" t="str">
        <f t="shared" si="20"/>
        <v>·</v>
      </c>
      <c r="AG94" s="51"/>
      <c r="AH94" s="52"/>
      <c r="AI94" s="52"/>
      <c r="AJ94" s="52"/>
      <c r="AK94" s="53"/>
      <c r="AL94" s="54"/>
      <c r="AM94" s="54"/>
      <c r="AN94" s="54"/>
      <c r="AO94" s="53"/>
      <c r="AP94" s="56"/>
      <c r="AQ94" s="56"/>
      <c r="AS94" s="57" t="e">
        <f t="shared" si="21"/>
        <v>#DIV/0!</v>
      </c>
      <c r="AT94" s="57"/>
      <c r="AV94" s="58"/>
      <c r="AW94" s="58"/>
      <c r="AX94" s="58"/>
      <c r="AY94" s="59"/>
      <c r="BA94" s="58"/>
      <c r="BB94" s="58"/>
      <c r="BC94" s="58"/>
      <c r="BD94" s="59"/>
    </row>
    <row r="95" spans="1:56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 t="str">
        <f t="shared" si="12"/>
        <v>·</v>
      </c>
      <c r="K95" s="19" t="str">
        <f t="shared" si="13"/>
        <v>·</v>
      </c>
      <c r="L95" s="19" t="str">
        <f t="shared" si="14"/>
        <v>·</v>
      </c>
      <c r="M95" s="20"/>
      <c r="N95" s="19" t="str">
        <f t="shared" si="15"/>
        <v>·</v>
      </c>
      <c r="O95" s="21"/>
      <c r="P95" s="22"/>
      <c r="Q95" s="22"/>
      <c r="R95" s="22"/>
      <c r="S95" s="23"/>
      <c r="T95" s="24"/>
      <c r="U95" s="24"/>
      <c r="V95" s="24"/>
      <c r="W95" s="23"/>
      <c r="X95" s="26"/>
      <c r="Y95" s="26"/>
      <c r="AA95" s="18" t="str">
        <f t="shared" si="16"/>
        <v>·</v>
      </c>
      <c r="AB95" s="19" t="str">
        <f t="shared" si="17"/>
        <v>·</v>
      </c>
      <c r="AC95" s="19" t="str">
        <f t="shared" si="18"/>
        <v>·</v>
      </c>
      <c r="AD95" s="19" t="str">
        <f t="shared" si="19"/>
        <v>·</v>
      </c>
      <c r="AE95" s="20"/>
      <c r="AF95" s="19" t="str">
        <f t="shared" si="20"/>
        <v>·</v>
      </c>
      <c r="AG95" s="21"/>
      <c r="AH95" s="22"/>
      <c r="AI95" s="22"/>
      <c r="AJ95" s="22"/>
      <c r="AK95" s="23"/>
      <c r="AL95" s="24"/>
      <c r="AM95" s="24"/>
      <c r="AN95" s="24"/>
      <c r="AO95" s="23"/>
      <c r="AP95" s="26"/>
      <c r="AQ95" s="26"/>
      <c r="AS95" s="27" t="e">
        <f t="shared" si="21"/>
        <v>#DIV/0!</v>
      </c>
      <c r="AT95" s="27" t="e">
        <f t="array" ref="AT95">AVERAGE(AI95:AI100/AH95:AH100) - AVERAGE(Q95:Q100/P95:P100)</f>
        <v>#DIV/0!</v>
      </c>
      <c r="AV95" s="28" t="str">
        <f>IF( OR(ISBLANK(R95:R100),ISBLANK(AJ95:AJ100), ISBLANK(T95:T100),ISBLANK(AL95:AL100)), "·", bdRateExtend( R95:R100,T95:T100, AJ95:AJ100,AL95:AL100))</f>
        <v>·</v>
      </c>
      <c r="AW95" s="28" t="str">
        <f>IF( OR(ISBLANK(R95:R100),ISBLANK(AJ95:AJ100), ISBLANK(U95:U100),ISBLANK(AM95:AM100)), "·", bdRateExtend( R95:R100,U95:U100, AJ95:AJ100,AM95:AM100))</f>
        <v>·</v>
      </c>
      <c r="AX95" s="28" t="str">
        <f>IF( OR(ISBLANK(R95:R100),ISBLANK(AJ95:AJ100), ISBLANK(V95:V100),ISBLANK(AN95:AN100)), "·", bdRateExtend( R95:R100,V95:V100, AJ95:AJ100,AN95:AN100))</f>
        <v>·</v>
      </c>
      <c r="AY95" s="29"/>
      <c r="BA95" s="28" t="str">
        <f>IF( OR(ISBLANK(P95:P100),ISBLANK(AH95:AH100), ISBLANK(T95:T100),ISBLANK(AL95:AL100)), "·", bdRateExtend( P95:P100,T95:T100, AH95:AH100,AL95:AL100))</f>
        <v>·</v>
      </c>
      <c r="BB95" s="28" t="str">
        <f>IF( OR(ISBLANK(P95:P100),ISBLANK(AH95:AH100), ISBLANK(U95:U100),ISBLANK(AM95:AM100)), "·", bdRateExtend( P95:P100,U95:U100, AH95:AH100,AM95:AM100))</f>
        <v>·</v>
      </c>
      <c r="BC95" s="28" t="str">
        <f>IF( OR(ISBLANK(P95:P100),ISBLANK(AH95:AH100), ISBLANK(V95:V100),ISBLANK(AN95:AN100)), "·", bdRateExtend( P95:P100,V95:V100, AH95:AH100,AN95:AN100))</f>
        <v>·</v>
      </c>
      <c r="BD95" s="29"/>
    </row>
    <row r="96" spans="1:56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 t="str">
        <f t="shared" si="12"/>
        <v>·</v>
      </c>
      <c r="K96" s="34" t="str">
        <f t="shared" si="13"/>
        <v>·</v>
      </c>
      <c r="L96" s="34" t="str">
        <f t="shared" si="14"/>
        <v>·</v>
      </c>
      <c r="M96" s="35"/>
      <c r="N96" s="34" t="str">
        <f t="shared" si="15"/>
        <v>·</v>
      </c>
      <c r="O96" s="36"/>
      <c r="P96" s="37"/>
      <c r="Q96" s="37"/>
      <c r="R96" s="37"/>
      <c r="S96" s="38"/>
      <c r="T96" s="39"/>
      <c r="U96" s="39"/>
      <c r="V96" s="39"/>
      <c r="W96" s="38"/>
      <c r="X96" s="41"/>
      <c r="Y96" s="41"/>
      <c r="AA96" s="33" t="str">
        <f t="shared" si="16"/>
        <v>·</v>
      </c>
      <c r="AB96" s="34" t="str">
        <f t="shared" si="17"/>
        <v>·</v>
      </c>
      <c r="AC96" s="34" t="str">
        <f t="shared" si="18"/>
        <v>·</v>
      </c>
      <c r="AD96" s="34" t="str">
        <f t="shared" si="19"/>
        <v>·</v>
      </c>
      <c r="AE96" s="35"/>
      <c r="AF96" s="34" t="str">
        <f t="shared" si="20"/>
        <v>·</v>
      </c>
      <c r="AG96" s="36"/>
      <c r="AH96" s="37"/>
      <c r="AI96" s="37"/>
      <c r="AJ96" s="37"/>
      <c r="AK96" s="38"/>
      <c r="AL96" s="39"/>
      <c r="AM96" s="39"/>
      <c r="AN96" s="39"/>
      <c r="AO96" s="38"/>
      <c r="AP96" s="41"/>
      <c r="AQ96" s="41"/>
      <c r="AS96" s="42" t="e">
        <f t="shared" si="21"/>
        <v>#DIV/0!</v>
      </c>
      <c r="AT96" s="42"/>
      <c r="AV96" s="43"/>
      <c r="AW96" s="43"/>
      <c r="AX96" s="43"/>
      <c r="AY96" s="44"/>
      <c r="BA96" s="43"/>
      <c r="BB96" s="43"/>
      <c r="BC96" s="43"/>
      <c r="BD96" s="44"/>
    </row>
    <row r="97" spans="1:56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 t="str">
        <f t="shared" si="12"/>
        <v>·</v>
      </c>
      <c r="K97" s="19" t="str">
        <f t="shared" si="13"/>
        <v>·</v>
      </c>
      <c r="L97" s="19" t="str">
        <f t="shared" si="14"/>
        <v>·</v>
      </c>
      <c r="M97" s="20"/>
      <c r="N97" s="19" t="str">
        <f t="shared" si="15"/>
        <v>·</v>
      </c>
      <c r="O97" s="21"/>
      <c r="P97" s="22"/>
      <c r="Q97" s="22"/>
      <c r="R97" s="22"/>
      <c r="S97" s="23"/>
      <c r="T97" s="24"/>
      <c r="U97" s="24"/>
      <c r="V97" s="24"/>
      <c r="W97" s="23"/>
      <c r="X97" s="26"/>
      <c r="Y97" s="26"/>
      <c r="AA97" s="18" t="str">
        <f t="shared" si="16"/>
        <v>·</v>
      </c>
      <c r="AB97" s="19" t="str">
        <f t="shared" si="17"/>
        <v>·</v>
      </c>
      <c r="AC97" s="19" t="str">
        <f t="shared" si="18"/>
        <v>·</v>
      </c>
      <c r="AD97" s="19" t="str">
        <f t="shared" si="19"/>
        <v>·</v>
      </c>
      <c r="AE97" s="20"/>
      <c r="AF97" s="19" t="str">
        <f t="shared" si="20"/>
        <v>·</v>
      </c>
      <c r="AG97" s="21"/>
      <c r="AH97" s="22"/>
      <c r="AI97" s="22"/>
      <c r="AJ97" s="22"/>
      <c r="AK97" s="23"/>
      <c r="AL97" s="24"/>
      <c r="AM97" s="24"/>
      <c r="AN97" s="24"/>
      <c r="AO97" s="23"/>
      <c r="AP97" s="26"/>
      <c r="AQ97" s="26"/>
      <c r="AS97" s="27" t="e">
        <f t="shared" si="21"/>
        <v>#DIV/0!</v>
      </c>
      <c r="AT97" s="27"/>
      <c r="AV97" s="28"/>
      <c r="AW97" s="28"/>
      <c r="AX97" s="28"/>
      <c r="AY97" s="29"/>
      <c r="BA97" s="28"/>
      <c r="BB97" s="28"/>
      <c r="BC97" s="28"/>
      <c r="BD97" s="29"/>
    </row>
    <row r="98" spans="1:56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8"/>
      <c r="X98" s="41"/>
      <c r="Y98" s="41"/>
      <c r="AA98" s="33" t="str">
        <f t="shared" si="16"/>
        <v>·</v>
      </c>
      <c r="AB98" s="34" t="str">
        <f t="shared" si="17"/>
        <v>·</v>
      </c>
      <c r="AC98" s="34" t="str">
        <f t="shared" si="18"/>
        <v>·</v>
      </c>
      <c r="AD98" s="34" t="str">
        <f t="shared" si="19"/>
        <v>·</v>
      </c>
      <c r="AE98" s="35"/>
      <c r="AF98" s="34" t="str">
        <f t="shared" si="20"/>
        <v>·</v>
      </c>
      <c r="AG98" s="36"/>
      <c r="AH98" s="37"/>
      <c r="AI98" s="37"/>
      <c r="AJ98" s="37"/>
      <c r="AK98" s="38"/>
      <c r="AL98" s="39"/>
      <c r="AM98" s="39"/>
      <c r="AN98" s="39"/>
      <c r="AO98" s="38"/>
      <c r="AP98" s="41"/>
      <c r="AQ98" s="41"/>
      <c r="AS98" s="42" t="e">
        <f t="shared" si="21"/>
        <v>#DIV/0!</v>
      </c>
      <c r="AT98" s="42"/>
      <c r="AV98" s="43"/>
      <c r="AW98" s="43"/>
      <c r="AX98" s="43"/>
      <c r="AY98" s="44"/>
      <c r="BA98" s="43"/>
      <c r="BB98" s="43"/>
      <c r="BC98" s="43"/>
      <c r="BD98" s="44"/>
    </row>
    <row r="99" spans="1:56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3"/>
      <c r="X99" s="26"/>
      <c r="Y99" s="26"/>
      <c r="AA99" s="18" t="str">
        <f t="shared" si="16"/>
        <v>·</v>
      </c>
      <c r="AB99" s="19" t="str">
        <f t="shared" si="17"/>
        <v>·</v>
      </c>
      <c r="AC99" s="19" t="str">
        <f t="shared" si="18"/>
        <v>·</v>
      </c>
      <c r="AD99" s="19" t="str">
        <f t="shared" si="19"/>
        <v>·</v>
      </c>
      <c r="AE99" s="20"/>
      <c r="AF99" s="19" t="str">
        <f t="shared" si="20"/>
        <v>·</v>
      </c>
      <c r="AG99" s="21"/>
      <c r="AH99" s="22"/>
      <c r="AI99" s="22"/>
      <c r="AJ99" s="22"/>
      <c r="AK99" s="23"/>
      <c r="AL99" s="24"/>
      <c r="AM99" s="24"/>
      <c r="AN99" s="24"/>
      <c r="AO99" s="23"/>
      <c r="AP99" s="26"/>
      <c r="AQ99" s="26"/>
      <c r="AS99" s="27" t="e">
        <f t="shared" si="21"/>
        <v>#DIV/0!</v>
      </c>
      <c r="AT99" s="27"/>
      <c r="AV99" s="28"/>
      <c r="AW99" s="28"/>
      <c r="AX99" s="28"/>
      <c r="AY99" s="29"/>
      <c r="BA99" s="28"/>
      <c r="BB99" s="28"/>
      <c r="BC99" s="28"/>
      <c r="BD99" s="29"/>
    </row>
    <row r="100" spans="1:56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3"/>
      <c r="X100" s="56"/>
      <c r="Y100" s="56"/>
      <c r="AA100" s="48" t="str">
        <f t="shared" si="16"/>
        <v>·</v>
      </c>
      <c r="AB100" s="49" t="str">
        <f t="shared" si="17"/>
        <v>·</v>
      </c>
      <c r="AC100" s="49" t="str">
        <f t="shared" si="18"/>
        <v>·</v>
      </c>
      <c r="AD100" s="49" t="str">
        <f t="shared" si="19"/>
        <v>·</v>
      </c>
      <c r="AE100" s="50"/>
      <c r="AF100" s="49" t="str">
        <f t="shared" si="20"/>
        <v>·</v>
      </c>
      <c r="AG100" s="51"/>
      <c r="AH100" s="52"/>
      <c r="AI100" s="52"/>
      <c r="AJ100" s="52"/>
      <c r="AK100" s="53"/>
      <c r="AL100" s="54"/>
      <c r="AM100" s="54"/>
      <c r="AN100" s="54"/>
      <c r="AO100" s="53"/>
      <c r="AP100" s="56"/>
      <c r="AQ100" s="56"/>
      <c r="AS100" s="57" t="e">
        <f t="shared" si="21"/>
        <v>#DIV/0!</v>
      </c>
      <c r="AT100" s="57"/>
      <c r="AV100" s="58"/>
      <c r="AW100" s="58"/>
      <c r="AX100" s="58"/>
      <c r="AY100" s="59"/>
      <c r="BA100" s="58"/>
      <c r="BB100" s="58"/>
      <c r="BC100" s="58"/>
      <c r="BD100" s="59"/>
    </row>
    <row r="101" spans="1:56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 t="str">
        <f t="shared" si="12"/>
        <v>·</v>
      </c>
      <c r="K101" s="19" t="str">
        <f t="shared" si="13"/>
        <v>·</v>
      </c>
      <c r="L101" s="19" t="str">
        <f t="shared" si="14"/>
        <v>·</v>
      </c>
      <c r="M101" s="20"/>
      <c r="N101" s="19" t="str">
        <f t="shared" si="15"/>
        <v>·</v>
      </c>
      <c r="O101" s="21"/>
      <c r="P101" s="22"/>
      <c r="Q101" s="22"/>
      <c r="R101" s="22"/>
      <c r="S101" s="23"/>
      <c r="T101" s="24"/>
      <c r="U101" s="24"/>
      <c r="V101" s="24"/>
      <c r="W101" s="23"/>
      <c r="X101" s="26"/>
      <c r="Y101" s="26"/>
      <c r="AA101" s="18" t="str">
        <f t="shared" si="16"/>
        <v>·</v>
      </c>
      <c r="AB101" s="19" t="str">
        <f t="shared" si="17"/>
        <v>·</v>
      </c>
      <c r="AC101" s="19" t="str">
        <f t="shared" si="18"/>
        <v>·</v>
      </c>
      <c r="AD101" s="19" t="str">
        <f t="shared" si="19"/>
        <v>·</v>
      </c>
      <c r="AE101" s="20"/>
      <c r="AF101" s="19" t="str">
        <f t="shared" si="20"/>
        <v>·</v>
      </c>
      <c r="AG101" s="21"/>
      <c r="AH101" s="22"/>
      <c r="AI101" s="22"/>
      <c r="AJ101" s="22"/>
      <c r="AK101" s="23"/>
      <c r="AL101" s="24"/>
      <c r="AM101" s="24"/>
      <c r="AN101" s="24"/>
      <c r="AO101" s="23"/>
      <c r="AP101" s="26"/>
      <c r="AQ101" s="26"/>
      <c r="AS101" s="27" t="e">
        <f t="shared" si="21"/>
        <v>#DIV/0!</v>
      </c>
      <c r="AT101" s="27" t="e">
        <f t="array" ref="AT101">AVERAGE(AI101:AI106/AH101:AH106) - AVERAGE(Q101:Q106/P101:P106)</f>
        <v>#DIV/0!</v>
      </c>
      <c r="AV101" s="28" t="str">
        <f>IF( OR(ISBLANK(R101:R106),ISBLANK(AJ101:AJ106), ISBLANK(T101:T106),ISBLANK(AL101:AL106)), "·", bdRateExtend( R101:R106,T101:T106, AJ101:AJ106,AL101:AL106))</f>
        <v>·</v>
      </c>
      <c r="AW101" s="28" t="str">
        <f>IF( OR(ISBLANK(R101:R106),ISBLANK(AJ101:AJ106), ISBLANK(U101:U106),ISBLANK(AM101:AM106)), "·", bdRateExtend( R101:R106,U101:U106, AJ101:AJ106,AM101:AM106))</f>
        <v>·</v>
      </c>
      <c r="AX101" s="28" t="str">
        <f>IF( OR(ISBLANK(R101:R106),ISBLANK(AJ101:AJ106), ISBLANK(V101:V106),ISBLANK(AN101:AN106)), "·", bdRateExtend( R101:R106,V101:V106, AJ101:AJ106,AN101:AN106))</f>
        <v>·</v>
      </c>
      <c r="AY101" s="29"/>
      <c r="BA101" s="28" t="str">
        <f>IF( OR(ISBLANK(P101:P106),ISBLANK(AH101:AH106), ISBLANK(T101:T106),ISBLANK(AL101:AL106)), "·", bdRateExtend( P101:P106,T101:T106, AH101:AH106,AL101:AL106))</f>
        <v>·</v>
      </c>
      <c r="BB101" s="28" t="str">
        <f>IF( OR(ISBLANK(P101:P106),ISBLANK(AH101:AH106), ISBLANK(U101:U106),ISBLANK(AM101:AM106)), "·", bdRateExtend( P101:P106,U101:U106, AH101:AH106,AM101:AM106))</f>
        <v>·</v>
      </c>
      <c r="BC101" s="28" t="str">
        <f>IF( OR(ISBLANK(P101:P106),ISBLANK(AH101:AH106), ISBLANK(V101:V106),ISBLANK(AN101:AN106)), "·", bdRateExtend( P101:P106,V101:V106, AH101:AH106,AN101:AN106))</f>
        <v>·</v>
      </c>
      <c r="BD101" s="29"/>
    </row>
    <row r="102" spans="1:56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 t="str">
        <f t="shared" si="12"/>
        <v>·</v>
      </c>
      <c r="K102" s="34" t="str">
        <f t="shared" si="13"/>
        <v>·</v>
      </c>
      <c r="L102" s="34" t="str">
        <f t="shared" si="14"/>
        <v>·</v>
      </c>
      <c r="M102" s="35"/>
      <c r="N102" s="34" t="str">
        <f t="shared" si="15"/>
        <v>·</v>
      </c>
      <c r="O102" s="36"/>
      <c r="P102" s="37"/>
      <c r="Q102" s="37"/>
      <c r="R102" s="37"/>
      <c r="S102" s="38"/>
      <c r="T102" s="39"/>
      <c r="U102" s="39"/>
      <c r="V102" s="39"/>
      <c r="W102" s="38"/>
      <c r="X102" s="41"/>
      <c r="Y102" s="41"/>
      <c r="AA102" s="33" t="str">
        <f t="shared" si="16"/>
        <v>·</v>
      </c>
      <c r="AB102" s="34" t="str">
        <f t="shared" si="17"/>
        <v>·</v>
      </c>
      <c r="AC102" s="34" t="str">
        <f t="shared" si="18"/>
        <v>·</v>
      </c>
      <c r="AD102" s="34" t="str">
        <f t="shared" si="19"/>
        <v>·</v>
      </c>
      <c r="AE102" s="35"/>
      <c r="AF102" s="34" t="str">
        <f t="shared" si="20"/>
        <v>·</v>
      </c>
      <c r="AG102" s="36"/>
      <c r="AH102" s="37"/>
      <c r="AI102" s="37"/>
      <c r="AJ102" s="37"/>
      <c r="AK102" s="38"/>
      <c r="AL102" s="39"/>
      <c r="AM102" s="39"/>
      <c r="AN102" s="39"/>
      <c r="AO102" s="38"/>
      <c r="AP102" s="41"/>
      <c r="AQ102" s="41"/>
      <c r="AS102" s="42" t="e">
        <f t="shared" si="21"/>
        <v>#DIV/0!</v>
      </c>
      <c r="AT102" s="42"/>
      <c r="AV102" s="43"/>
      <c r="AW102" s="43"/>
      <c r="AX102" s="43"/>
      <c r="AY102" s="44"/>
      <c r="BA102" s="43"/>
      <c r="BB102" s="43"/>
      <c r="BC102" s="43"/>
      <c r="BD102" s="44"/>
    </row>
    <row r="103" spans="1:56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 t="str">
        <f t="shared" si="12"/>
        <v>·</v>
      </c>
      <c r="K103" s="19" t="str">
        <f t="shared" si="13"/>
        <v>·</v>
      </c>
      <c r="L103" s="19" t="str">
        <f t="shared" si="14"/>
        <v>·</v>
      </c>
      <c r="M103" s="20"/>
      <c r="N103" s="19" t="str">
        <f t="shared" si="15"/>
        <v>·</v>
      </c>
      <c r="O103" s="21"/>
      <c r="P103" s="22"/>
      <c r="Q103" s="22"/>
      <c r="R103" s="22"/>
      <c r="S103" s="23"/>
      <c r="T103" s="24"/>
      <c r="U103" s="24"/>
      <c r="V103" s="24"/>
      <c r="W103" s="23"/>
      <c r="X103" s="26"/>
      <c r="Y103" s="26"/>
      <c r="AA103" s="18" t="str">
        <f t="shared" si="16"/>
        <v>·</v>
      </c>
      <c r="AB103" s="19" t="str">
        <f t="shared" si="17"/>
        <v>·</v>
      </c>
      <c r="AC103" s="19" t="str">
        <f t="shared" si="18"/>
        <v>·</v>
      </c>
      <c r="AD103" s="19" t="str">
        <f t="shared" si="19"/>
        <v>·</v>
      </c>
      <c r="AE103" s="20"/>
      <c r="AF103" s="19" t="str">
        <f t="shared" si="20"/>
        <v>·</v>
      </c>
      <c r="AG103" s="21"/>
      <c r="AH103" s="22"/>
      <c r="AI103" s="22"/>
      <c r="AJ103" s="22"/>
      <c r="AK103" s="23"/>
      <c r="AL103" s="24"/>
      <c r="AM103" s="24"/>
      <c r="AN103" s="24"/>
      <c r="AO103" s="23"/>
      <c r="AP103" s="26"/>
      <c r="AQ103" s="26"/>
      <c r="AS103" s="27" t="e">
        <f t="shared" si="21"/>
        <v>#DIV/0!</v>
      </c>
      <c r="AT103" s="27"/>
      <c r="AV103" s="28"/>
      <c r="AW103" s="28"/>
      <c r="AX103" s="28"/>
      <c r="AY103" s="29"/>
      <c r="BA103" s="28"/>
      <c r="BB103" s="28"/>
      <c r="BC103" s="28"/>
      <c r="BD103" s="29"/>
    </row>
    <row r="104" spans="1:56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 t="str">
        <f t="shared" si="12"/>
        <v>·</v>
      </c>
      <c r="K104" s="34" t="str">
        <f t="shared" si="13"/>
        <v>·</v>
      </c>
      <c r="L104" s="34" t="str">
        <f t="shared" si="14"/>
        <v>·</v>
      </c>
      <c r="M104" s="35"/>
      <c r="N104" s="34" t="str">
        <f t="shared" si="15"/>
        <v>·</v>
      </c>
      <c r="O104" s="36"/>
      <c r="P104" s="37"/>
      <c r="Q104" s="37"/>
      <c r="R104" s="37"/>
      <c r="S104" s="38"/>
      <c r="T104" s="39"/>
      <c r="U104" s="39"/>
      <c r="V104" s="39"/>
      <c r="W104" s="38"/>
      <c r="X104" s="41"/>
      <c r="Y104" s="41"/>
      <c r="AA104" s="33" t="str">
        <f t="shared" si="16"/>
        <v>·</v>
      </c>
      <c r="AB104" s="34" t="str">
        <f t="shared" si="17"/>
        <v>·</v>
      </c>
      <c r="AC104" s="34" t="str">
        <f t="shared" si="18"/>
        <v>·</v>
      </c>
      <c r="AD104" s="34" t="str">
        <f t="shared" si="19"/>
        <v>·</v>
      </c>
      <c r="AE104" s="35"/>
      <c r="AF104" s="34" t="str">
        <f t="shared" si="20"/>
        <v>·</v>
      </c>
      <c r="AG104" s="36"/>
      <c r="AH104" s="37"/>
      <c r="AI104" s="37"/>
      <c r="AJ104" s="37"/>
      <c r="AK104" s="38"/>
      <c r="AL104" s="39"/>
      <c r="AM104" s="39"/>
      <c r="AN104" s="39"/>
      <c r="AO104" s="38"/>
      <c r="AP104" s="41"/>
      <c r="AQ104" s="41"/>
      <c r="AS104" s="42" t="e">
        <f t="shared" si="21"/>
        <v>#DIV/0!</v>
      </c>
      <c r="AT104" s="42"/>
      <c r="AV104" s="43"/>
      <c r="AW104" s="43"/>
      <c r="AX104" s="43"/>
      <c r="AY104" s="44"/>
      <c r="BA104" s="43"/>
      <c r="BB104" s="43"/>
      <c r="BC104" s="43"/>
      <c r="BD104" s="44"/>
    </row>
    <row r="105" spans="1:56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3"/>
      <c r="X105" s="26"/>
      <c r="Y105" s="26"/>
      <c r="AA105" s="18" t="str">
        <f t="shared" si="16"/>
        <v>·</v>
      </c>
      <c r="AB105" s="19" t="str">
        <f t="shared" si="17"/>
        <v>·</v>
      </c>
      <c r="AC105" s="19" t="str">
        <f t="shared" si="18"/>
        <v>·</v>
      </c>
      <c r="AD105" s="19" t="str">
        <f t="shared" si="19"/>
        <v>·</v>
      </c>
      <c r="AE105" s="20"/>
      <c r="AF105" s="19" t="str">
        <f t="shared" si="20"/>
        <v>·</v>
      </c>
      <c r="AG105" s="21"/>
      <c r="AH105" s="22"/>
      <c r="AI105" s="22"/>
      <c r="AJ105" s="22"/>
      <c r="AK105" s="23"/>
      <c r="AL105" s="24"/>
      <c r="AM105" s="24"/>
      <c r="AN105" s="24"/>
      <c r="AO105" s="23"/>
      <c r="AP105" s="26"/>
      <c r="AQ105" s="26"/>
      <c r="AS105" s="27" t="e">
        <f t="shared" si="21"/>
        <v>#DIV/0!</v>
      </c>
      <c r="AT105" s="27"/>
      <c r="AV105" s="28"/>
      <c r="AW105" s="28"/>
      <c r="AX105" s="28"/>
      <c r="AY105" s="29"/>
      <c r="BA105" s="28"/>
      <c r="BB105" s="28"/>
      <c r="BC105" s="28"/>
      <c r="BD105" s="29"/>
    </row>
    <row r="106" spans="1:56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3"/>
      <c r="X106" s="56"/>
      <c r="Y106" s="56"/>
      <c r="AA106" s="48" t="str">
        <f t="shared" si="16"/>
        <v>·</v>
      </c>
      <c r="AB106" s="49" t="str">
        <f t="shared" si="17"/>
        <v>·</v>
      </c>
      <c r="AC106" s="49" t="str">
        <f t="shared" si="18"/>
        <v>·</v>
      </c>
      <c r="AD106" s="49" t="str">
        <f t="shared" si="19"/>
        <v>·</v>
      </c>
      <c r="AE106" s="50"/>
      <c r="AF106" s="49" t="str">
        <f t="shared" si="20"/>
        <v>·</v>
      </c>
      <c r="AG106" s="51"/>
      <c r="AH106" s="52"/>
      <c r="AI106" s="52"/>
      <c r="AJ106" s="52"/>
      <c r="AK106" s="53"/>
      <c r="AL106" s="54"/>
      <c r="AM106" s="54"/>
      <c r="AN106" s="54"/>
      <c r="AO106" s="53"/>
      <c r="AP106" s="56"/>
      <c r="AQ106" s="56"/>
      <c r="AS106" s="57" t="e">
        <f t="shared" si="21"/>
        <v>#DIV/0!</v>
      </c>
      <c r="AT106" s="57"/>
      <c r="AV106" s="58"/>
      <c r="AW106" s="58"/>
      <c r="AX106" s="58"/>
      <c r="AY106" s="59"/>
      <c r="BA106" s="58"/>
      <c r="BB106" s="58"/>
      <c r="BC106" s="58"/>
      <c r="BD106" s="59"/>
    </row>
    <row r="107" spans="1:56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 t="str">
        <f t="shared" si="12"/>
        <v>·</v>
      </c>
      <c r="K107" s="19" t="str">
        <f t="shared" si="13"/>
        <v>·</v>
      </c>
      <c r="L107" s="19" t="str">
        <f t="shared" si="14"/>
        <v>·</v>
      </c>
      <c r="M107" s="20"/>
      <c r="N107" s="19" t="str">
        <f t="shared" si="15"/>
        <v>·</v>
      </c>
      <c r="O107" s="21"/>
      <c r="P107" s="22"/>
      <c r="Q107" s="22"/>
      <c r="R107" s="22"/>
      <c r="S107" s="23"/>
      <c r="T107" s="24"/>
      <c r="U107" s="24"/>
      <c r="V107" s="24"/>
      <c r="W107" s="23"/>
      <c r="X107" s="26"/>
      <c r="Y107" s="26"/>
      <c r="AA107" s="18" t="str">
        <f t="shared" si="16"/>
        <v>·</v>
      </c>
      <c r="AB107" s="19" t="str">
        <f t="shared" si="17"/>
        <v>·</v>
      </c>
      <c r="AC107" s="19" t="str">
        <f t="shared" si="18"/>
        <v>·</v>
      </c>
      <c r="AD107" s="19" t="str">
        <f t="shared" si="19"/>
        <v>·</v>
      </c>
      <c r="AE107" s="20"/>
      <c r="AF107" s="19" t="str">
        <f t="shared" si="20"/>
        <v>·</v>
      </c>
      <c r="AG107" s="21"/>
      <c r="AH107" s="22"/>
      <c r="AI107" s="22"/>
      <c r="AJ107" s="22"/>
      <c r="AK107" s="23"/>
      <c r="AL107" s="24"/>
      <c r="AM107" s="24"/>
      <c r="AN107" s="24"/>
      <c r="AO107" s="23"/>
      <c r="AP107" s="26"/>
      <c r="AQ107" s="26"/>
      <c r="AS107" s="27" t="e">
        <f t="shared" si="21"/>
        <v>#DIV/0!</v>
      </c>
      <c r="AT107" s="27" t="e">
        <f t="array" ref="AT107">AVERAGE(AI107:AI112/AH107:AH112) - AVERAGE(Q107:Q112/P107:P112)</f>
        <v>#DIV/0!</v>
      </c>
      <c r="AV107" s="28" t="str">
        <f>IF( OR(ISBLANK(R107:R112),ISBLANK(AJ107:AJ112), ISBLANK(T107:T112),ISBLANK(AL107:AL112)), "·", bdRateExtend( R107:R112,T107:T112, AJ107:AJ112,AL107:AL112))</f>
        <v>·</v>
      </c>
      <c r="AW107" s="28" t="str">
        <f>IF( OR(ISBLANK(R107:R112),ISBLANK(AJ107:AJ112), ISBLANK(U107:U112),ISBLANK(AM107:AM112)), "·", bdRateExtend( R107:R112,U107:U112, AJ107:AJ112,AM107:AM112))</f>
        <v>·</v>
      </c>
      <c r="AX107" s="28" t="str">
        <f>IF( OR(ISBLANK(R107:R112),ISBLANK(AJ107:AJ112), ISBLANK(V107:V112),ISBLANK(AN107:AN112)), "·", bdRateExtend( R107:R112,V107:V112, AJ107:AJ112,AN107:AN112))</f>
        <v>·</v>
      </c>
      <c r="AY107" s="29"/>
      <c r="BA107" s="28" t="str">
        <f>IF( OR(ISBLANK(P107:P112),ISBLANK(AH107:AH112), ISBLANK(T107:T112),ISBLANK(AL107:AL112)), "·", bdRateExtend( P107:P112,T107:T112, AH107:AH112,AL107:AL112))</f>
        <v>·</v>
      </c>
      <c r="BB107" s="28" t="str">
        <f>IF( OR(ISBLANK(P107:P112),ISBLANK(AH107:AH112), ISBLANK(U107:U112),ISBLANK(AM107:AM112)), "·", bdRateExtend( P107:P112,U107:U112, AH107:AH112,AM107:AM112))</f>
        <v>·</v>
      </c>
      <c r="BC107" s="28" t="str">
        <f>IF( OR(ISBLANK(P107:P112),ISBLANK(AH107:AH112), ISBLANK(V107:V112),ISBLANK(AN107:AN112)), "·", bdRateExtend( P107:P112,V107:V112, AH107:AH112,AN107:AN112))</f>
        <v>·</v>
      </c>
      <c r="BD107" s="29"/>
    </row>
    <row r="108" spans="1:56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 t="str">
        <f t="shared" si="12"/>
        <v>·</v>
      </c>
      <c r="K108" s="34" t="str">
        <f t="shared" si="13"/>
        <v>·</v>
      </c>
      <c r="L108" s="34" t="str">
        <f t="shared" si="14"/>
        <v>·</v>
      </c>
      <c r="M108" s="35"/>
      <c r="N108" s="34" t="str">
        <f t="shared" si="15"/>
        <v>·</v>
      </c>
      <c r="O108" s="36"/>
      <c r="P108" s="37"/>
      <c r="Q108" s="37"/>
      <c r="R108" s="37"/>
      <c r="S108" s="38"/>
      <c r="T108" s="39"/>
      <c r="U108" s="39"/>
      <c r="V108" s="39"/>
      <c r="W108" s="38"/>
      <c r="X108" s="41"/>
      <c r="Y108" s="41"/>
      <c r="AA108" s="33" t="str">
        <f t="shared" si="16"/>
        <v>·</v>
      </c>
      <c r="AB108" s="34" t="str">
        <f t="shared" si="17"/>
        <v>·</v>
      </c>
      <c r="AC108" s="34" t="str">
        <f t="shared" si="18"/>
        <v>·</v>
      </c>
      <c r="AD108" s="34" t="str">
        <f t="shared" si="19"/>
        <v>·</v>
      </c>
      <c r="AE108" s="35"/>
      <c r="AF108" s="34" t="str">
        <f t="shared" si="20"/>
        <v>·</v>
      </c>
      <c r="AG108" s="36"/>
      <c r="AH108" s="37"/>
      <c r="AI108" s="37"/>
      <c r="AJ108" s="37"/>
      <c r="AK108" s="38"/>
      <c r="AL108" s="39"/>
      <c r="AM108" s="39"/>
      <c r="AN108" s="39"/>
      <c r="AO108" s="38"/>
      <c r="AP108" s="41"/>
      <c r="AQ108" s="41"/>
      <c r="AS108" s="42" t="e">
        <f t="shared" si="21"/>
        <v>#DIV/0!</v>
      </c>
      <c r="AT108" s="42"/>
      <c r="AV108" s="43"/>
      <c r="AW108" s="43"/>
      <c r="AX108" s="43"/>
      <c r="AY108" s="44"/>
      <c r="BA108" s="43"/>
      <c r="BB108" s="43"/>
      <c r="BC108" s="43"/>
      <c r="BD108" s="44"/>
    </row>
    <row r="109" spans="1:56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 t="str">
        <f t="shared" si="12"/>
        <v>·</v>
      </c>
      <c r="K109" s="19" t="str">
        <f t="shared" si="13"/>
        <v>·</v>
      </c>
      <c r="L109" s="19" t="str">
        <f t="shared" si="14"/>
        <v>·</v>
      </c>
      <c r="M109" s="20"/>
      <c r="N109" s="19" t="str">
        <f t="shared" si="15"/>
        <v>·</v>
      </c>
      <c r="O109" s="21"/>
      <c r="P109" s="22"/>
      <c r="Q109" s="22"/>
      <c r="R109" s="22"/>
      <c r="S109" s="23"/>
      <c r="T109" s="24"/>
      <c r="U109" s="24"/>
      <c r="V109" s="24"/>
      <c r="W109" s="23"/>
      <c r="X109" s="26"/>
      <c r="Y109" s="26"/>
      <c r="AA109" s="18" t="str">
        <f t="shared" si="16"/>
        <v>·</v>
      </c>
      <c r="AB109" s="19" t="str">
        <f t="shared" si="17"/>
        <v>·</v>
      </c>
      <c r="AC109" s="19" t="str">
        <f t="shared" si="18"/>
        <v>·</v>
      </c>
      <c r="AD109" s="19" t="str">
        <f t="shared" si="19"/>
        <v>·</v>
      </c>
      <c r="AE109" s="20"/>
      <c r="AF109" s="19" t="str">
        <f t="shared" si="20"/>
        <v>·</v>
      </c>
      <c r="AG109" s="21"/>
      <c r="AH109" s="22"/>
      <c r="AI109" s="22"/>
      <c r="AJ109" s="22"/>
      <c r="AK109" s="23"/>
      <c r="AL109" s="24"/>
      <c r="AM109" s="24"/>
      <c r="AN109" s="24"/>
      <c r="AO109" s="23"/>
      <c r="AP109" s="26"/>
      <c r="AQ109" s="26"/>
      <c r="AS109" s="27" t="e">
        <f t="shared" si="21"/>
        <v>#DIV/0!</v>
      </c>
      <c r="AT109" s="27"/>
      <c r="AV109" s="28"/>
      <c r="AW109" s="28"/>
      <c r="AX109" s="28"/>
      <c r="AY109" s="29"/>
      <c r="BA109" s="28"/>
      <c r="BB109" s="28"/>
      <c r="BC109" s="28"/>
      <c r="BD109" s="29"/>
    </row>
    <row r="110" spans="1:56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 t="str">
        <f t="shared" si="12"/>
        <v>·</v>
      </c>
      <c r="K110" s="34" t="str">
        <f t="shared" si="13"/>
        <v>·</v>
      </c>
      <c r="L110" s="34" t="str">
        <f t="shared" si="14"/>
        <v>·</v>
      </c>
      <c r="M110" s="35"/>
      <c r="N110" s="34" t="str">
        <f t="shared" si="15"/>
        <v>·</v>
      </c>
      <c r="O110" s="36"/>
      <c r="P110" s="37"/>
      <c r="Q110" s="37"/>
      <c r="R110" s="37"/>
      <c r="S110" s="38"/>
      <c r="T110" s="39"/>
      <c r="U110" s="39"/>
      <c r="V110" s="39"/>
      <c r="W110" s="38"/>
      <c r="X110" s="41"/>
      <c r="Y110" s="41"/>
      <c r="AA110" s="33" t="str">
        <f t="shared" si="16"/>
        <v>·</v>
      </c>
      <c r="AB110" s="34" t="str">
        <f t="shared" si="17"/>
        <v>·</v>
      </c>
      <c r="AC110" s="34" t="str">
        <f t="shared" si="18"/>
        <v>·</v>
      </c>
      <c r="AD110" s="34" t="str">
        <f t="shared" si="19"/>
        <v>·</v>
      </c>
      <c r="AE110" s="35"/>
      <c r="AF110" s="34" t="str">
        <f t="shared" si="20"/>
        <v>·</v>
      </c>
      <c r="AG110" s="36"/>
      <c r="AH110" s="37"/>
      <c r="AI110" s="37"/>
      <c r="AJ110" s="37"/>
      <c r="AK110" s="38"/>
      <c r="AL110" s="39"/>
      <c r="AM110" s="39"/>
      <c r="AN110" s="39"/>
      <c r="AO110" s="38"/>
      <c r="AP110" s="41"/>
      <c r="AQ110" s="41"/>
      <c r="AS110" s="42" t="e">
        <f t="shared" si="21"/>
        <v>#DIV/0!</v>
      </c>
      <c r="AT110" s="42"/>
      <c r="AV110" s="43"/>
      <c r="AW110" s="43"/>
      <c r="AX110" s="43"/>
      <c r="AY110" s="44"/>
      <c r="BA110" s="43"/>
      <c r="BB110" s="43"/>
      <c r="BC110" s="43"/>
      <c r="BD110" s="44"/>
    </row>
    <row r="111" spans="1:56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3"/>
      <c r="X111" s="26"/>
      <c r="Y111" s="26"/>
      <c r="AA111" s="18" t="str">
        <f t="shared" si="16"/>
        <v>·</v>
      </c>
      <c r="AB111" s="19" t="str">
        <f t="shared" si="17"/>
        <v>·</v>
      </c>
      <c r="AC111" s="19" t="str">
        <f t="shared" si="18"/>
        <v>·</v>
      </c>
      <c r="AD111" s="19" t="str">
        <f t="shared" si="19"/>
        <v>·</v>
      </c>
      <c r="AE111" s="20"/>
      <c r="AF111" s="19" t="str">
        <f t="shared" si="20"/>
        <v>·</v>
      </c>
      <c r="AG111" s="21"/>
      <c r="AH111" s="22"/>
      <c r="AI111" s="22"/>
      <c r="AJ111" s="22"/>
      <c r="AK111" s="23"/>
      <c r="AL111" s="24"/>
      <c r="AM111" s="24"/>
      <c r="AN111" s="24"/>
      <c r="AO111" s="23"/>
      <c r="AP111" s="26"/>
      <c r="AQ111" s="26"/>
      <c r="AS111" s="27" t="e">
        <f t="shared" si="21"/>
        <v>#DIV/0!</v>
      </c>
      <c r="AT111" s="27"/>
      <c r="AV111" s="28"/>
      <c r="AW111" s="28"/>
      <c r="AX111" s="28"/>
      <c r="AY111" s="29"/>
      <c r="BA111" s="28"/>
      <c r="BB111" s="28"/>
      <c r="BC111" s="28"/>
      <c r="BD111" s="29"/>
    </row>
    <row r="112" spans="1:56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3"/>
      <c r="X112" s="56"/>
      <c r="Y112" s="56"/>
      <c r="AA112" s="48" t="str">
        <f t="shared" si="16"/>
        <v>·</v>
      </c>
      <c r="AB112" s="49" t="str">
        <f t="shared" si="17"/>
        <v>·</v>
      </c>
      <c r="AC112" s="49" t="str">
        <f t="shared" si="18"/>
        <v>·</v>
      </c>
      <c r="AD112" s="49" t="str">
        <f t="shared" si="19"/>
        <v>·</v>
      </c>
      <c r="AE112" s="50"/>
      <c r="AF112" s="49" t="str">
        <f t="shared" si="20"/>
        <v>·</v>
      </c>
      <c r="AG112" s="51"/>
      <c r="AH112" s="52"/>
      <c r="AI112" s="52"/>
      <c r="AJ112" s="52"/>
      <c r="AK112" s="53"/>
      <c r="AL112" s="54"/>
      <c r="AM112" s="54"/>
      <c r="AN112" s="54"/>
      <c r="AO112" s="53"/>
      <c r="AP112" s="56"/>
      <c r="AQ112" s="56"/>
      <c r="AS112" s="57" t="e">
        <f t="shared" si="21"/>
        <v>#DIV/0!</v>
      </c>
      <c r="AT112" s="57"/>
      <c r="AV112" s="58"/>
      <c r="AW112" s="58"/>
      <c r="AX112" s="58"/>
      <c r="AY112" s="59"/>
      <c r="BA112" s="58"/>
      <c r="BB112" s="58"/>
      <c r="BC112" s="58"/>
      <c r="BD112" s="59"/>
    </row>
    <row r="113" spans="1:56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 t="str">
        <f t="shared" si="12"/>
        <v>·</v>
      </c>
      <c r="K113" s="19" t="str">
        <f t="shared" si="13"/>
        <v>·</v>
      </c>
      <c r="L113" s="19" t="str">
        <f t="shared" si="14"/>
        <v>·</v>
      </c>
      <c r="M113" s="20"/>
      <c r="N113" s="19" t="str">
        <f t="shared" si="15"/>
        <v>·</v>
      </c>
      <c r="O113" s="21"/>
      <c r="P113" s="22"/>
      <c r="Q113" s="22"/>
      <c r="R113" s="22"/>
      <c r="S113" s="23"/>
      <c r="T113" s="24"/>
      <c r="U113" s="24"/>
      <c r="V113" s="24"/>
      <c r="W113" s="23"/>
      <c r="X113" s="26"/>
      <c r="Y113" s="26"/>
      <c r="AA113" s="18" t="str">
        <f t="shared" si="16"/>
        <v>·</v>
      </c>
      <c r="AB113" s="19" t="str">
        <f t="shared" si="17"/>
        <v>·</v>
      </c>
      <c r="AC113" s="19" t="str">
        <f t="shared" si="18"/>
        <v>·</v>
      </c>
      <c r="AD113" s="19" t="str">
        <f t="shared" si="19"/>
        <v>·</v>
      </c>
      <c r="AE113" s="20"/>
      <c r="AF113" s="19" t="str">
        <f t="shared" si="20"/>
        <v>·</v>
      </c>
      <c r="AG113" s="21"/>
      <c r="AH113" s="22"/>
      <c r="AI113" s="22"/>
      <c r="AJ113" s="22"/>
      <c r="AK113" s="23"/>
      <c r="AL113" s="24"/>
      <c r="AM113" s="24"/>
      <c r="AN113" s="24"/>
      <c r="AO113" s="23"/>
      <c r="AP113" s="26"/>
      <c r="AQ113" s="26"/>
      <c r="AS113" s="27" t="e">
        <f t="shared" si="21"/>
        <v>#DIV/0!</v>
      </c>
      <c r="AT113" s="27" t="e">
        <f t="array" ref="AT113">AVERAGE(AI113:AI118/AH113:AH118) - AVERAGE(Q113:Q118/P113:P118)</f>
        <v>#DIV/0!</v>
      </c>
      <c r="AV113" s="28" t="str">
        <f>IF( OR(ISBLANK(R113:R118),ISBLANK(AJ113:AJ118), ISBLANK(T113:T118),ISBLANK(AL113:AL118)), "·", bdRateExtend( R113:R118,T113:T118, AJ113:AJ118,AL113:AL118))</f>
        <v>·</v>
      </c>
      <c r="AW113" s="28" t="str">
        <f>IF( OR(ISBLANK(R113:R118),ISBLANK(AJ113:AJ118), ISBLANK(U113:U118),ISBLANK(AM113:AM118)), "·", bdRateExtend( R113:R118,U113:U118, AJ113:AJ118,AM113:AM118))</f>
        <v>·</v>
      </c>
      <c r="AX113" s="28" t="str">
        <f>IF( OR(ISBLANK(R113:R118),ISBLANK(AJ113:AJ118), ISBLANK(V113:V118),ISBLANK(AN113:AN118)), "·", bdRateExtend( R113:R118,V113:V118, AJ113:AJ118,AN113:AN118))</f>
        <v>·</v>
      </c>
      <c r="AY113" s="29"/>
      <c r="BA113" s="28" t="str">
        <f>IF( OR(ISBLANK(P113:P118),ISBLANK(AH113:AH118), ISBLANK(T113:T118),ISBLANK(AL113:AL118)), "·", bdRateExtend( P113:P118,T113:T118, AH113:AH118,AL113:AL118))</f>
        <v>·</v>
      </c>
      <c r="BB113" s="28" t="str">
        <f>IF( OR(ISBLANK(P113:P118),ISBLANK(AH113:AH118), ISBLANK(U113:U118),ISBLANK(AM113:AM118)), "·", bdRateExtend( P113:P118,U113:U118, AH113:AH118,AM113:AM118))</f>
        <v>·</v>
      </c>
      <c r="BC113" s="28" t="str">
        <f>IF( OR(ISBLANK(P113:P118),ISBLANK(AH113:AH118), ISBLANK(V113:V118),ISBLANK(AN113:AN118)), "·", bdRateExtend( P113:P118,V113:V118, AH113:AH118,AN113:AN118))</f>
        <v>·</v>
      </c>
      <c r="BD113" s="29"/>
    </row>
    <row r="114" spans="1:56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 t="str">
        <f t="shared" si="12"/>
        <v>·</v>
      </c>
      <c r="K114" s="34" t="str">
        <f t="shared" si="13"/>
        <v>·</v>
      </c>
      <c r="L114" s="34" t="str">
        <f t="shared" si="14"/>
        <v>·</v>
      </c>
      <c r="M114" s="35"/>
      <c r="N114" s="34" t="str">
        <f t="shared" si="15"/>
        <v>·</v>
      </c>
      <c r="O114" s="36"/>
      <c r="P114" s="37"/>
      <c r="Q114" s="37"/>
      <c r="R114" s="37"/>
      <c r="S114" s="38"/>
      <c r="T114" s="39"/>
      <c r="U114" s="39"/>
      <c r="V114" s="39"/>
      <c r="W114" s="38"/>
      <c r="X114" s="41"/>
      <c r="Y114" s="41"/>
      <c r="AA114" s="33" t="str">
        <f t="shared" si="16"/>
        <v>·</v>
      </c>
      <c r="AB114" s="34" t="str">
        <f t="shared" si="17"/>
        <v>·</v>
      </c>
      <c r="AC114" s="34" t="str">
        <f t="shared" si="18"/>
        <v>·</v>
      </c>
      <c r="AD114" s="34" t="str">
        <f t="shared" si="19"/>
        <v>·</v>
      </c>
      <c r="AE114" s="35"/>
      <c r="AF114" s="34" t="str">
        <f t="shared" si="20"/>
        <v>·</v>
      </c>
      <c r="AG114" s="36"/>
      <c r="AH114" s="37"/>
      <c r="AI114" s="37"/>
      <c r="AJ114" s="37"/>
      <c r="AK114" s="38"/>
      <c r="AL114" s="39"/>
      <c r="AM114" s="39"/>
      <c r="AN114" s="39"/>
      <c r="AO114" s="38"/>
      <c r="AP114" s="41"/>
      <c r="AQ114" s="41"/>
      <c r="AS114" s="42" t="e">
        <f t="shared" si="21"/>
        <v>#DIV/0!</v>
      </c>
      <c r="AT114" s="42"/>
      <c r="AV114" s="43"/>
      <c r="AW114" s="43"/>
      <c r="AX114" s="43"/>
      <c r="AY114" s="44"/>
      <c r="BA114" s="43"/>
      <c r="BB114" s="43"/>
      <c r="BC114" s="43"/>
      <c r="BD114" s="44"/>
    </row>
    <row r="115" spans="1:56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 t="str">
        <f t="shared" si="12"/>
        <v>·</v>
      </c>
      <c r="K115" s="19" t="str">
        <f t="shared" si="13"/>
        <v>·</v>
      </c>
      <c r="L115" s="19" t="str">
        <f t="shared" si="14"/>
        <v>·</v>
      </c>
      <c r="M115" s="20"/>
      <c r="N115" s="19" t="str">
        <f t="shared" si="15"/>
        <v>·</v>
      </c>
      <c r="O115" s="21"/>
      <c r="P115" s="22"/>
      <c r="Q115" s="22"/>
      <c r="R115" s="22"/>
      <c r="S115" s="23"/>
      <c r="T115" s="24"/>
      <c r="U115" s="24"/>
      <c r="V115" s="24"/>
      <c r="W115" s="23"/>
      <c r="X115" s="26"/>
      <c r="Y115" s="26"/>
      <c r="AA115" s="18" t="str">
        <f t="shared" si="16"/>
        <v>·</v>
      </c>
      <c r="AB115" s="19" t="str">
        <f t="shared" si="17"/>
        <v>·</v>
      </c>
      <c r="AC115" s="19" t="str">
        <f t="shared" si="18"/>
        <v>·</v>
      </c>
      <c r="AD115" s="19" t="str">
        <f t="shared" si="19"/>
        <v>·</v>
      </c>
      <c r="AE115" s="20"/>
      <c r="AF115" s="19" t="str">
        <f t="shared" si="20"/>
        <v>·</v>
      </c>
      <c r="AG115" s="21"/>
      <c r="AH115" s="22"/>
      <c r="AI115" s="22"/>
      <c r="AJ115" s="22"/>
      <c r="AK115" s="23"/>
      <c r="AL115" s="24"/>
      <c r="AM115" s="24"/>
      <c r="AN115" s="24"/>
      <c r="AO115" s="23"/>
      <c r="AP115" s="26"/>
      <c r="AQ115" s="26"/>
      <c r="AS115" s="27" t="e">
        <f t="shared" si="21"/>
        <v>#DIV/0!</v>
      </c>
      <c r="AT115" s="27"/>
      <c r="AV115" s="28"/>
      <c r="AW115" s="28"/>
      <c r="AX115" s="28"/>
      <c r="AY115" s="29"/>
      <c r="BA115" s="28"/>
      <c r="BB115" s="28"/>
      <c r="BC115" s="28"/>
      <c r="BD115" s="29"/>
    </row>
    <row r="116" spans="1:56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 t="str">
        <f t="shared" si="12"/>
        <v>·</v>
      </c>
      <c r="K116" s="34" t="str">
        <f t="shared" si="13"/>
        <v>·</v>
      </c>
      <c r="L116" s="34" t="str">
        <f t="shared" si="14"/>
        <v>·</v>
      </c>
      <c r="M116" s="35"/>
      <c r="N116" s="34" t="str">
        <f t="shared" si="15"/>
        <v>·</v>
      </c>
      <c r="O116" s="36"/>
      <c r="P116" s="37"/>
      <c r="Q116" s="37"/>
      <c r="R116" s="37"/>
      <c r="S116" s="38"/>
      <c r="T116" s="39"/>
      <c r="U116" s="39"/>
      <c r="V116" s="39"/>
      <c r="W116" s="38"/>
      <c r="X116" s="41"/>
      <c r="Y116" s="41"/>
      <c r="AA116" s="33" t="str">
        <f t="shared" si="16"/>
        <v>·</v>
      </c>
      <c r="AB116" s="34" t="str">
        <f t="shared" si="17"/>
        <v>·</v>
      </c>
      <c r="AC116" s="34" t="str">
        <f t="shared" si="18"/>
        <v>·</v>
      </c>
      <c r="AD116" s="34" t="str">
        <f t="shared" si="19"/>
        <v>·</v>
      </c>
      <c r="AE116" s="35"/>
      <c r="AF116" s="34" t="str">
        <f t="shared" si="20"/>
        <v>·</v>
      </c>
      <c r="AG116" s="36"/>
      <c r="AH116" s="37"/>
      <c r="AI116" s="37"/>
      <c r="AJ116" s="37"/>
      <c r="AK116" s="38"/>
      <c r="AL116" s="39"/>
      <c r="AM116" s="39"/>
      <c r="AN116" s="39"/>
      <c r="AO116" s="38"/>
      <c r="AP116" s="41"/>
      <c r="AQ116" s="41"/>
      <c r="AS116" s="42" t="e">
        <f t="shared" si="21"/>
        <v>#DIV/0!</v>
      </c>
      <c r="AT116" s="42"/>
      <c r="AV116" s="43"/>
      <c r="AW116" s="43"/>
      <c r="AX116" s="43"/>
      <c r="AY116" s="44"/>
      <c r="BA116" s="43"/>
      <c r="BB116" s="43"/>
      <c r="BC116" s="43"/>
      <c r="BD116" s="44"/>
    </row>
    <row r="117" spans="1:56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3"/>
      <c r="X117" s="26"/>
      <c r="Y117" s="26"/>
      <c r="AA117" s="18" t="str">
        <f t="shared" si="16"/>
        <v>·</v>
      </c>
      <c r="AB117" s="19" t="str">
        <f t="shared" si="17"/>
        <v>·</v>
      </c>
      <c r="AC117" s="19" t="str">
        <f t="shared" si="18"/>
        <v>·</v>
      </c>
      <c r="AD117" s="19" t="str">
        <f t="shared" si="19"/>
        <v>·</v>
      </c>
      <c r="AE117" s="20"/>
      <c r="AF117" s="19" t="str">
        <f t="shared" si="20"/>
        <v>·</v>
      </c>
      <c r="AG117" s="21"/>
      <c r="AH117" s="22"/>
      <c r="AI117" s="22"/>
      <c r="AJ117" s="22"/>
      <c r="AK117" s="23"/>
      <c r="AL117" s="24"/>
      <c r="AM117" s="24"/>
      <c r="AN117" s="24"/>
      <c r="AO117" s="23"/>
      <c r="AP117" s="26"/>
      <c r="AQ117" s="26"/>
      <c r="AS117" s="27" t="e">
        <f t="shared" si="21"/>
        <v>#DIV/0!</v>
      </c>
      <c r="AT117" s="27"/>
      <c r="AV117" s="28"/>
      <c r="AW117" s="28"/>
      <c r="AX117" s="28"/>
      <c r="AY117" s="29"/>
      <c r="BA117" s="28"/>
      <c r="BB117" s="28"/>
      <c r="BC117" s="28"/>
      <c r="BD117" s="29"/>
    </row>
    <row r="118" spans="1:56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3"/>
      <c r="X118" s="56"/>
      <c r="Y118" s="56"/>
      <c r="AA118" s="48" t="str">
        <f t="shared" si="16"/>
        <v>·</v>
      </c>
      <c r="AB118" s="49" t="str">
        <f t="shared" si="17"/>
        <v>·</v>
      </c>
      <c r="AC118" s="49" t="str">
        <f t="shared" si="18"/>
        <v>·</v>
      </c>
      <c r="AD118" s="49" t="str">
        <f t="shared" si="19"/>
        <v>·</v>
      </c>
      <c r="AE118" s="50"/>
      <c r="AF118" s="49" t="str">
        <f t="shared" si="20"/>
        <v>·</v>
      </c>
      <c r="AG118" s="51"/>
      <c r="AH118" s="52"/>
      <c r="AI118" s="52"/>
      <c r="AJ118" s="52"/>
      <c r="AK118" s="53"/>
      <c r="AL118" s="54"/>
      <c r="AM118" s="54"/>
      <c r="AN118" s="54"/>
      <c r="AO118" s="53"/>
      <c r="AP118" s="56"/>
      <c r="AQ118" s="56"/>
      <c r="AS118" s="57" t="e">
        <f t="shared" si="21"/>
        <v>#DIV/0!</v>
      </c>
      <c r="AT118" s="57"/>
      <c r="AV118" s="58"/>
      <c r="AW118" s="58"/>
      <c r="AX118" s="58"/>
      <c r="AY118" s="59"/>
      <c r="BA118" s="58"/>
      <c r="BB118" s="58"/>
      <c r="BC118" s="58"/>
      <c r="BD118" s="59"/>
    </row>
    <row r="119" spans="1:56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 t="str">
        <f t="shared" si="12"/>
        <v>·</v>
      </c>
      <c r="K119" s="19" t="str">
        <f t="shared" si="13"/>
        <v>·</v>
      </c>
      <c r="L119" s="19" t="str">
        <f t="shared" si="14"/>
        <v>·</v>
      </c>
      <c r="M119" s="20"/>
      <c r="N119" s="19" t="str">
        <f t="shared" si="15"/>
        <v>·</v>
      </c>
      <c r="O119" s="21"/>
      <c r="P119" s="22"/>
      <c r="Q119" s="22"/>
      <c r="R119" s="22"/>
      <c r="S119" s="23"/>
      <c r="T119" s="24"/>
      <c r="U119" s="24"/>
      <c r="V119" s="24"/>
      <c r="W119" s="23"/>
      <c r="X119" s="26"/>
      <c r="Y119" s="26"/>
      <c r="AA119" s="18" t="str">
        <f t="shared" si="16"/>
        <v>·</v>
      </c>
      <c r="AB119" s="19" t="str">
        <f t="shared" si="17"/>
        <v>·</v>
      </c>
      <c r="AC119" s="19" t="str">
        <f t="shared" si="18"/>
        <v>·</v>
      </c>
      <c r="AD119" s="19" t="str">
        <f t="shared" si="19"/>
        <v>·</v>
      </c>
      <c r="AE119" s="20"/>
      <c r="AF119" s="19" t="str">
        <f t="shared" si="20"/>
        <v>·</v>
      </c>
      <c r="AG119" s="21"/>
      <c r="AH119" s="22"/>
      <c r="AI119" s="22"/>
      <c r="AJ119" s="22"/>
      <c r="AK119" s="23"/>
      <c r="AL119" s="24"/>
      <c r="AM119" s="24"/>
      <c r="AN119" s="24"/>
      <c r="AO119" s="23"/>
      <c r="AP119" s="26"/>
      <c r="AQ119" s="26"/>
      <c r="AS119" s="27" t="e">
        <f t="shared" si="21"/>
        <v>#DIV/0!</v>
      </c>
      <c r="AT119" s="27" t="e">
        <f t="array" ref="AT119">AVERAGE(AI119:AI124/AH119:AH124) - AVERAGE(Q119:Q124/P119:P124)</f>
        <v>#DIV/0!</v>
      </c>
      <c r="AV119" s="28" t="str">
        <f>IF( OR(ISBLANK(R119:R124),ISBLANK(AJ119:AJ124), ISBLANK(T119:T124),ISBLANK(AL119:AL124)), "·", bdRateExtend( R119:R124,T119:T124, AJ119:AJ124,AL119:AL124))</f>
        <v>·</v>
      </c>
      <c r="AW119" s="28" t="str">
        <f>IF( OR(ISBLANK(R119:R124),ISBLANK(AJ119:AJ124), ISBLANK(U119:U124),ISBLANK(AM119:AM124)), "·", bdRateExtend( R119:R124,U119:U124, AJ119:AJ124,AM119:AM124))</f>
        <v>·</v>
      </c>
      <c r="AX119" s="28" t="str">
        <f>IF( OR(ISBLANK(R119:R124),ISBLANK(AJ119:AJ124), ISBLANK(V119:V124),ISBLANK(AN119:AN124)), "·", bdRateExtend( R119:R124,V119:V124, AJ119:AJ124,AN119:AN124))</f>
        <v>·</v>
      </c>
      <c r="AY119" s="29"/>
      <c r="BA119" s="28" t="str">
        <f>IF( OR(ISBLANK(P119:P124),ISBLANK(AH119:AH124), ISBLANK(T119:T124),ISBLANK(AL119:AL124)), "·", bdRateExtend( P119:P124,T119:T124, AH119:AH124,AL119:AL124))</f>
        <v>·</v>
      </c>
      <c r="BB119" s="28" t="str">
        <f>IF( OR(ISBLANK(P119:P124),ISBLANK(AH119:AH124), ISBLANK(U119:U124),ISBLANK(AM119:AM124)), "·", bdRateExtend( P119:P124,U119:U124, AH119:AH124,AM119:AM124))</f>
        <v>·</v>
      </c>
      <c r="BC119" s="28" t="str">
        <f>IF( OR(ISBLANK(P119:P124),ISBLANK(AH119:AH124), ISBLANK(V119:V124),ISBLANK(AN119:AN124)), "·", bdRateExtend( P119:P124,V119:V124, AH119:AH124,AN119:AN124))</f>
        <v>·</v>
      </c>
      <c r="BD119" s="29"/>
    </row>
    <row r="120" spans="1:56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 t="str">
        <f t="shared" si="12"/>
        <v>·</v>
      </c>
      <c r="K120" s="34" t="str">
        <f t="shared" si="13"/>
        <v>·</v>
      </c>
      <c r="L120" s="34" t="str">
        <f t="shared" si="14"/>
        <v>·</v>
      </c>
      <c r="M120" s="35"/>
      <c r="N120" s="34" t="str">
        <f t="shared" si="15"/>
        <v>·</v>
      </c>
      <c r="O120" s="36"/>
      <c r="P120" s="37"/>
      <c r="Q120" s="37"/>
      <c r="R120" s="37"/>
      <c r="S120" s="38"/>
      <c r="T120" s="39"/>
      <c r="U120" s="39"/>
      <c r="V120" s="39"/>
      <c r="W120" s="38"/>
      <c r="X120" s="41"/>
      <c r="Y120" s="41"/>
      <c r="AA120" s="33" t="str">
        <f t="shared" si="16"/>
        <v>·</v>
      </c>
      <c r="AB120" s="34" t="str">
        <f t="shared" si="17"/>
        <v>·</v>
      </c>
      <c r="AC120" s="34" t="str">
        <f t="shared" si="18"/>
        <v>·</v>
      </c>
      <c r="AD120" s="34" t="str">
        <f t="shared" si="19"/>
        <v>·</v>
      </c>
      <c r="AE120" s="35"/>
      <c r="AF120" s="34" t="str">
        <f t="shared" si="20"/>
        <v>·</v>
      </c>
      <c r="AG120" s="36"/>
      <c r="AH120" s="37"/>
      <c r="AI120" s="37"/>
      <c r="AJ120" s="37"/>
      <c r="AK120" s="38"/>
      <c r="AL120" s="39"/>
      <c r="AM120" s="39"/>
      <c r="AN120" s="39"/>
      <c r="AO120" s="38"/>
      <c r="AP120" s="41"/>
      <c r="AQ120" s="41"/>
      <c r="AS120" s="42" t="e">
        <f t="shared" si="21"/>
        <v>#DIV/0!</v>
      </c>
      <c r="AT120" s="42"/>
      <c r="AV120" s="43"/>
      <c r="AW120" s="43"/>
      <c r="AX120" s="43"/>
      <c r="AY120" s="44"/>
      <c r="BA120" s="43"/>
      <c r="BB120" s="43"/>
      <c r="BC120" s="43"/>
      <c r="BD120" s="44"/>
    </row>
    <row r="121" spans="1:56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 t="str">
        <f t="shared" si="12"/>
        <v>·</v>
      </c>
      <c r="K121" s="19" t="str">
        <f t="shared" si="13"/>
        <v>·</v>
      </c>
      <c r="L121" s="19" t="str">
        <f t="shared" si="14"/>
        <v>·</v>
      </c>
      <c r="M121" s="20"/>
      <c r="N121" s="19" t="str">
        <f t="shared" si="15"/>
        <v>·</v>
      </c>
      <c r="O121" s="21"/>
      <c r="P121" s="22"/>
      <c r="Q121" s="22"/>
      <c r="R121" s="22"/>
      <c r="S121" s="23"/>
      <c r="T121" s="24"/>
      <c r="U121" s="24"/>
      <c r="V121" s="24"/>
      <c r="W121" s="23"/>
      <c r="X121" s="26"/>
      <c r="Y121" s="26"/>
      <c r="AA121" s="18" t="str">
        <f t="shared" si="16"/>
        <v>·</v>
      </c>
      <c r="AB121" s="19" t="str">
        <f t="shared" si="17"/>
        <v>·</v>
      </c>
      <c r="AC121" s="19" t="str">
        <f t="shared" si="18"/>
        <v>·</v>
      </c>
      <c r="AD121" s="19" t="str">
        <f t="shared" si="19"/>
        <v>·</v>
      </c>
      <c r="AE121" s="20"/>
      <c r="AF121" s="19" t="str">
        <f t="shared" si="20"/>
        <v>·</v>
      </c>
      <c r="AG121" s="21"/>
      <c r="AH121" s="22"/>
      <c r="AI121" s="22"/>
      <c r="AJ121" s="22"/>
      <c r="AK121" s="23"/>
      <c r="AL121" s="24"/>
      <c r="AM121" s="24"/>
      <c r="AN121" s="24"/>
      <c r="AO121" s="23"/>
      <c r="AP121" s="26"/>
      <c r="AQ121" s="26"/>
      <c r="AS121" s="27" t="e">
        <f t="shared" si="21"/>
        <v>#DIV/0!</v>
      </c>
      <c r="AT121" s="27"/>
      <c r="AV121" s="28"/>
      <c r="AW121" s="28"/>
      <c r="AX121" s="28"/>
      <c r="AY121" s="29"/>
      <c r="BA121" s="28"/>
      <c r="BB121" s="28"/>
      <c r="BC121" s="28"/>
      <c r="BD121" s="29"/>
    </row>
    <row r="122" spans="1:56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 t="str">
        <f t="shared" si="12"/>
        <v>·</v>
      </c>
      <c r="K122" s="34" t="str">
        <f t="shared" si="13"/>
        <v>·</v>
      </c>
      <c r="L122" s="34" t="str">
        <f t="shared" si="14"/>
        <v>·</v>
      </c>
      <c r="M122" s="35"/>
      <c r="N122" s="34" t="str">
        <f t="shared" si="15"/>
        <v>·</v>
      </c>
      <c r="O122" s="36"/>
      <c r="P122" s="37"/>
      <c r="Q122" s="37"/>
      <c r="R122" s="37"/>
      <c r="S122" s="38"/>
      <c r="T122" s="39"/>
      <c r="U122" s="39"/>
      <c r="V122" s="39"/>
      <c r="W122" s="38"/>
      <c r="X122" s="41"/>
      <c r="Y122" s="41"/>
      <c r="AA122" s="33" t="str">
        <f t="shared" si="16"/>
        <v>·</v>
      </c>
      <c r="AB122" s="34" t="str">
        <f t="shared" si="17"/>
        <v>·</v>
      </c>
      <c r="AC122" s="34" t="str">
        <f t="shared" si="18"/>
        <v>·</v>
      </c>
      <c r="AD122" s="34" t="str">
        <f t="shared" si="19"/>
        <v>·</v>
      </c>
      <c r="AE122" s="35"/>
      <c r="AF122" s="34" t="str">
        <f t="shared" si="20"/>
        <v>·</v>
      </c>
      <c r="AG122" s="36"/>
      <c r="AH122" s="37"/>
      <c r="AI122" s="37"/>
      <c r="AJ122" s="37"/>
      <c r="AK122" s="38"/>
      <c r="AL122" s="39"/>
      <c r="AM122" s="39"/>
      <c r="AN122" s="39"/>
      <c r="AO122" s="38"/>
      <c r="AP122" s="41"/>
      <c r="AQ122" s="41"/>
      <c r="AS122" s="42" t="e">
        <f t="shared" si="21"/>
        <v>#DIV/0!</v>
      </c>
      <c r="AT122" s="42"/>
      <c r="AV122" s="43"/>
      <c r="AW122" s="43"/>
      <c r="AX122" s="43"/>
      <c r="AY122" s="44"/>
      <c r="BA122" s="43"/>
      <c r="BB122" s="43"/>
      <c r="BC122" s="43"/>
      <c r="BD122" s="44"/>
    </row>
    <row r="123" spans="1:56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3"/>
      <c r="X123" s="26"/>
      <c r="Y123" s="26"/>
      <c r="AA123" s="18" t="str">
        <f t="shared" si="16"/>
        <v>·</v>
      </c>
      <c r="AB123" s="19" t="str">
        <f t="shared" si="17"/>
        <v>·</v>
      </c>
      <c r="AC123" s="19" t="str">
        <f t="shared" si="18"/>
        <v>·</v>
      </c>
      <c r="AD123" s="19" t="str">
        <f t="shared" si="19"/>
        <v>·</v>
      </c>
      <c r="AE123" s="20"/>
      <c r="AF123" s="19" t="str">
        <f t="shared" si="20"/>
        <v>·</v>
      </c>
      <c r="AG123" s="21"/>
      <c r="AH123" s="22"/>
      <c r="AI123" s="22"/>
      <c r="AJ123" s="22"/>
      <c r="AK123" s="23"/>
      <c r="AL123" s="24"/>
      <c r="AM123" s="24"/>
      <c r="AN123" s="24"/>
      <c r="AO123" s="23"/>
      <c r="AP123" s="26"/>
      <c r="AQ123" s="26"/>
      <c r="AS123" s="27" t="e">
        <f t="shared" si="21"/>
        <v>#DIV/0!</v>
      </c>
      <c r="AT123" s="27"/>
      <c r="AV123" s="28"/>
      <c r="AW123" s="28"/>
      <c r="AX123" s="28"/>
      <c r="AY123" s="29"/>
      <c r="BA123" s="28"/>
      <c r="BB123" s="28"/>
      <c r="BC123" s="28"/>
      <c r="BD123" s="29"/>
    </row>
    <row r="124" spans="1:56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3"/>
      <c r="X124" s="56"/>
      <c r="Y124" s="56"/>
      <c r="AA124" s="48" t="str">
        <f t="shared" si="16"/>
        <v>·</v>
      </c>
      <c r="AB124" s="49" t="str">
        <f t="shared" si="17"/>
        <v>·</v>
      </c>
      <c r="AC124" s="49" t="str">
        <f t="shared" si="18"/>
        <v>·</v>
      </c>
      <c r="AD124" s="49" t="str">
        <f t="shared" si="19"/>
        <v>·</v>
      </c>
      <c r="AE124" s="50"/>
      <c r="AF124" s="49" t="str">
        <f t="shared" si="20"/>
        <v>·</v>
      </c>
      <c r="AG124" s="51"/>
      <c r="AH124" s="52"/>
      <c r="AI124" s="52"/>
      <c r="AJ124" s="52"/>
      <c r="AK124" s="53"/>
      <c r="AL124" s="54"/>
      <c r="AM124" s="54"/>
      <c r="AN124" s="54"/>
      <c r="AO124" s="53"/>
      <c r="AP124" s="56"/>
      <c r="AQ124" s="56"/>
      <c r="AS124" s="57" t="e">
        <f t="shared" si="21"/>
        <v>#DIV/0!</v>
      </c>
      <c r="AT124" s="57"/>
      <c r="AV124" s="58"/>
      <c r="AW124" s="58"/>
      <c r="AX124" s="58"/>
      <c r="AY124" s="59"/>
      <c r="BA124" s="58"/>
      <c r="BB124" s="58"/>
      <c r="BC124" s="58"/>
      <c r="BD124" s="59"/>
    </row>
    <row r="125" spans="1:56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 t="str">
        <f t="shared" si="12"/>
        <v>·</v>
      </c>
      <c r="K125" s="19" t="str">
        <f t="shared" si="13"/>
        <v>·</v>
      </c>
      <c r="L125" s="19" t="str">
        <f t="shared" si="14"/>
        <v>·</v>
      </c>
      <c r="M125" s="20"/>
      <c r="N125" s="19" t="str">
        <f t="shared" si="15"/>
        <v>·</v>
      </c>
      <c r="O125" s="21"/>
      <c r="P125" s="22"/>
      <c r="Q125" s="22"/>
      <c r="R125" s="22"/>
      <c r="S125" s="23"/>
      <c r="T125" s="24"/>
      <c r="U125" s="24"/>
      <c r="V125" s="24"/>
      <c r="W125" s="23"/>
      <c r="X125" s="26"/>
      <c r="Y125" s="26"/>
      <c r="AA125" s="18" t="str">
        <f t="shared" si="16"/>
        <v>·</v>
      </c>
      <c r="AB125" s="19" t="str">
        <f t="shared" si="17"/>
        <v>·</v>
      </c>
      <c r="AC125" s="19" t="str">
        <f t="shared" si="18"/>
        <v>·</v>
      </c>
      <c r="AD125" s="19" t="str">
        <f t="shared" si="19"/>
        <v>·</v>
      </c>
      <c r="AE125" s="20"/>
      <c r="AF125" s="19" t="str">
        <f t="shared" si="20"/>
        <v>·</v>
      </c>
      <c r="AG125" s="21"/>
      <c r="AH125" s="22"/>
      <c r="AI125" s="22"/>
      <c r="AJ125" s="22"/>
      <c r="AK125" s="23"/>
      <c r="AL125" s="24"/>
      <c r="AM125" s="24"/>
      <c r="AN125" s="24"/>
      <c r="AO125" s="23"/>
      <c r="AP125" s="26"/>
      <c r="AQ125" s="26"/>
      <c r="AS125" s="27" t="e">
        <f t="shared" si="21"/>
        <v>#DIV/0!</v>
      </c>
      <c r="AT125" s="27" t="e">
        <f t="array" ref="AT125">AVERAGE(AI125:AI130/AH125:AH130) - AVERAGE(Q125:Q130/P125:P130)</f>
        <v>#DIV/0!</v>
      </c>
      <c r="AV125" s="28" t="str">
        <f>IF( OR(ISBLANK(R125:R130),ISBLANK(AJ125:AJ130), ISBLANK(T125:T130),ISBLANK(AL125:AL130)), "·", bdRateExtend( R125:R130,T125:T130, AJ125:AJ130,AL125:AL130))</f>
        <v>·</v>
      </c>
      <c r="AW125" s="28" t="str">
        <f>IF( OR(ISBLANK(R125:R130),ISBLANK(AJ125:AJ130), ISBLANK(U125:U130),ISBLANK(AM125:AM130)), "·", bdRateExtend( R125:R130,U125:U130, AJ125:AJ130,AM125:AM130))</f>
        <v>·</v>
      </c>
      <c r="AX125" s="28" t="str">
        <f>IF( OR(ISBLANK(R125:R130),ISBLANK(AJ125:AJ130), ISBLANK(V125:V130),ISBLANK(AN125:AN130)), "·", bdRateExtend( R125:R130,V125:V130, AJ125:AJ130,AN125:AN130))</f>
        <v>·</v>
      </c>
      <c r="AY125" s="29"/>
      <c r="BA125" s="28" t="str">
        <f>IF( OR(ISBLANK(P125:P130),ISBLANK(AH125:AH130), ISBLANK(T125:T130),ISBLANK(AL125:AL130)), "·", bdRateExtend( P125:P130,T125:T130, AH125:AH130,AL125:AL130))</f>
        <v>·</v>
      </c>
      <c r="BB125" s="28" t="str">
        <f>IF( OR(ISBLANK(P125:P130),ISBLANK(AH125:AH130), ISBLANK(U125:U130),ISBLANK(AM125:AM130)), "·", bdRateExtend( P125:P130,U125:U130, AH125:AH130,AM125:AM130))</f>
        <v>·</v>
      </c>
      <c r="BC125" s="28" t="str">
        <f>IF( OR(ISBLANK(P125:P130),ISBLANK(AH125:AH130), ISBLANK(V125:V130),ISBLANK(AN125:AN130)), "·", bdRateExtend( P125:P130,V125:V130, AH125:AH130,AN125:AN130))</f>
        <v>·</v>
      </c>
      <c r="BD125" s="29"/>
    </row>
    <row r="126" spans="1:56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 t="str">
        <f t="shared" si="12"/>
        <v>·</v>
      </c>
      <c r="K126" s="34" t="str">
        <f t="shared" si="13"/>
        <v>·</v>
      </c>
      <c r="L126" s="34" t="str">
        <f t="shared" si="14"/>
        <v>·</v>
      </c>
      <c r="M126" s="35"/>
      <c r="N126" s="34" t="str">
        <f t="shared" si="15"/>
        <v>·</v>
      </c>
      <c r="O126" s="36"/>
      <c r="P126" s="37"/>
      <c r="Q126" s="37"/>
      <c r="R126" s="37"/>
      <c r="S126" s="38"/>
      <c r="T126" s="39"/>
      <c r="U126" s="39"/>
      <c r="V126" s="39"/>
      <c r="W126" s="38"/>
      <c r="X126" s="41"/>
      <c r="Y126" s="41"/>
      <c r="AA126" s="33" t="str">
        <f t="shared" si="16"/>
        <v>·</v>
      </c>
      <c r="AB126" s="34" t="str">
        <f t="shared" si="17"/>
        <v>·</v>
      </c>
      <c r="AC126" s="34" t="str">
        <f t="shared" si="18"/>
        <v>·</v>
      </c>
      <c r="AD126" s="34" t="str">
        <f t="shared" si="19"/>
        <v>·</v>
      </c>
      <c r="AE126" s="35"/>
      <c r="AF126" s="34" t="str">
        <f t="shared" si="20"/>
        <v>·</v>
      </c>
      <c r="AG126" s="36"/>
      <c r="AH126" s="37"/>
      <c r="AI126" s="37"/>
      <c r="AJ126" s="37"/>
      <c r="AK126" s="38"/>
      <c r="AL126" s="39"/>
      <c r="AM126" s="39"/>
      <c r="AN126" s="39"/>
      <c r="AO126" s="38"/>
      <c r="AP126" s="41"/>
      <c r="AQ126" s="41"/>
      <c r="AS126" s="42" t="e">
        <f t="shared" si="21"/>
        <v>#DIV/0!</v>
      </c>
      <c r="AT126" s="42"/>
      <c r="AV126" s="43"/>
      <c r="AW126" s="43"/>
      <c r="AX126" s="43"/>
      <c r="AY126" s="44"/>
      <c r="BA126" s="43"/>
      <c r="BB126" s="43"/>
      <c r="BC126" s="43"/>
      <c r="BD126" s="44"/>
    </row>
    <row r="127" spans="1:56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 t="str">
        <f t="shared" si="12"/>
        <v>·</v>
      </c>
      <c r="K127" s="19" t="str">
        <f t="shared" si="13"/>
        <v>·</v>
      </c>
      <c r="L127" s="19" t="str">
        <f t="shared" si="14"/>
        <v>·</v>
      </c>
      <c r="M127" s="20"/>
      <c r="N127" s="19" t="str">
        <f t="shared" si="15"/>
        <v>·</v>
      </c>
      <c r="O127" s="21"/>
      <c r="P127" s="22"/>
      <c r="Q127" s="22"/>
      <c r="R127" s="22"/>
      <c r="S127" s="23"/>
      <c r="T127" s="24"/>
      <c r="U127" s="24"/>
      <c r="V127" s="24"/>
      <c r="W127" s="23"/>
      <c r="X127" s="26"/>
      <c r="Y127" s="26"/>
      <c r="AA127" s="18" t="str">
        <f t="shared" si="16"/>
        <v>·</v>
      </c>
      <c r="AB127" s="19" t="str">
        <f t="shared" si="17"/>
        <v>·</v>
      </c>
      <c r="AC127" s="19" t="str">
        <f t="shared" si="18"/>
        <v>·</v>
      </c>
      <c r="AD127" s="19" t="str">
        <f t="shared" si="19"/>
        <v>·</v>
      </c>
      <c r="AE127" s="20"/>
      <c r="AF127" s="19" t="str">
        <f t="shared" si="20"/>
        <v>·</v>
      </c>
      <c r="AG127" s="21"/>
      <c r="AH127" s="22"/>
      <c r="AI127" s="22"/>
      <c r="AJ127" s="22"/>
      <c r="AK127" s="23"/>
      <c r="AL127" s="24"/>
      <c r="AM127" s="24"/>
      <c r="AN127" s="24"/>
      <c r="AO127" s="23"/>
      <c r="AP127" s="26"/>
      <c r="AQ127" s="26"/>
      <c r="AS127" s="27" t="e">
        <f t="shared" si="21"/>
        <v>#DIV/0!</v>
      </c>
      <c r="AT127" s="27"/>
      <c r="AV127" s="28"/>
      <c r="AW127" s="28"/>
      <c r="AX127" s="28"/>
      <c r="AY127" s="29"/>
      <c r="BA127" s="28"/>
      <c r="BB127" s="28"/>
      <c r="BC127" s="28"/>
      <c r="BD127" s="29"/>
    </row>
    <row r="128" spans="1:56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 t="str">
        <f t="shared" si="12"/>
        <v>·</v>
      </c>
      <c r="K128" s="34" t="str">
        <f t="shared" si="13"/>
        <v>·</v>
      </c>
      <c r="L128" s="34" t="str">
        <f t="shared" si="14"/>
        <v>·</v>
      </c>
      <c r="M128" s="35"/>
      <c r="N128" s="34" t="str">
        <f t="shared" si="15"/>
        <v>·</v>
      </c>
      <c r="O128" s="36"/>
      <c r="P128" s="37"/>
      <c r="Q128" s="37"/>
      <c r="R128" s="37"/>
      <c r="S128" s="38"/>
      <c r="T128" s="39"/>
      <c r="U128" s="39"/>
      <c r="V128" s="39"/>
      <c r="W128" s="38"/>
      <c r="X128" s="41"/>
      <c r="Y128" s="41"/>
      <c r="AA128" s="33" t="str">
        <f t="shared" si="16"/>
        <v>·</v>
      </c>
      <c r="AB128" s="34" t="str">
        <f t="shared" si="17"/>
        <v>·</v>
      </c>
      <c r="AC128" s="34" t="str">
        <f t="shared" si="18"/>
        <v>·</v>
      </c>
      <c r="AD128" s="34" t="str">
        <f t="shared" si="19"/>
        <v>·</v>
      </c>
      <c r="AE128" s="35"/>
      <c r="AF128" s="34" t="str">
        <f t="shared" si="20"/>
        <v>·</v>
      </c>
      <c r="AG128" s="36"/>
      <c r="AH128" s="37"/>
      <c r="AI128" s="37"/>
      <c r="AJ128" s="37"/>
      <c r="AK128" s="38"/>
      <c r="AL128" s="39"/>
      <c r="AM128" s="39"/>
      <c r="AN128" s="39"/>
      <c r="AO128" s="38"/>
      <c r="AP128" s="41"/>
      <c r="AQ128" s="41"/>
      <c r="AS128" s="42" t="e">
        <f t="shared" si="21"/>
        <v>#DIV/0!</v>
      </c>
      <c r="AT128" s="42"/>
      <c r="AV128" s="43"/>
      <c r="AW128" s="43"/>
      <c r="AX128" s="43"/>
      <c r="AY128" s="44"/>
      <c r="BA128" s="43"/>
      <c r="BB128" s="43"/>
      <c r="BC128" s="43"/>
      <c r="BD128" s="44"/>
    </row>
    <row r="129" spans="1:56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3"/>
      <c r="X129" s="26"/>
      <c r="Y129" s="26"/>
      <c r="AA129" s="18" t="str">
        <f t="shared" si="16"/>
        <v>·</v>
      </c>
      <c r="AB129" s="19" t="str">
        <f t="shared" si="17"/>
        <v>·</v>
      </c>
      <c r="AC129" s="19" t="str">
        <f t="shared" si="18"/>
        <v>·</v>
      </c>
      <c r="AD129" s="19" t="str">
        <f t="shared" si="19"/>
        <v>·</v>
      </c>
      <c r="AE129" s="20"/>
      <c r="AF129" s="19" t="str">
        <f t="shared" si="20"/>
        <v>·</v>
      </c>
      <c r="AG129" s="21"/>
      <c r="AH129" s="22"/>
      <c r="AI129" s="22"/>
      <c r="AJ129" s="22"/>
      <c r="AK129" s="23"/>
      <c r="AL129" s="24"/>
      <c r="AM129" s="24"/>
      <c r="AN129" s="24"/>
      <c r="AO129" s="23"/>
      <c r="AP129" s="26"/>
      <c r="AQ129" s="26"/>
      <c r="AS129" s="27" t="e">
        <f t="shared" si="21"/>
        <v>#DIV/0!</v>
      </c>
      <c r="AT129" s="27"/>
      <c r="AV129" s="28"/>
      <c r="AW129" s="28"/>
      <c r="AX129" s="28"/>
      <c r="AY129" s="29"/>
      <c r="BA129" s="28"/>
      <c r="BB129" s="28"/>
      <c r="BC129" s="28"/>
      <c r="BD129" s="29"/>
    </row>
    <row r="130" spans="1:56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3"/>
      <c r="X130" s="56"/>
      <c r="Y130" s="56"/>
      <c r="AA130" s="48" t="str">
        <f t="shared" si="16"/>
        <v>·</v>
      </c>
      <c r="AB130" s="49" t="str">
        <f t="shared" si="17"/>
        <v>·</v>
      </c>
      <c r="AC130" s="49" t="str">
        <f t="shared" si="18"/>
        <v>·</v>
      </c>
      <c r="AD130" s="49" t="str">
        <f t="shared" si="19"/>
        <v>·</v>
      </c>
      <c r="AE130" s="50"/>
      <c r="AF130" s="49" t="str">
        <f t="shared" si="20"/>
        <v>·</v>
      </c>
      <c r="AG130" s="51"/>
      <c r="AH130" s="52"/>
      <c r="AI130" s="52"/>
      <c r="AJ130" s="52"/>
      <c r="AK130" s="53"/>
      <c r="AL130" s="54"/>
      <c r="AM130" s="54"/>
      <c r="AN130" s="54"/>
      <c r="AO130" s="53"/>
      <c r="AP130" s="56"/>
      <c r="AQ130" s="56"/>
      <c r="AS130" s="57" t="e">
        <f t="shared" si="21"/>
        <v>#DIV/0!</v>
      </c>
      <c r="AT130" s="57"/>
      <c r="AV130" s="58"/>
      <c r="AW130" s="58"/>
      <c r="AX130" s="58"/>
      <c r="AY130" s="59"/>
      <c r="BA130" s="58"/>
      <c r="BB130" s="58"/>
      <c r="BC130" s="58"/>
      <c r="BD130" s="59"/>
    </row>
    <row r="131" spans="1:56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 t="str">
        <f t="shared" si="12"/>
        <v>·</v>
      </c>
      <c r="K131" s="19" t="str">
        <f t="shared" si="13"/>
        <v>·</v>
      </c>
      <c r="L131" s="19" t="str">
        <f t="shared" si="14"/>
        <v>·</v>
      </c>
      <c r="M131" s="20"/>
      <c r="N131" s="19" t="str">
        <f t="shared" si="15"/>
        <v>·</v>
      </c>
      <c r="O131" s="21"/>
      <c r="P131" s="22"/>
      <c r="Q131" s="22"/>
      <c r="R131" s="22"/>
      <c r="S131" s="23"/>
      <c r="T131" s="24"/>
      <c r="U131" s="24"/>
      <c r="V131" s="24"/>
      <c r="W131" s="23"/>
      <c r="X131" s="26"/>
      <c r="Y131" s="26"/>
      <c r="AA131" s="18" t="str">
        <f t="shared" si="16"/>
        <v>·</v>
      </c>
      <c r="AB131" s="19" t="str">
        <f t="shared" si="17"/>
        <v>·</v>
      </c>
      <c r="AC131" s="19" t="str">
        <f t="shared" si="18"/>
        <v>·</v>
      </c>
      <c r="AD131" s="19" t="str">
        <f t="shared" si="19"/>
        <v>·</v>
      </c>
      <c r="AE131" s="20"/>
      <c r="AF131" s="19" t="str">
        <f t="shared" si="20"/>
        <v>·</v>
      </c>
      <c r="AG131" s="21"/>
      <c r="AH131" s="22"/>
      <c r="AI131" s="22"/>
      <c r="AJ131" s="22"/>
      <c r="AK131" s="23"/>
      <c r="AL131" s="24"/>
      <c r="AM131" s="24"/>
      <c r="AN131" s="24"/>
      <c r="AO131" s="23"/>
      <c r="AP131" s="26"/>
      <c r="AQ131" s="26"/>
      <c r="AS131" s="27" t="e">
        <f t="shared" si="21"/>
        <v>#DIV/0!</v>
      </c>
      <c r="AT131" s="27" t="e">
        <f t="array" ref="AT131">AVERAGE(AI131:AI136/AH131:AH136) - AVERAGE(Q131:Q136/P131:P136)</f>
        <v>#DIV/0!</v>
      </c>
      <c r="AV131" s="28" t="str">
        <f>IF( OR(ISBLANK(R131:R136),ISBLANK(AJ131:AJ136), ISBLANK(T131:T136),ISBLANK(AL131:AL136)), "·", bdRateExtend( R131:R136,T131:T136, AJ131:AJ136,AL131:AL136))</f>
        <v>·</v>
      </c>
      <c r="AW131" s="28" t="str">
        <f>IF( OR(ISBLANK(R131:R136),ISBLANK(AJ131:AJ136), ISBLANK(U131:U136),ISBLANK(AM131:AM136)), "·", bdRateExtend( R131:R136,U131:U136, AJ131:AJ136,AM131:AM136))</f>
        <v>·</v>
      </c>
      <c r="AX131" s="28" t="str">
        <f>IF( OR(ISBLANK(R131:R136),ISBLANK(AJ131:AJ136), ISBLANK(V131:V136),ISBLANK(AN131:AN136)), "·", bdRateExtend( R131:R136,V131:V136, AJ131:AJ136,AN131:AN136))</f>
        <v>·</v>
      </c>
      <c r="AY131" s="29"/>
      <c r="BA131" s="28" t="str">
        <f>IF( OR(ISBLANK(P131:P136),ISBLANK(AH131:AH136), ISBLANK(T131:T136),ISBLANK(AL131:AL136)), "·", bdRateExtend( P131:P136,T131:T136, AH131:AH136,AL131:AL136))</f>
        <v>·</v>
      </c>
      <c r="BB131" s="28" t="str">
        <f>IF( OR(ISBLANK(P131:P136),ISBLANK(AH131:AH136), ISBLANK(U131:U136),ISBLANK(AM131:AM136)), "·", bdRateExtend( P131:P136,U131:U136, AH131:AH136,AM131:AM136))</f>
        <v>·</v>
      </c>
      <c r="BC131" s="28" t="str">
        <f>IF( OR(ISBLANK(P131:P136),ISBLANK(AH131:AH136), ISBLANK(V131:V136),ISBLANK(AN131:AN136)), "·", bdRateExtend( P131:P136,V131:V136, AH131:AH136,AN131:AN136))</f>
        <v>·</v>
      </c>
      <c r="BD131" s="29"/>
    </row>
    <row r="132" spans="1:56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 t="str">
        <f t="shared" si="12"/>
        <v>·</v>
      </c>
      <c r="K132" s="34" t="str">
        <f t="shared" si="13"/>
        <v>·</v>
      </c>
      <c r="L132" s="34" t="str">
        <f t="shared" si="14"/>
        <v>·</v>
      </c>
      <c r="M132" s="35"/>
      <c r="N132" s="34" t="str">
        <f t="shared" si="15"/>
        <v>·</v>
      </c>
      <c r="O132" s="36"/>
      <c r="P132" s="37"/>
      <c r="Q132" s="37"/>
      <c r="R132" s="37"/>
      <c r="S132" s="38"/>
      <c r="T132" s="39"/>
      <c r="U132" s="39"/>
      <c r="V132" s="39"/>
      <c r="W132" s="38"/>
      <c r="X132" s="41"/>
      <c r="Y132" s="41"/>
      <c r="AA132" s="33" t="str">
        <f t="shared" si="16"/>
        <v>·</v>
      </c>
      <c r="AB132" s="34" t="str">
        <f t="shared" si="17"/>
        <v>·</v>
      </c>
      <c r="AC132" s="34" t="str">
        <f t="shared" si="18"/>
        <v>·</v>
      </c>
      <c r="AD132" s="34" t="str">
        <f t="shared" si="19"/>
        <v>·</v>
      </c>
      <c r="AE132" s="35"/>
      <c r="AF132" s="34" t="str">
        <f t="shared" si="20"/>
        <v>·</v>
      </c>
      <c r="AG132" s="36"/>
      <c r="AH132" s="37"/>
      <c r="AI132" s="37"/>
      <c r="AJ132" s="37"/>
      <c r="AK132" s="38"/>
      <c r="AL132" s="39"/>
      <c r="AM132" s="39"/>
      <c r="AN132" s="39"/>
      <c r="AO132" s="38"/>
      <c r="AP132" s="41"/>
      <c r="AQ132" s="41"/>
      <c r="AS132" s="42" t="e">
        <f t="shared" si="21"/>
        <v>#DIV/0!</v>
      </c>
      <c r="AT132" s="42"/>
      <c r="AV132" s="43"/>
      <c r="AW132" s="43"/>
      <c r="AX132" s="43"/>
      <c r="AY132" s="44"/>
      <c r="BA132" s="43"/>
      <c r="BB132" s="43"/>
      <c r="BC132" s="43"/>
      <c r="BD132" s="44"/>
    </row>
    <row r="133" spans="1:56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 t="str">
        <f t="shared" ref="J133:J196" si="23">IF(ISBLANK(P133),"·",P133/D133)</f>
        <v>·</v>
      </c>
      <c r="K133" s="19" t="str">
        <f t="shared" ref="K133:K196" si="24">IF(Q133="","·",Q133/D133)</f>
        <v>·</v>
      </c>
      <c r="L133" s="19" t="str">
        <f t="shared" ref="L133:L196" si="25">IF(ISBLANK(R133),"·",R133/D133)</f>
        <v>·</v>
      </c>
      <c r="M133" s="20"/>
      <c r="N133" s="19" t="str">
        <f t="shared" ref="N133:N196" si="26">IF(ISBLANK(P133),"·",P133/O133)</f>
        <v>·</v>
      </c>
      <c r="O133" s="21"/>
      <c r="P133" s="22"/>
      <c r="Q133" s="22"/>
      <c r="R133" s="22"/>
      <c r="S133" s="23"/>
      <c r="T133" s="24"/>
      <c r="U133" s="24"/>
      <c r="V133" s="24"/>
      <c r="W133" s="23"/>
      <c r="X133" s="26"/>
      <c r="Y133" s="26"/>
      <c r="AA133" s="18" t="str">
        <f t="shared" ref="AA133:AA196" si="27">IF(OR(ISBLANK(AH133),ISBLANK(G133)),"·",AH133*G133/F133/1000000)</f>
        <v>·</v>
      </c>
      <c r="AB133" s="19" t="str">
        <f t="shared" ref="AB133:AB196" si="28">IF(ISBLANK(AH133),"·",AH133/D133)</f>
        <v>·</v>
      </c>
      <c r="AC133" s="19" t="str">
        <f t="shared" ref="AC133:AC196" si="29">IF(AI133="","·",AI133/D133)</f>
        <v>·</v>
      </c>
      <c r="AD133" s="19" t="str">
        <f t="shared" ref="AD133:AD196" si="30">IF(ISBLANK(AJ133),"·",AJ133/D133)</f>
        <v>·</v>
      </c>
      <c r="AE133" s="20"/>
      <c r="AF133" s="19" t="str">
        <f t="shared" ref="AF133:AF196" si="31">IF(ISBLANK(AH133),"·",AH133/AG133)</f>
        <v>·</v>
      </c>
      <c r="AG133" s="21"/>
      <c r="AH133" s="22"/>
      <c r="AI133" s="22"/>
      <c r="AJ133" s="22"/>
      <c r="AK133" s="23"/>
      <c r="AL133" s="24"/>
      <c r="AM133" s="24"/>
      <c r="AN133" s="24"/>
      <c r="AO133" s="23"/>
      <c r="AP133" s="26"/>
      <c r="AQ133" s="26"/>
      <c r="AS133" s="27" t="e">
        <f t="shared" ref="AS133:AS196" si="32">(AI133/AH133) - (Q133/P133)</f>
        <v>#DIV/0!</v>
      </c>
      <c r="AT133" s="27"/>
      <c r="AV133" s="28"/>
      <c r="AW133" s="28"/>
      <c r="AX133" s="28"/>
      <c r="AY133" s="29"/>
      <c r="BA133" s="28"/>
      <c r="BB133" s="28"/>
      <c r="BC133" s="28"/>
      <c r="BD133" s="29"/>
    </row>
    <row r="134" spans="1:56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 t="str">
        <f t="shared" si="23"/>
        <v>·</v>
      </c>
      <c r="K134" s="34" t="str">
        <f t="shared" si="24"/>
        <v>·</v>
      </c>
      <c r="L134" s="34" t="str">
        <f t="shared" si="25"/>
        <v>·</v>
      </c>
      <c r="M134" s="35"/>
      <c r="N134" s="34" t="str">
        <f t="shared" si="26"/>
        <v>·</v>
      </c>
      <c r="O134" s="36"/>
      <c r="P134" s="37"/>
      <c r="Q134" s="37"/>
      <c r="R134" s="37"/>
      <c r="S134" s="38"/>
      <c r="T134" s="39"/>
      <c r="U134" s="39"/>
      <c r="V134" s="39"/>
      <c r="W134" s="38"/>
      <c r="X134" s="41"/>
      <c r="Y134" s="41"/>
      <c r="AA134" s="33" t="str">
        <f t="shared" si="27"/>
        <v>·</v>
      </c>
      <c r="AB134" s="34" t="str">
        <f t="shared" si="28"/>
        <v>·</v>
      </c>
      <c r="AC134" s="34" t="str">
        <f t="shared" si="29"/>
        <v>·</v>
      </c>
      <c r="AD134" s="34" t="str">
        <f t="shared" si="30"/>
        <v>·</v>
      </c>
      <c r="AE134" s="35"/>
      <c r="AF134" s="34" t="str">
        <f t="shared" si="31"/>
        <v>·</v>
      </c>
      <c r="AG134" s="36"/>
      <c r="AH134" s="37"/>
      <c r="AI134" s="37"/>
      <c r="AJ134" s="37"/>
      <c r="AK134" s="38"/>
      <c r="AL134" s="39"/>
      <c r="AM134" s="39"/>
      <c r="AN134" s="39"/>
      <c r="AO134" s="38"/>
      <c r="AP134" s="41"/>
      <c r="AQ134" s="41"/>
      <c r="AS134" s="42" t="e">
        <f t="shared" si="32"/>
        <v>#DIV/0!</v>
      </c>
      <c r="AT134" s="42"/>
      <c r="AV134" s="43"/>
      <c r="AW134" s="43"/>
      <c r="AX134" s="43"/>
      <c r="AY134" s="44"/>
      <c r="BA134" s="43"/>
      <c r="BB134" s="43"/>
      <c r="BC134" s="43"/>
      <c r="BD134" s="44"/>
    </row>
    <row r="135" spans="1:56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3"/>
      <c r="X135" s="26"/>
      <c r="Y135" s="26"/>
      <c r="AA135" s="18" t="str">
        <f t="shared" si="27"/>
        <v>·</v>
      </c>
      <c r="AB135" s="19" t="str">
        <f t="shared" si="28"/>
        <v>·</v>
      </c>
      <c r="AC135" s="19" t="str">
        <f t="shared" si="29"/>
        <v>·</v>
      </c>
      <c r="AD135" s="19" t="str">
        <f t="shared" si="30"/>
        <v>·</v>
      </c>
      <c r="AE135" s="20"/>
      <c r="AF135" s="19" t="str">
        <f t="shared" si="31"/>
        <v>·</v>
      </c>
      <c r="AG135" s="21"/>
      <c r="AH135" s="22"/>
      <c r="AI135" s="22"/>
      <c r="AJ135" s="22"/>
      <c r="AK135" s="23"/>
      <c r="AL135" s="24"/>
      <c r="AM135" s="24"/>
      <c r="AN135" s="24"/>
      <c r="AO135" s="23"/>
      <c r="AP135" s="26"/>
      <c r="AQ135" s="26"/>
      <c r="AS135" s="27" t="e">
        <f t="shared" si="32"/>
        <v>#DIV/0!</v>
      </c>
      <c r="AT135" s="27"/>
      <c r="AV135" s="28"/>
      <c r="AW135" s="28"/>
      <c r="AX135" s="28"/>
      <c r="AY135" s="29"/>
      <c r="BA135" s="28"/>
      <c r="BB135" s="28"/>
      <c r="BC135" s="28"/>
      <c r="BD135" s="29"/>
    </row>
    <row r="136" spans="1:56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3"/>
      <c r="X136" s="56"/>
      <c r="Y136" s="56"/>
      <c r="AA136" s="48" t="str">
        <f t="shared" si="27"/>
        <v>·</v>
      </c>
      <c r="AB136" s="49" t="str">
        <f t="shared" si="28"/>
        <v>·</v>
      </c>
      <c r="AC136" s="49" t="str">
        <f t="shared" si="29"/>
        <v>·</v>
      </c>
      <c r="AD136" s="49" t="str">
        <f t="shared" si="30"/>
        <v>·</v>
      </c>
      <c r="AE136" s="50"/>
      <c r="AF136" s="49" t="str">
        <f t="shared" si="31"/>
        <v>·</v>
      </c>
      <c r="AG136" s="51"/>
      <c r="AH136" s="52"/>
      <c r="AI136" s="52"/>
      <c r="AJ136" s="52"/>
      <c r="AK136" s="53"/>
      <c r="AL136" s="54"/>
      <c r="AM136" s="54"/>
      <c r="AN136" s="54"/>
      <c r="AO136" s="53"/>
      <c r="AP136" s="56"/>
      <c r="AQ136" s="56"/>
      <c r="AS136" s="57" t="e">
        <f t="shared" si="32"/>
        <v>#DIV/0!</v>
      </c>
      <c r="AT136" s="57"/>
      <c r="AV136" s="58"/>
      <c r="AW136" s="58"/>
      <c r="AX136" s="58"/>
      <c r="AY136" s="59"/>
      <c r="BA136" s="58"/>
      <c r="BB136" s="58"/>
      <c r="BC136" s="58"/>
      <c r="BD136" s="59"/>
    </row>
    <row r="137" spans="1:56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 t="str">
        <f t="shared" si="23"/>
        <v>·</v>
      </c>
      <c r="K137" s="19" t="str">
        <f t="shared" si="24"/>
        <v>·</v>
      </c>
      <c r="L137" s="19" t="str">
        <f t="shared" si="25"/>
        <v>·</v>
      </c>
      <c r="M137" s="20"/>
      <c r="N137" s="19" t="str">
        <f t="shared" si="26"/>
        <v>·</v>
      </c>
      <c r="O137" s="21"/>
      <c r="P137" s="22"/>
      <c r="Q137" s="22"/>
      <c r="R137" s="22"/>
      <c r="S137" s="23"/>
      <c r="T137" s="24"/>
      <c r="U137" s="24"/>
      <c r="V137" s="24"/>
      <c r="W137" s="23"/>
      <c r="X137" s="26"/>
      <c r="Y137" s="26"/>
      <c r="AA137" s="18" t="str">
        <f t="shared" si="27"/>
        <v>·</v>
      </c>
      <c r="AB137" s="19" t="str">
        <f t="shared" si="28"/>
        <v>·</v>
      </c>
      <c r="AC137" s="19" t="str">
        <f t="shared" si="29"/>
        <v>·</v>
      </c>
      <c r="AD137" s="19" t="str">
        <f t="shared" si="30"/>
        <v>·</v>
      </c>
      <c r="AE137" s="20"/>
      <c r="AF137" s="19" t="str">
        <f t="shared" si="31"/>
        <v>·</v>
      </c>
      <c r="AG137" s="21"/>
      <c r="AH137" s="22"/>
      <c r="AI137" s="22"/>
      <c r="AJ137" s="22"/>
      <c r="AK137" s="23"/>
      <c r="AL137" s="24"/>
      <c r="AM137" s="24"/>
      <c r="AN137" s="24"/>
      <c r="AO137" s="23"/>
      <c r="AP137" s="26"/>
      <c r="AQ137" s="26"/>
      <c r="AS137" s="27" t="e">
        <f t="shared" si="32"/>
        <v>#DIV/0!</v>
      </c>
      <c r="AT137" s="27" t="e">
        <f t="array" ref="AT137">AVERAGE(AI137:AI142/AH137:AH142) - AVERAGE(Q137:Q142/P137:P142)</f>
        <v>#DIV/0!</v>
      </c>
      <c r="AV137" s="28" t="str">
        <f>IF( OR(ISBLANK(R137:R142),ISBLANK(AJ137:AJ142), ISBLANK(T137:T142),ISBLANK(AL137:AL142)), "·", bdRateExtend( R137:R142,T137:T142, AJ137:AJ142,AL137:AL142))</f>
        <v>·</v>
      </c>
      <c r="AW137" s="28" t="str">
        <f>IF( OR(ISBLANK(R137:R142),ISBLANK(AJ137:AJ142), ISBLANK(U137:U142),ISBLANK(AM137:AM142)), "·", bdRateExtend( R137:R142,U137:U142, AJ137:AJ142,AM137:AM142))</f>
        <v>·</v>
      </c>
      <c r="AX137" s="28" t="str">
        <f>IF( OR(ISBLANK(R137:R142),ISBLANK(AJ137:AJ142), ISBLANK(V137:V142),ISBLANK(AN137:AN142)), "·", bdRateExtend( R137:R142,V137:V142, AJ137:AJ142,AN137:AN142))</f>
        <v>·</v>
      </c>
      <c r="AY137" s="29"/>
      <c r="BA137" s="28" t="str">
        <f>IF( OR(ISBLANK(P137:P142),ISBLANK(AH137:AH142), ISBLANK(T137:T142),ISBLANK(AL137:AL142)), "·", bdRateExtend( P137:P142,T137:T142, AH137:AH142,AL137:AL142))</f>
        <v>·</v>
      </c>
      <c r="BB137" s="28" t="str">
        <f>IF( OR(ISBLANK(P137:P142),ISBLANK(AH137:AH142), ISBLANK(U137:U142),ISBLANK(AM137:AM142)), "·", bdRateExtend( P137:P142,U137:U142, AH137:AH142,AM137:AM142))</f>
        <v>·</v>
      </c>
      <c r="BC137" s="28" t="str">
        <f>IF( OR(ISBLANK(P137:P142),ISBLANK(AH137:AH142), ISBLANK(V137:V142),ISBLANK(AN137:AN142)), "·", bdRateExtend( P137:P142,V137:V142, AH137:AH142,AN137:AN142))</f>
        <v>·</v>
      </c>
      <c r="BD137" s="29"/>
    </row>
    <row r="138" spans="1:56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 t="str">
        <f t="shared" si="23"/>
        <v>·</v>
      </c>
      <c r="K138" s="34" t="str">
        <f t="shared" si="24"/>
        <v>·</v>
      </c>
      <c r="L138" s="34" t="str">
        <f t="shared" si="25"/>
        <v>·</v>
      </c>
      <c r="M138" s="35"/>
      <c r="N138" s="34" t="str">
        <f t="shared" si="26"/>
        <v>·</v>
      </c>
      <c r="O138" s="36"/>
      <c r="P138" s="37"/>
      <c r="Q138" s="37"/>
      <c r="R138" s="37"/>
      <c r="S138" s="38"/>
      <c r="T138" s="39"/>
      <c r="U138" s="39"/>
      <c r="V138" s="39"/>
      <c r="W138" s="38"/>
      <c r="X138" s="41"/>
      <c r="Y138" s="41"/>
      <c r="AA138" s="33" t="str">
        <f t="shared" si="27"/>
        <v>·</v>
      </c>
      <c r="AB138" s="34" t="str">
        <f t="shared" si="28"/>
        <v>·</v>
      </c>
      <c r="AC138" s="34" t="str">
        <f t="shared" si="29"/>
        <v>·</v>
      </c>
      <c r="AD138" s="34" t="str">
        <f t="shared" si="30"/>
        <v>·</v>
      </c>
      <c r="AE138" s="35"/>
      <c r="AF138" s="34" t="str">
        <f t="shared" si="31"/>
        <v>·</v>
      </c>
      <c r="AG138" s="36"/>
      <c r="AH138" s="37"/>
      <c r="AI138" s="37"/>
      <c r="AJ138" s="37"/>
      <c r="AK138" s="38"/>
      <c r="AL138" s="39"/>
      <c r="AM138" s="39"/>
      <c r="AN138" s="39"/>
      <c r="AO138" s="38"/>
      <c r="AP138" s="41"/>
      <c r="AQ138" s="41"/>
      <c r="AS138" s="42" t="e">
        <f t="shared" si="32"/>
        <v>#DIV/0!</v>
      </c>
      <c r="AT138" s="42"/>
      <c r="AV138" s="43"/>
      <c r="AW138" s="43"/>
      <c r="AX138" s="43"/>
      <c r="AY138" s="44"/>
      <c r="BA138" s="43"/>
      <c r="BB138" s="43"/>
      <c r="BC138" s="43"/>
      <c r="BD138" s="44"/>
    </row>
    <row r="139" spans="1:56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 t="str">
        <f t="shared" si="23"/>
        <v>·</v>
      </c>
      <c r="K139" s="19" t="str">
        <f t="shared" si="24"/>
        <v>·</v>
      </c>
      <c r="L139" s="19" t="str">
        <f t="shared" si="25"/>
        <v>·</v>
      </c>
      <c r="M139" s="20"/>
      <c r="N139" s="19" t="str">
        <f t="shared" si="26"/>
        <v>·</v>
      </c>
      <c r="O139" s="21"/>
      <c r="P139" s="22"/>
      <c r="Q139" s="22"/>
      <c r="R139" s="22"/>
      <c r="S139" s="23"/>
      <c r="T139" s="24"/>
      <c r="U139" s="24"/>
      <c r="V139" s="24"/>
      <c r="W139" s="23"/>
      <c r="X139" s="26"/>
      <c r="Y139" s="26"/>
      <c r="AA139" s="18" t="str">
        <f t="shared" si="27"/>
        <v>·</v>
      </c>
      <c r="AB139" s="19" t="str">
        <f t="shared" si="28"/>
        <v>·</v>
      </c>
      <c r="AC139" s="19" t="str">
        <f t="shared" si="29"/>
        <v>·</v>
      </c>
      <c r="AD139" s="19" t="str">
        <f t="shared" si="30"/>
        <v>·</v>
      </c>
      <c r="AE139" s="20"/>
      <c r="AF139" s="19" t="str">
        <f t="shared" si="31"/>
        <v>·</v>
      </c>
      <c r="AG139" s="21"/>
      <c r="AH139" s="22"/>
      <c r="AI139" s="22"/>
      <c r="AJ139" s="22"/>
      <c r="AK139" s="23"/>
      <c r="AL139" s="24"/>
      <c r="AM139" s="24"/>
      <c r="AN139" s="24"/>
      <c r="AO139" s="23"/>
      <c r="AP139" s="26"/>
      <c r="AQ139" s="26"/>
      <c r="AS139" s="27" t="e">
        <f t="shared" si="32"/>
        <v>#DIV/0!</v>
      </c>
      <c r="AT139" s="27"/>
      <c r="AV139" s="28"/>
      <c r="AW139" s="28"/>
      <c r="AX139" s="28"/>
      <c r="AY139" s="29"/>
      <c r="BA139" s="28"/>
      <c r="BB139" s="28"/>
      <c r="BC139" s="28"/>
      <c r="BD139" s="29"/>
    </row>
    <row r="140" spans="1:56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 t="str">
        <f t="shared" si="23"/>
        <v>·</v>
      </c>
      <c r="K140" s="34" t="str">
        <f t="shared" si="24"/>
        <v>·</v>
      </c>
      <c r="L140" s="34" t="str">
        <f t="shared" si="25"/>
        <v>·</v>
      </c>
      <c r="M140" s="35"/>
      <c r="N140" s="34" t="str">
        <f t="shared" si="26"/>
        <v>·</v>
      </c>
      <c r="O140" s="36"/>
      <c r="P140" s="37"/>
      <c r="Q140" s="37"/>
      <c r="R140" s="37"/>
      <c r="S140" s="38"/>
      <c r="T140" s="39"/>
      <c r="U140" s="39"/>
      <c r="V140" s="39"/>
      <c r="W140" s="38"/>
      <c r="X140" s="41"/>
      <c r="Y140" s="41"/>
      <c r="AA140" s="33" t="str">
        <f t="shared" si="27"/>
        <v>·</v>
      </c>
      <c r="AB140" s="34" t="str">
        <f t="shared" si="28"/>
        <v>·</v>
      </c>
      <c r="AC140" s="34" t="str">
        <f t="shared" si="29"/>
        <v>·</v>
      </c>
      <c r="AD140" s="34" t="str">
        <f t="shared" si="30"/>
        <v>·</v>
      </c>
      <c r="AE140" s="35"/>
      <c r="AF140" s="34" t="str">
        <f t="shared" si="31"/>
        <v>·</v>
      </c>
      <c r="AG140" s="36"/>
      <c r="AH140" s="37"/>
      <c r="AI140" s="37"/>
      <c r="AJ140" s="37"/>
      <c r="AK140" s="38"/>
      <c r="AL140" s="39"/>
      <c r="AM140" s="39"/>
      <c r="AN140" s="39"/>
      <c r="AO140" s="38"/>
      <c r="AP140" s="41"/>
      <c r="AQ140" s="41"/>
      <c r="AS140" s="42" t="e">
        <f t="shared" si="32"/>
        <v>#DIV/0!</v>
      </c>
      <c r="AT140" s="42"/>
      <c r="AV140" s="43"/>
      <c r="AW140" s="43"/>
      <c r="AX140" s="43"/>
      <c r="AY140" s="44"/>
      <c r="BA140" s="43"/>
      <c r="BB140" s="43"/>
      <c r="BC140" s="43"/>
      <c r="BD140" s="44"/>
    </row>
    <row r="141" spans="1:56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3"/>
      <c r="X141" s="26"/>
      <c r="Y141" s="26"/>
      <c r="AA141" s="18" t="str">
        <f t="shared" si="27"/>
        <v>·</v>
      </c>
      <c r="AB141" s="19" t="str">
        <f t="shared" si="28"/>
        <v>·</v>
      </c>
      <c r="AC141" s="19" t="str">
        <f t="shared" si="29"/>
        <v>·</v>
      </c>
      <c r="AD141" s="19" t="str">
        <f t="shared" si="30"/>
        <v>·</v>
      </c>
      <c r="AE141" s="20"/>
      <c r="AF141" s="19" t="str">
        <f t="shared" si="31"/>
        <v>·</v>
      </c>
      <c r="AG141" s="21"/>
      <c r="AH141" s="22"/>
      <c r="AI141" s="22"/>
      <c r="AJ141" s="22"/>
      <c r="AK141" s="23"/>
      <c r="AL141" s="24"/>
      <c r="AM141" s="24"/>
      <c r="AN141" s="24"/>
      <c r="AO141" s="23"/>
      <c r="AP141" s="26"/>
      <c r="AQ141" s="26"/>
      <c r="AS141" s="27" t="e">
        <f t="shared" si="32"/>
        <v>#DIV/0!</v>
      </c>
      <c r="AT141" s="27"/>
      <c r="AV141" s="28"/>
      <c r="AW141" s="28"/>
      <c r="AX141" s="28"/>
      <c r="AY141" s="29"/>
      <c r="BA141" s="28"/>
      <c r="BB141" s="28"/>
      <c r="BC141" s="28"/>
      <c r="BD141" s="29"/>
    </row>
    <row r="142" spans="1:56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3"/>
      <c r="X142" s="56"/>
      <c r="Y142" s="56"/>
      <c r="AA142" s="48" t="str">
        <f t="shared" si="27"/>
        <v>·</v>
      </c>
      <c r="AB142" s="49" t="str">
        <f t="shared" si="28"/>
        <v>·</v>
      </c>
      <c r="AC142" s="49" t="str">
        <f t="shared" si="29"/>
        <v>·</v>
      </c>
      <c r="AD142" s="49" t="str">
        <f t="shared" si="30"/>
        <v>·</v>
      </c>
      <c r="AE142" s="50"/>
      <c r="AF142" s="49" t="str">
        <f t="shared" si="31"/>
        <v>·</v>
      </c>
      <c r="AG142" s="51"/>
      <c r="AH142" s="52"/>
      <c r="AI142" s="52"/>
      <c r="AJ142" s="52"/>
      <c r="AK142" s="53"/>
      <c r="AL142" s="54"/>
      <c r="AM142" s="54"/>
      <c r="AN142" s="54"/>
      <c r="AO142" s="53"/>
      <c r="AP142" s="56"/>
      <c r="AQ142" s="56"/>
      <c r="AS142" s="57" t="e">
        <f t="shared" si="32"/>
        <v>#DIV/0!</v>
      </c>
      <c r="AT142" s="57"/>
      <c r="AV142" s="58"/>
      <c r="AW142" s="58"/>
      <c r="AX142" s="58"/>
      <c r="AY142" s="59"/>
      <c r="BA142" s="58"/>
      <c r="BB142" s="58"/>
      <c r="BC142" s="58"/>
      <c r="BD142" s="59"/>
    </row>
    <row r="143" spans="1:56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 t="str">
        <f t="shared" si="23"/>
        <v>·</v>
      </c>
      <c r="K143" s="19" t="str">
        <f t="shared" si="24"/>
        <v>·</v>
      </c>
      <c r="L143" s="19" t="str">
        <f t="shared" si="25"/>
        <v>·</v>
      </c>
      <c r="M143" s="20"/>
      <c r="N143" s="19" t="str">
        <f t="shared" si="26"/>
        <v>·</v>
      </c>
      <c r="O143" s="21"/>
      <c r="P143" s="22"/>
      <c r="Q143" s="22"/>
      <c r="R143" s="22"/>
      <c r="S143" s="23"/>
      <c r="T143" s="24"/>
      <c r="U143" s="24"/>
      <c r="V143" s="24"/>
      <c r="W143" s="23"/>
      <c r="X143" s="26"/>
      <c r="Y143" s="26"/>
      <c r="AA143" s="18" t="str">
        <f t="shared" si="27"/>
        <v>·</v>
      </c>
      <c r="AB143" s="19" t="str">
        <f t="shared" si="28"/>
        <v>·</v>
      </c>
      <c r="AC143" s="19" t="str">
        <f t="shared" si="29"/>
        <v>·</v>
      </c>
      <c r="AD143" s="19" t="str">
        <f t="shared" si="30"/>
        <v>·</v>
      </c>
      <c r="AE143" s="20"/>
      <c r="AF143" s="19" t="str">
        <f t="shared" si="31"/>
        <v>·</v>
      </c>
      <c r="AG143" s="21"/>
      <c r="AH143" s="22"/>
      <c r="AI143" s="22"/>
      <c r="AJ143" s="22"/>
      <c r="AK143" s="23"/>
      <c r="AL143" s="24"/>
      <c r="AM143" s="24"/>
      <c r="AN143" s="24"/>
      <c r="AO143" s="23"/>
      <c r="AP143" s="26"/>
      <c r="AQ143" s="26"/>
      <c r="AS143" s="27" t="e">
        <f t="shared" si="32"/>
        <v>#DIV/0!</v>
      </c>
      <c r="AT143" s="27" t="e">
        <f t="array" ref="AT143">AVERAGE(AI143:AI148/AH143:AH148) - AVERAGE(Q143:Q148/P143:P148)</f>
        <v>#DIV/0!</v>
      </c>
      <c r="AV143" s="28" t="str">
        <f>IF( OR(ISBLANK(R143:R148),ISBLANK(AJ143:AJ148), ISBLANK(T143:T148),ISBLANK(AL143:AL148)), "·", bdRateExtend( R143:R148,T143:T148, AJ143:AJ148,AL143:AL148))</f>
        <v>·</v>
      </c>
      <c r="AW143" s="28" t="str">
        <f>IF( OR(ISBLANK(R143:R148),ISBLANK(AJ143:AJ148), ISBLANK(U143:U148),ISBLANK(AM143:AM148)), "·", bdRateExtend( R143:R148,U143:U148, AJ143:AJ148,AM143:AM148))</f>
        <v>·</v>
      </c>
      <c r="AX143" s="28" t="str">
        <f>IF( OR(ISBLANK(R143:R148),ISBLANK(AJ143:AJ148), ISBLANK(V143:V148),ISBLANK(AN143:AN148)), "·", bdRateExtend( R143:R148,V143:V148, AJ143:AJ148,AN143:AN148))</f>
        <v>·</v>
      </c>
      <c r="AY143" s="29"/>
      <c r="BA143" s="28" t="str">
        <f>IF( OR(ISBLANK(P143:P148),ISBLANK(AH143:AH148), ISBLANK(T143:T148),ISBLANK(AL143:AL148)), "·", bdRateExtend( P143:P148,T143:T148, AH143:AH148,AL143:AL148))</f>
        <v>·</v>
      </c>
      <c r="BB143" s="28" t="str">
        <f>IF( OR(ISBLANK(P143:P148),ISBLANK(AH143:AH148), ISBLANK(U143:U148),ISBLANK(AM143:AM148)), "·", bdRateExtend( P143:P148,U143:U148, AH143:AH148,AM143:AM148))</f>
        <v>·</v>
      </c>
      <c r="BC143" s="28" t="str">
        <f>IF( OR(ISBLANK(P143:P148),ISBLANK(AH143:AH148), ISBLANK(V143:V148),ISBLANK(AN143:AN148)), "·", bdRateExtend( P143:P148,V143:V148, AH143:AH148,AN143:AN148))</f>
        <v>·</v>
      </c>
      <c r="BD143" s="29"/>
    </row>
    <row r="144" spans="1:56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 t="str">
        <f t="shared" si="23"/>
        <v>·</v>
      </c>
      <c r="K144" s="34" t="str">
        <f t="shared" si="24"/>
        <v>·</v>
      </c>
      <c r="L144" s="34" t="str">
        <f t="shared" si="25"/>
        <v>·</v>
      </c>
      <c r="M144" s="35"/>
      <c r="N144" s="34" t="str">
        <f t="shared" si="26"/>
        <v>·</v>
      </c>
      <c r="O144" s="36"/>
      <c r="P144" s="37"/>
      <c r="Q144" s="37"/>
      <c r="R144" s="37"/>
      <c r="S144" s="38"/>
      <c r="T144" s="39"/>
      <c r="U144" s="39"/>
      <c r="V144" s="39"/>
      <c r="W144" s="38"/>
      <c r="X144" s="41"/>
      <c r="Y144" s="41"/>
      <c r="AA144" s="33" t="str">
        <f t="shared" si="27"/>
        <v>·</v>
      </c>
      <c r="AB144" s="34" t="str">
        <f t="shared" si="28"/>
        <v>·</v>
      </c>
      <c r="AC144" s="34" t="str">
        <f t="shared" si="29"/>
        <v>·</v>
      </c>
      <c r="AD144" s="34" t="str">
        <f t="shared" si="30"/>
        <v>·</v>
      </c>
      <c r="AE144" s="35"/>
      <c r="AF144" s="34" t="str">
        <f t="shared" si="31"/>
        <v>·</v>
      </c>
      <c r="AG144" s="36"/>
      <c r="AH144" s="37"/>
      <c r="AI144" s="37"/>
      <c r="AJ144" s="37"/>
      <c r="AK144" s="38"/>
      <c r="AL144" s="39"/>
      <c r="AM144" s="39"/>
      <c r="AN144" s="39"/>
      <c r="AO144" s="38"/>
      <c r="AP144" s="41"/>
      <c r="AQ144" s="41"/>
      <c r="AS144" s="42" t="e">
        <f t="shared" si="32"/>
        <v>#DIV/0!</v>
      </c>
      <c r="AT144" s="42"/>
      <c r="AV144" s="43"/>
      <c r="AW144" s="43"/>
      <c r="AX144" s="43"/>
      <c r="AY144" s="44"/>
      <c r="BA144" s="43"/>
      <c r="BB144" s="43"/>
      <c r="BC144" s="43"/>
      <c r="BD144" s="44"/>
    </row>
    <row r="145" spans="1:56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 t="str">
        <f t="shared" si="23"/>
        <v>·</v>
      </c>
      <c r="K145" s="19" t="str">
        <f t="shared" si="24"/>
        <v>·</v>
      </c>
      <c r="L145" s="19" t="str">
        <f t="shared" si="25"/>
        <v>·</v>
      </c>
      <c r="M145" s="20"/>
      <c r="N145" s="19" t="str">
        <f t="shared" si="26"/>
        <v>·</v>
      </c>
      <c r="O145" s="21"/>
      <c r="P145" s="22"/>
      <c r="Q145" s="22"/>
      <c r="R145" s="22"/>
      <c r="S145" s="23"/>
      <c r="T145" s="24"/>
      <c r="U145" s="24"/>
      <c r="V145" s="24"/>
      <c r="W145" s="23"/>
      <c r="X145" s="26"/>
      <c r="Y145" s="26"/>
      <c r="AA145" s="18" t="str">
        <f t="shared" si="27"/>
        <v>·</v>
      </c>
      <c r="AB145" s="19" t="str">
        <f t="shared" si="28"/>
        <v>·</v>
      </c>
      <c r="AC145" s="19" t="str">
        <f t="shared" si="29"/>
        <v>·</v>
      </c>
      <c r="AD145" s="19" t="str">
        <f t="shared" si="30"/>
        <v>·</v>
      </c>
      <c r="AE145" s="20"/>
      <c r="AF145" s="19" t="str">
        <f t="shared" si="31"/>
        <v>·</v>
      </c>
      <c r="AG145" s="21"/>
      <c r="AH145" s="22"/>
      <c r="AI145" s="22"/>
      <c r="AJ145" s="22"/>
      <c r="AK145" s="23"/>
      <c r="AL145" s="24"/>
      <c r="AM145" s="24"/>
      <c r="AN145" s="24"/>
      <c r="AO145" s="23"/>
      <c r="AP145" s="26"/>
      <c r="AQ145" s="26"/>
      <c r="AS145" s="27" t="e">
        <f t="shared" si="32"/>
        <v>#DIV/0!</v>
      </c>
      <c r="AT145" s="27"/>
      <c r="AV145" s="28"/>
      <c r="AW145" s="28"/>
      <c r="AX145" s="28"/>
      <c r="AY145" s="29"/>
      <c r="BA145" s="28"/>
      <c r="BB145" s="28"/>
      <c r="BC145" s="28"/>
      <c r="BD145" s="29"/>
    </row>
    <row r="146" spans="1:56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 t="str">
        <f t="shared" si="23"/>
        <v>·</v>
      </c>
      <c r="K146" s="34" t="str">
        <f t="shared" si="24"/>
        <v>·</v>
      </c>
      <c r="L146" s="34" t="str">
        <f t="shared" si="25"/>
        <v>·</v>
      </c>
      <c r="M146" s="35"/>
      <c r="N146" s="34" t="str">
        <f t="shared" si="26"/>
        <v>·</v>
      </c>
      <c r="O146" s="36"/>
      <c r="P146" s="37"/>
      <c r="Q146" s="37"/>
      <c r="R146" s="37"/>
      <c r="S146" s="38"/>
      <c r="T146" s="39"/>
      <c r="U146" s="39"/>
      <c r="V146" s="39"/>
      <c r="W146" s="38"/>
      <c r="X146" s="41"/>
      <c r="Y146" s="41"/>
      <c r="AA146" s="33" t="str">
        <f t="shared" si="27"/>
        <v>·</v>
      </c>
      <c r="AB146" s="34" t="str">
        <f t="shared" si="28"/>
        <v>·</v>
      </c>
      <c r="AC146" s="34" t="str">
        <f t="shared" si="29"/>
        <v>·</v>
      </c>
      <c r="AD146" s="34" t="str">
        <f t="shared" si="30"/>
        <v>·</v>
      </c>
      <c r="AE146" s="35"/>
      <c r="AF146" s="34" t="str">
        <f t="shared" si="31"/>
        <v>·</v>
      </c>
      <c r="AG146" s="36"/>
      <c r="AH146" s="37"/>
      <c r="AI146" s="37"/>
      <c r="AJ146" s="37"/>
      <c r="AK146" s="38"/>
      <c r="AL146" s="39"/>
      <c r="AM146" s="39"/>
      <c r="AN146" s="39"/>
      <c r="AO146" s="38"/>
      <c r="AP146" s="41"/>
      <c r="AQ146" s="41"/>
      <c r="AS146" s="42" t="e">
        <f t="shared" si="32"/>
        <v>#DIV/0!</v>
      </c>
      <c r="AT146" s="42"/>
      <c r="AV146" s="43"/>
      <c r="AW146" s="43"/>
      <c r="AX146" s="43"/>
      <c r="AY146" s="44"/>
      <c r="BA146" s="43"/>
      <c r="BB146" s="43"/>
      <c r="BC146" s="43"/>
      <c r="BD146" s="44"/>
    </row>
    <row r="147" spans="1:56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3"/>
      <c r="X147" s="26"/>
      <c r="Y147" s="26"/>
      <c r="AA147" s="18" t="str">
        <f t="shared" si="27"/>
        <v>·</v>
      </c>
      <c r="AB147" s="19" t="str">
        <f t="shared" si="28"/>
        <v>·</v>
      </c>
      <c r="AC147" s="19" t="str">
        <f t="shared" si="29"/>
        <v>·</v>
      </c>
      <c r="AD147" s="19" t="str">
        <f t="shared" si="30"/>
        <v>·</v>
      </c>
      <c r="AE147" s="20"/>
      <c r="AF147" s="19" t="str">
        <f t="shared" si="31"/>
        <v>·</v>
      </c>
      <c r="AG147" s="21"/>
      <c r="AH147" s="22"/>
      <c r="AI147" s="22"/>
      <c r="AJ147" s="22"/>
      <c r="AK147" s="23"/>
      <c r="AL147" s="24"/>
      <c r="AM147" s="24"/>
      <c r="AN147" s="24"/>
      <c r="AO147" s="23"/>
      <c r="AP147" s="26"/>
      <c r="AQ147" s="26"/>
      <c r="AS147" s="27" t="e">
        <f t="shared" si="32"/>
        <v>#DIV/0!</v>
      </c>
      <c r="AT147" s="27"/>
      <c r="AV147" s="28"/>
      <c r="AW147" s="28"/>
      <c r="AX147" s="28"/>
      <c r="AY147" s="29"/>
      <c r="BA147" s="28"/>
      <c r="BB147" s="28"/>
      <c r="BC147" s="28"/>
      <c r="BD147" s="29"/>
    </row>
    <row r="148" spans="1:56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3"/>
      <c r="X148" s="56"/>
      <c r="Y148" s="56"/>
      <c r="AA148" s="48" t="str">
        <f t="shared" si="27"/>
        <v>·</v>
      </c>
      <c r="AB148" s="49" t="str">
        <f t="shared" si="28"/>
        <v>·</v>
      </c>
      <c r="AC148" s="49" t="str">
        <f t="shared" si="29"/>
        <v>·</v>
      </c>
      <c r="AD148" s="49" t="str">
        <f t="shared" si="30"/>
        <v>·</v>
      </c>
      <c r="AE148" s="50"/>
      <c r="AF148" s="49" t="str">
        <f t="shared" si="31"/>
        <v>·</v>
      </c>
      <c r="AG148" s="51"/>
      <c r="AH148" s="52"/>
      <c r="AI148" s="52"/>
      <c r="AJ148" s="52"/>
      <c r="AK148" s="53"/>
      <c r="AL148" s="54"/>
      <c r="AM148" s="54"/>
      <c r="AN148" s="54"/>
      <c r="AO148" s="53"/>
      <c r="AP148" s="56"/>
      <c r="AQ148" s="56"/>
      <c r="AS148" s="57" t="e">
        <f t="shared" si="32"/>
        <v>#DIV/0!</v>
      </c>
      <c r="AT148" s="57"/>
      <c r="AV148" s="58"/>
      <c r="AW148" s="58"/>
      <c r="AX148" s="58"/>
      <c r="AY148" s="59"/>
      <c r="BA148" s="58"/>
      <c r="BB148" s="58"/>
      <c r="BC148" s="58"/>
      <c r="BD148" s="59"/>
    </row>
    <row r="149" spans="1:56" x14ac:dyDescent="0.15">
      <c r="A149" s="15"/>
      <c r="B149" s="15" t="s">
        <v>304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 t="str">
        <f t="shared" si="23"/>
        <v>·</v>
      </c>
      <c r="K149" s="19" t="str">
        <f t="shared" si="24"/>
        <v>·</v>
      </c>
      <c r="L149" s="19" t="str">
        <f t="shared" si="25"/>
        <v>·</v>
      </c>
      <c r="M149" s="20"/>
      <c r="N149" s="19" t="str">
        <f t="shared" si="26"/>
        <v>·</v>
      </c>
      <c r="O149" s="21"/>
      <c r="P149" s="22"/>
      <c r="Q149" s="22"/>
      <c r="R149" s="22"/>
      <c r="S149" s="23"/>
      <c r="T149" s="24"/>
      <c r="U149" s="24"/>
      <c r="V149" s="24"/>
      <c r="W149" s="23"/>
      <c r="X149" s="26"/>
      <c r="Y149" s="26"/>
      <c r="AA149" s="18" t="str">
        <f t="shared" si="27"/>
        <v>·</v>
      </c>
      <c r="AB149" s="19" t="str">
        <f t="shared" si="28"/>
        <v>·</v>
      </c>
      <c r="AC149" s="19" t="str">
        <f t="shared" si="29"/>
        <v>·</v>
      </c>
      <c r="AD149" s="19" t="str">
        <f t="shared" si="30"/>
        <v>·</v>
      </c>
      <c r="AE149" s="20"/>
      <c r="AF149" s="19" t="str">
        <f t="shared" si="31"/>
        <v>·</v>
      </c>
      <c r="AG149" s="21"/>
      <c r="AH149" s="22"/>
      <c r="AI149" s="22"/>
      <c r="AJ149" s="22"/>
      <c r="AK149" s="23"/>
      <c r="AL149" s="24"/>
      <c r="AM149" s="24"/>
      <c r="AN149" s="24"/>
      <c r="AO149" s="23"/>
      <c r="AP149" s="26"/>
      <c r="AQ149" s="26"/>
      <c r="AS149" s="27" t="e">
        <f t="shared" si="32"/>
        <v>#DIV/0!</v>
      </c>
      <c r="AT149" s="27" t="e">
        <f t="array" ref="AT149">AVERAGE(AI149:AI154/AH149:AH154) - AVERAGE(Q149:Q154/P149:P154)</f>
        <v>#DIV/0!</v>
      </c>
      <c r="AV149" s="28" t="str">
        <f>IF( OR(ISBLANK(R149:R154),ISBLANK(AJ149:AJ154), ISBLANK(T149:T154),ISBLANK(AL149:AL154)), "·", bdRateExtend( R149:R154,T149:T154, AJ149:AJ154,AL149:AL154))</f>
        <v>·</v>
      </c>
      <c r="AW149" s="28" t="str">
        <f>IF( OR(ISBLANK(R149:R154),ISBLANK(AJ149:AJ154), ISBLANK(U149:U154),ISBLANK(AM149:AM154)), "·", bdRateExtend( R149:R154,U149:U154, AJ149:AJ154,AM149:AM154))</f>
        <v>·</v>
      </c>
      <c r="AX149" s="28" t="str">
        <f>IF( OR(ISBLANK(R149:R154),ISBLANK(AJ149:AJ154), ISBLANK(V149:V154),ISBLANK(AN149:AN154)), "·", bdRateExtend( R149:R154,V149:V154, AJ149:AJ154,AN149:AN154))</f>
        <v>·</v>
      </c>
      <c r="AY149" s="29"/>
      <c r="BA149" s="28" t="str">
        <f>IF( OR(ISBLANK(P149:P154),ISBLANK(AH149:AH154), ISBLANK(T149:T154),ISBLANK(AL149:AL154)), "·", bdRateExtend( P149:P154,T149:T154, AH149:AH154,AL149:AL154))</f>
        <v>·</v>
      </c>
      <c r="BB149" s="28" t="str">
        <f>IF( OR(ISBLANK(P149:P154),ISBLANK(AH149:AH154), ISBLANK(U149:U154),ISBLANK(AM149:AM154)), "·", bdRateExtend( P149:P154,U149:U154, AH149:AH154,AM149:AM154))</f>
        <v>·</v>
      </c>
      <c r="BC149" s="28" t="str">
        <f>IF( OR(ISBLANK(P149:P154),ISBLANK(AH149:AH154), ISBLANK(V149:V154),ISBLANK(AN149:AN154)), "·", bdRateExtend( P149:P154,V149:V154, AH149:AH154,AN149:AN154))</f>
        <v>·</v>
      </c>
      <c r="BD149" s="29"/>
    </row>
    <row r="150" spans="1:56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 t="str">
        <f t="shared" si="23"/>
        <v>·</v>
      </c>
      <c r="K150" s="34" t="str">
        <f t="shared" si="24"/>
        <v>·</v>
      </c>
      <c r="L150" s="34" t="str">
        <f t="shared" si="25"/>
        <v>·</v>
      </c>
      <c r="M150" s="35"/>
      <c r="N150" s="34" t="str">
        <f t="shared" si="26"/>
        <v>·</v>
      </c>
      <c r="O150" s="36"/>
      <c r="P150" s="37"/>
      <c r="Q150" s="37"/>
      <c r="R150" s="37"/>
      <c r="S150" s="38"/>
      <c r="T150" s="39"/>
      <c r="U150" s="39"/>
      <c r="V150" s="39"/>
      <c r="W150" s="38"/>
      <c r="X150" s="41"/>
      <c r="Y150" s="41"/>
      <c r="AA150" s="33" t="str">
        <f t="shared" si="27"/>
        <v>·</v>
      </c>
      <c r="AB150" s="34" t="str">
        <f t="shared" si="28"/>
        <v>·</v>
      </c>
      <c r="AC150" s="34" t="str">
        <f t="shared" si="29"/>
        <v>·</v>
      </c>
      <c r="AD150" s="34" t="str">
        <f t="shared" si="30"/>
        <v>·</v>
      </c>
      <c r="AE150" s="35"/>
      <c r="AF150" s="34" t="str">
        <f t="shared" si="31"/>
        <v>·</v>
      </c>
      <c r="AG150" s="36"/>
      <c r="AH150" s="37"/>
      <c r="AI150" s="37"/>
      <c r="AJ150" s="37"/>
      <c r="AK150" s="38"/>
      <c r="AL150" s="39"/>
      <c r="AM150" s="39"/>
      <c r="AN150" s="39"/>
      <c r="AO150" s="38"/>
      <c r="AP150" s="41"/>
      <c r="AQ150" s="41"/>
      <c r="AS150" s="42" t="e">
        <f t="shared" si="32"/>
        <v>#DIV/0!</v>
      </c>
      <c r="AT150" s="42"/>
      <c r="AV150" s="43"/>
      <c r="AW150" s="43"/>
      <c r="AX150" s="43"/>
      <c r="AY150" s="44"/>
      <c r="BA150" s="43"/>
      <c r="BB150" s="43"/>
      <c r="BC150" s="43"/>
      <c r="BD150" s="44"/>
    </row>
    <row r="151" spans="1:56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 t="str">
        <f t="shared" si="23"/>
        <v>·</v>
      </c>
      <c r="K151" s="19" t="str">
        <f t="shared" si="24"/>
        <v>·</v>
      </c>
      <c r="L151" s="19" t="str">
        <f t="shared" si="25"/>
        <v>·</v>
      </c>
      <c r="M151" s="20"/>
      <c r="N151" s="19" t="str">
        <f t="shared" si="26"/>
        <v>·</v>
      </c>
      <c r="O151" s="21"/>
      <c r="P151" s="22"/>
      <c r="Q151" s="22"/>
      <c r="R151" s="22"/>
      <c r="S151" s="23"/>
      <c r="T151" s="24"/>
      <c r="U151" s="24"/>
      <c r="V151" s="24"/>
      <c r="W151" s="23"/>
      <c r="X151" s="26"/>
      <c r="Y151" s="26"/>
      <c r="AA151" s="18" t="str">
        <f t="shared" si="27"/>
        <v>·</v>
      </c>
      <c r="AB151" s="19" t="str">
        <f t="shared" si="28"/>
        <v>·</v>
      </c>
      <c r="AC151" s="19" t="str">
        <f t="shared" si="29"/>
        <v>·</v>
      </c>
      <c r="AD151" s="19" t="str">
        <f t="shared" si="30"/>
        <v>·</v>
      </c>
      <c r="AE151" s="20"/>
      <c r="AF151" s="19" t="str">
        <f t="shared" si="31"/>
        <v>·</v>
      </c>
      <c r="AG151" s="21"/>
      <c r="AH151" s="22"/>
      <c r="AI151" s="22"/>
      <c r="AJ151" s="22"/>
      <c r="AK151" s="23"/>
      <c r="AL151" s="24"/>
      <c r="AM151" s="24"/>
      <c r="AN151" s="24"/>
      <c r="AO151" s="23"/>
      <c r="AP151" s="26"/>
      <c r="AQ151" s="26"/>
      <c r="AS151" s="27" t="e">
        <f t="shared" si="32"/>
        <v>#DIV/0!</v>
      </c>
      <c r="AT151" s="27"/>
      <c r="AV151" s="28"/>
      <c r="AW151" s="28"/>
      <c r="AX151" s="28"/>
      <c r="AY151" s="29"/>
      <c r="BA151" s="28"/>
      <c r="BB151" s="28"/>
      <c r="BC151" s="28"/>
      <c r="BD151" s="29"/>
    </row>
    <row r="152" spans="1:56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8"/>
      <c r="X152" s="41"/>
      <c r="Y152" s="41"/>
      <c r="AA152" s="33" t="str">
        <f t="shared" si="27"/>
        <v>·</v>
      </c>
      <c r="AB152" s="34" t="str">
        <f t="shared" si="28"/>
        <v>·</v>
      </c>
      <c r="AC152" s="34" t="str">
        <f t="shared" si="29"/>
        <v>·</v>
      </c>
      <c r="AD152" s="34" t="str">
        <f t="shared" si="30"/>
        <v>·</v>
      </c>
      <c r="AE152" s="35"/>
      <c r="AF152" s="34" t="str">
        <f t="shared" si="31"/>
        <v>·</v>
      </c>
      <c r="AG152" s="36"/>
      <c r="AH152" s="37"/>
      <c r="AI152" s="37"/>
      <c r="AJ152" s="37"/>
      <c r="AK152" s="38"/>
      <c r="AL152" s="39"/>
      <c r="AM152" s="39"/>
      <c r="AN152" s="39"/>
      <c r="AO152" s="38"/>
      <c r="AP152" s="41"/>
      <c r="AQ152" s="41"/>
      <c r="AS152" s="42" t="e">
        <f t="shared" si="32"/>
        <v>#DIV/0!</v>
      </c>
      <c r="AT152" s="42"/>
      <c r="AV152" s="43"/>
      <c r="AW152" s="43"/>
      <c r="AX152" s="43"/>
      <c r="AY152" s="44"/>
      <c r="BA152" s="43"/>
      <c r="BB152" s="43"/>
      <c r="BC152" s="43"/>
      <c r="BD152" s="44"/>
    </row>
    <row r="153" spans="1:56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3"/>
      <c r="X153" s="26"/>
      <c r="Y153" s="26"/>
      <c r="AA153" s="18" t="str">
        <f t="shared" si="27"/>
        <v>·</v>
      </c>
      <c r="AB153" s="19" t="str">
        <f t="shared" si="28"/>
        <v>·</v>
      </c>
      <c r="AC153" s="19" t="str">
        <f t="shared" si="29"/>
        <v>·</v>
      </c>
      <c r="AD153" s="19" t="str">
        <f t="shared" si="30"/>
        <v>·</v>
      </c>
      <c r="AE153" s="20"/>
      <c r="AF153" s="19" t="str">
        <f t="shared" si="31"/>
        <v>·</v>
      </c>
      <c r="AG153" s="21"/>
      <c r="AH153" s="22"/>
      <c r="AI153" s="22"/>
      <c r="AJ153" s="22"/>
      <c r="AK153" s="23"/>
      <c r="AL153" s="24"/>
      <c r="AM153" s="24"/>
      <c r="AN153" s="24"/>
      <c r="AO153" s="23"/>
      <c r="AP153" s="26"/>
      <c r="AQ153" s="26"/>
      <c r="AS153" s="27" t="e">
        <f t="shared" si="32"/>
        <v>#DIV/0!</v>
      </c>
      <c r="AT153" s="27"/>
      <c r="AV153" s="28"/>
      <c r="AW153" s="28"/>
      <c r="AX153" s="28"/>
      <c r="AY153" s="29"/>
      <c r="BA153" s="28"/>
      <c r="BB153" s="28"/>
      <c r="BC153" s="28"/>
      <c r="BD153" s="29"/>
    </row>
    <row r="154" spans="1:56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3"/>
      <c r="X154" s="56"/>
      <c r="Y154" s="56"/>
      <c r="AA154" s="48" t="str">
        <f t="shared" si="27"/>
        <v>·</v>
      </c>
      <c r="AB154" s="49" t="str">
        <f t="shared" si="28"/>
        <v>·</v>
      </c>
      <c r="AC154" s="49" t="str">
        <f t="shared" si="29"/>
        <v>·</v>
      </c>
      <c r="AD154" s="49" t="str">
        <f t="shared" si="30"/>
        <v>·</v>
      </c>
      <c r="AE154" s="50"/>
      <c r="AF154" s="49" t="str">
        <f t="shared" si="31"/>
        <v>·</v>
      </c>
      <c r="AG154" s="51"/>
      <c r="AH154" s="52"/>
      <c r="AI154" s="52"/>
      <c r="AJ154" s="52"/>
      <c r="AK154" s="53"/>
      <c r="AL154" s="54"/>
      <c r="AM154" s="54"/>
      <c r="AN154" s="54"/>
      <c r="AO154" s="53"/>
      <c r="AP154" s="56"/>
      <c r="AQ154" s="56"/>
      <c r="AS154" s="57" t="e">
        <f t="shared" si="32"/>
        <v>#DIV/0!</v>
      </c>
      <c r="AT154" s="57"/>
      <c r="AV154" s="58"/>
      <c r="AW154" s="58"/>
      <c r="AX154" s="58"/>
      <c r="AY154" s="59"/>
      <c r="BA154" s="58"/>
      <c r="BB154" s="58"/>
      <c r="BC154" s="58"/>
      <c r="BD154" s="59"/>
    </row>
    <row r="155" spans="1:56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 t="str">
        <f t="shared" si="23"/>
        <v>·</v>
      </c>
      <c r="K155" s="19" t="str">
        <f t="shared" si="24"/>
        <v>·</v>
      </c>
      <c r="L155" s="19" t="str">
        <f t="shared" si="25"/>
        <v>·</v>
      </c>
      <c r="M155" s="20"/>
      <c r="N155" s="19" t="str">
        <f t="shared" si="26"/>
        <v>·</v>
      </c>
      <c r="O155" s="21"/>
      <c r="P155" s="22"/>
      <c r="Q155" s="22"/>
      <c r="R155" s="22"/>
      <c r="S155" s="23"/>
      <c r="T155" s="24"/>
      <c r="U155" s="24"/>
      <c r="V155" s="24"/>
      <c r="W155" s="23"/>
      <c r="X155" s="26"/>
      <c r="Y155" s="26"/>
      <c r="AA155" s="18" t="str">
        <f t="shared" si="27"/>
        <v>·</v>
      </c>
      <c r="AB155" s="19" t="str">
        <f t="shared" si="28"/>
        <v>·</v>
      </c>
      <c r="AC155" s="19" t="str">
        <f t="shared" si="29"/>
        <v>·</v>
      </c>
      <c r="AD155" s="19" t="str">
        <f t="shared" si="30"/>
        <v>·</v>
      </c>
      <c r="AE155" s="20"/>
      <c r="AF155" s="19" t="str">
        <f t="shared" si="31"/>
        <v>·</v>
      </c>
      <c r="AG155" s="21"/>
      <c r="AH155" s="22"/>
      <c r="AI155" s="22"/>
      <c r="AJ155" s="22"/>
      <c r="AK155" s="23"/>
      <c r="AL155" s="24"/>
      <c r="AM155" s="24"/>
      <c r="AN155" s="24"/>
      <c r="AO155" s="23"/>
      <c r="AP155" s="26"/>
      <c r="AQ155" s="26"/>
      <c r="AS155" s="27" t="e">
        <f t="shared" si="32"/>
        <v>#DIV/0!</v>
      </c>
      <c r="AT155" s="27" t="e">
        <f t="array" ref="AT155">AVERAGE(AI155:AI160/AH155:AH160) - AVERAGE(Q155:Q160/P155:P160)</f>
        <v>#DIV/0!</v>
      </c>
      <c r="AV155" s="28" t="str">
        <f>IF( OR(ISBLANK(R155:R160),ISBLANK(AJ155:AJ160), ISBLANK(T155:T160),ISBLANK(AL155:AL160)), "·", bdRateExtend( R155:R160,T155:T160, AJ155:AJ160,AL155:AL160))</f>
        <v>·</v>
      </c>
      <c r="AW155" s="28" t="str">
        <f>IF( OR(ISBLANK(R155:R160),ISBLANK(AJ155:AJ160), ISBLANK(U155:U160),ISBLANK(AM155:AM160)), "·", bdRateExtend( R155:R160,U155:U160, AJ155:AJ160,AM155:AM160))</f>
        <v>·</v>
      </c>
      <c r="AX155" s="28" t="str">
        <f>IF( OR(ISBLANK(R155:R160),ISBLANK(AJ155:AJ160), ISBLANK(V155:V160),ISBLANK(AN155:AN160)), "·", bdRateExtend( R155:R160,V155:V160, AJ155:AJ160,AN155:AN160))</f>
        <v>·</v>
      </c>
      <c r="AY155" s="29"/>
      <c r="BA155" s="28" t="str">
        <f>IF( OR(ISBLANK(P155:P160),ISBLANK(AH155:AH160), ISBLANK(T155:T160),ISBLANK(AL155:AL160)), "·", bdRateExtend( P155:P160,T155:T160, AH155:AH160,AL155:AL160))</f>
        <v>·</v>
      </c>
      <c r="BB155" s="28" t="str">
        <f>IF( OR(ISBLANK(P155:P160),ISBLANK(AH155:AH160), ISBLANK(U155:U160),ISBLANK(AM155:AM160)), "·", bdRateExtend( P155:P160,U155:U160, AH155:AH160,AM155:AM160))</f>
        <v>·</v>
      </c>
      <c r="BC155" s="28" t="str">
        <f>IF( OR(ISBLANK(P155:P160),ISBLANK(AH155:AH160), ISBLANK(V155:V160),ISBLANK(AN155:AN160)), "·", bdRateExtend( P155:P160,V155:V160, AH155:AH160,AN155:AN160))</f>
        <v>·</v>
      </c>
      <c r="BD155" s="29"/>
    </row>
    <row r="156" spans="1:56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 t="str">
        <f t="shared" si="23"/>
        <v>·</v>
      </c>
      <c r="K156" s="34" t="str">
        <f t="shared" si="24"/>
        <v>·</v>
      </c>
      <c r="L156" s="34" t="str">
        <f t="shared" si="25"/>
        <v>·</v>
      </c>
      <c r="M156" s="35"/>
      <c r="N156" s="34" t="str">
        <f t="shared" si="26"/>
        <v>·</v>
      </c>
      <c r="O156" s="36"/>
      <c r="P156" s="37"/>
      <c r="Q156" s="37"/>
      <c r="R156" s="37"/>
      <c r="S156" s="38"/>
      <c r="T156" s="39"/>
      <c r="U156" s="39"/>
      <c r="V156" s="39"/>
      <c r="W156" s="38"/>
      <c r="X156" s="41"/>
      <c r="Y156" s="41"/>
      <c r="AA156" s="33" t="str">
        <f t="shared" si="27"/>
        <v>·</v>
      </c>
      <c r="AB156" s="34" t="str">
        <f t="shared" si="28"/>
        <v>·</v>
      </c>
      <c r="AC156" s="34" t="str">
        <f t="shared" si="29"/>
        <v>·</v>
      </c>
      <c r="AD156" s="34" t="str">
        <f t="shared" si="30"/>
        <v>·</v>
      </c>
      <c r="AE156" s="35"/>
      <c r="AF156" s="34" t="str">
        <f t="shared" si="31"/>
        <v>·</v>
      </c>
      <c r="AG156" s="36"/>
      <c r="AH156" s="37"/>
      <c r="AI156" s="37"/>
      <c r="AJ156" s="37"/>
      <c r="AK156" s="38"/>
      <c r="AL156" s="39"/>
      <c r="AM156" s="39"/>
      <c r="AN156" s="39"/>
      <c r="AO156" s="38"/>
      <c r="AP156" s="41"/>
      <c r="AQ156" s="41"/>
      <c r="AS156" s="42" t="e">
        <f t="shared" si="32"/>
        <v>#DIV/0!</v>
      </c>
      <c r="AT156" s="42"/>
      <c r="AV156" s="43"/>
      <c r="AW156" s="43"/>
      <c r="AX156" s="43"/>
      <c r="AY156" s="44"/>
      <c r="BA156" s="43"/>
      <c r="BB156" s="43"/>
      <c r="BC156" s="43"/>
      <c r="BD156" s="44"/>
    </row>
    <row r="157" spans="1:56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 t="str">
        <f t="shared" si="23"/>
        <v>·</v>
      </c>
      <c r="K157" s="19" t="str">
        <f t="shared" si="24"/>
        <v>·</v>
      </c>
      <c r="L157" s="19" t="str">
        <f t="shared" si="25"/>
        <v>·</v>
      </c>
      <c r="M157" s="20"/>
      <c r="N157" s="19" t="str">
        <f t="shared" si="26"/>
        <v>·</v>
      </c>
      <c r="O157" s="21"/>
      <c r="P157" s="22"/>
      <c r="Q157" s="22"/>
      <c r="R157" s="22"/>
      <c r="S157" s="23"/>
      <c r="T157" s="24"/>
      <c r="U157" s="24"/>
      <c r="V157" s="24"/>
      <c r="W157" s="23"/>
      <c r="X157" s="26"/>
      <c r="Y157" s="26"/>
      <c r="AA157" s="18" t="str">
        <f t="shared" si="27"/>
        <v>·</v>
      </c>
      <c r="AB157" s="19" t="str">
        <f t="shared" si="28"/>
        <v>·</v>
      </c>
      <c r="AC157" s="19" t="str">
        <f t="shared" si="29"/>
        <v>·</v>
      </c>
      <c r="AD157" s="19" t="str">
        <f t="shared" si="30"/>
        <v>·</v>
      </c>
      <c r="AE157" s="20"/>
      <c r="AF157" s="19" t="str">
        <f t="shared" si="31"/>
        <v>·</v>
      </c>
      <c r="AG157" s="21"/>
      <c r="AH157" s="22"/>
      <c r="AI157" s="22"/>
      <c r="AJ157" s="22"/>
      <c r="AK157" s="23"/>
      <c r="AL157" s="24"/>
      <c r="AM157" s="24"/>
      <c r="AN157" s="24"/>
      <c r="AO157" s="23"/>
      <c r="AP157" s="26"/>
      <c r="AQ157" s="26"/>
      <c r="AS157" s="27" t="e">
        <f t="shared" si="32"/>
        <v>#DIV/0!</v>
      </c>
      <c r="AT157" s="27"/>
      <c r="AV157" s="28"/>
      <c r="AW157" s="28"/>
      <c r="AX157" s="28"/>
      <c r="AY157" s="29"/>
      <c r="BA157" s="28"/>
      <c r="BB157" s="28"/>
      <c r="BC157" s="28"/>
      <c r="BD157" s="29"/>
    </row>
    <row r="158" spans="1:56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 t="str">
        <f t="shared" si="23"/>
        <v>·</v>
      </c>
      <c r="K158" s="34" t="str">
        <f t="shared" si="24"/>
        <v>·</v>
      </c>
      <c r="L158" s="34" t="str">
        <f t="shared" si="25"/>
        <v>·</v>
      </c>
      <c r="M158" s="35"/>
      <c r="N158" s="34" t="str">
        <f t="shared" si="26"/>
        <v>·</v>
      </c>
      <c r="O158" s="36"/>
      <c r="P158" s="37"/>
      <c r="Q158" s="37"/>
      <c r="R158" s="37"/>
      <c r="S158" s="38"/>
      <c r="T158" s="39"/>
      <c r="U158" s="39"/>
      <c r="V158" s="39"/>
      <c r="W158" s="38"/>
      <c r="X158" s="41"/>
      <c r="Y158" s="41"/>
      <c r="AA158" s="33" t="str">
        <f t="shared" si="27"/>
        <v>·</v>
      </c>
      <c r="AB158" s="34" t="str">
        <f t="shared" si="28"/>
        <v>·</v>
      </c>
      <c r="AC158" s="34" t="str">
        <f t="shared" si="29"/>
        <v>·</v>
      </c>
      <c r="AD158" s="34" t="str">
        <f t="shared" si="30"/>
        <v>·</v>
      </c>
      <c r="AE158" s="35"/>
      <c r="AF158" s="34" t="str">
        <f t="shared" si="31"/>
        <v>·</v>
      </c>
      <c r="AG158" s="36"/>
      <c r="AH158" s="37"/>
      <c r="AI158" s="37"/>
      <c r="AJ158" s="37"/>
      <c r="AK158" s="38"/>
      <c r="AL158" s="39"/>
      <c r="AM158" s="39"/>
      <c r="AN158" s="39"/>
      <c r="AO158" s="38"/>
      <c r="AP158" s="41"/>
      <c r="AQ158" s="41"/>
      <c r="AS158" s="42" t="e">
        <f t="shared" si="32"/>
        <v>#DIV/0!</v>
      </c>
      <c r="AT158" s="42"/>
      <c r="AV158" s="43"/>
      <c r="AW158" s="43"/>
      <c r="AX158" s="43"/>
      <c r="AY158" s="44"/>
      <c r="BA158" s="43"/>
      <c r="BB158" s="43"/>
      <c r="BC158" s="43"/>
      <c r="BD158" s="44"/>
    </row>
    <row r="159" spans="1:56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3"/>
      <c r="X159" s="26"/>
      <c r="Y159" s="26"/>
      <c r="AA159" s="18" t="str">
        <f t="shared" si="27"/>
        <v>·</v>
      </c>
      <c r="AB159" s="19" t="str">
        <f t="shared" si="28"/>
        <v>·</v>
      </c>
      <c r="AC159" s="19" t="str">
        <f t="shared" si="29"/>
        <v>·</v>
      </c>
      <c r="AD159" s="19" t="str">
        <f t="shared" si="30"/>
        <v>·</v>
      </c>
      <c r="AE159" s="20"/>
      <c r="AF159" s="19" t="str">
        <f t="shared" si="31"/>
        <v>·</v>
      </c>
      <c r="AG159" s="21"/>
      <c r="AH159" s="22"/>
      <c r="AI159" s="22"/>
      <c r="AJ159" s="22"/>
      <c r="AK159" s="23"/>
      <c r="AL159" s="24"/>
      <c r="AM159" s="24"/>
      <c r="AN159" s="24"/>
      <c r="AO159" s="23"/>
      <c r="AP159" s="26"/>
      <c r="AQ159" s="26"/>
      <c r="AS159" s="27" t="e">
        <f t="shared" si="32"/>
        <v>#DIV/0!</v>
      </c>
      <c r="AT159" s="27"/>
      <c r="AV159" s="28"/>
      <c r="AW159" s="28"/>
      <c r="AX159" s="28"/>
      <c r="AY159" s="29"/>
      <c r="BA159" s="28"/>
      <c r="BB159" s="28"/>
      <c r="BC159" s="28"/>
      <c r="BD159" s="29"/>
    </row>
    <row r="160" spans="1:56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3"/>
      <c r="X160" s="56"/>
      <c r="Y160" s="56"/>
      <c r="AA160" s="48" t="str">
        <f t="shared" si="27"/>
        <v>·</v>
      </c>
      <c r="AB160" s="49" t="str">
        <f t="shared" si="28"/>
        <v>·</v>
      </c>
      <c r="AC160" s="49" t="str">
        <f t="shared" si="29"/>
        <v>·</v>
      </c>
      <c r="AD160" s="49" t="str">
        <f t="shared" si="30"/>
        <v>·</v>
      </c>
      <c r="AE160" s="50"/>
      <c r="AF160" s="49" t="str">
        <f t="shared" si="31"/>
        <v>·</v>
      </c>
      <c r="AG160" s="51"/>
      <c r="AH160" s="52"/>
      <c r="AI160" s="52"/>
      <c r="AJ160" s="52"/>
      <c r="AK160" s="53"/>
      <c r="AL160" s="54"/>
      <c r="AM160" s="54"/>
      <c r="AN160" s="54"/>
      <c r="AO160" s="53"/>
      <c r="AP160" s="56"/>
      <c r="AQ160" s="56"/>
      <c r="AS160" s="57" t="e">
        <f t="shared" si="32"/>
        <v>#DIV/0!</v>
      </c>
      <c r="AT160" s="57"/>
      <c r="AV160" s="58"/>
      <c r="AW160" s="58"/>
      <c r="AX160" s="58"/>
      <c r="AY160" s="59"/>
      <c r="BA160" s="58"/>
      <c r="BB160" s="58"/>
      <c r="BC160" s="58"/>
      <c r="BD160" s="59"/>
    </row>
    <row r="161" spans="1:56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 t="str">
        <f t="shared" si="23"/>
        <v>·</v>
      </c>
      <c r="K161" s="19" t="str">
        <f t="shared" si="24"/>
        <v>·</v>
      </c>
      <c r="L161" s="19" t="str">
        <f t="shared" si="25"/>
        <v>·</v>
      </c>
      <c r="M161" s="20"/>
      <c r="N161" s="19" t="str">
        <f t="shared" si="26"/>
        <v>·</v>
      </c>
      <c r="O161" s="21"/>
      <c r="P161" s="22"/>
      <c r="Q161" s="22"/>
      <c r="R161" s="22"/>
      <c r="S161" s="23"/>
      <c r="T161" s="24"/>
      <c r="U161" s="24"/>
      <c r="V161" s="24"/>
      <c r="W161" s="23"/>
      <c r="X161" s="26"/>
      <c r="Y161" s="26"/>
      <c r="AA161" s="18" t="str">
        <f t="shared" si="27"/>
        <v>·</v>
      </c>
      <c r="AB161" s="19" t="str">
        <f t="shared" si="28"/>
        <v>·</v>
      </c>
      <c r="AC161" s="19" t="str">
        <f t="shared" si="29"/>
        <v>·</v>
      </c>
      <c r="AD161" s="19" t="str">
        <f t="shared" si="30"/>
        <v>·</v>
      </c>
      <c r="AE161" s="20"/>
      <c r="AF161" s="19" t="str">
        <f t="shared" si="31"/>
        <v>·</v>
      </c>
      <c r="AG161" s="21"/>
      <c r="AH161" s="22"/>
      <c r="AI161" s="22"/>
      <c r="AJ161" s="22"/>
      <c r="AK161" s="23"/>
      <c r="AL161" s="24"/>
      <c r="AM161" s="24"/>
      <c r="AN161" s="24"/>
      <c r="AO161" s="23"/>
      <c r="AP161" s="26"/>
      <c r="AQ161" s="26"/>
      <c r="AS161" s="27" t="e">
        <f t="shared" si="32"/>
        <v>#DIV/0!</v>
      </c>
      <c r="AT161" s="27" t="e">
        <f t="array" ref="AT161">AVERAGE(AI161:AI166/AH161:AH166) - AVERAGE(Q161:Q166/P161:P166)</f>
        <v>#DIV/0!</v>
      </c>
      <c r="AV161" s="28" t="str">
        <f>IF( OR(ISBLANK(R161:R166),ISBLANK(AJ161:AJ166), ISBLANK(T161:T166),ISBLANK(AL161:AL166)), "·", bdRateExtend( R161:R166,T161:T166, AJ161:AJ166,AL161:AL166))</f>
        <v>·</v>
      </c>
      <c r="AW161" s="28" t="str">
        <f>IF( OR(ISBLANK(R161:R166),ISBLANK(AJ161:AJ166), ISBLANK(U161:U166),ISBLANK(AM161:AM166)), "·", bdRateExtend( R161:R166,U161:U166, AJ161:AJ166,AM161:AM166))</f>
        <v>·</v>
      </c>
      <c r="AX161" s="28" t="str">
        <f>IF( OR(ISBLANK(R161:R166),ISBLANK(AJ161:AJ166), ISBLANK(V161:V166),ISBLANK(AN161:AN166)), "·", bdRateExtend( R161:R166,V161:V166, AJ161:AJ166,AN161:AN166))</f>
        <v>·</v>
      </c>
      <c r="AY161" s="29"/>
      <c r="BA161" s="28" t="str">
        <f>IF( OR(ISBLANK(P161:P166),ISBLANK(AH161:AH166), ISBLANK(T161:T166),ISBLANK(AL161:AL166)), "·", bdRateExtend( P161:P166,T161:T166, AH161:AH166,AL161:AL166))</f>
        <v>·</v>
      </c>
      <c r="BB161" s="28" t="str">
        <f>IF( OR(ISBLANK(P161:P166),ISBLANK(AH161:AH166), ISBLANK(U161:U166),ISBLANK(AM161:AM166)), "·", bdRateExtend( P161:P166,U161:U166, AH161:AH166,AM161:AM166))</f>
        <v>·</v>
      </c>
      <c r="BC161" s="28" t="str">
        <f>IF( OR(ISBLANK(P161:P166),ISBLANK(AH161:AH166), ISBLANK(V161:V166),ISBLANK(AN161:AN166)), "·", bdRateExtend( P161:P166,V161:V166, AH161:AH166,AN161:AN166))</f>
        <v>·</v>
      </c>
      <c r="BD161" s="29"/>
    </row>
    <row r="162" spans="1:56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 t="str">
        <f t="shared" si="23"/>
        <v>·</v>
      </c>
      <c r="K162" s="34" t="str">
        <f t="shared" si="24"/>
        <v>·</v>
      </c>
      <c r="L162" s="34" t="str">
        <f t="shared" si="25"/>
        <v>·</v>
      </c>
      <c r="M162" s="35"/>
      <c r="N162" s="34" t="str">
        <f t="shared" si="26"/>
        <v>·</v>
      </c>
      <c r="O162" s="36"/>
      <c r="P162" s="37"/>
      <c r="Q162" s="37"/>
      <c r="R162" s="37"/>
      <c r="S162" s="38"/>
      <c r="T162" s="39"/>
      <c r="U162" s="39"/>
      <c r="V162" s="39"/>
      <c r="W162" s="38"/>
      <c r="X162" s="41"/>
      <c r="Y162" s="41"/>
      <c r="AA162" s="33" t="str">
        <f t="shared" si="27"/>
        <v>·</v>
      </c>
      <c r="AB162" s="34" t="str">
        <f t="shared" si="28"/>
        <v>·</v>
      </c>
      <c r="AC162" s="34" t="str">
        <f t="shared" si="29"/>
        <v>·</v>
      </c>
      <c r="AD162" s="34" t="str">
        <f t="shared" si="30"/>
        <v>·</v>
      </c>
      <c r="AE162" s="35"/>
      <c r="AF162" s="34" t="str">
        <f t="shared" si="31"/>
        <v>·</v>
      </c>
      <c r="AG162" s="36"/>
      <c r="AH162" s="37"/>
      <c r="AI162" s="37"/>
      <c r="AJ162" s="37"/>
      <c r="AK162" s="38"/>
      <c r="AL162" s="39"/>
      <c r="AM162" s="39"/>
      <c r="AN162" s="39"/>
      <c r="AO162" s="38"/>
      <c r="AP162" s="41"/>
      <c r="AQ162" s="41"/>
      <c r="AS162" s="42" t="e">
        <f t="shared" si="32"/>
        <v>#DIV/0!</v>
      </c>
      <c r="AT162" s="42"/>
      <c r="AV162" s="43"/>
      <c r="AW162" s="43"/>
      <c r="AX162" s="43"/>
      <c r="AY162" s="44"/>
      <c r="BA162" s="43"/>
      <c r="BB162" s="43"/>
      <c r="BC162" s="43"/>
      <c r="BD162" s="44"/>
    </row>
    <row r="163" spans="1:56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 t="str">
        <f t="shared" si="23"/>
        <v>·</v>
      </c>
      <c r="K163" s="19" t="str">
        <f t="shared" si="24"/>
        <v>·</v>
      </c>
      <c r="L163" s="19" t="str">
        <f t="shared" si="25"/>
        <v>·</v>
      </c>
      <c r="M163" s="20"/>
      <c r="N163" s="19" t="str">
        <f t="shared" si="26"/>
        <v>·</v>
      </c>
      <c r="O163" s="21"/>
      <c r="P163" s="22"/>
      <c r="Q163" s="22"/>
      <c r="R163" s="22"/>
      <c r="S163" s="23"/>
      <c r="T163" s="24"/>
      <c r="U163" s="24"/>
      <c r="V163" s="24"/>
      <c r="W163" s="23"/>
      <c r="X163" s="26"/>
      <c r="Y163" s="26"/>
      <c r="AA163" s="18" t="str">
        <f t="shared" si="27"/>
        <v>·</v>
      </c>
      <c r="AB163" s="19" t="str">
        <f t="shared" si="28"/>
        <v>·</v>
      </c>
      <c r="AC163" s="19" t="str">
        <f t="shared" si="29"/>
        <v>·</v>
      </c>
      <c r="AD163" s="19" t="str">
        <f t="shared" si="30"/>
        <v>·</v>
      </c>
      <c r="AE163" s="20"/>
      <c r="AF163" s="19" t="str">
        <f t="shared" si="31"/>
        <v>·</v>
      </c>
      <c r="AG163" s="21"/>
      <c r="AH163" s="22"/>
      <c r="AI163" s="22"/>
      <c r="AJ163" s="22"/>
      <c r="AK163" s="23"/>
      <c r="AL163" s="24"/>
      <c r="AM163" s="24"/>
      <c r="AN163" s="24"/>
      <c r="AO163" s="23"/>
      <c r="AP163" s="26"/>
      <c r="AQ163" s="26"/>
      <c r="AS163" s="27" t="e">
        <f t="shared" si="32"/>
        <v>#DIV/0!</v>
      </c>
      <c r="AT163" s="27"/>
      <c r="AV163" s="28"/>
      <c r="AW163" s="28"/>
      <c r="AX163" s="28"/>
      <c r="AY163" s="29"/>
      <c r="BA163" s="28"/>
      <c r="BB163" s="28"/>
      <c r="BC163" s="28"/>
      <c r="BD163" s="29"/>
    </row>
    <row r="164" spans="1:56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 t="str">
        <f t="shared" si="23"/>
        <v>·</v>
      </c>
      <c r="K164" s="34" t="str">
        <f t="shared" si="24"/>
        <v>·</v>
      </c>
      <c r="L164" s="34" t="str">
        <f t="shared" si="25"/>
        <v>·</v>
      </c>
      <c r="M164" s="35"/>
      <c r="N164" s="34" t="str">
        <f t="shared" si="26"/>
        <v>·</v>
      </c>
      <c r="O164" s="36"/>
      <c r="P164" s="37"/>
      <c r="Q164" s="37"/>
      <c r="R164" s="37"/>
      <c r="S164" s="38"/>
      <c r="T164" s="39"/>
      <c r="U164" s="39"/>
      <c r="V164" s="39"/>
      <c r="W164" s="38"/>
      <c r="X164" s="41"/>
      <c r="Y164" s="41"/>
      <c r="AA164" s="33" t="str">
        <f t="shared" si="27"/>
        <v>·</v>
      </c>
      <c r="AB164" s="34" t="str">
        <f t="shared" si="28"/>
        <v>·</v>
      </c>
      <c r="AC164" s="34" t="str">
        <f t="shared" si="29"/>
        <v>·</v>
      </c>
      <c r="AD164" s="34" t="str">
        <f t="shared" si="30"/>
        <v>·</v>
      </c>
      <c r="AE164" s="35"/>
      <c r="AF164" s="34" t="str">
        <f t="shared" si="31"/>
        <v>·</v>
      </c>
      <c r="AG164" s="36"/>
      <c r="AH164" s="37"/>
      <c r="AI164" s="37"/>
      <c r="AJ164" s="37"/>
      <c r="AK164" s="38"/>
      <c r="AL164" s="39"/>
      <c r="AM164" s="39"/>
      <c r="AN164" s="39"/>
      <c r="AO164" s="38"/>
      <c r="AP164" s="41"/>
      <c r="AQ164" s="41"/>
      <c r="AS164" s="42" t="e">
        <f t="shared" si="32"/>
        <v>#DIV/0!</v>
      </c>
      <c r="AT164" s="42"/>
      <c r="AV164" s="43"/>
      <c r="AW164" s="43"/>
      <c r="AX164" s="43"/>
      <c r="AY164" s="44"/>
      <c r="BA164" s="43"/>
      <c r="BB164" s="43"/>
      <c r="BC164" s="43"/>
      <c r="BD164" s="44"/>
    </row>
    <row r="165" spans="1:56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3"/>
      <c r="X165" s="26"/>
      <c r="Y165" s="26"/>
      <c r="AA165" s="18" t="str">
        <f t="shared" si="27"/>
        <v>·</v>
      </c>
      <c r="AB165" s="19" t="str">
        <f t="shared" si="28"/>
        <v>·</v>
      </c>
      <c r="AC165" s="19" t="str">
        <f t="shared" si="29"/>
        <v>·</v>
      </c>
      <c r="AD165" s="19" t="str">
        <f t="shared" si="30"/>
        <v>·</v>
      </c>
      <c r="AE165" s="20"/>
      <c r="AF165" s="19" t="str">
        <f t="shared" si="31"/>
        <v>·</v>
      </c>
      <c r="AG165" s="21"/>
      <c r="AH165" s="22"/>
      <c r="AI165" s="22"/>
      <c r="AJ165" s="22"/>
      <c r="AK165" s="23"/>
      <c r="AL165" s="24"/>
      <c r="AM165" s="24"/>
      <c r="AN165" s="24"/>
      <c r="AO165" s="23"/>
      <c r="AP165" s="26"/>
      <c r="AQ165" s="26"/>
      <c r="AS165" s="27" t="e">
        <f t="shared" si="32"/>
        <v>#DIV/0!</v>
      </c>
      <c r="AT165" s="27"/>
      <c r="AV165" s="28"/>
      <c r="AW165" s="28"/>
      <c r="AX165" s="28"/>
      <c r="AY165" s="29"/>
      <c r="BA165" s="28"/>
      <c r="BB165" s="28"/>
      <c r="BC165" s="28"/>
      <c r="BD165" s="29"/>
    </row>
    <row r="166" spans="1:56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3"/>
      <c r="X166" s="56"/>
      <c r="Y166" s="56"/>
      <c r="AA166" s="48" t="str">
        <f t="shared" si="27"/>
        <v>·</v>
      </c>
      <c r="AB166" s="49" t="str">
        <f t="shared" si="28"/>
        <v>·</v>
      </c>
      <c r="AC166" s="49" t="str">
        <f t="shared" si="29"/>
        <v>·</v>
      </c>
      <c r="AD166" s="49" t="str">
        <f t="shared" si="30"/>
        <v>·</v>
      </c>
      <c r="AE166" s="50"/>
      <c r="AF166" s="49" t="str">
        <f t="shared" si="31"/>
        <v>·</v>
      </c>
      <c r="AG166" s="51"/>
      <c r="AH166" s="52"/>
      <c r="AI166" s="52"/>
      <c r="AJ166" s="52"/>
      <c r="AK166" s="53"/>
      <c r="AL166" s="54"/>
      <c r="AM166" s="54"/>
      <c r="AN166" s="54"/>
      <c r="AO166" s="53"/>
      <c r="AP166" s="56"/>
      <c r="AQ166" s="56"/>
      <c r="AS166" s="57" t="e">
        <f t="shared" si="32"/>
        <v>#DIV/0!</v>
      </c>
      <c r="AT166" s="57"/>
      <c r="AV166" s="58"/>
      <c r="AW166" s="58"/>
      <c r="AX166" s="58"/>
      <c r="AY166" s="59"/>
      <c r="BA166" s="58"/>
      <c r="BB166" s="58"/>
      <c r="BC166" s="58"/>
      <c r="BD166" s="59"/>
    </row>
    <row r="167" spans="1:56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 t="str">
        <f t="shared" si="23"/>
        <v>·</v>
      </c>
      <c r="K167" s="19" t="str">
        <f t="shared" si="24"/>
        <v>·</v>
      </c>
      <c r="L167" s="19" t="str">
        <f t="shared" si="25"/>
        <v>·</v>
      </c>
      <c r="M167" s="20"/>
      <c r="N167" s="19" t="str">
        <f t="shared" si="26"/>
        <v>·</v>
      </c>
      <c r="O167" s="21"/>
      <c r="P167" s="22"/>
      <c r="Q167" s="22"/>
      <c r="R167" s="22"/>
      <c r="S167" s="23"/>
      <c r="T167" s="24"/>
      <c r="U167" s="24"/>
      <c r="V167" s="24"/>
      <c r="W167" s="23"/>
      <c r="X167" s="26"/>
      <c r="Y167" s="26"/>
      <c r="AA167" s="18" t="str">
        <f t="shared" si="27"/>
        <v>·</v>
      </c>
      <c r="AB167" s="19" t="str">
        <f t="shared" si="28"/>
        <v>·</v>
      </c>
      <c r="AC167" s="19" t="str">
        <f t="shared" si="29"/>
        <v>·</v>
      </c>
      <c r="AD167" s="19" t="str">
        <f t="shared" si="30"/>
        <v>·</v>
      </c>
      <c r="AE167" s="20"/>
      <c r="AF167" s="19" t="str">
        <f t="shared" si="31"/>
        <v>·</v>
      </c>
      <c r="AG167" s="21"/>
      <c r="AH167" s="22"/>
      <c r="AI167" s="22"/>
      <c r="AJ167" s="22"/>
      <c r="AK167" s="23"/>
      <c r="AL167" s="24"/>
      <c r="AM167" s="24"/>
      <c r="AN167" s="24"/>
      <c r="AO167" s="23"/>
      <c r="AP167" s="26"/>
      <c r="AQ167" s="26"/>
      <c r="AS167" s="27" t="e">
        <f t="shared" si="32"/>
        <v>#DIV/0!</v>
      </c>
      <c r="AT167" s="27" t="e">
        <f t="array" ref="AT167">AVERAGE(AI167:AI172/AH167:AH172) - AVERAGE(Q167:Q172/P167:P172)</f>
        <v>#DIV/0!</v>
      </c>
      <c r="AV167" s="28" t="str">
        <f>IF( OR(ISBLANK(R167:R172),ISBLANK(AJ167:AJ172), ISBLANK(T167:T172),ISBLANK(AL167:AL172)), "·", bdRateExtend( R167:R172,T167:T172, AJ167:AJ172,AL167:AL172))</f>
        <v>·</v>
      </c>
      <c r="AW167" s="28" t="str">
        <f>IF( OR(ISBLANK(R167:R172),ISBLANK(AJ167:AJ172), ISBLANK(U167:U172),ISBLANK(AM167:AM172)), "·", bdRateExtend( R167:R172,U167:U172, AJ167:AJ172,AM167:AM172))</f>
        <v>·</v>
      </c>
      <c r="AX167" s="28" t="str">
        <f>IF( OR(ISBLANK(R167:R172),ISBLANK(AJ167:AJ172), ISBLANK(V167:V172),ISBLANK(AN167:AN172)), "·", bdRateExtend( R167:R172,V167:V172, AJ167:AJ172,AN167:AN172))</f>
        <v>·</v>
      </c>
      <c r="AY167" s="29"/>
      <c r="BA167" s="28" t="str">
        <f>IF( OR(ISBLANK(P167:P172),ISBLANK(AH167:AH172), ISBLANK(T167:T172),ISBLANK(AL167:AL172)), "·", bdRateExtend( P167:P172,T167:T172, AH167:AH172,AL167:AL172))</f>
        <v>·</v>
      </c>
      <c r="BB167" s="28" t="str">
        <f>IF( OR(ISBLANK(P167:P172),ISBLANK(AH167:AH172), ISBLANK(U167:U172),ISBLANK(AM167:AM172)), "·", bdRateExtend( P167:P172,U167:U172, AH167:AH172,AM167:AM172))</f>
        <v>·</v>
      </c>
      <c r="BC167" s="28" t="str">
        <f>IF( OR(ISBLANK(P167:P172),ISBLANK(AH167:AH172), ISBLANK(V167:V172),ISBLANK(AN167:AN172)), "·", bdRateExtend( P167:P172,V167:V172, AH167:AH172,AN167:AN172))</f>
        <v>·</v>
      </c>
      <c r="BD167" s="29"/>
    </row>
    <row r="168" spans="1:56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 t="str">
        <f t="shared" si="23"/>
        <v>·</v>
      </c>
      <c r="K168" s="34" t="str">
        <f t="shared" si="24"/>
        <v>·</v>
      </c>
      <c r="L168" s="34" t="str">
        <f t="shared" si="25"/>
        <v>·</v>
      </c>
      <c r="M168" s="35"/>
      <c r="N168" s="34" t="str">
        <f t="shared" si="26"/>
        <v>·</v>
      </c>
      <c r="O168" s="36"/>
      <c r="P168" s="37"/>
      <c r="Q168" s="37"/>
      <c r="R168" s="37"/>
      <c r="S168" s="38"/>
      <c r="T168" s="39"/>
      <c r="U168" s="39"/>
      <c r="V168" s="39"/>
      <c r="W168" s="38"/>
      <c r="X168" s="41"/>
      <c r="Y168" s="41"/>
      <c r="AA168" s="33" t="str">
        <f t="shared" si="27"/>
        <v>·</v>
      </c>
      <c r="AB168" s="34" t="str">
        <f t="shared" si="28"/>
        <v>·</v>
      </c>
      <c r="AC168" s="34" t="str">
        <f t="shared" si="29"/>
        <v>·</v>
      </c>
      <c r="AD168" s="34" t="str">
        <f t="shared" si="30"/>
        <v>·</v>
      </c>
      <c r="AE168" s="35"/>
      <c r="AF168" s="34" t="str">
        <f t="shared" si="31"/>
        <v>·</v>
      </c>
      <c r="AG168" s="36"/>
      <c r="AH168" s="37"/>
      <c r="AI168" s="37"/>
      <c r="AJ168" s="37"/>
      <c r="AK168" s="38"/>
      <c r="AL168" s="39"/>
      <c r="AM168" s="39"/>
      <c r="AN168" s="39"/>
      <c r="AO168" s="38"/>
      <c r="AP168" s="41"/>
      <c r="AQ168" s="41"/>
      <c r="AS168" s="42" t="e">
        <f t="shared" si="32"/>
        <v>#DIV/0!</v>
      </c>
      <c r="AT168" s="42"/>
      <c r="AV168" s="43"/>
      <c r="AW168" s="43"/>
      <c r="AX168" s="43"/>
      <c r="AY168" s="44"/>
      <c r="BA168" s="43"/>
      <c r="BB168" s="43"/>
      <c r="BC168" s="43"/>
      <c r="BD168" s="44"/>
    </row>
    <row r="169" spans="1:56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 t="str">
        <f t="shared" si="23"/>
        <v>·</v>
      </c>
      <c r="K169" s="19" t="str">
        <f t="shared" si="24"/>
        <v>·</v>
      </c>
      <c r="L169" s="19" t="str">
        <f t="shared" si="25"/>
        <v>·</v>
      </c>
      <c r="M169" s="20"/>
      <c r="N169" s="19" t="str">
        <f t="shared" si="26"/>
        <v>·</v>
      </c>
      <c r="O169" s="21"/>
      <c r="P169" s="22"/>
      <c r="Q169" s="22"/>
      <c r="R169" s="22"/>
      <c r="S169" s="23"/>
      <c r="T169" s="24"/>
      <c r="U169" s="24"/>
      <c r="V169" s="24"/>
      <c r="W169" s="23"/>
      <c r="X169" s="26"/>
      <c r="Y169" s="26"/>
      <c r="AA169" s="18" t="str">
        <f t="shared" si="27"/>
        <v>·</v>
      </c>
      <c r="AB169" s="19" t="str">
        <f t="shared" si="28"/>
        <v>·</v>
      </c>
      <c r="AC169" s="19" t="str">
        <f t="shared" si="29"/>
        <v>·</v>
      </c>
      <c r="AD169" s="19" t="str">
        <f t="shared" si="30"/>
        <v>·</v>
      </c>
      <c r="AE169" s="20"/>
      <c r="AF169" s="19" t="str">
        <f t="shared" si="31"/>
        <v>·</v>
      </c>
      <c r="AG169" s="21"/>
      <c r="AH169" s="22"/>
      <c r="AI169" s="22"/>
      <c r="AJ169" s="22"/>
      <c r="AK169" s="23"/>
      <c r="AL169" s="24"/>
      <c r="AM169" s="24"/>
      <c r="AN169" s="24"/>
      <c r="AO169" s="23"/>
      <c r="AP169" s="26"/>
      <c r="AQ169" s="26"/>
      <c r="AS169" s="27" t="e">
        <f t="shared" si="32"/>
        <v>#DIV/0!</v>
      </c>
      <c r="AT169" s="27"/>
      <c r="AV169" s="28"/>
      <c r="AW169" s="28"/>
      <c r="AX169" s="28"/>
      <c r="AY169" s="29"/>
      <c r="BA169" s="28"/>
      <c r="BB169" s="28"/>
      <c r="BC169" s="28"/>
      <c r="BD169" s="29"/>
    </row>
    <row r="170" spans="1:56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 t="str">
        <f t="shared" si="23"/>
        <v>·</v>
      </c>
      <c r="K170" s="34" t="str">
        <f t="shared" si="24"/>
        <v>·</v>
      </c>
      <c r="L170" s="34" t="str">
        <f t="shared" si="25"/>
        <v>·</v>
      </c>
      <c r="M170" s="35"/>
      <c r="N170" s="34" t="str">
        <f t="shared" si="26"/>
        <v>·</v>
      </c>
      <c r="O170" s="36"/>
      <c r="P170" s="37"/>
      <c r="Q170" s="37"/>
      <c r="R170" s="37"/>
      <c r="S170" s="38"/>
      <c r="T170" s="39"/>
      <c r="U170" s="39"/>
      <c r="V170" s="39"/>
      <c r="W170" s="38"/>
      <c r="X170" s="41"/>
      <c r="Y170" s="41"/>
      <c r="AA170" s="33" t="str">
        <f t="shared" si="27"/>
        <v>·</v>
      </c>
      <c r="AB170" s="34" t="str">
        <f t="shared" si="28"/>
        <v>·</v>
      </c>
      <c r="AC170" s="34" t="str">
        <f t="shared" si="29"/>
        <v>·</v>
      </c>
      <c r="AD170" s="34" t="str">
        <f t="shared" si="30"/>
        <v>·</v>
      </c>
      <c r="AE170" s="35"/>
      <c r="AF170" s="34" t="str">
        <f t="shared" si="31"/>
        <v>·</v>
      </c>
      <c r="AG170" s="36"/>
      <c r="AH170" s="37"/>
      <c r="AI170" s="37"/>
      <c r="AJ170" s="37"/>
      <c r="AK170" s="38"/>
      <c r="AL170" s="39"/>
      <c r="AM170" s="39"/>
      <c r="AN170" s="39"/>
      <c r="AO170" s="38"/>
      <c r="AP170" s="41"/>
      <c r="AQ170" s="41"/>
      <c r="AS170" s="42" t="e">
        <f t="shared" si="32"/>
        <v>#DIV/0!</v>
      </c>
      <c r="AT170" s="42"/>
      <c r="AV170" s="43"/>
      <c r="AW170" s="43"/>
      <c r="AX170" s="43"/>
      <c r="AY170" s="44"/>
      <c r="BA170" s="43"/>
      <c r="BB170" s="43"/>
      <c r="BC170" s="43"/>
      <c r="BD170" s="44"/>
    </row>
    <row r="171" spans="1:56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3"/>
      <c r="X171" s="26"/>
      <c r="Y171" s="26"/>
      <c r="AA171" s="18" t="str">
        <f t="shared" si="27"/>
        <v>·</v>
      </c>
      <c r="AB171" s="19" t="str">
        <f t="shared" si="28"/>
        <v>·</v>
      </c>
      <c r="AC171" s="19" t="str">
        <f t="shared" si="29"/>
        <v>·</v>
      </c>
      <c r="AD171" s="19" t="str">
        <f t="shared" si="30"/>
        <v>·</v>
      </c>
      <c r="AE171" s="20"/>
      <c r="AF171" s="19" t="str">
        <f t="shared" si="31"/>
        <v>·</v>
      </c>
      <c r="AG171" s="21"/>
      <c r="AH171" s="22"/>
      <c r="AI171" s="22"/>
      <c r="AJ171" s="22"/>
      <c r="AK171" s="23"/>
      <c r="AL171" s="24"/>
      <c r="AM171" s="24"/>
      <c r="AN171" s="24"/>
      <c r="AO171" s="23"/>
      <c r="AP171" s="26"/>
      <c r="AQ171" s="26"/>
      <c r="AS171" s="27" t="e">
        <f t="shared" si="32"/>
        <v>#DIV/0!</v>
      </c>
      <c r="AT171" s="27"/>
      <c r="AV171" s="28"/>
      <c r="AW171" s="28"/>
      <c r="AX171" s="28"/>
      <c r="AY171" s="29"/>
      <c r="BA171" s="28"/>
      <c r="BB171" s="28"/>
      <c r="BC171" s="28"/>
      <c r="BD171" s="29"/>
    </row>
    <row r="172" spans="1:56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3"/>
      <c r="X172" s="56"/>
      <c r="Y172" s="56"/>
      <c r="AA172" s="48" t="str">
        <f t="shared" si="27"/>
        <v>·</v>
      </c>
      <c r="AB172" s="49" t="str">
        <f t="shared" si="28"/>
        <v>·</v>
      </c>
      <c r="AC172" s="49" t="str">
        <f t="shared" si="29"/>
        <v>·</v>
      </c>
      <c r="AD172" s="49" t="str">
        <f t="shared" si="30"/>
        <v>·</v>
      </c>
      <c r="AE172" s="50"/>
      <c r="AF172" s="49" t="str">
        <f t="shared" si="31"/>
        <v>·</v>
      </c>
      <c r="AG172" s="51"/>
      <c r="AH172" s="52"/>
      <c r="AI172" s="52"/>
      <c r="AJ172" s="52"/>
      <c r="AK172" s="53"/>
      <c r="AL172" s="54"/>
      <c r="AM172" s="54"/>
      <c r="AN172" s="54"/>
      <c r="AO172" s="53"/>
      <c r="AP172" s="56"/>
      <c r="AQ172" s="56"/>
      <c r="AS172" s="57" t="e">
        <f t="shared" si="32"/>
        <v>#DIV/0!</v>
      </c>
      <c r="AT172" s="57"/>
      <c r="AV172" s="58"/>
      <c r="AW172" s="58"/>
      <c r="AX172" s="58"/>
      <c r="AY172" s="59"/>
      <c r="BA172" s="58"/>
      <c r="BB172" s="58"/>
      <c r="BC172" s="58"/>
      <c r="BD172" s="59"/>
    </row>
    <row r="173" spans="1:56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 t="str">
        <f t="shared" si="23"/>
        <v>·</v>
      </c>
      <c r="K173" s="19" t="str">
        <f t="shared" si="24"/>
        <v>·</v>
      </c>
      <c r="L173" s="19" t="str">
        <f t="shared" si="25"/>
        <v>·</v>
      </c>
      <c r="M173" s="20"/>
      <c r="N173" s="19" t="str">
        <f t="shared" si="26"/>
        <v>·</v>
      </c>
      <c r="O173" s="21"/>
      <c r="P173" s="22"/>
      <c r="Q173" s="22"/>
      <c r="R173" s="22"/>
      <c r="S173" s="23"/>
      <c r="T173" s="24"/>
      <c r="U173" s="24"/>
      <c r="V173" s="24"/>
      <c r="W173" s="23"/>
      <c r="X173" s="26"/>
      <c r="Y173" s="26"/>
      <c r="AA173" s="18" t="str">
        <f t="shared" si="27"/>
        <v>·</v>
      </c>
      <c r="AB173" s="19" t="str">
        <f t="shared" si="28"/>
        <v>·</v>
      </c>
      <c r="AC173" s="19" t="str">
        <f t="shared" si="29"/>
        <v>·</v>
      </c>
      <c r="AD173" s="19" t="str">
        <f t="shared" si="30"/>
        <v>·</v>
      </c>
      <c r="AE173" s="20"/>
      <c r="AF173" s="19" t="str">
        <f t="shared" si="31"/>
        <v>·</v>
      </c>
      <c r="AG173" s="21"/>
      <c r="AH173" s="22"/>
      <c r="AI173" s="22"/>
      <c r="AJ173" s="22"/>
      <c r="AK173" s="23"/>
      <c r="AL173" s="24"/>
      <c r="AM173" s="24"/>
      <c r="AN173" s="24"/>
      <c r="AO173" s="23"/>
      <c r="AP173" s="26"/>
      <c r="AQ173" s="26"/>
      <c r="AS173" s="27" t="e">
        <f t="shared" si="32"/>
        <v>#DIV/0!</v>
      </c>
      <c r="AT173" s="27" t="e">
        <f t="array" ref="AT173">AVERAGE(AI173:AI178/AH173:AH178) - AVERAGE(Q173:Q178/P173:P178)</f>
        <v>#DIV/0!</v>
      </c>
      <c r="AV173" s="28" t="str">
        <f>IF( OR(ISBLANK(R173:R178),ISBLANK(AJ173:AJ178), ISBLANK(T173:T178),ISBLANK(AL173:AL178)), "·", bdRateExtend( R173:R178,T173:T178, AJ173:AJ178,AL173:AL178))</f>
        <v>·</v>
      </c>
      <c r="AW173" s="28" t="str">
        <f>IF( OR(ISBLANK(R173:R178),ISBLANK(AJ173:AJ178), ISBLANK(U173:U178),ISBLANK(AM173:AM178)), "·", bdRateExtend( R173:R178,U173:U178, AJ173:AJ178,AM173:AM178))</f>
        <v>·</v>
      </c>
      <c r="AX173" s="28" t="str">
        <f>IF( OR(ISBLANK(R173:R178),ISBLANK(AJ173:AJ178), ISBLANK(V173:V178),ISBLANK(AN173:AN178)), "·", bdRateExtend( R173:R178,V173:V178, AJ173:AJ178,AN173:AN178))</f>
        <v>·</v>
      </c>
      <c r="AY173" s="29"/>
      <c r="BA173" s="28" t="str">
        <f>IF( OR(ISBLANK(P173:P178),ISBLANK(AH173:AH178), ISBLANK(T173:T178),ISBLANK(AL173:AL178)), "·", bdRateExtend( P173:P178,T173:T178, AH173:AH178,AL173:AL178))</f>
        <v>·</v>
      </c>
      <c r="BB173" s="28" t="str">
        <f>IF( OR(ISBLANK(P173:P178),ISBLANK(AH173:AH178), ISBLANK(U173:U178),ISBLANK(AM173:AM178)), "·", bdRateExtend( P173:P178,U173:U178, AH173:AH178,AM173:AM178))</f>
        <v>·</v>
      </c>
      <c r="BC173" s="28" t="str">
        <f>IF( OR(ISBLANK(P173:P178),ISBLANK(AH173:AH178), ISBLANK(V173:V178),ISBLANK(AN173:AN178)), "·", bdRateExtend( P173:P178,V173:V178, AH173:AH178,AN173:AN178))</f>
        <v>·</v>
      </c>
      <c r="BD173" s="29"/>
    </row>
    <row r="174" spans="1:56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 t="str">
        <f t="shared" si="23"/>
        <v>·</v>
      </c>
      <c r="K174" s="34" t="str">
        <f t="shared" si="24"/>
        <v>·</v>
      </c>
      <c r="L174" s="34" t="str">
        <f t="shared" si="25"/>
        <v>·</v>
      </c>
      <c r="M174" s="35"/>
      <c r="N174" s="34" t="str">
        <f t="shared" si="26"/>
        <v>·</v>
      </c>
      <c r="O174" s="36"/>
      <c r="P174" s="37"/>
      <c r="Q174" s="37"/>
      <c r="R174" s="37"/>
      <c r="S174" s="38"/>
      <c r="T174" s="39"/>
      <c r="U174" s="39"/>
      <c r="V174" s="39"/>
      <c r="W174" s="38"/>
      <c r="X174" s="41"/>
      <c r="Y174" s="41"/>
      <c r="AA174" s="33" t="str">
        <f t="shared" si="27"/>
        <v>·</v>
      </c>
      <c r="AB174" s="34" t="str">
        <f t="shared" si="28"/>
        <v>·</v>
      </c>
      <c r="AC174" s="34" t="str">
        <f t="shared" si="29"/>
        <v>·</v>
      </c>
      <c r="AD174" s="34" t="str">
        <f t="shared" si="30"/>
        <v>·</v>
      </c>
      <c r="AE174" s="35"/>
      <c r="AF174" s="34" t="str">
        <f t="shared" si="31"/>
        <v>·</v>
      </c>
      <c r="AG174" s="36"/>
      <c r="AH174" s="37"/>
      <c r="AI174" s="37"/>
      <c r="AJ174" s="37"/>
      <c r="AK174" s="38"/>
      <c r="AL174" s="39"/>
      <c r="AM174" s="39"/>
      <c r="AN174" s="39"/>
      <c r="AO174" s="38"/>
      <c r="AP174" s="41"/>
      <c r="AQ174" s="41"/>
      <c r="AS174" s="42" t="e">
        <f t="shared" si="32"/>
        <v>#DIV/0!</v>
      </c>
      <c r="AT174" s="42"/>
      <c r="AV174" s="43"/>
      <c r="AW174" s="43"/>
      <c r="AX174" s="43"/>
      <c r="AY174" s="44"/>
      <c r="BA174" s="43"/>
      <c r="BB174" s="43"/>
      <c r="BC174" s="43"/>
      <c r="BD174" s="44"/>
    </row>
    <row r="175" spans="1:56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 t="str">
        <f t="shared" si="23"/>
        <v>·</v>
      </c>
      <c r="K175" s="19" t="str">
        <f t="shared" si="24"/>
        <v>·</v>
      </c>
      <c r="L175" s="19" t="str">
        <f t="shared" si="25"/>
        <v>·</v>
      </c>
      <c r="M175" s="20"/>
      <c r="N175" s="19" t="str">
        <f t="shared" si="26"/>
        <v>·</v>
      </c>
      <c r="O175" s="21"/>
      <c r="P175" s="22"/>
      <c r="Q175" s="22"/>
      <c r="R175" s="22"/>
      <c r="S175" s="23"/>
      <c r="T175" s="24"/>
      <c r="U175" s="24"/>
      <c r="V175" s="24"/>
      <c r="W175" s="23"/>
      <c r="X175" s="26"/>
      <c r="Y175" s="26"/>
      <c r="AA175" s="18" t="str">
        <f t="shared" si="27"/>
        <v>·</v>
      </c>
      <c r="AB175" s="19" t="str">
        <f t="shared" si="28"/>
        <v>·</v>
      </c>
      <c r="AC175" s="19" t="str">
        <f t="shared" si="29"/>
        <v>·</v>
      </c>
      <c r="AD175" s="19" t="str">
        <f t="shared" si="30"/>
        <v>·</v>
      </c>
      <c r="AE175" s="20"/>
      <c r="AF175" s="19" t="str">
        <f t="shared" si="31"/>
        <v>·</v>
      </c>
      <c r="AG175" s="21"/>
      <c r="AH175" s="22"/>
      <c r="AI175" s="22"/>
      <c r="AJ175" s="22"/>
      <c r="AK175" s="23"/>
      <c r="AL175" s="24"/>
      <c r="AM175" s="24"/>
      <c r="AN175" s="24"/>
      <c r="AO175" s="23"/>
      <c r="AP175" s="26"/>
      <c r="AQ175" s="26"/>
      <c r="AS175" s="27" t="e">
        <f t="shared" si="32"/>
        <v>#DIV/0!</v>
      </c>
      <c r="AT175" s="27"/>
      <c r="AV175" s="28"/>
      <c r="AW175" s="28"/>
      <c r="AX175" s="28"/>
      <c r="AY175" s="29"/>
      <c r="BA175" s="28"/>
      <c r="BB175" s="28"/>
      <c r="BC175" s="28"/>
      <c r="BD175" s="29"/>
    </row>
    <row r="176" spans="1:56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 t="str">
        <f t="shared" si="23"/>
        <v>·</v>
      </c>
      <c r="K176" s="34" t="str">
        <f t="shared" si="24"/>
        <v>·</v>
      </c>
      <c r="L176" s="34" t="str">
        <f t="shared" si="25"/>
        <v>·</v>
      </c>
      <c r="M176" s="35"/>
      <c r="N176" s="34" t="str">
        <f t="shared" si="26"/>
        <v>·</v>
      </c>
      <c r="O176" s="36"/>
      <c r="P176" s="37"/>
      <c r="Q176" s="37"/>
      <c r="R176" s="37"/>
      <c r="S176" s="38"/>
      <c r="T176" s="39"/>
      <c r="U176" s="39"/>
      <c r="V176" s="39"/>
      <c r="W176" s="38"/>
      <c r="X176" s="41"/>
      <c r="Y176" s="41"/>
      <c r="AA176" s="33" t="str">
        <f t="shared" si="27"/>
        <v>·</v>
      </c>
      <c r="AB176" s="34" t="str">
        <f t="shared" si="28"/>
        <v>·</v>
      </c>
      <c r="AC176" s="34" t="str">
        <f t="shared" si="29"/>
        <v>·</v>
      </c>
      <c r="AD176" s="34" t="str">
        <f t="shared" si="30"/>
        <v>·</v>
      </c>
      <c r="AE176" s="35"/>
      <c r="AF176" s="34" t="str">
        <f t="shared" si="31"/>
        <v>·</v>
      </c>
      <c r="AG176" s="36"/>
      <c r="AH176" s="37"/>
      <c r="AI176" s="37"/>
      <c r="AJ176" s="37"/>
      <c r="AK176" s="38"/>
      <c r="AL176" s="39"/>
      <c r="AM176" s="39"/>
      <c r="AN176" s="39"/>
      <c r="AO176" s="38"/>
      <c r="AP176" s="41"/>
      <c r="AQ176" s="41"/>
      <c r="AS176" s="42" t="e">
        <f t="shared" si="32"/>
        <v>#DIV/0!</v>
      </c>
      <c r="AT176" s="42"/>
      <c r="AV176" s="43"/>
      <c r="AW176" s="43"/>
      <c r="AX176" s="43"/>
      <c r="AY176" s="44"/>
      <c r="BA176" s="43"/>
      <c r="BB176" s="43"/>
      <c r="BC176" s="43"/>
      <c r="BD176" s="44"/>
    </row>
    <row r="177" spans="1:56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3"/>
      <c r="X177" s="26"/>
      <c r="Y177" s="26"/>
      <c r="AA177" s="18" t="str">
        <f t="shared" si="27"/>
        <v>·</v>
      </c>
      <c r="AB177" s="19" t="str">
        <f t="shared" si="28"/>
        <v>·</v>
      </c>
      <c r="AC177" s="19" t="str">
        <f t="shared" si="29"/>
        <v>·</v>
      </c>
      <c r="AD177" s="19" t="str">
        <f t="shared" si="30"/>
        <v>·</v>
      </c>
      <c r="AE177" s="20"/>
      <c r="AF177" s="19" t="str">
        <f t="shared" si="31"/>
        <v>·</v>
      </c>
      <c r="AG177" s="21"/>
      <c r="AH177" s="22"/>
      <c r="AI177" s="22"/>
      <c r="AJ177" s="22"/>
      <c r="AK177" s="23"/>
      <c r="AL177" s="24"/>
      <c r="AM177" s="24"/>
      <c r="AN177" s="24"/>
      <c r="AO177" s="23"/>
      <c r="AP177" s="26"/>
      <c r="AQ177" s="26"/>
      <c r="AS177" s="27" t="e">
        <f t="shared" si="32"/>
        <v>#DIV/0!</v>
      </c>
      <c r="AT177" s="27"/>
      <c r="AV177" s="28"/>
      <c r="AW177" s="28"/>
      <c r="AX177" s="28"/>
      <c r="AY177" s="29"/>
      <c r="BA177" s="28"/>
      <c r="BB177" s="28"/>
      <c r="BC177" s="28"/>
      <c r="BD177" s="29"/>
    </row>
    <row r="178" spans="1:56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3"/>
      <c r="X178" s="56"/>
      <c r="Y178" s="56"/>
      <c r="AA178" s="48" t="str">
        <f t="shared" si="27"/>
        <v>·</v>
      </c>
      <c r="AB178" s="49" t="str">
        <f t="shared" si="28"/>
        <v>·</v>
      </c>
      <c r="AC178" s="49" t="str">
        <f t="shared" si="29"/>
        <v>·</v>
      </c>
      <c r="AD178" s="49" t="str">
        <f t="shared" si="30"/>
        <v>·</v>
      </c>
      <c r="AE178" s="50"/>
      <c r="AF178" s="49" t="str">
        <f t="shared" si="31"/>
        <v>·</v>
      </c>
      <c r="AG178" s="51"/>
      <c r="AH178" s="52"/>
      <c r="AI178" s="52"/>
      <c r="AJ178" s="52"/>
      <c r="AK178" s="53"/>
      <c r="AL178" s="54"/>
      <c r="AM178" s="54"/>
      <c r="AN178" s="54"/>
      <c r="AO178" s="53"/>
      <c r="AP178" s="56"/>
      <c r="AQ178" s="56"/>
      <c r="AS178" s="57" t="e">
        <f t="shared" si="32"/>
        <v>#DIV/0!</v>
      </c>
      <c r="AT178" s="57"/>
      <c r="AV178" s="58"/>
      <c r="AW178" s="58"/>
      <c r="AX178" s="58"/>
      <c r="AY178" s="59"/>
      <c r="BA178" s="58"/>
      <c r="BB178" s="58"/>
      <c r="BC178" s="58"/>
      <c r="BD178" s="59"/>
    </row>
    <row r="179" spans="1:56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 t="str">
        <f t="shared" si="23"/>
        <v>·</v>
      </c>
      <c r="K179" s="19" t="str">
        <f t="shared" si="24"/>
        <v>·</v>
      </c>
      <c r="L179" s="19" t="str">
        <f t="shared" si="25"/>
        <v>·</v>
      </c>
      <c r="M179" s="20"/>
      <c r="N179" s="19" t="str">
        <f t="shared" si="26"/>
        <v>·</v>
      </c>
      <c r="O179" s="21"/>
      <c r="P179" s="22"/>
      <c r="Q179" s="22"/>
      <c r="R179" s="22"/>
      <c r="S179" s="23"/>
      <c r="T179" s="24"/>
      <c r="U179" s="24"/>
      <c r="V179" s="24"/>
      <c r="W179" s="23"/>
      <c r="X179" s="26"/>
      <c r="Y179" s="26"/>
      <c r="AA179" s="18" t="str">
        <f t="shared" si="27"/>
        <v>·</v>
      </c>
      <c r="AB179" s="19" t="str">
        <f t="shared" si="28"/>
        <v>·</v>
      </c>
      <c r="AC179" s="19" t="str">
        <f t="shared" si="29"/>
        <v>·</v>
      </c>
      <c r="AD179" s="19" t="str">
        <f t="shared" si="30"/>
        <v>·</v>
      </c>
      <c r="AE179" s="20"/>
      <c r="AF179" s="19" t="str">
        <f t="shared" si="31"/>
        <v>·</v>
      </c>
      <c r="AG179" s="21"/>
      <c r="AH179" s="22"/>
      <c r="AI179" s="22"/>
      <c r="AJ179" s="22"/>
      <c r="AK179" s="23"/>
      <c r="AL179" s="24"/>
      <c r="AM179" s="24"/>
      <c r="AN179" s="24"/>
      <c r="AO179" s="23"/>
      <c r="AP179" s="26"/>
      <c r="AQ179" s="26"/>
      <c r="AS179" s="27" t="e">
        <f t="shared" si="32"/>
        <v>#DIV/0!</v>
      </c>
      <c r="AT179" s="27" t="e">
        <f t="array" ref="AT179">AVERAGE(AI179:AI184/AH179:AH184) - AVERAGE(Q179:Q184/P179:P184)</f>
        <v>#DIV/0!</v>
      </c>
      <c r="AV179" s="28" t="str">
        <f>IF( OR(ISBLANK(R179:R184),ISBLANK(AJ179:AJ184), ISBLANK(T179:T184),ISBLANK(AL179:AL184)), "·", bdRateExtend( R179:R184,T179:T184, AJ179:AJ184,AL179:AL184))</f>
        <v>·</v>
      </c>
      <c r="AW179" s="28" t="str">
        <f>IF( OR(ISBLANK(R179:R184),ISBLANK(AJ179:AJ184), ISBLANK(U179:U184),ISBLANK(AM179:AM184)), "·", bdRateExtend( R179:R184,U179:U184, AJ179:AJ184,AM179:AM184))</f>
        <v>·</v>
      </c>
      <c r="AX179" s="28" t="str">
        <f>IF( OR(ISBLANK(R179:R184),ISBLANK(AJ179:AJ184), ISBLANK(V179:V184),ISBLANK(AN179:AN184)), "·", bdRateExtend( R179:R184,V179:V184, AJ179:AJ184,AN179:AN184))</f>
        <v>·</v>
      </c>
      <c r="AY179" s="29"/>
      <c r="BA179" s="28" t="str">
        <f>IF( OR(ISBLANK(P179:P184),ISBLANK(AH179:AH184), ISBLANK(T179:T184),ISBLANK(AL179:AL184)), "·", bdRateExtend( P179:P184,T179:T184, AH179:AH184,AL179:AL184))</f>
        <v>·</v>
      </c>
      <c r="BB179" s="28" t="str">
        <f>IF( OR(ISBLANK(P179:P184),ISBLANK(AH179:AH184), ISBLANK(U179:U184),ISBLANK(AM179:AM184)), "·", bdRateExtend( P179:P184,U179:U184, AH179:AH184,AM179:AM184))</f>
        <v>·</v>
      </c>
      <c r="BC179" s="28" t="str">
        <f>IF( OR(ISBLANK(P179:P184),ISBLANK(AH179:AH184), ISBLANK(V179:V184),ISBLANK(AN179:AN184)), "·", bdRateExtend( P179:P184,V179:V184, AH179:AH184,AN179:AN184))</f>
        <v>·</v>
      </c>
      <c r="BD179" s="29"/>
    </row>
    <row r="180" spans="1:56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 t="str">
        <f t="shared" si="23"/>
        <v>·</v>
      </c>
      <c r="K180" s="34" t="str">
        <f t="shared" si="24"/>
        <v>·</v>
      </c>
      <c r="L180" s="34" t="str">
        <f t="shared" si="25"/>
        <v>·</v>
      </c>
      <c r="M180" s="35"/>
      <c r="N180" s="34" t="str">
        <f t="shared" si="26"/>
        <v>·</v>
      </c>
      <c r="O180" s="36"/>
      <c r="P180" s="37"/>
      <c r="Q180" s="37"/>
      <c r="R180" s="37"/>
      <c r="S180" s="38"/>
      <c r="T180" s="39"/>
      <c r="U180" s="39"/>
      <c r="V180" s="39"/>
      <c r="W180" s="38"/>
      <c r="X180" s="41"/>
      <c r="Y180" s="41"/>
      <c r="AA180" s="33" t="str">
        <f t="shared" si="27"/>
        <v>·</v>
      </c>
      <c r="AB180" s="34" t="str">
        <f t="shared" si="28"/>
        <v>·</v>
      </c>
      <c r="AC180" s="34" t="str">
        <f t="shared" si="29"/>
        <v>·</v>
      </c>
      <c r="AD180" s="34" t="str">
        <f t="shared" si="30"/>
        <v>·</v>
      </c>
      <c r="AE180" s="35"/>
      <c r="AF180" s="34" t="str">
        <f t="shared" si="31"/>
        <v>·</v>
      </c>
      <c r="AG180" s="36"/>
      <c r="AH180" s="37"/>
      <c r="AI180" s="37"/>
      <c r="AJ180" s="37"/>
      <c r="AK180" s="38"/>
      <c r="AL180" s="39"/>
      <c r="AM180" s="39"/>
      <c r="AN180" s="39"/>
      <c r="AO180" s="38"/>
      <c r="AP180" s="41"/>
      <c r="AQ180" s="41"/>
      <c r="AS180" s="42" t="e">
        <f t="shared" si="32"/>
        <v>#DIV/0!</v>
      </c>
      <c r="AT180" s="42"/>
      <c r="AV180" s="43"/>
      <c r="AW180" s="43"/>
      <c r="AX180" s="43"/>
      <c r="AY180" s="44"/>
      <c r="BA180" s="43"/>
      <c r="BB180" s="43"/>
      <c r="BC180" s="43"/>
      <c r="BD180" s="44"/>
    </row>
    <row r="181" spans="1:56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3"/>
      <c r="X181" s="26"/>
      <c r="Y181" s="26"/>
      <c r="AA181" s="18" t="str">
        <f t="shared" si="27"/>
        <v>·</v>
      </c>
      <c r="AB181" s="19" t="str">
        <f t="shared" si="28"/>
        <v>·</v>
      </c>
      <c r="AC181" s="19" t="str">
        <f t="shared" si="29"/>
        <v>·</v>
      </c>
      <c r="AD181" s="19" t="str">
        <f t="shared" si="30"/>
        <v>·</v>
      </c>
      <c r="AE181" s="20"/>
      <c r="AF181" s="19" t="str">
        <f t="shared" si="31"/>
        <v>·</v>
      </c>
      <c r="AG181" s="21"/>
      <c r="AH181" s="22"/>
      <c r="AI181" s="22"/>
      <c r="AJ181" s="22"/>
      <c r="AK181" s="23"/>
      <c r="AL181" s="24"/>
      <c r="AM181" s="24"/>
      <c r="AN181" s="24"/>
      <c r="AO181" s="23"/>
      <c r="AP181" s="26"/>
      <c r="AQ181" s="26"/>
      <c r="AS181" s="27" t="e">
        <f t="shared" si="32"/>
        <v>#DIV/0!</v>
      </c>
      <c r="AT181" s="27"/>
      <c r="AV181" s="28"/>
      <c r="AW181" s="28"/>
      <c r="AX181" s="28"/>
      <c r="AY181" s="29"/>
      <c r="BA181" s="28"/>
      <c r="BB181" s="28"/>
      <c r="BC181" s="28"/>
      <c r="BD181" s="29"/>
    </row>
    <row r="182" spans="1:56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8"/>
      <c r="X182" s="41"/>
      <c r="Y182" s="41"/>
      <c r="AA182" s="33" t="str">
        <f t="shared" si="27"/>
        <v>·</v>
      </c>
      <c r="AB182" s="34" t="str">
        <f t="shared" si="28"/>
        <v>·</v>
      </c>
      <c r="AC182" s="34" t="str">
        <f t="shared" si="29"/>
        <v>·</v>
      </c>
      <c r="AD182" s="34" t="str">
        <f t="shared" si="30"/>
        <v>·</v>
      </c>
      <c r="AE182" s="35"/>
      <c r="AF182" s="34" t="str">
        <f t="shared" si="31"/>
        <v>·</v>
      </c>
      <c r="AG182" s="36"/>
      <c r="AH182" s="37"/>
      <c r="AI182" s="37"/>
      <c r="AJ182" s="37"/>
      <c r="AK182" s="38"/>
      <c r="AL182" s="39"/>
      <c r="AM182" s="39"/>
      <c r="AN182" s="39"/>
      <c r="AO182" s="38"/>
      <c r="AP182" s="41"/>
      <c r="AQ182" s="41"/>
      <c r="AS182" s="42" t="e">
        <f t="shared" si="32"/>
        <v>#DIV/0!</v>
      </c>
      <c r="AT182" s="42"/>
      <c r="AV182" s="43"/>
      <c r="AW182" s="43"/>
      <c r="AX182" s="43"/>
      <c r="AY182" s="44"/>
      <c r="BA182" s="43"/>
      <c r="BB182" s="43"/>
      <c r="BC182" s="43"/>
      <c r="BD182" s="44"/>
    </row>
    <row r="183" spans="1:56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3"/>
      <c r="X183" s="26"/>
      <c r="Y183" s="26"/>
      <c r="AA183" s="18" t="str">
        <f t="shared" si="27"/>
        <v>·</v>
      </c>
      <c r="AB183" s="19" t="str">
        <f t="shared" si="28"/>
        <v>·</v>
      </c>
      <c r="AC183" s="19" t="str">
        <f t="shared" si="29"/>
        <v>·</v>
      </c>
      <c r="AD183" s="19" t="str">
        <f t="shared" si="30"/>
        <v>·</v>
      </c>
      <c r="AE183" s="20"/>
      <c r="AF183" s="19" t="str">
        <f t="shared" si="31"/>
        <v>·</v>
      </c>
      <c r="AG183" s="21"/>
      <c r="AH183" s="22"/>
      <c r="AI183" s="22"/>
      <c r="AJ183" s="22"/>
      <c r="AK183" s="23"/>
      <c r="AL183" s="24"/>
      <c r="AM183" s="24"/>
      <c r="AN183" s="24"/>
      <c r="AO183" s="23"/>
      <c r="AP183" s="26"/>
      <c r="AQ183" s="26"/>
      <c r="AS183" s="27" t="e">
        <f t="shared" si="32"/>
        <v>#DIV/0!</v>
      </c>
      <c r="AT183" s="27"/>
      <c r="AV183" s="28"/>
      <c r="AW183" s="28"/>
      <c r="AX183" s="28"/>
      <c r="AY183" s="29"/>
      <c r="BA183" s="28"/>
      <c r="BB183" s="28"/>
      <c r="BC183" s="28"/>
      <c r="BD183" s="29"/>
    </row>
    <row r="184" spans="1:56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3"/>
      <c r="X184" s="56"/>
      <c r="Y184" s="56"/>
      <c r="AA184" s="48" t="str">
        <f t="shared" si="27"/>
        <v>·</v>
      </c>
      <c r="AB184" s="49" t="str">
        <f t="shared" si="28"/>
        <v>·</v>
      </c>
      <c r="AC184" s="49" t="str">
        <f t="shared" si="29"/>
        <v>·</v>
      </c>
      <c r="AD184" s="49" t="str">
        <f t="shared" si="30"/>
        <v>·</v>
      </c>
      <c r="AE184" s="50"/>
      <c r="AF184" s="49" t="str">
        <f t="shared" si="31"/>
        <v>·</v>
      </c>
      <c r="AG184" s="51"/>
      <c r="AH184" s="52"/>
      <c r="AI184" s="52"/>
      <c r="AJ184" s="52"/>
      <c r="AK184" s="53"/>
      <c r="AL184" s="54"/>
      <c r="AM184" s="54"/>
      <c r="AN184" s="54"/>
      <c r="AO184" s="53"/>
      <c r="AP184" s="56"/>
      <c r="AQ184" s="56"/>
      <c r="AS184" s="57" t="e">
        <f t="shared" si="32"/>
        <v>#DIV/0!</v>
      </c>
      <c r="AT184" s="57"/>
      <c r="AV184" s="58"/>
      <c r="AW184" s="58"/>
      <c r="AX184" s="58"/>
      <c r="AY184" s="59"/>
      <c r="BA184" s="58"/>
      <c r="BB184" s="58"/>
      <c r="BC184" s="58"/>
      <c r="BD184" s="59"/>
    </row>
    <row r="185" spans="1:56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 t="str">
        <f t="shared" si="23"/>
        <v>·</v>
      </c>
      <c r="K185" s="19" t="str">
        <f t="shared" si="24"/>
        <v>·</v>
      </c>
      <c r="L185" s="19" t="str">
        <f t="shared" si="25"/>
        <v>·</v>
      </c>
      <c r="M185" s="20"/>
      <c r="N185" s="19" t="str">
        <f t="shared" si="26"/>
        <v>·</v>
      </c>
      <c r="O185" s="21"/>
      <c r="P185" s="22"/>
      <c r="Q185" s="22"/>
      <c r="R185" s="22"/>
      <c r="S185" s="23"/>
      <c r="T185" s="24"/>
      <c r="U185" s="24"/>
      <c r="V185" s="24"/>
      <c r="W185" s="23"/>
      <c r="X185" s="26"/>
      <c r="Y185" s="26"/>
      <c r="AA185" s="18" t="str">
        <f t="shared" si="27"/>
        <v>·</v>
      </c>
      <c r="AB185" s="19" t="str">
        <f t="shared" si="28"/>
        <v>·</v>
      </c>
      <c r="AC185" s="19" t="str">
        <f t="shared" si="29"/>
        <v>·</v>
      </c>
      <c r="AD185" s="19" t="str">
        <f t="shared" si="30"/>
        <v>·</v>
      </c>
      <c r="AE185" s="20"/>
      <c r="AF185" s="19" t="str">
        <f t="shared" si="31"/>
        <v>·</v>
      </c>
      <c r="AG185" s="21"/>
      <c r="AH185" s="22"/>
      <c r="AI185" s="22"/>
      <c r="AJ185" s="22"/>
      <c r="AK185" s="23"/>
      <c r="AL185" s="24"/>
      <c r="AM185" s="24"/>
      <c r="AN185" s="24"/>
      <c r="AO185" s="23"/>
      <c r="AP185" s="26"/>
      <c r="AQ185" s="26"/>
      <c r="AS185" s="27" t="e">
        <f t="shared" si="32"/>
        <v>#DIV/0!</v>
      </c>
      <c r="AT185" s="27" t="e">
        <f t="array" ref="AT185">AVERAGE(AI185:AI190/AH185:AH190) - AVERAGE(Q185:Q190/P185:P190)</f>
        <v>#DIV/0!</v>
      </c>
      <c r="AV185" s="28" t="str">
        <f>IF( OR(ISBLANK(R185:R190),ISBLANK(AJ185:AJ190), ISBLANK(T185:T190),ISBLANK(AL185:AL190)), "·", bdRateExtend( R185:R190,T185:T190, AJ185:AJ190,AL185:AL190))</f>
        <v>·</v>
      </c>
      <c r="AW185" s="28" t="str">
        <f>IF( OR(ISBLANK(R185:R190),ISBLANK(AJ185:AJ190), ISBLANK(U185:U190),ISBLANK(AM185:AM190)), "·", bdRateExtend( R185:R190,U185:U190, AJ185:AJ190,AM185:AM190))</f>
        <v>·</v>
      </c>
      <c r="AX185" s="28" t="str">
        <f>IF( OR(ISBLANK(R185:R190),ISBLANK(AJ185:AJ190), ISBLANK(V185:V190),ISBLANK(AN185:AN190)), "·", bdRateExtend( R185:R190,V185:V190, AJ185:AJ190,AN185:AN190))</f>
        <v>·</v>
      </c>
      <c r="AY185" s="29"/>
      <c r="BA185" s="28" t="str">
        <f>IF( OR(ISBLANK(P185:P190),ISBLANK(AH185:AH190), ISBLANK(T185:T190),ISBLANK(AL185:AL190)), "·", bdRateExtend( P185:P190,T185:T190, AH185:AH190,AL185:AL190))</f>
        <v>·</v>
      </c>
      <c r="BB185" s="28" t="str">
        <f>IF( OR(ISBLANK(P185:P190),ISBLANK(AH185:AH190), ISBLANK(U185:U190),ISBLANK(AM185:AM190)), "·", bdRateExtend( P185:P190,U185:U190, AH185:AH190,AM185:AM190))</f>
        <v>·</v>
      </c>
      <c r="BC185" s="28" t="str">
        <f>IF( OR(ISBLANK(P185:P190),ISBLANK(AH185:AH190), ISBLANK(V185:V190),ISBLANK(AN185:AN190)), "·", bdRateExtend( P185:P190,V185:V190, AH185:AH190,AN185:AN190))</f>
        <v>·</v>
      </c>
      <c r="BD185" s="29"/>
    </row>
    <row r="186" spans="1:56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 t="str">
        <f t="shared" si="23"/>
        <v>·</v>
      </c>
      <c r="K186" s="34" t="str">
        <f t="shared" si="24"/>
        <v>·</v>
      </c>
      <c r="L186" s="34" t="str">
        <f t="shared" si="25"/>
        <v>·</v>
      </c>
      <c r="M186" s="35"/>
      <c r="N186" s="34" t="str">
        <f t="shared" si="26"/>
        <v>·</v>
      </c>
      <c r="O186" s="36"/>
      <c r="P186" s="37"/>
      <c r="Q186" s="37"/>
      <c r="R186" s="37"/>
      <c r="S186" s="38"/>
      <c r="T186" s="39"/>
      <c r="U186" s="39"/>
      <c r="V186" s="39"/>
      <c r="W186" s="38"/>
      <c r="X186" s="41"/>
      <c r="Y186" s="41"/>
      <c r="AA186" s="33" t="str">
        <f t="shared" si="27"/>
        <v>·</v>
      </c>
      <c r="AB186" s="34" t="str">
        <f t="shared" si="28"/>
        <v>·</v>
      </c>
      <c r="AC186" s="34" t="str">
        <f t="shared" si="29"/>
        <v>·</v>
      </c>
      <c r="AD186" s="34" t="str">
        <f t="shared" si="30"/>
        <v>·</v>
      </c>
      <c r="AE186" s="35"/>
      <c r="AF186" s="34" t="str">
        <f t="shared" si="31"/>
        <v>·</v>
      </c>
      <c r="AG186" s="36"/>
      <c r="AH186" s="37"/>
      <c r="AI186" s="37"/>
      <c r="AJ186" s="37"/>
      <c r="AK186" s="38"/>
      <c r="AL186" s="39"/>
      <c r="AM186" s="39"/>
      <c r="AN186" s="39"/>
      <c r="AO186" s="38"/>
      <c r="AP186" s="41"/>
      <c r="AQ186" s="41"/>
      <c r="AS186" s="42" t="e">
        <f t="shared" si="32"/>
        <v>#DIV/0!</v>
      </c>
      <c r="AT186" s="42"/>
      <c r="AV186" s="43"/>
      <c r="AW186" s="43"/>
      <c r="AX186" s="43"/>
      <c r="AY186" s="44"/>
      <c r="BA186" s="43"/>
      <c r="BB186" s="43"/>
      <c r="BC186" s="43"/>
      <c r="BD186" s="44"/>
    </row>
    <row r="187" spans="1:56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 t="str">
        <f t="shared" si="23"/>
        <v>·</v>
      </c>
      <c r="K187" s="19" t="str">
        <f t="shared" si="24"/>
        <v>·</v>
      </c>
      <c r="L187" s="19" t="str">
        <f t="shared" si="25"/>
        <v>·</v>
      </c>
      <c r="M187" s="20"/>
      <c r="N187" s="19" t="str">
        <f t="shared" si="26"/>
        <v>·</v>
      </c>
      <c r="O187" s="21"/>
      <c r="P187" s="22"/>
      <c r="Q187" s="22"/>
      <c r="R187" s="22"/>
      <c r="S187" s="23"/>
      <c r="T187" s="24"/>
      <c r="U187" s="24"/>
      <c r="V187" s="24"/>
      <c r="W187" s="23"/>
      <c r="X187" s="26"/>
      <c r="Y187" s="26"/>
      <c r="AA187" s="18" t="str">
        <f t="shared" si="27"/>
        <v>·</v>
      </c>
      <c r="AB187" s="19" t="str">
        <f t="shared" si="28"/>
        <v>·</v>
      </c>
      <c r="AC187" s="19" t="str">
        <f t="shared" si="29"/>
        <v>·</v>
      </c>
      <c r="AD187" s="19" t="str">
        <f t="shared" si="30"/>
        <v>·</v>
      </c>
      <c r="AE187" s="20"/>
      <c r="AF187" s="19" t="str">
        <f t="shared" si="31"/>
        <v>·</v>
      </c>
      <c r="AG187" s="21"/>
      <c r="AH187" s="22"/>
      <c r="AI187" s="22"/>
      <c r="AJ187" s="22"/>
      <c r="AK187" s="23"/>
      <c r="AL187" s="24"/>
      <c r="AM187" s="24"/>
      <c r="AN187" s="24"/>
      <c r="AO187" s="23"/>
      <c r="AP187" s="26"/>
      <c r="AQ187" s="26"/>
      <c r="AS187" s="27" t="e">
        <f t="shared" si="32"/>
        <v>#DIV/0!</v>
      </c>
      <c r="AT187" s="27"/>
      <c r="AV187" s="28"/>
      <c r="AW187" s="28"/>
      <c r="AX187" s="28"/>
      <c r="AY187" s="29"/>
      <c r="BA187" s="28"/>
      <c r="BB187" s="28"/>
      <c r="BC187" s="28"/>
      <c r="BD187" s="29"/>
    </row>
    <row r="188" spans="1:56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 t="str">
        <f t="shared" si="23"/>
        <v>·</v>
      </c>
      <c r="K188" s="34" t="str">
        <f t="shared" si="24"/>
        <v>·</v>
      </c>
      <c r="L188" s="34" t="str">
        <f t="shared" si="25"/>
        <v>·</v>
      </c>
      <c r="M188" s="35"/>
      <c r="N188" s="34" t="str">
        <f t="shared" si="26"/>
        <v>·</v>
      </c>
      <c r="O188" s="36"/>
      <c r="P188" s="37"/>
      <c r="Q188" s="37"/>
      <c r="R188" s="37"/>
      <c r="S188" s="38"/>
      <c r="T188" s="39"/>
      <c r="U188" s="39"/>
      <c r="V188" s="39"/>
      <c r="W188" s="38"/>
      <c r="X188" s="41"/>
      <c r="Y188" s="41"/>
      <c r="AA188" s="33" t="str">
        <f t="shared" si="27"/>
        <v>·</v>
      </c>
      <c r="AB188" s="34" t="str">
        <f t="shared" si="28"/>
        <v>·</v>
      </c>
      <c r="AC188" s="34" t="str">
        <f t="shared" si="29"/>
        <v>·</v>
      </c>
      <c r="AD188" s="34" t="str">
        <f t="shared" si="30"/>
        <v>·</v>
      </c>
      <c r="AE188" s="35"/>
      <c r="AF188" s="34" t="str">
        <f t="shared" si="31"/>
        <v>·</v>
      </c>
      <c r="AG188" s="36"/>
      <c r="AH188" s="37"/>
      <c r="AI188" s="37"/>
      <c r="AJ188" s="37"/>
      <c r="AK188" s="38"/>
      <c r="AL188" s="39"/>
      <c r="AM188" s="39"/>
      <c r="AN188" s="39"/>
      <c r="AO188" s="38"/>
      <c r="AP188" s="41"/>
      <c r="AQ188" s="41"/>
      <c r="AS188" s="42" t="e">
        <f t="shared" si="32"/>
        <v>#DIV/0!</v>
      </c>
      <c r="AT188" s="42"/>
      <c r="AV188" s="43"/>
      <c r="AW188" s="43"/>
      <c r="AX188" s="43"/>
      <c r="AY188" s="44"/>
      <c r="BA188" s="43"/>
      <c r="BB188" s="43"/>
      <c r="BC188" s="43"/>
      <c r="BD188" s="44"/>
    </row>
    <row r="189" spans="1:56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3"/>
      <c r="X189" s="26"/>
      <c r="Y189" s="26"/>
      <c r="AA189" s="18" t="str">
        <f t="shared" si="27"/>
        <v>·</v>
      </c>
      <c r="AB189" s="19" t="str">
        <f t="shared" si="28"/>
        <v>·</v>
      </c>
      <c r="AC189" s="19" t="str">
        <f t="shared" si="29"/>
        <v>·</v>
      </c>
      <c r="AD189" s="19" t="str">
        <f t="shared" si="30"/>
        <v>·</v>
      </c>
      <c r="AE189" s="20"/>
      <c r="AF189" s="19" t="str">
        <f t="shared" si="31"/>
        <v>·</v>
      </c>
      <c r="AG189" s="21"/>
      <c r="AH189" s="22"/>
      <c r="AI189" s="22"/>
      <c r="AJ189" s="22"/>
      <c r="AK189" s="23"/>
      <c r="AL189" s="24"/>
      <c r="AM189" s="24"/>
      <c r="AN189" s="24"/>
      <c r="AO189" s="23"/>
      <c r="AP189" s="26"/>
      <c r="AQ189" s="26"/>
      <c r="AS189" s="27" t="e">
        <f t="shared" si="32"/>
        <v>#DIV/0!</v>
      </c>
      <c r="AT189" s="27"/>
      <c r="AV189" s="28"/>
      <c r="AW189" s="28"/>
      <c r="AX189" s="28"/>
      <c r="AY189" s="29"/>
      <c r="BA189" s="28"/>
      <c r="BB189" s="28"/>
      <c r="BC189" s="28"/>
      <c r="BD189" s="29"/>
    </row>
    <row r="190" spans="1:56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3"/>
      <c r="X190" s="56"/>
      <c r="Y190" s="56"/>
      <c r="AA190" s="48" t="str">
        <f t="shared" si="27"/>
        <v>·</v>
      </c>
      <c r="AB190" s="49" t="str">
        <f t="shared" si="28"/>
        <v>·</v>
      </c>
      <c r="AC190" s="49" t="str">
        <f t="shared" si="29"/>
        <v>·</v>
      </c>
      <c r="AD190" s="49" t="str">
        <f t="shared" si="30"/>
        <v>·</v>
      </c>
      <c r="AE190" s="50"/>
      <c r="AF190" s="49" t="str">
        <f t="shared" si="31"/>
        <v>·</v>
      </c>
      <c r="AG190" s="51"/>
      <c r="AH190" s="52"/>
      <c r="AI190" s="52"/>
      <c r="AJ190" s="52"/>
      <c r="AK190" s="53"/>
      <c r="AL190" s="54"/>
      <c r="AM190" s="54"/>
      <c r="AN190" s="54"/>
      <c r="AO190" s="53"/>
      <c r="AP190" s="56"/>
      <c r="AQ190" s="56"/>
      <c r="AS190" s="57" t="e">
        <f t="shared" si="32"/>
        <v>#DIV/0!</v>
      </c>
      <c r="AT190" s="57"/>
      <c r="AV190" s="58"/>
      <c r="AW190" s="58"/>
      <c r="AX190" s="58"/>
      <c r="AY190" s="59"/>
      <c r="BA190" s="58"/>
      <c r="BB190" s="58"/>
      <c r="BC190" s="58"/>
      <c r="BD190" s="59"/>
    </row>
    <row r="191" spans="1:56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 t="str">
        <f t="shared" si="23"/>
        <v>·</v>
      </c>
      <c r="K191" s="19" t="str">
        <f t="shared" si="24"/>
        <v>·</v>
      </c>
      <c r="L191" s="19" t="str">
        <f t="shared" si="25"/>
        <v>·</v>
      </c>
      <c r="M191" s="20"/>
      <c r="N191" s="19" t="str">
        <f t="shared" si="26"/>
        <v>·</v>
      </c>
      <c r="O191" s="21"/>
      <c r="P191" s="22"/>
      <c r="Q191" s="22"/>
      <c r="R191" s="22"/>
      <c r="S191" s="23"/>
      <c r="T191" s="24"/>
      <c r="U191" s="24"/>
      <c r="V191" s="24"/>
      <c r="W191" s="23"/>
      <c r="X191" s="26"/>
      <c r="Y191" s="26"/>
      <c r="AA191" s="18" t="str">
        <f t="shared" si="27"/>
        <v>·</v>
      </c>
      <c r="AB191" s="19" t="str">
        <f t="shared" si="28"/>
        <v>·</v>
      </c>
      <c r="AC191" s="19" t="str">
        <f t="shared" si="29"/>
        <v>·</v>
      </c>
      <c r="AD191" s="19" t="str">
        <f t="shared" si="30"/>
        <v>·</v>
      </c>
      <c r="AE191" s="20"/>
      <c r="AF191" s="19" t="str">
        <f t="shared" si="31"/>
        <v>·</v>
      </c>
      <c r="AG191" s="21"/>
      <c r="AH191" s="22"/>
      <c r="AI191" s="22"/>
      <c r="AJ191" s="22"/>
      <c r="AK191" s="23"/>
      <c r="AL191" s="24"/>
      <c r="AM191" s="24"/>
      <c r="AN191" s="24"/>
      <c r="AO191" s="23"/>
      <c r="AP191" s="26"/>
      <c r="AQ191" s="26"/>
      <c r="AS191" s="27" t="e">
        <f t="shared" si="32"/>
        <v>#DIV/0!</v>
      </c>
      <c r="AT191" s="27" t="e">
        <f t="array" ref="AT191">AVERAGE(AI191:AI196/AH191:AH196) - AVERAGE(Q191:Q196/P191:P196)</f>
        <v>#DIV/0!</v>
      </c>
      <c r="AV191" s="28" t="str">
        <f>IF( OR(ISBLANK(R191:R196),ISBLANK(AJ191:AJ196), ISBLANK(T191:T196),ISBLANK(AL191:AL196)), "·", bdRateExtend( R191:R196,T191:T196, AJ191:AJ196,AL191:AL196))</f>
        <v>·</v>
      </c>
      <c r="AW191" s="28" t="str">
        <f>IF( OR(ISBLANK(R191:R196),ISBLANK(AJ191:AJ196), ISBLANK(U191:U196),ISBLANK(AM191:AM196)), "·", bdRateExtend( R191:R196,U191:U196, AJ191:AJ196,AM191:AM196))</f>
        <v>·</v>
      </c>
      <c r="AX191" s="28" t="str">
        <f>IF( OR(ISBLANK(R191:R196),ISBLANK(AJ191:AJ196), ISBLANK(V191:V196),ISBLANK(AN191:AN196)), "·", bdRateExtend( R191:R196,V191:V196, AJ191:AJ196,AN191:AN196))</f>
        <v>·</v>
      </c>
      <c r="AY191" s="29"/>
      <c r="BA191" s="28" t="str">
        <f>IF( OR(ISBLANK(P191:P196),ISBLANK(AH191:AH196), ISBLANK(T191:T196),ISBLANK(AL191:AL196)), "·", bdRateExtend( P191:P196,T191:T196, AH191:AH196,AL191:AL196))</f>
        <v>·</v>
      </c>
      <c r="BB191" s="28" t="str">
        <f>IF( OR(ISBLANK(P191:P196),ISBLANK(AH191:AH196), ISBLANK(U191:U196),ISBLANK(AM191:AM196)), "·", bdRateExtend( P191:P196,U191:U196, AH191:AH196,AM191:AM196))</f>
        <v>·</v>
      </c>
      <c r="BC191" s="28" t="str">
        <f>IF( OR(ISBLANK(P191:P196),ISBLANK(AH191:AH196), ISBLANK(V191:V196),ISBLANK(AN191:AN196)), "·", bdRateExtend( P191:P196,V191:V196, AH191:AH196,AN191:AN196))</f>
        <v>·</v>
      </c>
      <c r="BD191" s="29"/>
    </row>
    <row r="192" spans="1:56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 t="str">
        <f t="shared" si="23"/>
        <v>·</v>
      </c>
      <c r="K192" s="34" t="str">
        <f t="shared" si="24"/>
        <v>·</v>
      </c>
      <c r="L192" s="34" t="str">
        <f t="shared" si="25"/>
        <v>·</v>
      </c>
      <c r="M192" s="35"/>
      <c r="N192" s="34" t="str">
        <f t="shared" si="26"/>
        <v>·</v>
      </c>
      <c r="O192" s="36"/>
      <c r="P192" s="37"/>
      <c r="Q192" s="37"/>
      <c r="R192" s="37"/>
      <c r="S192" s="38"/>
      <c r="T192" s="39"/>
      <c r="U192" s="39"/>
      <c r="V192" s="39"/>
      <c r="W192" s="38"/>
      <c r="X192" s="41"/>
      <c r="Y192" s="41"/>
      <c r="AA192" s="33" t="str">
        <f t="shared" si="27"/>
        <v>·</v>
      </c>
      <c r="AB192" s="34" t="str">
        <f t="shared" si="28"/>
        <v>·</v>
      </c>
      <c r="AC192" s="34" t="str">
        <f t="shared" si="29"/>
        <v>·</v>
      </c>
      <c r="AD192" s="34" t="str">
        <f t="shared" si="30"/>
        <v>·</v>
      </c>
      <c r="AE192" s="35"/>
      <c r="AF192" s="34" t="str">
        <f t="shared" si="31"/>
        <v>·</v>
      </c>
      <c r="AG192" s="36"/>
      <c r="AH192" s="37"/>
      <c r="AI192" s="37"/>
      <c r="AJ192" s="37"/>
      <c r="AK192" s="38"/>
      <c r="AL192" s="39"/>
      <c r="AM192" s="39"/>
      <c r="AN192" s="39"/>
      <c r="AO192" s="38"/>
      <c r="AP192" s="41"/>
      <c r="AQ192" s="41"/>
      <c r="AS192" s="42" t="e">
        <f t="shared" si="32"/>
        <v>#DIV/0!</v>
      </c>
      <c r="AT192" s="42"/>
      <c r="AV192" s="43"/>
      <c r="AW192" s="43"/>
      <c r="AX192" s="43"/>
      <c r="AY192" s="44"/>
      <c r="BA192" s="43"/>
      <c r="BB192" s="43"/>
      <c r="BC192" s="43"/>
      <c r="BD192" s="44"/>
    </row>
    <row r="193" spans="1:56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 t="str">
        <f t="shared" si="23"/>
        <v>·</v>
      </c>
      <c r="K193" s="19" t="str">
        <f t="shared" si="24"/>
        <v>·</v>
      </c>
      <c r="L193" s="19" t="str">
        <f t="shared" si="25"/>
        <v>·</v>
      </c>
      <c r="M193" s="20"/>
      <c r="N193" s="19" t="str">
        <f t="shared" si="26"/>
        <v>·</v>
      </c>
      <c r="O193" s="21"/>
      <c r="P193" s="22"/>
      <c r="Q193" s="22"/>
      <c r="R193" s="22"/>
      <c r="S193" s="23"/>
      <c r="T193" s="24"/>
      <c r="U193" s="24"/>
      <c r="V193" s="24"/>
      <c r="W193" s="23"/>
      <c r="X193" s="26"/>
      <c r="Y193" s="26"/>
      <c r="AA193" s="18" t="str">
        <f t="shared" si="27"/>
        <v>·</v>
      </c>
      <c r="AB193" s="19" t="str">
        <f t="shared" si="28"/>
        <v>·</v>
      </c>
      <c r="AC193" s="19" t="str">
        <f t="shared" si="29"/>
        <v>·</v>
      </c>
      <c r="AD193" s="19" t="str">
        <f t="shared" si="30"/>
        <v>·</v>
      </c>
      <c r="AE193" s="20"/>
      <c r="AF193" s="19" t="str">
        <f t="shared" si="31"/>
        <v>·</v>
      </c>
      <c r="AG193" s="21"/>
      <c r="AH193" s="22"/>
      <c r="AI193" s="22"/>
      <c r="AJ193" s="22"/>
      <c r="AK193" s="23"/>
      <c r="AL193" s="24"/>
      <c r="AM193" s="24"/>
      <c r="AN193" s="24"/>
      <c r="AO193" s="23"/>
      <c r="AP193" s="26"/>
      <c r="AQ193" s="26"/>
      <c r="AS193" s="27" t="e">
        <f t="shared" si="32"/>
        <v>#DIV/0!</v>
      </c>
      <c r="AT193" s="27"/>
      <c r="AV193" s="28"/>
      <c r="AW193" s="28"/>
      <c r="AX193" s="28"/>
      <c r="AY193" s="29"/>
      <c r="BA193" s="28"/>
      <c r="BB193" s="28"/>
      <c r="BC193" s="28"/>
      <c r="BD193" s="29"/>
    </row>
    <row r="194" spans="1:56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 t="str">
        <f t="shared" si="23"/>
        <v>·</v>
      </c>
      <c r="K194" s="34" t="str">
        <f t="shared" si="24"/>
        <v>·</v>
      </c>
      <c r="L194" s="34" t="str">
        <f t="shared" si="25"/>
        <v>·</v>
      </c>
      <c r="M194" s="35"/>
      <c r="N194" s="34" t="str">
        <f t="shared" si="26"/>
        <v>·</v>
      </c>
      <c r="O194" s="36"/>
      <c r="P194" s="37"/>
      <c r="Q194" s="37"/>
      <c r="R194" s="37"/>
      <c r="S194" s="38"/>
      <c r="T194" s="39"/>
      <c r="U194" s="39"/>
      <c r="V194" s="39"/>
      <c r="W194" s="38"/>
      <c r="X194" s="41"/>
      <c r="Y194" s="41"/>
      <c r="AA194" s="33" t="str">
        <f t="shared" si="27"/>
        <v>·</v>
      </c>
      <c r="AB194" s="34" t="str">
        <f t="shared" si="28"/>
        <v>·</v>
      </c>
      <c r="AC194" s="34" t="str">
        <f t="shared" si="29"/>
        <v>·</v>
      </c>
      <c r="AD194" s="34" t="str">
        <f t="shared" si="30"/>
        <v>·</v>
      </c>
      <c r="AE194" s="35"/>
      <c r="AF194" s="34" t="str">
        <f t="shared" si="31"/>
        <v>·</v>
      </c>
      <c r="AG194" s="36"/>
      <c r="AH194" s="37"/>
      <c r="AI194" s="37"/>
      <c r="AJ194" s="37"/>
      <c r="AK194" s="38"/>
      <c r="AL194" s="39"/>
      <c r="AM194" s="39"/>
      <c r="AN194" s="39"/>
      <c r="AO194" s="38"/>
      <c r="AP194" s="41"/>
      <c r="AQ194" s="41"/>
      <c r="AS194" s="42" t="e">
        <f t="shared" si="32"/>
        <v>#DIV/0!</v>
      </c>
      <c r="AT194" s="42"/>
      <c r="AV194" s="43"/>
      <c r="AW194" s="43"/>
      <c r="AX194" s="43"/>
      <c r="AY194" s="44"/>
      <c r="BA194" s="43"/>
      <c r="BB194" s="43"/>
      <c r="BC194" s="43"/>
      <c r="BD194" s="44"/>
    </row>
    <row r="195" spans="1:56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3"/>
      <c r="X195" s="26"/>
      <c r="Y195" s="26"/>
      <c r="AA195" s="18" t="str">
        <f t="shared" si="27"/>
        <v>·</v>
      </c>
      <c r="AB195" s="19" t="str">
        <f t="shared" si="28"/>
        <v>·</v>
      </c>
      <c r="AC195" s="19" t="str">
        <f t="shared" si="29"/>
        <v>·</v>
      </c>
      <c r="AD195" s="19" t="str">
        <f t="shared" si="30"/>
        <v>·</v>
      </c>
      <c r="AE195" s="20"/>
      <c r="AF195" s="19" t="str">
        <f t="shared" si="31"/>
        <v>·</v>
      </c>
      <c r="AG195" s="21"/>
      <c r="AH195" s="22"/>
      <c r="AI195" s="22"/>
      <c r="AJ195" s="22"/>
      <c r="AK195" s="23"/>
      <c r="AL195" s="24"/>
      <c r="AM195" s="24"/>
      <c r="AN195" s="24"/>
      <c r="AO195" s="23"/>
      <c r="AP195" s="26"/>
      <c r="AQ195" s="26"/>
      <c r="AS195" s="27" t="e">
        <f t="shared" si="32"/>
        <v>#DIV/0!</v>
      </c>
      <c r="AT195" s="27"/>
      <c r="AV195" s="28"/>
      <c r="AW195" s="28"/>
      <c r="AX195" s="28"/>
      <c r="AY195" s="29"/>
      <c r="BA195" s="28"/>
      <c r="BB195" s="28"/>
      <c r="BC195" s="28"/>
      <c r="BD195" s="29"/>
    </row>
    <row r="196" spans="1:56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3"/>
      <c r="X196" s="56"/>
      <c r="Y196" s="56"/>
      <c r="AA196" s="48" t="str">
        <f t="shared" si="27"/>
        <v>·</v>
      </c>
      <c r="AB196" s="49" t="str">
        <f t="shared" si="28"/>
        <v>·</v>
      </c>
      <c r="AC196" s="49" t="str">
        <f t="shared" si="29"/>
        <v>·</v>
      </c>
      <c r="AD196" s="49" t="str">
        <f t="shared" si="30"/>
        <v>·</v>
      </c>
      <c r="AE196" s="50"/>
      <c r="AF196" s="49" t="str">
        <f t="shared" si="31"/>
        <v>·</v>
      </c>
      <c r="AG196" s="51"/>
      <c r="AH196" s="52"/>
      <c r="AI196" s="52"/>
      <c r="AJ196" s="52"/>
      <c r="AK196" s="53"/>
      <c r="AL196" s="54"/>
      <c r="AM196" s="54"/>
      <c r="AN196" s="54"/>
      <c r="AO196" s="53"/>
      <c r="AP196" s="56"/>
      <c r="AQ196" s="56"/>
      <c r="AS196" s="57" t="e">
        <f t="shared" si="32"/>
        <v>#DIV/0!</v>
      </c>
      <c r="AT196" s="57"/>
      <c r="AV196" s="58"/>
      <c r="AW196" s="58"/>
      <c r="AX196" s="58"/>
      <c r="AY196" s="59"/>
      <c r="BA196" s="58"/>
      <c r="BB196" s="58"/>
      <c r="BC196" s="58"/>
      <c r="BD196" s="59"/>
    </row>
    <row r="197" spans="1:56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 t="str">
        <f t="shared" ref="J197:J260" si="34">IF(ISBLANK(P197),"·",P197/D197)</f>
        <v>·</v>
      </c>
      <c r="K197" s="19" t="str">
        <f t="shared" ref="K197:K260" si="35">IF(Q197="","·",Q197/D197)</f>
        <v>·</v>
      </c>
      <c r="L197" s="19" t="str">
        <f t="shared" ref="L197:L260" si="36">IF(ISBLANK(R197),"·",R197/D197)</f>
        <v>·</v>
      </c>
      <c r="M197" s="20"/>
      <c r="N197" s="19" t="str">
        <f t="shared" ref="N197:N260" si="37">IF(ISBLANK(P197),"·",P197/O197)</f>
        <v>·</v>
      </c>
      <c r="O197" s="21"/>
      <c r="P197" s="22"/>
      <c r="Q197" s="22"/>
      <c r="R197" s="22"/>
      <c r="S197" s="23"/>
      <c r="T197" s="24"/>
      <c r="U197" s="24"/>
      <c r="V197" s="24"/>
      <c r="W197" s="23"/>
      <c r="X197" s="26"/>
      <c r="Y197" s="26"/>
      <c r="AA197" s="18" t="str">
        <f t="shared" ref="AA197:AA260" si="38">IF(OR(ISBLANK(AH197),ISBLANK(G197)),"·",AH197*G197/F197/1000000)</f>
        <v>·</v>
      </c>
      <c r="AB197" s="19" t="str">
        <f t="shared" ref="AB197:AB260" si="39">IF(ISBLANK(AH197),"·",AH197/D197)</f>
        <v>·</v>
      </c>
      <c r="AC197" s="19" t="str">
        <f t="shared" ref="AC197:AC260" si="40">IF(AI197="","·",AI197/D197)</f>
        <v>·</v>
      </c>
      <c r="AD197" s="19" t="str">
        <f t="shared" ref="AD197:AD260" si="41">IF(ISBLANK(AJ197),"·",AJ197/D197)</f>
        <v>·</v>
      </c>
      <c r="AE197" s="20"/>
      <c r="AF197" s="19" t="str">
        <f t="shared" ref="AF197:AF260" si="42">IF(ISBLANK(AH197),"·",AH197/AG197)</f>
        <v>·</v>
      </c>
      <c r="AG197" s="21"/>
      <c r="AH197" s="22"/>
      <c r="AI197" s="22"/>
      <c r="AJ197" s="22"/>
      <c r="AK197" s="23"/>
      <c r="AL197" s="24"/>
      <c r="AM197" s="24"/>
      <c r="AN197" s="24"/>
      <c r="AO197" s="23"/>
      <c r="AP197" s="26"/>
      <c r="AQ197" s="26"/>
      <c r="AS197" s="27" t="e">
        <f t="shared" ref="AS197:AS260" si="43">(AI197/AH197) - (Q197/P197)</f>
        <v>#DIV/0!</v>
      </c>
      <c r="AT197" s="27" t="e">
        <f t="array" ref="AT197">AVERAGE(AI197:AI202/AH197:AH202) - AVERAGE(Q197:Q202/P197:P202)</f>
        <v>#DIV/0!</v>
      </c>
      <c r="AV197" s="28" t="str">
        <f>IF( OR(ISBLANK(R197:R202),ISBLANK(AJ197:AJ202), ISBLANK(T197:T202),ISBLANK(AL197:AL202)), "·", bdRateExtend( R197:R202,T197:T202, AJ197:AJ202,AL197:AL202))</f>
        <v>·</v>
      </c>
      <c r="AW197" s="28" t="str">
        <f>IF( OR(ISBLANK(R197:R202),ISBLANK(AJ197:AJ202), ISBLANK(U197:U202),ISBLANK(AM197:AM202)), "·", bdRateExtend( R197:R202,U197:U202, AJ197:AJ202,AM197:AM202))</f>
        <v>·</v>
      </c>
      <c r="AX197" s="28" t="str">
        <f>IF( OR(ISBLANK(R197:R202),ISBLANK(AJ197:AJ202), ISBLANK(V197:V202),ISBLANK(AN197:AN202)), "·", bdRateExtend( R197:R202,V197:V202, AJ197:AJ202,AN197:AN202))</f>
        <v>·</v>
      </c>
      <c r="AY197" s="29"/>
      <c r="BA197" s="28" t="str">
        <f>IF( OR(ISBLANK(P197:P202),ISBLANK(AH197:AH202), ISBLANK(T197:T202),ISBLANK(AL197:AL202)), "·", bdRateExtend( P197:P202,T197:T202, AH197:AH202,AL197:AL202))</f>
        <v>·</v>
      </c>
      <c r="BB197" s="28" t="str">
        <f>IF( OR(ISBLANK(P197:P202),ISBLANK(AH197:AH202), ISBLANK(U197:U202),ISBLANK(AM197:AM202)), "·", bdRateExtend( P197:P202,U197:U202, AH197:AH202,AM197:AM202))</f>
        <v>·</v>
      </c>
      <c r="BC197" s="28" t="str">
        <f>IF( OR(ISBLANK(P197:P202),ISBLANK(AH197:AH202), ISBLANK(V197:V202),ISBLANK(AN197:AN202)), "·", bdRateExtend( P197:P202,V197:V202, AH197:AH202,AN197:AN202))</f>
        <v>·</v>
      </c>
      <c r="BD197" s="29"/>
    </row>
    <row r="198" spans="1:56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 t="str">
        <f t="shared" si="34"/>
        <v>·</v>
      </c>
      <c r="K198" s="34" t="str">
        <f t="shared" si="35"/>
        <v>·</v>
      </c>
      <c r="L198" s="34" t="str">
        <f t="shared" si="36"/>
        <v>·</v>
      </c>
      <c r="M198" s="35"/>
      <c r="N198" s="34" t="str">
        <f t="shared" si="37"/>
        <v>·</v>
      </c>
      <c r="O198" s="36"/>
      <c r="P198" s="37"/>
      <c r="Q198" s="37"/>
      <c r="R198" s="37"/>
      <c r="S198" s="38"/>
      <c r="T198" s="39"/>
      <c r="U198" s="39"/>
      <c r="V198" s="39"/>
      <c r="W198" s="38"/>
      <c r="X198" s="41"/>
      <c r="Y198" s="41"/>
      <c r="AA198" s="33" t="str">
        <f t="shared" si="38"/>
        <v>·</v>
      </c>
      <c r="AB198" s="34" t="str">
        <f t="shared" si="39"/>
        <v>·</v>
      </c>
      <c r="AC198" s="34" t="str">
        <f t="shared" si="40"/>
        <v>·</v>
      </c>
      <c r="AD198" s="34" t="str">
        <f t="shared" si="41"/>
        <v>·</v>
      </c>
      <c r="AE198" s="35"/>
      <c r="AF198" s="34" t="str">
        <f t="shared" si="42"/>
        <v>·</v>
      </c>
      <c r="AG198" s="36"/>
      <c r="AH198" s="37"/>
      <c r="AI198" s="37"/>
      <c r="AJ198" s="37"/>
      <c r="AK198" s="38"/>
      <c r="AL198" s="39"/>
      <c r="AM198" s="39"/>
      <c r="AN198" s="39"/>
      <c r="AO198" s="38"/>
      <c r="AP198" s="41"/>
      <c r="AQ198" s="41"/>
      <c r="AS198" s="42" t="e">
        <f t="shared" si="43"/>
        <v>#DIV/0!</v>
      </c>
      <c r="AT198" s="42"/>
      <c r="AV198" s="43"/>
      <c r="AW198" s="43"/>
      <c r="AX198" s="43"/>
      <c r="AY198" s="44"/>
      <c r="BA198" s="43"/>
      <c r="BB198" s="43"/>
      <c r="BC198" s="43"/>
      <c r="BD198" s="44"/>
    </row>
    <row r="199" spans="1:56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 t="str">
        <f t="shared" si="34"/>
        <v>·</v>
      </c>
      <c r="K199" s="19" t="str">
        <f t="shared" si="35"/>
        <v>·</v>
      </c>
      <c r="L199" s="19" t="str">
        <f t="shared" si="36"/>
        <v>·</v>
      </c>
      <c r="M199" s="20"/>
      <c r="N199" s="19" t="str">
        <f t="shared" si="37"/>
        <v>·</v>
      </c>
      <c r="O199" s="21"/>
      <c r="P199" s="22"/>
      <c r="Q199" s="22"/>
      <c r="R199" s="22"/>
      <c r="S199" s="23"/>
      <c r="T199" s="24"/>
      <c r="U199" s="24"/>
      <c r="V199" s="24"/>
      <c r="W199" s="23"/>
      <c r="X199" s="26"/>
      <c r="Y199" s="26"/>
      <c r="AA199" s="18" t="str">
        <f t="shared" si="38"/>
        <v>·</v>
      </c>
      <c r="AB199" s="19" t="str">
        <f t="shared" si="39"/>
        <v>·</v>
      </c>
      <c r="AC199" s="19" t="str">
        <f t="shared" si="40"/>
        <v>·</v>
      </c>
      <c r="AD199" s="19" t="str">
        <f t="shared" si="41"/>
        <v>·</v>
      </c>
      <c r="AE199" s="20"/>
      <c r="AF199" s="19" t="str">
        <f t="shared" si="42"/>
        <v>·</v>
      </c>
      <c r="AG199" s="21"/>
      <c r="AH199" s="22"/>
      <c r="AI199" s="22"/>
      <c r="AJ199" s="22"/>
      <c r="AK199" s="23"/>
      <c r="AL199" s="24"/>
      <c r="AM199" s="24"/>
      <c r="AN199" s="24"/>
      <c r="AO199" s="23"/>
      <c r="AP199" s="26"/>
      <c r="AQ199" s="26"/>
      <c r="AS199" s="27" t="e">
        <f t="shared" si="43"/>
        <v>#DIV/0!</v>
      </c>
      <c r="AT199" s="27"/>
      <c r="AV199" s="28"/>
      <c r="AW199" s="28"/>
      <c r="AX199" s="28"/>
      <c r="AY199" s="29"/>
      <c r="BA199" s="28"/>
      <c r="BB199" s="28"/>
      <c r="BC199" s="28"/>
      <c r="BD199" s="29"/>
    </row>
    <row r="200" spans="1:56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8"/>
      <c r="X200" s="41"/>
      <c r="Y200" s="41"/>
      <c r="AA200" s="33" t="str">
        <f t="shared" si="38"/>
        <v>·</v>
      </c>
      <c r="AB200" s="34" t="str">
        <f t="shared" si="39"/>
        <v>·</v>
      </c>
      <c r="AC200" s="34" t="str">
        <f t="shared" si="40"/>
        <v>·</v>
      </c>
      <c r="AD200" s="34" t="str">
        <f t="shared" si="41"/>
        <v>·</v>
      </c>
      <c r="AE200" s="35"/>
      <c r="AF200" s="34" t="str">
        <f t="shared" si="42"/>
        <v>·</v>
      </c>
      <c r="AG200" s="36"/>
      <c r="AH200" s="37"/>
      <c r="AI200" s="37"/>
      <c r="AJ200" s="37"/>
      <c r="AK200" s="38"/>
      <c r="AL200" s="39"/>
      <c r="AM200" s="39"/>
      <c r="AN200" s="39"/>
      <c r="AO200" s="38"/>
      <c r="AP200" s="41"/>
      <c r="AQ200" s="41"/>
      <c r="AS200" s="42" t="e">
        <f t="shared" si="43"/>
        <v>#DIV/0!</v>
      </c>
      <c r="AT200" s="42"/>
      <c r="AV200" s="43"/>
      <c r="AW200" s="43"/>
      <c r="AX200" s="43"/>
      <c r="AY200" s="44"/>
      <c r="BA200" s="43"/>
      <c r="BB200" s="43"/>
      <c r="BC200" s="43"/>
      <c r="BD200" s="44"/>
    </row>
    <row r="201" spans="1:56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3"/>
      <c r="X201" s="26"/>
      <c r="Y201" s="26"/>
      <c r="AA201" s="18" t="str">
        <f t="shared" si="38"/>
        <v>·</v>
      </c>
      <c r="AB201" s="19" t="str">
        <f t="shared" si="39"/>
        <v>·</v>
      </c>
      <c r="AC201" s="19" t="str">
        <f t="shared" si="40"/>
        <v>·</v>
      </c>
      <c r="AD201" s="19" t="str">
        <f t="shared" si="41"/>
        <v>·</v>
      </c>
      <c r="AE201" s="20"/>
      <c r="AF201" s="19" t="str">
        <f t="shared" si="42"/>
        <v>·</v>
      </c>
      <c r="AG201" s="21"/>
      <c r="AH201" s="22"/>
      <c r="AI201" s="22"/>
      <c r="AJ201" s="22"/>
      <c r="AK201" s="23"/>
      <c r="AL201" s="24"/>
      <c r="AM201" s="24"/>
      <c r="AN201" s="24"/>
      <c r="AO201" s="23"/>
      <c r="AP201" s="26"/>
      <c r="AQ201" s="26"/>
      <c r="AS201" s="27" t="e">
        <f t="shared" si="43"/>
        <v>#DIV/0!</v>
      </c>
      <c r="AT201" s="27"/>
      <c r="AV201" s="28"/>
      <c r="AW201" s="28"/>
      <c r="AX201" s="28"/>
      <c r="AY201" s="29"/>
      <c r="BA201" s="28"/>
      <c r="BB201" s="28"/>
      <c r="BC201" s="28"/>
      <c r="BD201" s="29"/>
    </row>
    <row r="202" spans="1:56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3"/>
      <c r="X202" s="56"/>
      <c r="Y202" s="56"/>
      <c r="AA202" s="48" t="str">
        <f t="shared" si="38"/>
        <v>·</v>
      </c>
      <c r="AB202" s="49" t="str">
        <f t="shared" si="39"/>
        <v>·</v>
      </c>
      <c r="AC202" s="49" t="str">
        <f t="shared" si="40"/>
        <v>·</v>
      </c>
      <c r="AD202" s="49" t="str">
        <f t="shared" si="41"/>
        <v>·</v>
      </c>
      <c r="AE202" s="50"/>
      <c r="AF202" s="49" t="str">
        <f t="shared" si="42"/>
        <v>·</v>
      </c>
      <c r="AG202" s="51"/>
      <c r="AH202" s="52"/>
      <c r="AI202" s="52"/>
      <c r="AJ202" s="52"/>
      <c r="AK202" s="53"/>
      <c r="AL202" s="54"/>
      <c r="AM202" s="54"/>
      <c r="AN202" s="54"/>
      <c r="AO202" s="53"/>
      <c r="AP202" s="56"/>
      <c r="AQ202" s="56"/>
      <c r="AS202" s="57" t="e">
        <f t="shared" si="43"/>
        <v>#DIV/0!</v>
      </c>
      <c r="AT202" s="57"/>
      <c r="AV202" s="58"/>
      <c r="AW202" s="58"/>
      <c r="AX202" s="58"/>
      <c r="AY202" s="59"/>
      <c r="BA202" s="58"/>
      <c r="BB202" s="58"/>
      <c r="BC202" s="58"/>
      <c r="BD202" s="59"/>
    </row>
    <row r="203" spans="1:56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 t="str">
        <f t="shared" si="34"/>
        <v>·</v>
      </c>
      <c r="K203" s="19" t="str">
        <f t="shared" si="35"/>
        <v>·</v>
      </c>
      <c r="L203" s="19" t="str">
        <f t="shared" si="36"/>
        <v>·</v>
      </c>
      <c r="M203" s="20"/>
      <c r="N203" s="19" t="str">
        <f t="shared" si="37"/>
        <v>·</v>
      </c>
      <c r="O203" s="21"/>
      <c r="P203" s="22"/>
      <c r="Q203" s="22"/>
      <c r="R203" s="22"/>
      <c r="S203" s="23"/>
      <c r="T203" s="24"/>
      <c r="U203" s="24"/>
      <c r="V203" s="24"/>
      <c r="W203" s="23"/>
      <c r="X203" s="26"/>
      <c r="Y203" s="26"/>
      <c r="AA203" s="18" t="str">
        <f t="shared" si="38"/>
        <v>·</v>
      </c>
      <c r="AB203" s="19" t="str">
        <f t="shared" si="39"/>
        <v>·</v>
      </c>
      <c r="AC203" s="19" t="str">
        <f t="shared" si="40"/>
        <v>·</v>
      </c>
      <c r="AD203" s="19" t="str">
        <f t="shared" si="41"/>
        <v>·</v>
      </c>
      <c r="AE203" s="20"/>
      <c r="AF203" s="19" t="str">
        <f t="shared" si="42"/>
        <v>·</v>
      </c>
      <c r="AG203" s="21"/>
      <c r="AH203" s="22"/>
      <c r="AI203" s="22"/>
      <c r="AJ203" s="22"/>
      <c r="AK203" s="23"/>
      <c r="AL203" s="24"/>
      <c r="AM203" s="24"/>
      <c r="AN203" s="24"/>
      <c r="AO203" s="23"/>
      <c r="AP203" s="26"/>
      <c r="AQ203" s="26"/>
      <c r="AS203" s="27" t="e">
        <f t="shared" si="43"/>
        <v>#DIV/0!</v>
      </c>
      <c r="AT203" s="27" t="e">
        <f t="array" ref="AT203">AVERAGE(AI203:AI208/AH203:AH208) - AVERAGE(Q203:Q208/P203:P208)</f>
        <v>#DIV/0!</v>
      </c>
      <c r="AV203" s="28" t="str">
        <f>IF( OR(ISBLANK(R203:R208),ISBLANK(AJ203:AJ208), ISBLANK(T203:T208),ISBLANK(AL203:AL208)), "·", bdRateExtend( R203:R208,T203:T208, AJ203:AJ208,AL203:AL208))</f>
        <v>·</v>
      </c>
      <c r="AW203" s="28" t="str">
        <f>IF( OR(ISBLANK(R203:R208),ISBLANK(AJ203:AJ208), ISBLANK(U203:U208),ISBLANK(AM203:AM208)), "·", bdRateExtend( R203:R208,U203:U208, AJ203:AJ208,AM203:AM208))</f>
        <v>·</v>
      </c>
      <c r="AX203" s="28" t="str">
        <f>IF( OR(ISBLANK(R203:R208),ISBLANK(AJ203:AJ208), ISBLANK(V203:V208),ISBLANK(AN203:AN208)), "·", bdRateExtend( R203:R208,V203:V208, AJ203:AJ208,AN203:AN208))</f>
        <v>·</v>
      </c>
      <c r="AY203" s="29"/>
      <c r="BA203" s="28" t="str">
        <f>IF( OR(ISBLANK(P203:P208),ISBLANK(AH203:AH208), ISBLANK(T203:T208),ISBLANK(AL203:AL208)), "·", bdRateExtend( P203:P208,T203:T208, AH203:AH208,AL203:AL208))</f>
        <v>·</v>
      </c>
      <c r="BB203" s="28" t="str">
        <f>IF( OR(ISBLANK(P203:P208),ISBLANK(AH203:AH208), ISBLANK(U203:U208),ISBLANK(AM203:AM208)), "·", bdRateExtend( P203:P208,U203:U208, AH203:AH208,AM203:AM208))</f>
        <v>·</v>
      </c>
      <c r="BC203" s="28" t="str">
        <f>IF( OR(ISBLANK(P203:P208),ISBLANK(AH203:AH208), ISBLANK(V203:V208),ISBLANK(AN203:AN208)), "·", bdRateExtend( P203:P208,V203:V208, AH203:AH208,AN203:AN208))</f>
        <v>·</v>
      </c>
      <c r="BD203" s="29"/>
    </row>
    <row r="204" spans="1:56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 t="str">
        <f t="shared" si="34"/>
        <v>·</v>
      </c>
      <c r="K204" s="34" t="str">
        <f t="shared" si="35"/>
        <v>·</v>
      </c>
      <c r="L204" s="34" t="str">
        <f t="shared" si="36"/>
        <v>·</v>
      </c>
      <c r="M204" s="35"/>
      <c r="N204" s="34" t="str">
        <f t="shared" si="37"/>
        <v>·</v>
      </c>
      <c r="O204" s="36"/>
      <c r="P204" s="37"/>
      <c r="Q204" s="37"/>
      <c r="R204" s="37"/>
      <c r="S204" s="38"/>
      <c r="T204" s="39"/>
      <c r="U204" s="39"/>
      <c r="V204" s="39"/>
      <c r="W204" s="38"/>
      <c r="X204" s="41"/>
      <c r="Y204" s="41"/>
      <c r="AA204" s="33" t="str">
        <f t="shared" si="38"/>
        <v>·</v>
      </c>
      <c r="AB204" s="34" t="str">
        <f t="shared" si="39"/>
        <v>·</v>
      </c>
      <c r="AC204" s="34" t="str">
        <f t="shared" si="40"/>
        <v>·</v>
      </c>
      <c r="AD204" s="34" t="str">
        <f t="shared" si="41"/>
        <v>·</v>
      </c>
      <c r="AE204" s="35"/>
      <c r="AF204" s="34" t="str">
        <f t="shared" si="42"/>
        <v>·</v>
      </c>
      <c r="AG204" s="36"/>
      <c r="AH204" s="37"/>
      <c r="AI204" s="37"/>
      <c r="AJ204" s="37"/>
      <c r="AK204" s="38"/>
      <c r="AL204" s="39"/>
      <c r="AM204" s="39"/>
      <c r="AN204" s="39"/>
      <c r="AO204" s="38"/>
      <c r="AP204" s="41"/>
      <c r="AQ204" s="41"/>
      <c r="AS204" s="42" t="e">
        <f t="shared" si="43"/>
        <v>#DIV/0!</v>
      </c>
      <c r="AT204" s="42"/>
      <c r="AV204" s="43"/>
      <c r="AW204" s="43"/>
      <c r="AX204" s="43"/>
      <c r="AY204" s="44"/>
      <c r="BA204" s="43"/>
      <c r="BB204" s="43"/>
      <c r="BC204" s="43"/>
      <c r="BD204" s="44"/>
    </row>
    <row r="205" spans="1:56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 t="str">
        <f t="shared" si="34"/>
        <v>·</v>
      </c>
      <c r="K205" s="19" t="str">
        <f t="shared" si="35"/>
        <v>·</v>
      </c>
      <c r="L205" s="19" t="str">
        <f t="shared" si="36"/>
        <v>·</v>
      </c>
      <c r="M205" s="20"/>
      <c r="N205" s="19" t="str">
        <f t="shared" si="37"/>
        <v>·</v>
      </c>
      <c r="O205" s="21"/>
      <c r="P205" s="22"/>
      <c r="Q205" s="22"/>
      <c r="R205" s="22"/>
      <c r="S205" s="23"/>
      <c r="T205" s="24"/>
      <c r="U205" s="24"/>
      <c r="V205" s="24"/>
      <c r="W205" s="23"/>
      <c r="X205" s="26"/>
      <c r="Y205" s="26"/>
      <c r="AA205" s="18" t="str">
        <f t="shared" si="38"/>
        <v>·</v>
      </c>
      <c r="AB205" s="19" t="str">
        <f t="shared" si="39"/>
        <v>·</v>
      </c>
      <c r="AC205" s="19" t="str">
        <f t="shared" si="40"/>
        <v>·</v>
      </c>
      <c r="AD205" s="19" t="str">
        <f t="shared" si="41"/>
        <v>·</v>
      </c>
      <c r="AE205" s="20"/>
      <c r="AF205" s="19" t="str">
        <f t="shared" si="42"/>
        <v>·</v>
      </c>
      <c r="AG205" s="21"/>
      <c r="AH205" s="22"/>
      <c r="AI205" s="22"/>
      <c r="AJ205" s="22"/>
      <c r="AK205" s="23"/>
      <c r="AL205" s="24"/>
      <c r="AM205" s="24"/>
      <c r="AN205" s="24"/>
      <c r="AO205" s="23"/>
      <c r="AP205" s="26"/>
      <c r="AQ205" s="26"/>
      <c r="AS205" s="27" t="e">
        <f t="shared" si="43"/>
        <v>#DIV/0!</v>
      </c>
      <c r="AT205" s="27"/>
      <c r="AV205" s="28"/>
      <c r="AW205" s="28"/>
      <c r="AX205" s="28"/>
      <c r="AY205" s="29"/>
      <c r="BA205" s="28"/>
      <c r="BB205" s="28"/>
      <c r="BC205" s="28"/>
      <c r="BD205" s="29"/>
    </row>
    <row r="206" spans="1:56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 t="str">
        <f t="shared" si="34"/>
        <v>·</v>
      </c>
      <c r="K206" s="34" t="str">
        <f t="shared" si="35"/>
        <v>·</v>
      </c>
      <c r="L206" s="34" t="str">
        <f t="shared" si="36"/>
        <v>·</v>
      </c>
      <c r="M206" s="35"/>
      <c r="N206" s="34" t="str">
        <f t="shared" si="37"/>
        <v>·</v>
      </c>
      <c r="O206" s="36"/>
      <c r="P206" s="37"/>
      <c r="Q206" s="37"/>
      <c r="R206" s="37"/>
      <c r="S206" s="38"/>
      <c r="T206" s="39"/>
      <c r="U206" s="39"/>
      <c r="V206" s="39"/>
      <c r="W206" s="38"/>
      <c r="X206" s="41"/>
      <c r="Y206" s="41"/>
      <c r="AA206" s="33" t="str">
        <f t="shared" si="38"/>
        <v>·</v>
      </c>
      <c r="AB206" s="34" t="str">
        <f t="shared" si="39"/>
        <v>·</v>
      </c>
      <c r="AC206" s="34" t="str">
        <f t="shared" si="40"/>
        <v>·</v>
      </c>
      <c r="AD206" s="34" t="str">
        <f t="shared" si="41"/>
        <v>·</v>
      </c>
      <c r="AE206" s="35"/>
      <c r="AF206" s="34" t="str">
        <f t="shared" si="42"/>
        <v>·</v>
      </c>
      <c r="AG206" s="36"/>
      <c r="AH206" s="37"/>
      <c r="AI206" s="37"/>
      <c r="AJ206" s="37"/>
      <c r="AK206" s="38"/>
      <c r="AL206" s="39"/>
      <c r="AM206" s="39"/>
      <c r="AN206" s="39"/>
      <c r="AO206" s="38"/>
      <c r="AP206" s="41"/>
      <c r="AQ206" s="41"/>
      <c r="AS206" s="42" t="e">
        <f t="shared" si="43"/>
        <v>#DIV/0!</v>
      </c>
      <c r="AT206" s="42"/>
      <c r="AV206" s="43"/>
      <c r="AW206" s="43"/>
      <c r="AX206" s="43"/>
      <c r="AY206" s="44"/>
      <c r="BA206" s="43"/>
      <c r="BB206" s="43"/>
      <c r="BC206" s="43"/>
      <c r="BD206" s="44"/>
    </row>
    <row r="207" spans="1:56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3"/>
      <c r="X207" s="26"/>
      <c r="Y207" s="26"/>
      <c r="AA207" s="18" t="str">
        <f t="shared" si="38"/>
        <v>·</v>
      </c>
      <c r="AB207" s="19" t="str">
        <f t="shared" si="39"/>
        <v>·</v>
      </c>
      <c r="AC207" s="19" t="str">
        <f t="shared" si="40"/>
        <v>·</v>
      </c>
      <c r="AD207" s="19" t="str">
        <f t="shared" si="41"/>
        <v>·</v>
      </c>
      <c r="AE207" s="20"/>
      <c r="AF207" s="19" t="str">
        <f t="shared" si="42"/>
        <v>·</v>
      </c>
      <c r="AG207" s="21"/>
      <c r="AH207" s="22"/>
      <c r="AI207" s="22"/>
      <c r="AJ207" s="22"/>
      <c r="AK207" s="23"/>
      <c r="AL207" s="24"/>
      <c r="AM207" s="24"/>
      <c r="AN207" s="24"/>
      <c r="AO207" s="23"/>
      <c r="AP207" s="26"/>
      <c r="AQ207" s="26"/>
      <c r="AS207" s="27" t="e">
        <f t="shared" si="43"/>
        <v>#DIV/0!</v>
      </c>
      <c r="AT207" s="27"/>
      <c r="AV207" s="28"/>
      <c r="AW207" s="28"/>
      <c r="AX207" s="28"/>
      <c r="AY207" s="29"/>
      <c r="BA207" s="28"/>
      <c r="BB207" s="28"/>
      <c r="BC207" s="28"/>
      <c r="BD207" s="29"/>
    </row>
    <row r="208" spans="1:56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3"/>
      <c r="X208" s="56"/>
      <c r="Y208" s="56"/>
      <c r="AA208" s="48" t="str">
        <f t="shared" si="38"/>
        <v>·</v>
      </c>
      <c r="AB208" s="49" t="str">
        <f t="shared" si="39"/>
        <v>·</v>
      </c>
      <c r="AC208" s="49" t="str">
        <f t="shared" si="40"/>
        <v>·</v>
      </c>
      <c r="AD208" s="49" t="str">
        <f t="shared" si="41"/>
        <v>·</v>
      </c>
      <c r="AE208" s="50"/>
      <c r="AF208" s="49" t="str">
        <f t="shared" si="42"/>
        <v>·</v>
      </c>
      <c r="AG208" s="51"/>
      <c r="AH208" s="52"/>
      <c r="AI208" s="52"/>
      <c r="AJ208" s="52"/>
      <c r="AK208" s="53"/>
      <c r="AL208" s="54"/>
      <c r="AM208" s="54"/>
      <c r="AN208" s="54"/>
      <c r="AO208" s="53"/>
      <c r="AP208" s="56"/>
      <c r="AQ208" s="56"/>
      <c r="AS208" s="57" t="e">
        <f t="shared" si="43"/>
        <v>#DIV/0!</v>
      </c>
      <c r="AT208" s="57"/>
      <c r="AV208" s="58"/>
      <c r="AW208" s="58"/>
      <c r="AX208" s="58"/>
      <c r="AY208" s="59"/>
      <c r="BA208" s="58"/>
      <c r="BB208" s="58"/>
      <c r="BC208" s="58"/>
      <c r="BD208" s="59"/>
    </row>
    <row r="209" spans="1:56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 t="str">
        <f t="shared" si="34"/>
        <v>·</v>
      </c>
      <c r="K209" s="19" t="str">
        <f t="shared" si="35"/>
        <v>·</v>
      </c>
      <c r="L209" s="19" t="str">
        <f t="shared" si="36"/>
        <v>·</v>
      </c>
      <c r="M209" s="20"/>
      <c r="N209" s="19" t="str">
        <f t="shared" si="37"/>
        <v>·</v>
      </c>
      <c r="O209" s="21"/>
      <c r="P209" s="22"/>
      <c r="Q209" s="22"/>
      <c r="R209" s="22"/>
      <c r="S209" s="23"/>
      <c r="T209" s="24"/>
      <c r="U209" s="24"/>
      <c r="V209" s="24"/>
      <c r="W209" s="23"/>
      <c r="X209" s="26"/>
      <c r="Y209" s="26"/>
      <c r="AA209" s="18" t="str">
        <f t="shared" si="38"/>
        <v>·</v>
      </c>
      <c r="AB209" s="19" t="str">
        <f t="shared" si="39"/>
        <v>·</v>
      </c>
      <c r="AC209" s="19" t="str">
        <f t="shared" si="40"/>
        <v>·</v>
      </c>
      <c r="AD209" s="19" t="str">
        <f t="shared" si="41"/>
        <v>·</v>
      </c>
      <c r="AE209" s="20"/>
      <c r="AF209" s="19" t="str">
        <f t="shared" si="42"/>
        <v>·</v>
      </c>
      <c r="AG209" s="21"/>
      <c r="AH209" s="22"/>
      <c r="AI209" s="22"/>
      <c r="AJ209" s="22"/>
      <c r="AK209" s="23"/>
      <c r="AL209" s="24"/>
      <c r="AM209" s="24"/>
      <c r="AN209" s="24"/>
      <c r="AO209" s="23"/>
      <c r="AP209" s="26"/>
      <c r="AQ209" s="26"/>
      <c r="AS209" s="27" t="e">
        <f t="shared" si="43"/>
        <v>#DIV/0!</v>
      </c>
      <c r="AT209" s="27" t="e">
        <f t="array" ref="AT209">AVERAGE(AI209:AI214/AH209:AH214) - AVERAGE(Q209:Q214/P209:P214)</f>
        <v>#DIV/0!</v>
      </c>
      <c r="AV209" s="28" t="str">
        <f>IF( OR(ISBLANK(R209:R214),ISBLANK(AJ209:AJ214), ISBLANK(T209:T214),ISBLANK(AL209:AL214)), "·", bdRateExtend( R209:R214,T209:T214, AJ209:AJ214,AL209:AL214))</f>
        <v>·</v>
      </c>
      <c r="AW209" s="28" t="str">
        <f>IF( OR(ISBLANK(R209:R214),ISBLANK(AJ209:AJ214), ISBLANK(U209:U214),ISBLANK(AM209:AM214)), "·", bdRateExtend( R209:R214,U209:U214, AJ209:AJ214,AM209:AM214))</f>
        <v>·</v>
      </c>
      <c r="AX209" s="28" t="str">
        <f>IF( OR(ISBLANK(R209:R214),ISBLANK(AJ209:AJ214), ISBLANK(V209:V214),ISBLANK(AN209:AN214)), "·", bdRateExtend( R209:R214,V209:V214, AJ209:AJ214,AN209:AN214))</f>
        <v>·</v>
      </c>
      <c r="AY209" s="29"/>
      <c r="BA209" s="28" t="str">
        <f>IF( OR(ISBLANK(P209:P214),ISBLANK(AH209:AH214), ISBLANK(T209:T214),ISBLANK(AL209:AL214)), "·", bdRateExtend( P209:P214,T209:T214, AH209:AH214,AL209:AL214))</f>
        <v>·</v>
      </c>
      <c r="BB209" s="28" t="str">
        <f>IF( OR(ISBLANK(P209:P214),ISBLANK(AH209:AH214), ISBLANK(U209:U214),ISBLANK(AM209:AM214)), "·", bdRateExtend( P209:P214,U209:U214, AH209:AH214,AM209:AM214))</f>
        <v>·</v>
      </c>
      <c r="BC209" s="28" t="str">
        <f>IF( OR(ISBLANK(P209:P214),ISBLANK(AH209:AH214), ISBLANK(V209:V214),ISBLANK(AN209:AN214)), "·", bdRateExtend( P209:P214,V209:V214, AH209:AH214,AN209:AN214))</f>
        <v>·</v>
      </c>
      <c r="BD209" s="29"/>
    </row>
    <row r="210" spans="1:56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 t="str">
        <f t="shared" si="34"/>
        <v>·</v>
      </c>
      <c r="K210" s="34" t="str">
        <f t="shared" si="35"/>
        <v>·</v>
      </c>
      <c r="L210" s="34" t="str">
        <f t="shared" si="36"/>
        <v>·</v>
      </c>
      <c r="M210" s="35"/>
      <c r="N210" s="34" t="str">
        <f t="shared" si="37"/>
        <v>·</v>
      </c>
      <c r="O210" s="36"/>
      <c r="P210" s="37"/>
      <c r="Q210" s="37"/>
      <c r="R210" s="37"/>
      <c r="S210" s="38"/>
      <c r="T210" s="39"/>
      <c r="U210" s="39"/>
      <c r="V210" s="39"/>
      <c r="W210" s="38"/>
      <c r="X210" s="41"/>
      <c r="Y210" s="41"/>
      <c r="AA210" s="33" t="str">
        <f t="shared" si="38"/>
        <v>·</v>
      </c>
      <c r="AB210" s="34" t="str">
        <f t="shared" si="39"/>
        <v>·</v>
      </c>
      <c r="AC210" s="34" t="str">
        <f t="shared" si="40"/>
        <v>·</v>
      </c>
      <c r="AD210" s="34" t="str">
        <f t="shared" si="41"/>
        <v>·</v>
      </c>
      <c r="AE210" s="35"/>
      <c r="AF210" s="34" t="str">
        <f t="shared" si="42"/>
        <v>·</v>
      </c>
      <c r="AG210" s="36"/>
      <c r="AH210" s="37"/>
      <c r="AI210" s="37"/>
      <c r="AJ210" s="37"/>
      <c r="AK210" s="38"/>
      <c r="AL210" s="39"/>
      <c r="AM210" s="39"/>
      <c r="AN210" s="39"/>
      <c r="AO210" s="38"/>
      <c r="AP210" s="41"/>
      <c r="AQ210" s="41"/>
      <c r="AS210" s="42" t="e">
        <f t="shared" si="43"/>
        <v>#DIV/0!</v>
      </c>
      <c r="AT210" s="42"/>
      <c r="AV210" s="43"/>
      <c r="AW210" s="43"/>
      <c r="AX210" s="43"/>
      <c r="AY210" s="44"/>
      <c r="BA210" s="43"/>
      <c r="BB210" s="43"/>
      <c r="BC210" s="43"/>
      <c r="BD210" s="44"/>
    </row>
    <row r="211" spans="1:56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 t="str">
        <f t="shared" si="34"/>
        <v>·</v>
      </c>
      <c r="K211" s="19" t="str">
        <f t="shared" si="35"/>
        <v>·</v>
      </c>
      <c r="L211" s="19" t="str">
        <f t="shared" si="36"/>
        <v>·</v>
      </c>
      <c r="M211" s="20"/>
      <c r="N211" s="19" t="str">
        <f t="shared" si="37"/>
        <v>·</v>
      </c>
      <c r="O211" s="21"/>
      <c r="P211" s="22"/>
      <c r="Q211" s="22"/>
      <c r="R211" s="22"/>
      <c r="S211" s="23"/>
      <c r="T211" s="24"/>
      <c r="U211" s="24"/>
      <c r="V211" s="24"/>
      <c r="W211" s="23"/>
      <c r="X211" s="26"/>
      <c r="Y211" s="26"/>
      <c r="AA211" s="18" t="str">
        <f t="shared" si="38"/>
        <v>·</v>
      </c>
      <c r="AB211" s="19" t="str">
        <f t="shared" si="39"/>
        <v>·</v>
      </c>
      <c r="AC211" s="19" t="str">
        <f t="shared" si="40"/>
        <v>·</v>
      </c>
      <c r="AD211" s="19" t="str">
        <f t="shared" si="41"/>
        <v>·</v>
      </c>
      <c r="AE211" s="20"/>
      <c r="AF211" s="19" t="str">
        <f t="shared" si="42"/>
        <v>·</v>
      </c>
      <c r="AG211" s="21"/>
      <c r="AH211" s="22"/>
      <c r="AI211" s="22"/>
      <c r="AJ211" s="22"/>
      <c r="AK211" s="23"/>
      <c r="AL211" s="24"/>
      <c r="AM211" s="24"/>
      <c r="AN211" s="24"/>
      <c r="AO211" s="23"/>
      <c r="AP211" s="26"/>
      <c r="AQ211" s="26"/>
      <c r="AS211" s="27" t="e">
        <f t="shared" si="43"/>
        <v>#DIV/0!</v>
      </c>
      <c r="AT211" s="27"/>
      <c r="AV211" s="28"/>
      <c r="AW211" s="28"/>
      <c r="AX211" s="28"/>
      <c r="AY211" s="29"/>
      <c r="BA211" s="28"/>
      <c r="BB211" s="28"/>
      <c r="BC211" s="28"/>
      <c r="BD211" s="29"/>
    </row>
    <row r="212" spans="1:56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 t="str">
        <f t="shared" si="34"/>
        <v>·</v>
      </c>
      <c r="K212" s="34" t="str">
        <f t="shared" si="35"/>
        <v>·</v>
      </c>
      <c r="L212" s="34" t="str">
        <f t="shared" si="36"/>
        <v>·</v>
      </c>
      <c r="M212" s="35"/>
      <c r="N212" s="34" t="str">
        <f t="shared" si="37"/>
        <v>·</v>
      </c>
      <c r="O212" s="36"/>
      <c r="P212" s="37"/>
      <c r="Q212" s="37"/>
      <c r="R212" s="37"/>
      <c r="S212" s="38"/>
      <c r="T212" s="39"/>
      <c r="U212" s="39"/>
      <c r="V212" s="39"/>
      <c r="W212" s="38"/>
      <c r="X212" s="41"/>
      <c r="Y212" s="41"/>
      <c r="AA212" s="33" t="str">
        <f t="shared" si="38"/>
        <v>·</v>
      </c>
      <c r="AB212" s="34" t="str">
        <f t="shared" si="39"/>
        <v>·</v>
      </c>
      <c r="AC212" s="34" t="str">
        <f t="shared" si="40"/>
        <v>·</v>
      </c>
      <c r="AD212" s="34" t="str">
        <f t="shared" si="41"/>
        <v>·</v>
      </c>
      <c r="AE212" s="35"/>
      <c r="AF212" s="34" t="str">
        <f t="shared" si="42"/>
        <v>·</v>
      </c>
      <c r="AG212" s="36"/>
      <c r="AH212" s="37"/>
      <c r="AI212" s="37"/>
      <c r="AJ212" s="37"/>
      <c r="AK212" s="38"/>
      <c r="AL212" s="39"/>
      <c r="AM212" s="39"/>
      <c r="AN212" s="39"/>
      <c r="AO212" s="38"/>
      <c r="AP212" s="41"/>
      <c r="AQ212" s="41"/>
      <c r="AS212" s="42" t="e">
        <f t="shared" si="43"/>
        <v>#DIV/0!</v>
      </c>
      <c r="AT212" s="42"/>
      <c r="AV212" s="43"/>
      <c r="AW212" s="43"/>
      <c r="AX212" s="43"/>
      <c r="AY212" s="44"/>
      <c r="BA212" s="43"/>
      <c r="BB212" s="43"/>
      <c r="BC212" s="43"/>
      <c r="BD212" s="44"/>
    </row>
    <row r="213" spans="1:56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3"/>
      <c r="X213" s="26"/>
      <c r="Y213" s="26"/>
      <c r="AA213" s="18" t="str">
        <f t="shared" si="38"/>
        <v>·</v>
      </c>
      <c r="AB213" s="19" t="str">
        <f t="shared" si="39"/>
        <v>·</v>
      </c>
      <c r="AC213" s="19" t="str">
        <f t="shared" si="40"/>
        <v>·</v>
      </c>
      <c r="AD213" s="19" t="str">
        <f t="shared" si="41"/>
        <v>·</v>
      </c>
      <c r="AE213" s="20"/>
      <c r="AF213" s="19" t="str">
        <f t="shared" si="42"/>
        <v>·</v>
      </c>
      <c r="AG213" s="21"/>
      <c r="AH213" s="22"/>
      <c r="AI213" s="22"/>
      <c r="AJ213" s="22"/>
      <c r="AK213" s="23"/>
      <c r="AL213" s="24"/>
      <c r="AM213" s="24"/>
      <c r="AN213" s="24"/>
      <c r="AO213" s="23"/>
      <c r="AP213" s="26"/>
      <c r="AQ213" s="26"/>
      <c r="AS213" s="27" t="e">
        <f t="shared" si="43"/>
        <v>#DIV/0!</v>
      </c>
      <c r="AT213" s="27"/>
      <c r="AV213" s="28"/>
      <c r="AW213" s="28"/>
      <c r="AX213" s="28"/>
      <c r="AY213" s="29"/>
      <c r="BA213" s="28"/>
      <c r="BB213" s="28"/>
      <c r="BC213" s="28"/>
      <c r="BD213" s="29"/>
    </row>
    <row r="214" spans="1:56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3"/>
      <c r="X214" s="56"/>
      <c r="Y214" s="56"/>
      <c r="AA214" s="48" t="str">
        <f t="shared" si="38"/>
        <v>·</v>
      </c>
      <c r="AB214" s="49" t="str">
        <f t="shared" si="39"/>
        <v>·</v>
      </c>
      <c r="AC214" s="49" t="str">
        <f t="shared" si="40"/>
        <v>·</v>
      </c>
      <c r="AD214" s="49" t="str">
        <f t="shared" si="41"/>
        <v>·</v>
      </c>
      <c r="AE214" s="50"/>
      <c r="AF214" s="49" t="str">
        <f t="shared" si="42"/>
        <v>·</v>
      </c>
      <c r="AG214" s="51"/>
      <c r="AH214" s="52"/>
      <c r="AI214" s="52"/>
      <c r="AJ214" s="52"/>
      <c r="AK214" s="53"/>
      <c r="AL214" s="54"/>
      <c r="AM214" s="54"/>
      <c r="AN214" s="54"/>
      <c r="AO214" s="53"/>
      <c r="AP214" s="56"/>
      <c r="AQ214" s="56"/>
      <c r="AS214" s="57" t="e">
        <f t="shared" si="43"/>
        <v>#DIV/0!</v>
      </c>
      <c r="AT214" s="57"/>
      <c r="AV214" s="58"/>
      <c r="AW214" s="58"/>
      <c r="AX214" s="58"/>
      <c r="AY214" s="59"/>
      <c r="BA214" s="58"/>
      <c r="BB214" s="58"/>
      <c r="BC214" s="58"/>
      <c r="BD214" s="59"/>
    </row>
    <row r="215" spans="1:56" x14ac:dyDescent="0.15">
      <c r="A215" s="15"/>
      <c r="B215" s="15" t="s">
        <v>338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 t="str">
        <f t="shared" si="34"/>
        <v>·</v>
      </c>
      <c r="K215" s="19" t="str">
        <f t="shared" si="35"/>
        <v>·</v>
      </c>
      <c r="L215" s="19" t="str">
        <f t="shared" si="36"/>
        <v>·</v>
      </c>
      <c r="M215" s="20"/>
      <c r="N215" s="19" t="str">
        <f t="shared" si="37"/>
        <v>·</v>
      </c>
      <c r="O215" s="21"/>
      <c r="P215" s="22"/>
      <c r="Q215" s="22"/>
      <c r="R215" s="22"/>
      <c r="S215" s="23"/>
      <c r="T215" s="24"/>
      <c r="U215" s="24"/>
      <c r="V215" s="24"/>
      <c r="W215" s="23"/>
      <c r="X215" s="26"/>
      <c r="Y215" s="26"/>
      <c r="AA215" s="18" t="str">
        <f t="shared" si="38"/>
        <v>·</v>
      </c>
      <c r="AB215" s="19" t="str">
        <f t="shared" si="39"/>
        <v>·</v>
      </c>
      <c r="AC215" s="19" t="str">
        <f t="shared" si="40"/>
        <v>·</v>
      </c>
      <c r="AD215" s="19" t="str">
        <f t="shared" si="41"/>
        <v>·</v>
      </c>
      <c r="AE215" s="20"/>
      <c r="AF215" s="19" t="str">
        <f t="shared" si="42"/>
        <v>·</v>
      </c>
      <c r="AG215" s="21"/>
      <c r="AH215" s="22"/>
      <c r="AI215" s="22"/>
      <c r="AJ215" s="22"/>
      <c r="AK215" s="23"/>
      <c r="AL215" s="24"/>
      <c r="AM215" s="24"/>
      <c r="AN215" s="24"/>
      <c r="AO215" s="23"/>
      <c r="AP215" s="26"/>
      <c r="AQ215" s="26"/>
      <c r="AS215" s="27" t="e">
        <f t="shared" si="43"/>
        <v>#DIV/0!</v>
      </c>
      <c r="AT215" s="27" t="e">
        <f t="array" ref="AT215">AVERAGE(AI215:AI220/AH215:AH220) - AVERAGE(Q215:Q220/P215:P220)</f>
        <v>#DIV/0!</v>
      </c>
      <c r="AV215" s="28" t="str">
        <f>IF( OR(ISBLANK(R215:R220),ISBLANK(AJ215:AJ220), ISBLANK(T215:T220),ISBLANK(AL215:AL220)), "·", bdRateExtend( R215:R220,T215:T220, AJ215:AJ220,AL215:AL220))</f>
        <v>·</v>
      </c>
      <c r="AW215" s="28" t="str">
        <f>IF( OR(ISBLANK(R215:R220),ISBLANK(AJ215:AJ220), ISBLANK(U215:U220),ISBLANK(AM215:AM220)), "·", bdRateExtend( R215:R220,U215:U220, AJ215:AJ220,AM215:AM220))</f>
        <v>·</v>
      </c>
      <c r="AX215" s="28" t="str">
        <f>IF( OR(ISBLANK(R215:R220),ISBLANK(AJ215:AJ220), ISBLANK(V215:V220),ISBLANK(AN215:AN220)), "·", bdRateExtend( R215:R220,V215:V220, AJ215:AJ220,AN215:AN220))</f>
        <v>·</v>
      </c>
      <c r="AY215" s="29"/>
      <c r="BA215" s="28" t="str">
        <f>IF( OR(ISBLANK(P215:P220),ISBLANK(AH215:AH220), ISBLANK(T215:T220),ISBLANK(AL215:AL220)), "·", bdRateExtend( P215:P220,T215:T220, AH215:AH220,AL215:AL220))</f>
        <v>·</v>
      </c>
      <c r="BB215" s="28" t="str">
        <f>IF( OR(ISBLANK(P215:P220),ISBLANK(AH215:AH220), ISBLANK(U215:U220),ISBLANK(AM215:AM220)), "·", bdRateExtend( P215:P220,U215:U220, AH215:AH220,AM215:AM220))</f>
        <v>·</v>
      </c>
      <c r="BC215" s="28" t="str">
        <f>IF( OR(ISBLANK(P215:P220),ISBLANK(AH215:AH220), ISBLANK(V215:V220),ISBLANK(AN215:AN220)), "·", bdRateExtend( P215:P220,V215:V220, AH215:AH220,AN215:AN220))</f>
        <v>·</v>
      </c>
      <c r="BD215" s="29"/>
    </row>
    <row r="216" spans="1:56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 t="str">
        <f t="shared" si="34"/>
        <v>·</v>
      </c>
      <c r="K216" s="34" t="str">
        <f t="shared" si="35"/>
        <v>·</v>
      </c>
      <c r="L216" s="34" t="str">
        <f t="shared" si="36"/>
        <v>·</v>
      </c>
      <c r="M216" s="35"/>
      <c r="N216" s="34" t="str">
        <f t="shared" si="37"/>
        <v>·</v>
      </c>
      <c r="O216" s="36"/>
      <c r="P216" s="37"/>
      <c r="Q216" s="37"/>
      <c r="R216" s="37"/>
      <c r="S216" s="38"/>
      <c r="T216" s="39"/>
      <c r="U216" s="39"/>
      <c r="V216" s="39"/>
      <c r="W216" s="38"/>
      <c r="X216" s="41"/>
      <c r="Y216" s="41"/>
      <c r="AA216" s="33" t="str">
        <f t="shared" si="38"/>
        <v>·</v>
      </c>
      <c r="AB216" s="34" t="str">
        <f t="shared" si="39"/>
        <v>·</v>
      </c>
      <c r="AC216" s="34" t="str">
        <f t="shared" si="40"/>
        <v>·</v>
      </c>
      <c r="AD216" s="34" t="str">
        <f t="shared" si="41"/>
        <v>·</v>
      </c>
      <c r="AE216" s="35"/>
      <c r="AF216" s="34" t="str">
        <f t="shared" si="42"/>
        <v>·</v>
      </c>
      <c r="AG216" s="36"/>
      <c r="AH216" s="37"/>
      <c r="AI216" s="37"/>
      <c r="AJ216" s="37"/>
      <c r="AK216" s="38"/>
      <c r="AL216" s="39"/>
      <c r="AM216" s="39"/>
      <c r="AN216" s="39"/>
      <c r="AO216" s="38"/>
      <c r="AP216" s="41"/>
      <c r="AQ216" s="41"/>
      <c r="AS216" s="42" t="e">
        <f t="shared" si="43"/>
        <v>#DIV/0!</v>
      </c>
      <c r="AT216" s="42"/>
      <c r="AV216" s="43"/>
      <c r="AW216" s="43"/>
      <c r="AX216" s="43"/>
      <c r="AY216" s="44"/>
      <c r="BA216" s="43"/>
      <c r="BB216" s="43"/>
      <c r="BC216" s="43"/>
      <c r="BD216" s="44"/>
    </row>
    <row r="217" spans="1:56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 t="str">
        <f t="shared" si="34"/>
        <v>·</v>
      </c>
      <c r="K217" s="19" t="str">
        <f t="shared" si="35"/>
        <v>·</v>
      </c>
      <c r="L217" s="19" t="str">
        <f t="shared" si="36"/>
        <v>·</v>
      </c>
      <c r="M217" s="20"/>
      <c r="N217" s="19" t="str">
        <f t="shared" si="37"/>
        <v>·</v>
      </c>
      <c r="O217" s="21"/>
      <c r="P217" s="22"/>
      <c r="Q217" s="22"/>
      <c r="R217" s="22"/>
      <c r="S217" s="23"/>
      <c r="T217" s="24"/>
      <c r="U217" s="24"/>
      <c r="V217" s="24"/>
      <c r="W217" s="23"/>
      <c r="X217" s="26"/>
      <c r="Y217" s="26"/>
      <c r="AA217" s="18" t="str">
        <f t="shared" si="38"/>
        <v>·</v>
      </c>
      <c r="AB217" s="19" t="str">
        <f t="shared" si="39"/>
        <v>·</v>
      </c>
      <c r="AC217" s="19" t="str">
        <f t="shared" si="40"/>
        <v>·</v>
      </c>
      <c r="AD217" s="19" t="str">
        <f t="shared" si="41"/>
        <v>·</v>
      </c>
      <c r="AE217" s="20"/>
      <c r="AF217" s="19" t="str">
        <f t="shared" si="42"/>
        <v>·</v>
      </c>
      <c r="AG217" s="21"/>
      <c r="AH217" s="22"/>
      <c r="AI217" s="22"/>
      <c r="AJ217" s="22"/>
      <c r="AK217" s="23"/>
      <c r="AL217" s="24"/>
      <c r="AM217" s="24"/>
      <c r="AN217" s="24"/>
      <c r="AO217" s="23"/>
      <c r="AP217" s="26"/>
      <c r="AQ217" s="26"/>
      <c r="AS217" s="27" t="e">
        <f t="shared" si="43"/>
        <v>#DIV/0!</v>
      </c>
      <c r="AT217" s="27"/>
      <c r="AV217" s="28"/>
      <c r="AW217" s="28"/>
      <c r="AX217" s="28"/>
      <c r="AY217" s="29"/>
      <c r="BA217" s="28"/>
      <c r="BB217" s="28"/>
      <c r="BC217" s="28"/>
      <c r="BD217" s="29"/>
    </row>
    <row r="218" spans="1:56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8"/>
      <c r="X218" s="41"/>
      <c r="Y218" s="41"/>
      <c r="AA218" s="33" t="str">
        <f t="shared" si="38"/>
        <v>·</v>
      </c>
      <c r="AB218" s="34" t="str">
        <f t="shared" si="39"/>
        <v>·</v>
      </c>
      <c r="AC218" s="34" t="str">
        <f t="shared" si="40"/>
        <v>·</v>
      </c>
      <c r="AD218" s="34" t="str">
        <f t="shared" si="41"/>
        <v>·</v>
      </c>
      <c r="AE218" s="35"/>
      <c r="AF218" s="34" t="str">
        <f t="shared" si="42"/>
        <v>·</v>
      </c>
      <c r="AG218" s="36"/>
      <c r="AH218" s="37"/>
      <c r="AI218" s="37"/>
      <c r="AJ218" s="37"/>
      <c r="AK218" s="38"/>
      <c r="AL218" s="39"/>
      <c r="AM218" s="39"/>
      <c r="AN218" s="39"/>
      <c r="AO218" s="38"/>
      <c r="AP218" s="41"/>
      <c r="AQ218" s="41"/>
      <c r="AS218" s="42" t="e">
        <f t="shared" si="43"/>
        <v>#DIV/0!</v>
      </c>
      <c r="AT218" s="42"/>
      <c r="AV218" s="43"/>
      <c r="AW218" s="43"/>
      <c r="AX218" s="43"/>
      <c r="AY218" s="44"/>
      <c r="BA218" s="43"/>
      <c r="BB218" s="43"/>
      <c r="BC218" s="43"/>
      <c r="BD218" s="44"/>
    </row>
    <row r="219" spans="1:56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3"/>
      <c r="X219" s="26"/>
      <c r="Y219" s="26"/>
      <c r="AA219" s="18" t="str">
        <f t="shared" si="38"/>
        <v>·</v>
      </c>
      <c r="AB219" s="19" t="str">
        <f t="shared" si="39"/>
        <v>·</v>
      </c>
      <c r="AC219" s="19" t="str">
        <f t="shared" si="40"/>
        <v>·</v>
      </c>
      <c r="AD219" s="19" t="str">
        <f t="shared" si="41"/>
        <v>·</v>
      </c>
      <c r="AE219" s="20"/>
      <c r="AF219" s="19" t="str">
        <f t="shared" si="42"/>
        <v>·</v>
      </c>
      <c r="AG219" s="21"/>
      <c r="AH219" s="22"/>
      <c r="AI219" s="22"/>
      <c r="AJ219" s="22"/>
      <c r="AK219" s="23"/>
      <c r="AL219" s="24"/>
      <c r="AM219" s="24"/>
      <c r="AN219" s="24"/>
      <c r="AO219" s="23"/>
      <c r="AP219" s="26"/>
      <c r="AQ219" s="26"/>
      <c r="AS219" s="27" t="e">
        <f t="shared" si="43"/>
        <v>#DIV/0!</v>
      </c>
      <c r="AT219" s="27"/>
      <c r="AV219" s="28"/>
      <c r="AW219" s="28"/>
      <c r="AX219" s="28"/>
      <c r="AY219" s="29"/>
      <c r="BA219" s="28"/>
      <c r="BB219" s="28"/>
      <c r="BC219" s="28"/>
      <c r="BD219" s="29"/>
    </row>
    <row r="220" spans="1:56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3"/>
      <c r="X220" s="56"/>
      <c r="Y220" s="56"/>
      <c r="AA220" s="48" t="str">
        <f t="shared" si="38"/>
        <v>·</v>
      </c>
      <c r="AB220" s="49" t="str">
        <f t="shared" si="39"/>
        <v>·</v>
      </c>
      <c r="AC220" s="49" t="str">
        <f t="shared" si="40"/>
        <v>·</v>
      </c>
      <c r="AD220" s="49" t="str">
        <f t="shared" si="41"/>
        <v>·</v>
      </c>
      <c r="AE220" s="50"/>
      <c r="AF220" s="49" t="str">
        <f t="shared" si="42"/>
        <v>·</v>
      </c>
      <c r="AG220" s="51"/>
      <c r="AH220" s="52"/>
      <c r="AI220" s="52"/>
      <c r="AJ220" s="52"/>
      <c r="AK220" s="53"/>
      <c r="AL220" s="54"/>
      <c r="AM220" s="54"/>
      <c r="AN220" s="54"/>
      <c r="AO220" s="53"/>
      <c r="AP220" s="56"/>
      <c r="AQ220" s="56"/>
      <c r="AS220" s="57" t="e">
        <f t="shared" si="43"/>
        <v>#DIV/0!</v>
      </c>
      <c r="AT220" s="57"/>
      <c r="AV220" s="58"/>
      <c r="AW220" s="58"/>
      <c r="AX220" s="58"/>
      <c r="AY220" s="59"/>
      <c r="BA220" s="58"/>
      <c r="BB220" s="58"/>
      <c r="BC220" s="58"/>
      <c r="BD220" s="59"/>
    </row>
    <row r="221" spans="1:56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 t="str">
        <f t="shared" si="34"/>
        <v>·</v>
      </c>
      <c r="K221" s="19" t="str">
        <f t="shared" si="35"/>
        <v>·</v>
      </c>
      <c r="L221" s="19" t="str">
        <f t="shared" si="36"/>
        <v>·</v>
      </c>
      <c r="M221" s="20"/>
      <c r="N221" s="19" t="str">
        <f t="shared" si="37"/>
        <v>·</v>
      </c>
      <c r="O221" s="21"/>
      <c r="P221" s="22"/>
      <c r="Q221" s="22"/>
      <c r="R221" s="22"/>
      <c r="S221" s="23"/>
      <c r="T221" s="24"/>
      <c r="U221" s="24"/>
      <c r="V221" s="24"/>
      <c r="W221" s="23"/>
      <c r="X221" s="26"/>
      <c r="Y221" s="26"/>
      <c r="AA221" s="18" t="str">
        <f t="shared" si="38"/>
        <v>·</v>
      </c>
      <c r="AB221" s="19" t="str">
        <f t="shared" si="39"/>
        <v>·</v>
      </c>
      <c r="AC221" s="19" t="str">
        <f t="shared" si="40"/>
        <v>·</v>
      </c>
      <c r="AD221" s="19" t="str">
        <f t="shared" si="41"/>
        <v>·</v>
      </c>
      <c r="AE221" s="20"/>
      <c r="AF221" s="19" t="str">
        <f t="shared" si="42"/>
        <v>·</v>
      </c>
      <c r="AG221" s="21"/>
      <c r="AH221" s="22"/>
      <c r="AI221" s="22"/>
      <c r="AJ221" s="22"/>
      <c r="AK221" s="23"/>
      <c r="AL221" s="24"/>
      <c r="AM221" s="24"/>
      <c r="AN221" s="24"/>
      <c r="AO221" s="23"/>
      <c r="AP221" s="26"/>
      <c r="AQ221" s="26"/>
      <c r="AS221" s="27" t="e">
        <f t="shared" si="43"/>
        <v>#DIV/0!</v>
      </c>
      <c r="AT221" s="27" t="e">
        <f t="array" ref="AT221">AVERAGE(AI221:AI226/AH221:AH226) - AVERAGE(Q221:Q226/P221:P226)</f>
        <v>#DIV/0!</v>
      </c>
      <c r="AV221" s="28" t="str">
        <f>IF( OR(ISBLANK(R221:R226),ISBLANK(AJ221:AJ226), ISBLANK(T221:T226),ISBLANK(AL221:AL226)), "·", bdRateExtend( R221:R226,T221:T226, AJ221:AJ226,AL221:AL226))</f>
        <v>·</v>
      </c>
      <c r="AW221" s="28" t="str">
        <f>IF( OR(ISBLANK(R221:R226),ISBLANK(AJ221:AJ226), ISBLANK(U221:U226),ISBLANK(AM221:AM226)), "·", bdRateExtend( R221:R226,U221:U226, AJ221:AJ226,AM221:AM226))</f>
        <v>·</v>
      </c>
      <c r="AX221" s="28" t="str">
        <f>IF( OR(ISBLANK(R221:R226),ISBLANK(AJ221:AJ226), ISBLANK(V221:V226),ISBLANK(AN221:AN226)), "·", bdRateExtend( R221:R226,V221:V226, AJ221:AJ226,AN221:AN226))</f>
        <v>·</v>
      </c>
      <c r="AY221" s="29"/>
      <c r="BA221" s="28" t="str">
        <f>IF( OR(ISBLANK(P221:P226),ISBLANK(AH221:AH226), ISBLANK(T221:T226),ISBLANK(AL221:AL226)), "·", bdRateExtend( P221:P226,T221:T226, AH221:AH226,AL221:AL226))</f>
        <v>·</v>
      </c>
      <c r="BB221" s="28" t="str">
        <f>IF( OR(ISBLANK(P221:P226),ISBLANK(AH221:AH226), ISBLANK(U221:U226),ISBLANK(AM221:AM226)), "·", bdRateExtend( P221:P226,U221:U226, AH221:AH226,AM221:AM226))</f>
        <v>·</v>
      </c>
      <c r="BC221" s="28" t="str">
        <f>IF( OR(ISBLANK(P221:P226),ISBLANK(AH221:AH226), ISBLANK(V221:V226),ISBLANK(AN221:AN226)), "·", bdRateExtend( P221:P226,V221:V226, AH221:AH226,AN221:AN226))</f>
        <v>·</v>
      </c>
      <c r="BD221" s="29"/>
    </row>
    <row r="222" spans="1:56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 t="str">
        <f t="shared" si="34"/>
        <v>·</v>
      </c>
      <c r="K222" s="34" t="str">
        <f t="shared" si="35"/>
        <v>·</v>
      </c>
      <c r="L222" s="34" t="str">
        <f t="shared" si="36"/>
        <v>·</v>
      </c>
      <c r="M222" s="35"/>
      <c r="N222" s="34" t="str">
        <f t="shared" si="37"/>
        <v>·</v>
      </c>
      <c r="O222" s="36"/>
      <c r="P222" s="37"/>
      <c r="Q222" s="37"/>
      <c r="R222" s="37"/>
      <c r="S222" s="38"/>
      <c r="T222" s="39"/>
      <c r="U222" s="39"/>
      <c r="V222" s="39"/>
      <c r="W222" s="38"/>
      <c r="X222" s="41"/>
      <c r="Y222" s="41"/>
      <c r="AA222" s="33" t="str">
        <f t="shared" si="38"/>
        <v>·</v>
      </c>
      <c r="AB222" s="34" t="str">
        <f t="shared" si="39"/>
        <v>·</v>
      </c>
      <c r="AC222" s="34" t="str">
        <f t="shared" si="40"/>
        <v>·</v>
      </c>
      <c r="AD222" s="34" t="str">
        <f t="shared" si="41"/>
        <v>·</v>
      </c>
      <c r="AE222" s="35"/>
      <c r="AF222" s="34" t="str">
        <f t="shared" si="42"/>
        <v>·</v>
      </c>
      <c r="AG222" s="36"/>
      <c r="AH222" s="37"/>
      <c r="AI222" s="37"/>
      <c r="AJ222" s="37"/>
      <c r="AK222" s="38"/>
      <c r="AL222" s="39"/>
      <c r="AM222" s="39"/>
      <c r="AN222" s="39"/>
      <c r="AO222" s="38"/>
      <c r="AP222" s="41"/>
      <c r="AQ222" s="41"/>
      <c r="AS222" s="42" t="e">
        <f t="shared" si="43"/>
        <v>#DIV/0!</v>
      </c>
      <c r="AT222" s="42"/>
      <c r="AV222" s="43"/>
      <c r="AW222" s="43"/>
      <c r="AX222" s="43"/>
      <c r="AY222" s="44"/>
      <c r="BA222" s="43"/>
      <c r="BB222" s="43"/>
      <c r="BC222" s="43"/>
      <c r="BD222" s="44"/>
    </row>
    <row r="223" spans="1:56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 t="str">
        <f t="shared" si="34"/>
        <v>·</v>
      </c>
      <c r="K223" s="19" t="str">
        <f t="shared" si="35"/>
        <v>·</v>
      </c>
      <c r="L223" s="19" t="str">
        <f t="shared" si="36"/>
        <v>·</v>
      </c>
      <c r="M223" s="20"/>
      <c r="N223" s="19" t="str">
        <f t="shared" si="37"/>
        <v>·</v>
      </c>
      <c r="O223" s="21"/>
      <c r="P223" s="22"/>
      <c r="Q223" s="22"/>
      <c r="R223" s="22"/>
      <c r="S223" s="23"/>
      <c r="T223" s="24"/>
      <c r="U223" s="24"/>
      <c r="V223" s="24"/>
      <c r="W223" s="23"/>
      <c r="X223" s="26"/>
      <c r="Y223" s="26"/>
      <c r="AA223" s="18" t="str">
        <f t="shared" si="38"/>
        <v>·</v>
      </c>
      <c r="AB223" s="19" t="str">
        <f t="shared" si="39"/>
        <v>·</v>
      </c>
      <c r="AC223" s="19" t="str">
        <f t="shared" si="40"/>
        <v>·</v>
      </c>
      <c r="AD223" s="19" t="str">
        <f t="shared" si="41"/>
        <v>·</v>
      </c>
      <c r="AE223" s="20"/>
      <c r="AF223" s="19" t="str">
        <f t="shared" si="42"/>
        <v>·</v>
      </c>
      <c r="AG223" s="21"/>
      <c r="AH223" s="22"/>
      <c r="AI223" s="22"/>
      <c r="AJ223" s="22"/>
      <c r="AK223" s="23"/>
      <c r="AL223" s="24"/>
      <c r="AM223" s="24"/>
      <c r="AN223" s="24"/>
      <c r="AO223" s="23"/>
      <c r="AP223" s="26"/>
      <c r="AQ223" s="26"/>
      <c r="AS223" s="27" t="e">
        <f t="shared" si="43"/>
        <v>#DIV/0!</v>
      </c>
      <c r="AT223" s="27"/>
      <c r="AV223" s="28"/>
      <c r="AW223" s="28"/>
      <c r="AX223" s="28"/>
      <c r="AY223" s="29"/>
      <c r="BA223" s="28"/>
      <c r="BB223" s="28"/>
      <c r="BC223" s="28"/>
      <c r="BD223" s="29"/>
    </row>
    <row r="224" spans="1:56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8"/>
      <c r="X224" s="41"/>
      <c r="Y224" s="41"/>
      <c r="AA224" s="33" t="str">
        <f t="shared" si="38"/>
        <v>·</v>
      </c>
      <c r="AB224" s="34" t="str">
        <f t="shared" si="39"/>
        <v>·</v>
      </c>
      <c r="AC224" s="34" t="str">
        <f t="shared" si="40"/>
        <v>·</v>
      </c>
      <c r="AD224" s="34" t="str">
        <f t="shared" si="41"/>
        <v>·</v>
      </c>
      <c r="AE224" s="35"/>
      <c r="AF224" s="34" t="str">
        <f t="shared" si="42"/>
        <v>·</v>
      </c>
      <c r="AG224" s="36"/>
      <c r="AH224" s="37"/>
      <c r="AI224" s="37"/>
      <c r="AJ224" s="37"/>
      <c r="AK224" s="38"/>
      <c r="AL224" s="39"/>
      <c r="AM224" s="39"/>
      <c r="AN224" s="39"/>
      <c r="AO224" s="38"/>
      <c r="AP224" s="41"/>
      <c r="AQ224" s="41"/>
      <c r="AS224" s="42" t="e">
        <f t="shared" si="43"/>
        <v>#DIV/0!</v>
      </c>
      <c r="AT224" s="42"/>
      <c r="AV224" s="43"/>
      <c r="AW224" s="43"/>
      <c r="AX224" s="43"/>
      <c r="AY224" s="44"/>
      <c r="BA224" s="43"/>
      <c r="BB224" s="43"/>
      <c r="BC224" s="43"/>
      <c r="BD224" s="44"/>
    </row>
    <row r="225" spans="1:56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3"/>
      <c r="X225" s="26"/>
      <c r="Y225" s="26"/>
      <c r="AA225" s="18" t="str">
        <f t="shared" si="38"/>
        <v>·</v>
      </c>
      <c r="AB225" s="19" t="str">
        <f t="shared" si="39"/>
        <v>·</v>
      </c>
      <c r="AC225" s="19" t="str">
        <f t="shared" si="40"/>
        <v>·</v>
      </c>
      <c r="AD225" s="19" t="str">
        <f t="shared" si="41"/>
        <v>·</v>
      </c>
      <c r="AE225" s="20"/>
      <c r="AF225" s="19" t="str">
        <f t="shared" si="42"/>
        <v>·</v>
      </c>
      <c r="AG225" s="21"/>
      <c r="AH225" s="22"/>
      <c r="AI225" s="22"/>
      <c r="AJ225" s="22"/>
      <c r="AK225" s="23"/>
      <c r="AL225" s="24"/>
      <c r="AM225" s="24"/>
      <c r="AN225" s="24"/>
      <c r="AO225" s="23"/>
      <c r="AP225" s="26"/>
      <c r="AQ225" s="26"/>
      <c r="AS225" s="27" t="e">
        <f t="shared" si="43"/>
        <v>#DIV/0!</v>
      </c>
      <c r="AT225" s="27"/>
      <c r="AV225" s="28"/>
      <c r="AW225" s="28"/>
      <c r="AX225" s="28"/>
      <c r="AY225" s="29"/>
      <c r="BA225" s="28"/>
      <c r="BB225" s="28"/>
      <c r="BC225" s="28"/>
      <c r="BD225" s="29"/>
    </row>
    <row r="226" spans="1:56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3"/>
      <c r="X226" s="56"/>
      <c r="Y226" s="56"/>
      <c r="AA226" s="48" t="str">
        <f t="shared" si="38"/>
        <v>·</v>
      </c>
      <c r="AB226" s="49" t="str">
        <f t="shared" si="39"/>
        <v>·</v>
      </c>
      <c r="AC226" s="49" t="str">
        <f t="shared" si="40"/>
        <v>·</v>
      </c>
      <c r="AD226" s="49" t="str">
        <f t="shared" si="41"/>
        <v>·</v>
      </c>
      <c r="AE226" s="50"/>
      <c r="AF226" s="49" t="str">
        <f t="shared" si="42"/>
        <v>·</v>
      </c>
      <c r="AG226" s="51"/>
      <c r="AH226" s="52"/>
      <c r="AI226" s="52"/>
      <c r="AJ226" s="52"/>
      <c r="AK226" s="53"/>
      <c r="AL226" s="54"/>
      <c r="AM226" s="54"/>
      <c r="AN226" s="54"/>
      <c r="AO226" s="53"/>
      <c r="AP226" s="56"/>
      <c r="AQ226" s="56"/>
      <c r="AS226" s="57" t="e">
        <f t="shared" si="43"/>
        <v>#DIV/0!</v>
      </c>
      <c r="AT226" s="57"/>
      <c r="AV226" s="58"/>
      <c r="AW226" s="58"/>
      <c r="AX226" s="58"/>
      <c r="AY226" s="59"/>
      <c r="BA226" s="58"/>
      <c r="BB226" s="58"/>
      <c r="BC226" s="58"/>
      <c r="BD226" s="59"/>
    </row>
    <row r="227" spans="1:56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 t="str">
        <f t="shared" si="34"/>
        <v>·</v>
      </c>
      <c r="K227" s="19" t="str">
        <f t="shared" si="35"/>
        <v>·</v>
      </c>
      <c r="L227" s="19" t="str">
        <f t="shared" si="36"/>
        <v>·</v>
      </c>
      <c r="M227" s="20"/>
      <c r="N227" s="19" t="str">
        <f t="shared" si="37"/>
        <v>·</v>
      </c>
      <c r="O227" s="21"/>
      <c r="P227" s="22"/>
      <c r="Q227" s="22"/>
      <c r="R227" s="22"/>
      <c r="S227" s="23"/>
      <c r="T227" s="24"/>
      <c r="U227" s="24"/>
      <c r="V227" s="24"/>
      <c r="W227" s="23"/>
      <c r="X227" s="26"/>
      <c r="Y227" s="26"/>
      <c r="AA227" s="18" t="str">
        <f t="shared" si="38"/>
        <v>·</v>
      </c>
      <c r="AB227" s="19" t="str">
        <f t="shared" si="39"/>
        <v>·</v>
      </c>
      <c r="AC227" s="19" t="str">
        <f t="shared" si="40"/>
        <v>·</v>
      </c>
      <c r="AD227" s="19" t="str">
        <f t="shared" si="41"/>
        <v>·</v>
      </c>
      <c r="AE227" s="20"/>
      <c r="AF227" s="19" t="str">
        <f t="shared" si="42"/>
        <v>·</v>
      </c>
      <c r="AG227" s="21"/>
      <c r="AH227" s="22"/>
      <c r="AI227" s="22"/>
      <c r="AJ227" s="22"/>
      <c r="AK227" s="23"/>
      <c r="AL227" s="24"/>
      <c r="AM227" s="24"/>
      <c r="AN227" s="24"/>
      <c r="AO227" s="23"/>
      <c r="AP227" s="26"/>
      <c r="AQ227" s="26"/>
      <c r="AS227" s="27" t="e">
        <f t="shared" si="43"/>
        <v>#DIV/0!</v>
      </c>
      <c r="AT227" s="27" t="e">
        <f t="array" ref="AT227">AVERAGE(AI227:AI232/AH227:AH232) - AVERAGE(Q227:Q232/P227:P232)</f>
        <v>#DIV/0!</v>
      </c>
      <c r="AV227" s="28" t="str">
        <f>IF( OR(ISBLANK(R227:R232),ISBLANK(AJ227:AJ232), ISBLANK(T227:T232),ISBLANK(AL227:AL232)), "·", bdRateExtend( R227:R232,T227:T232, AJ227:AJ232,AL227:AL232))</f>
        <v>·</v>
      </c>
      <c r="AW227" s="28" t="str">
        <f>IF( OR(ISBLANK(R227:R232),ISBLANK(AJ227:AJ232), ISBLANK(U227:U232),ISBLANK(AM227:AM232)), "·", bdRateExtend( R227:R232,U227:U232, AJ227:AJ232,AM227:AM232))</f>
        <v>·</v>
      </c>
      <c r="AX227" s="28" t="str">
        <f>IF( OR(ISBLANK(R227:R232),ISBLANK(AJ227:AJ232), ISBLANK(V227:V232),ISBLANK(AN227:AN232)), "·", bdRateExtend( R227:R232,V227:V232, AJ227:AJ232,AN227:AN232))</f>
        <v>·</v>
      </c>
      <c r="AY227" s="29"/>
      <c r="BA227" s="28" t="str">
        <f>IF( OR(ISBLANK(P227:P232),ISBLANK(AH227:AH232), ISBLANK(T227:T232),ISBLANK(AL227:AL232)), "·", bdRateExtend( P227:P232,T227:T232, AH227:AH232,AL227:AL232))</f>
        <v>·</v>
      </c>
      <c r="BB227" s="28" t="str">
        <f>IF( OR(ISBLANK(P227:P232),ISBLANK(AH227:AH232), ISBLANK(U227:U232),ISBLANK(AM227:AM232)), "·", bdRateExtend( P227:P232,U227:U232, AH227:AH232,AM227:AM232))</f>
        <v>·</v>
      </c>
      <c r="BC227" s="28" t="str">
        <f>IF( OR(ISBLANK(P227:P232),ISBLANK(AH227:AH232), ISBLANK(V227:V232),ISBLANK(AN227:AN232)), "·", bdRateExtend( P227:P232,V227:V232, AH227:AH232,AN227:AN232))</f>
        <v>·</v>
      </c>
      <c r="BD227" s="29"/>
    </row>
    <row r="228" spans="1:56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 t="str">
        <f t="shared" si="34"/>
        <v>·</v>
      </c>
      <c r="K228" s="34" t="str">
        <f t="shared" si="35"/>
        <v>·</v>
      </c>
      <c r="L228" s="34" t="str">
        <f t="shared" si="36"/>
        <v>·</v>
      </c>
      <c r="M228" s="35"/>
      <c r="N228" s="34" t="str">
        <f t="shared" si="37"/>
        <v>·</v>
      </c>
      <c r="O228" s="36"/>
      <c r="P228" s="37"/>
      <c r="Q228" s="37"/>
      <c r="R228" s="37"/>
      <c r="S228" s="38"/>
      <c r="T228" s="39"/>
      <c r="U228" s="39"/>
      <c r="V228" s="39"/>
      <c r="W228" s="38"/>
      <c r="X228" s="41"/>
      <c r="Y228" s="41"/>
      <c r="AA228" s="33" t="str">
        <f t="shared" si="38"/>
        <v>·</v>
      </c>
      <c r="AB228" s="34" t="str">
        <f t="shared" si="39"/>
        <v>·</v>
      </c>
      <c r="AC228" s="34" t="str">
        <f t="shared" si="40"/>
        <v>·</v>
      </c>
      <c r="AD228" s="34" t="str">
        <f t="shared" si="41"/>
        <v>·</v>
      </c>
      <c r="AE228" s="35"/>
      <c r="AF228" s="34" t="str">
        <f t="shared" si="42"/>
        <v>·</v>
      </c>
      <c r="AG228" s="36"/>
      <c r="AH228" s="37"/>
      <c r="AI228" s="37"/>
      <c r="AJ228" s="37"/>
      <c r="AK228" s="38"/>
      <c r="AL228" s="39"/>
      <c r="AM228" s="39"/>
      <c r="AN228" s="39"/>
      <c r="AO228" s="38"/>
      <c r="AP228" s="41"/>
      <c r="AQ228" s="41"/>
      <c r="AS228" s="42" t="e">
        <f t="shared" si="43"/>
        <v>#DIV/0!</v>
      </c>
      <c r="AT228" s="42"/>
      <c r="AV228" s="43"/>
      <c r="AW228" s="43"/>
      <c r="AX228" s="43"/>
      <c r="AY228" s="44"/>
      <c r="BA228" s="43"/>
      <c r="BB228" s="43"/>
      <c r="BC228" s="43"/>
      <c r="BD228" s="44"/>
    </row>
    <row r="229" spans="1:56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 t="str">
        <f t="shared" si="34"/>
        <v>·</v>
      </c>
      <c r="K229" s="19" t="str">
        <f t="shared" si="35"/>
        <v>·</v>
      </c>
      <c r="L229" s="19" t="str">
        <f t="shared" si="36"/>
        <v>·</v>
      </c>
      <c r="M229" s="20"/>
      <c r="N229" s="19" t="str">
        <f t="shared" si="37"/>
        <v>·</v>
      </c>
      <c r="O229" s="21"/>
      <c r="P229" s="22"/>
      <c r="Q229" s="22"/>
      <c r="R229" s="22"/>
      <c r="S229" s="23"/>
      <c r="T229" s="24"/>
      <c r="U229" s="24"/>
      <c r="V229" s="24"/>
      <c r="W229" s="23"/>
      <c r="X229" s="26"/>
      <c r="Y229" s="26"/>
      <c r="AA229" s="18" t="str">
        <f t="shared" si="38"/>
        <v>·</v>
      </c>
      <c r="AB229" s="19" t="str">
        <f t="shared" si="39"/>
        <v>·</v>
      </c>
      <c r="AC229" s="19" t="str">
        <f t="shared" si="40"/>
        <v>·</v>
      </c>
      <c r="AD229" s="19" t="str">
        <f t="shared" si="41"/>
        <v>·</v>
      </c>
      <c r="AE229" s="20"/>
      <c r="AF229" s="19" t="str">
        <f t="shared" si="42"/>
        <v>·</v>
      </c>
      <c r="AG229" s="21"/>
      <c r="AH229" s="22"/>
      <c r="AI229" s="22"/>
      <c r="AJ229" s="22"/>
      <c r="AK229" s="23"/>
      <c r="AL229" s="24"/>
      <c r="AM229" s="24"/>
      <c r="AN229" s="24"/>
      <c r="AO229" s="23"/>
      <c r="AP229" s="26"/>
      <c r="AQ229" s="26"/>
      <c r="AS229" s="27" t="e">
        <f t="shared" si="43"/>
        <v>#DIV/0!</v>
      </c>
      <c r="AT229" s="27"/>
      <c r="AV229" s="28"/>
      <c r="AW229" s="28"/>
      <c r="AX229" s="28"/>
      <c r="AY229" s="29"/>
      <c r="BA229" s="28"/>
      <c r="BB229" s="28"/>
      <c r="BC229" s="28"/>
      <c r="BD229" s="29"/>
    </row>
    <row r="230" spans="1:56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8"/>
      <c r="X230" s="41"/>
      <c r="Y230" s="41"/>
      <c r="AA230" s="33" t="str">
        <f t="shared" si="38"/>
        <v>·</v>
      </c>
      <c r="AB230" s="34" t="str">
        <f t="shared" si="39"/>
        <v>·</v>
      </c>
      <c r="AC230" s="34" t="str">
        <f t="shared" si="40"/>
        <v>·</v>
      </c>
      <c r="AD230" s="34" t="str">
        <f t="shared" si="41"/>
        <v>·</v>
      </c>
      <c r="AE230" s="35"/>
      <c r="AF230" s="34" t="str">
        <f t="shared" si="42"/>
        <v>·</v>
      </c>
      <c r="AG230" s="36"/>
      <c r="AH230" s="37"/>
      <c r="AI230" s="37"/>
      <c r="AJ230" s="37"/>
      <c r="AK230" s="38"/>
      <c r="AL230" s="39"/>
      <c r="AM230" s="39"/>
      <c r="AN230" s="39"/>
      <c r="AO230" s="38"/>
      <c r="AP230" s="41"/>
      <c r="AQ230" s="41"/>
      <c r="AS230" s="42" t="e">
        <f t="shared" si="43"/>
        <v>#DIV/0!</v>
      </c>
      <c r="AT230" s="42"/>
      <c r="AV230" s="43"/>
      <c r="AW230" s="43"/>
      <c r="AX230" s="43"/>
      <c r="AY230" s="44"/>
      <c r="BA230" s="43"/>
      <c r="BB230" s="43"/>
      <c r="BC230" s="43"/>
      <c r="BD230" s="44"/>
    </row>
    <row r="231" spans="1:56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3"/>
      <c r="X231" s="26"/>
      <c r="Y231" s="26"/>
      <c r="AA231" s="18" t="str">
        <f t="shared" si="38"/>
        <v>·</v>
      </c>
      <c r="AB231" s="19" t="str">
        <f t="shared" si="39"/>
        <v>·</v>
      </c>
      <c r="AC231" s="19" t="str">
        <f t="shared" si="40"/>
        <v>·</v>
      </c>
      <c r="AD231" s="19" t="str">
        <f t="shared" si="41"/>
        <v>·</v>
      </c>
      <c r="AE231" s="20"/>
      <c r="AF231" s="19" t="str">
        <f t="shared" si="42"/>
        <v>·</v>
      </c>
      <c r="AG231" s="21"/>
      <c r="AH231" s="22"/>
      <c r="AI231" s="22"/>
      <c r="AJ231" s="22"/>
      <c r="AK231" s="23"/>
      <c r="AL231" s="24"/>
      <c r="AM231" s="24"/>
      <c r="AN231" s="24"/>
      <c r="AO231" s="23"/>
      <c r="AP231" s="26"/>
      <c r="AQ231" s="26"/>
      <c r="AS231" s="27" t="e">
        <f t="shared" si="43"/>
        <v>#DIV/0!</v>
      </c>
      <c r="AT231" s="27"/>
      <c r="AV231" s="28"/>
      <c r="AW231" s="28"/>
      <c r="AX231" s="28"/>
      <c r="AY231" s="29"/>
      <c r="BA231" s="28"/>
      <c r="BB231" s="28"/>
      <c r="BC231" s="28"/>
      <c r="BD231" s="29"/>
    </row>
    <row r="232" spans="1:56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3"/>
      <c r="X232" s="56"/>
      <c r="Y232" s="56"/>
      <c r="AA232" s="48" t="str">
        <f t="shared" si="38"/>
        <v>·</v>
      </c>
      <c r="AB232" s="49" t="str">
        <f t="shared" si="39"/>
        <v>·</v>
      </c>
      <c r="AC232" s="49" t="str">
        <f t="shared" si="40"/>
        <v>·</v>
      </c>
      <c r="AD232" s="49" t="str">
        <f t="shared" si="41"/>
        <v>·</v>
      </c>
      <c r="AE232" s="50"/>
      <c r="AF232" s="49" t="str">
        <f t="shared" si="42"/>
        <v>·</v>
      </c>
      <c r="AG232" s="51"/>
      <c r="AH232" s="52"/>
      <c r="AI232" s="52"/>
      <c r="AJ232" s="52"/>
      <c r="AK232" s="53"/>
      <c r="AL232" s="54"/>
      <c r="AM232" s="54"/>
      <c r="AN232" s="54"/>
      <c r="AO232" s="53"/>
      <c r="AP232" s="56"/>
      <c r="AQ232" s="56"/>
      <c r="AS232" s="57" t="e">
        <f t="shared" si="43"/>
        <v>#DIV/0!</v>
      </c>
      <c r="AT232" s="57"/>
      <c r="AV232" s="58"/>
      <c r="AW232" s="58"/>
      <c r="AX232" s="58"/>
      <c r="AY232" s="59"/>
      <c r="BA232" s="58"/>
      <c r="BB232" s="58"/>
      <c r="BC232" s="58"/>
      <c r="BD232" s="59"/>
    </row>
    <row r="233" spans="1:56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 t="str">
        <f t="shared" si="34"/>
        <v>·</v>
      </c>
      <c r="K233" s="19" t="str">
        <f t="shared" si="35"/>
        <v>·</v>
      </c>
      <c r="L233" s="19" t="str">
        <f t="shared" si="36"/>
        <v>·</v>
      </c>
      <c r="M233" s="20"/>
      <c r="N233" s="19" t="str">
        <f t="shared" si="37"/>
        <v>·</v>
      </c>
      <c r="O233" s="21"/>
      <c r="P233" s="22"/>
      <c r="Q233" s="22"/>
      <c r="R233" s="22"/>
      <c r="S233" s="23"/>
      <c r="T233" s="24"/>
      <c r="U233" s="24"/>
      <c r="V233" s="24"/>
      <c r="W233" s="23"/>
      <c r="X233" s="26"/>
      <c r="Y233" s="26"/>
      <c r="AA233" s="18" t="str">
        <f t="shared" si="38"/>
        <v>·</v>
      </c>
      <c r="AB233" s="19" t="str">
        <f t="shared" si="39"/>
        <v>·</v>
      </c>
      <c r="AC233" s="19" t="str">
        <f t="shared" si="40"/>
        <v>·</v>
      </c>
      <c r="AD233" s="19" t="str">
        <f t="shared" si="41"/>
        <v>·</v>
      </c>
      <c r="AE233" s="20"/>
      <c r="AF233" s="19" t="str">
        <f t="shared" si="42"/>
        <v>·</v>
      </c>
      <c r="AG233" s="21"/>
      <c r="AH233" s="22"/>
      <c r="AI233" s="22"/>
      <c r="AJ233" s="22"/>
      <c r="AK233" s="23"/>
      <c r="AL233" s="24"/>
      <c r="AM233" s="24"/>
      <c r="AN233" s="24"/>
      <c r="AO233" s="23"/>
      <c r="AP233" s="26"/>
      <c r="AQ233" s="26"/>
      <c r="AS233" s="27" t="e">
        <f t="shared" si="43"/>
        <v>#DIV/0!</v>
      </c>
      <c r="AT233" s="27" t="e">
        <f t="array" ref="AT233">AVERAGE(AI233:AI238/AH233:AH238) - AVERAGE(Q233:Q238/P233:P238)</f>
        <v>#DIV/0!</v>
      </c>
      <c r="AV233" s="28" t="str">
        <f>IF( OR(ISBLANK(R233:R238),ISBLANK(AJ233:AJ238), ISBLANK(T233:T238),ISBLANK(AL233:AL238)), "·", bdRateExtend( R233:R238,T233:T238, AJ233:AJ238,AL233:AL238))</f>
        <v>·</v>
      </c>
      <c r="AW233" s="28" t="str">
        <f>IF( OR(ISBLANK(R233:R238),ISBLANK(AJ233:AJ238), ISBLANK(U233:U238),ISBLANK(AM233:AM238)), "·", bdRateExtend( R233:R238,U233:U238, AJ233:AJ238,AM233:AM238))</f>
        <v>·</v>
      </c>
      <c r="AX233" s="28" t="str">
        <f>IF( OR(ISBLANK(R233:R238),ISBLANK(AJ233:AJ238), ISBLANK(V233:V238),ISBLANK(AN233:AN238)), "·", bdRateExtend( R233:R238,V233:V238, AJ233:AJ238,AN233:AN238))</f>
        <v>·</v>
      </c>
      <c r="AY233" s="29"/>
      <c r="BA233" s="28" t="str">
        <f>IF( OR(ISBLANK(P233:P238),ISBLANK(AH233:AH238), ISBLANK(T233:T238),ISBLANK(AL233:AL238)), "·", bdRateExtend( P233:P238,T233:T238, AH233:AH238,AL233:AL238))</f>
        <v>·</v>
      </c>
      <c r="BB233" s="28" t="str">
        <f>IF( OR(ISBLANK(P233:P238),ISBLANK(AH233:AH238), ISBLANK(U233:U238),ISBLANK(AM233:AM238)), "·", bdRateExtend( P233:P238,U233:U238, AH233:AH238,AM233:AM238))</f>
        <v>·</v>
      </c>
      <c r="BC233" s="28" t="str">
        <f>IF( OR(ISBLANK(P233:P238),ISBLANK(AH233:AH238), ISBLANK(V233:V238),ISBLANK(AN233:AN238)), "·", bdRateExtend( P233:P238,V233:V238, AH233:AH238,AN233:AN238))</f>
        <v>·</v>
      </c>
      <c r="BD233" s="29"/>
    </row>
    <row r="234" spans="1:56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 t="str">
        <f t="shared" si="34"/>
        <v>·</v>
      </c>
      <c r="K234" s="34" t="str">
        <f t="shared" si="35"/>
        <v>·</v>
      </c>
      <c r="L234" s="34" t="str">
        <f t="shared" si="36"/>
        <v>·</v>
      </c>
      <c r="M234" s="35"/>
      <c r="N234" s="34" t="str">
        <f t="shared" si="37"/>
        <v>·</v>
      </c>
      <c r="O234" s="36"/>
      <c r="P234" s="37"/>
      <c r="Q234" s="37"/>
      <c r="R234" s="37"/>
      <c r="S234" s="38"/>
      <c r="T234" s="39"/>
      <c r="U234" s="39"/>
      <c r="V234" s="39"/>
      <c r="W234" s="38"/>
      <c r="X234" s="41"/>
      <c r="Y234" s="41"/>
      <c r="AA234" s="33" t="str">
        <f t="shared" si="38"/>
        <v>·</v>
      </c>
      <c r="AB234" s="34" t="str">
        <f t="shared" si="39"/>
        <v>·</v>
      </c>
      <c r="AC234" s="34" t="str">
        <f t="shared" si="40"/>
        <v>·</v>
      </c>
      <c r="AD234" s="34" t="str">
        <f t="shared" si="41"/>
        <v>·</v>
      </c>
      <c r="AE234" s="35"/>
      <c r="AF234" s="34" t="str">
        <f t="shared" si="42"/>
        <v>·</v>
      </c>
      <c r="AG234" s="36"/>
      <c r="AH234" s="37"/>
      <c r="AI234" s="37"/>
      <c r="AJ234" s="37"/>
      <c r="AK234" s="38"/>
      <c r="AL234" s="39"/>
      <c r="AM234" s="39"/>
      <c r="AN234" s="39"/>
      <c r="AO234" s="38"/>
      <c r="AP234" s="41"/>
      <c r="AQ234" s="41"/>
      <c r="AS234" s="42" t="e">
        <f t="shared" si="43"/>
        <v>#DIV/0!</v>
      </c>
      <c r="AT234" s="42"/>
      <c r="AV234" s="43"/>
      <c r="AW234" s="43"/>
      <c r="AX234" s="43"/>
      <c r="AY234" s="44"/>
      <c r="BA234" s="43"/>
      <c r="BB234" s="43"/>
      <c r="BC234" s="43"/>
      <c r="BD234" s="44"/>
    </row>
    <row r="235" spans="1:56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 t="str">
        <f t="shared" si="34"/>
        <v>·</v>
      </c>
      <c r="K235" s="19" t="str">
        <f t="shared" si="35"/>
        <v>·</v>
      </c>
      <c r="L235" s="19" t="str">
        <f t="shared" si="36"/>
        <v>·</v>
      </c>
      <c r="M235" s="20"/>
      <c r="N235" s="19" t="str">
        <f t="shared" si="37"/>
        <v>·</v>
      </c>
      <c r="O235" s="21"/>
      <c r="P235" s="22"/>
      <c r="Q235" s="22"/>
      <c r="R235" s="22"/>
      <c r="S235" s="23"/>
      <c r="T235" s="24"/>
      <c r="U235" s="24"/>
      <c r="V235" s="24"/>
      <c r="W235" s="23"/>
      <c r="X235" s="26"/>
      <c r="Y235" s="26"/>
      <c r="AA235" s="18" t="str">
        <f t="shared" si="38"/>
        <v>·</v>
      </c>
      <c r="AB235" s="19" t="str">
        <f t="shared" si="39"/>
        <v>·</v>
      </c>
      <c r="AC235" s="19" t="str">
        <f t="shared" si="40"/>
        <v>·</v>
      </c>
      <c r="AD235" s="19" t="str">
        <f t="shared" si="41"/>
        <v>·</v>
      </c>
      <c r="AE235" s="20"/>
      <c r="AF235" s="19" t="str">
        <f t="shared" si="42"/>
        <v>·</v>
      </c>
      <c r="AG235" s="21"/>
      <c r="AH235" s="22"/>
      <c r="AI235" s="22"/>
      <c r="AJ235" s="22"/>
      <c r="AK235" s="23"/>
      <c r="AL235" s="24"/>
      <c r="AM235" s="24"/>
      <c r="AN235" s="24"/>
      <c r="AO235" s="23"/>
      <c r="AP235" s="26"/>
      <c r="AQ235" s="26"/>
      <c r="AS235" s="27" t="e">
        <f t="shared" si="43"/>
        <v>#DIV/0!</v>
      </c>
      <c r="AT235" s="27"/>
      <c r="AV235" s="28"/>
      <c r="AW235" s="28"/>
      <c r="AX235" s="28"/>
      <c r="AY235" s="29"/>
      <c r="BA235" s="28"/>
      <c r="BB235" s="28"/>
      <c r="BC235" s="28"/>
      <c r="BD235" s="29"/>
    </row>
    <row r="236" spans="1:56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 t="str">
        <f t="shared" si="34"/>
        <v>·</v>
      </c>
      <c r="K236" s="34" t="str">
        <f t="shared" si="35"/>
        <v>·</v>
      </c>
      <c r="L236" s="34" t="str">
        <f t="shared" si="36"/>
        <v>·</v>
      </c>
      <c r="M236" s="35"/>
      <c r="N236" s="34" t="str">
        <f t="shared" si="37"/>
        <v>·</v>
      </c>
      <c r="O236" s="36"/>
      <c r="P236" s="37"/>
      <c r="Q236" s="37"/>
      <c r="R236" s="37"/>
      <c r="S236" s="38"/>
      <c r="T236" s="39"/>
      <c r="U236" s="39"/>
      <c r="V236" s="39"/>
      <c r="W236" s="38"/>
      <c r="X236" s="41"/>
      <c r="Y236" s="41"/>
      <c r="AA236" s="33" t="str">
        <f t="shared" si="38"/>
        <v>·</v>
      </c>
      <c r="AB236" s="34" t="str">
        <f t="shared" si="39"/>
        <v>·</v>
      </c>
      <c r="AC236" s="34" t="str">
        <f t="shared" si="40"/>
        <v>·</v>
      </c>
      <c r="AD236" s="34" t="str">
        <f t="shared" si="41"/>
        <v>·</v>
      </c>
      <c r="AE236" s="35"/>
      <c r="AF236" s="34" t="str">
        <f t="shared" si="42"/>
        <v>·</v>
      </c>
      <c r="AG236" s="36"/>
      <c r="AH236" s="37"/>
      <c r="AI236" s="37"/>
      <c r="AJ236" s="37"/>
      <c r="AK236" s="38"/>
      <c r="AL236" s="39"/>
      <c r="AM236" s="39"/>
      <c r="AN236" s="39"/>
      <c r="AO236" s="38"/>
      <c r="AP236" s="41"/>
      <c r="AQ236" s="41"/>
      <c r="AS236" s="42" t="e">
        <f t="shared" si="43"/>
        <v>#DIV/0!</v>
      </c>
      <c r="AT236" s="42"/>
      <c r="AV236" s="43"/>
      <c r="AW236" s="43"/>
      <c r="AX236" s="43"/>
      <c r="AY236" s="44"/>
      <c r="BA236" s="43"/>
      <c r="BB236" s="43"/>
      <c r="BC236" s="43"/>
      <c r="BD236" s="44"/>
    </row>
    <row r="237" spans="1:56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3"/>
      <c r="X237" s="26"/>
      <c r="Y237" s="26"/>
      <c r="AA237" s="18" t="str">
        <f t="shared" si="38"/>
        <v>·</v>
      </c>
      <c r="AB237" s="19" t="str">
        <f t="shared" si="39"/>
        <v>·</v>
      </c>
      <c r="AC237" s="19" t="str">
        <f t="shared" si="40"/>
        <v>·</v>
      </c>
      <c r="AD237" s="19" t="str">
        <f t="shared" si="41"/>
        <v>·</v>
      </c>
      <c r="AE237" s="20"/>
      <c r="AF237" s="19" t="str">
        <f t="shared" si="42"/>
        <v>·</v>
      </c>
      <c r="AG237" s="21"/>
      <c r="AH237" s="22"/>
      <c r="AI237" s="22"/>
      <c r="AJ237" s="22"/>
      <c r="AK237" s="23"/>
      <c r="AL237" s="24"/>
      <c r="AM237" s="24"/>
      <c r="AN237" s="24"/>
      <c r="AO237" s="23"/>
      <c r="AP237" s="26"/>
      <c r="AQ237" s="26"/>
      <c r="AS237" s="27" t="e">
        <f t="shared" si="43"/>
        <v>#DIV/0!</v>
      </c>
      <c r="AT237" s="27"/>
      <c r="AV237" s="28"/>
      <c r="AW237" s="28"/>
      <c r="AX237" s="28"/>
      <c r="AY237" s="29"/>
      <c r="BA237" s="28"/>
      <c r="BB237" s="28"/>
      <c r="BC237" s="28"/>
      <c r="BD237" s="29"/>
    </row>
    <row r="238" spans="1:56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3"/>
      <c r="X238" s="56"/>
      <c r="Y238" s="56"/>
      <c r="AA238" s="48" t="str">
        <f t="shared" si="38"/>
        <v>·</v>
      </c>
      <c r="AB238" s="49" t="str">
        <f t="shared" si="39"/>
        <v>·</v>
      </c>
      <c r="AC238" s="49" t="str">
        <f t="shared" si="40"/>
        <v>·</v>
      </c>
      <c r="AD238" s="49" t="str">
        <f t="shared" si="41"/>
        <v>·</v>
      </c>
      <c r="AE238" s="50"/>
      <c r="AF238" s="49" t="str">
        <f t="shared" si="42"/>
        <v>·</v>
      </c>
      <c r="AG238" s="51"/>
      <c r="AH238" s="52"/>
      <c r="AI238" s="52"/>
      <c r="AJ238" s="52"/>
      <c r="AK238" s="53"/>
      <c r="AL238" s="54"/>
      <c r="AM238" s="54"/>
      <c r="AN238" s="54"/>
      <c r="AO238" s="53"/>
      <c r="AP238" s="56"/>
      <c r="AQ238" s="56"/>
      <c r="AS238" s="57" t="e">
        <f t="shared" si="43"/>
        <v>#DIV/0!</v>
      </c>
      <c r="AT238" s="57"/>
      <c r="AV238" s="58"/>
      <c r="AW238" s="58"/>
      <c r="AX238" s="58"/>
      <c r="AY238" s="59"/>
      <c r="BA238" s="58"/>
      <c r="BB238" s="58"/>
      <c r="BC238" s="58"/>
      <c r="BD238" s="59"/>
    </row>
    <row r="239" spans="1:56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 t="str">
        <f t="shared" si="34"/>
        <v>·</v>
      </c>
      <c r="K239" s="19" t="str">
        <f t="shared" si="35"/>
        <v>·</v>
      </c>
      <c r="L239" s="19" t="str">
        <f t="shared" si="36"/>
        <v>·</v>
      </c>
      <c r="M239" s="20"/>
      <c r="N239" s="19" t="str">
        <f t="shared" si="37"/>
        <v>·</v>
      </c>
      <c r="O239" s="21"/>
      <c r="P239" s="22"/>
      <c r="Q239" s="22"/>
      <c r="R239" s="22"/>
      <c r="S239" s="23"/>
      <c r="T239" s="24"/>
      <c r="U239" s="24"/>
      <c r="V239" s="24"/>
      <c r="W239" s="23"/>
      <c r="X239" s="26"/>
      <c r="Y239" s="26"/>
      <c r="AA239" s="18" t="str">
        <f t="shared" si="38"/>
        <v>·</v>
      </c>
      <c r="AB239" s="19" t="str">
        <f t="shared" si="39"/>
        <v>·</v>
      </c>
      <c r="AC239" s="19" t="str">
        <f t="shared" si="40"/>
        <v>·</v>
      </c>
      <c r="AD239" s="19" t="str">
        <f t="shared" si="41"/>
        <v>·</v>
      </c>
      <c r="AE239" s="20"/>
      <c r="AF239" s="19" t="str">
        <f t="shared" si="42"/>
        <v>·</v>
      </c>
      <c r="AG239" s="21"/>
      <c r="AH239" s="22"/>
      <c r="AI239" s="22"/>
      <c r="AJ239" s="22"/>
      <c r="AK239" s="23"/>
      <c r="AL239" s="24"/>
      <c r="AM239" s="24"/>
      <c r="AN239" s="24"/>
      <c r="AO239" s="23"/>
      <c r="AP239" s="26"/>
      <c r="AQ239" s="26"/>
      <c r="AS239" s="27" t="e">
        <f t="shared" si="43"/>
        <v>#DIV/0!</v>
      </c>
      <c r="AT239" s="27" t="e">
        <f t="array" ref="AT239">AVERAGE(AI239:AI244/AH239:AH244) - AVERAGE(Q239:Q244/P239:P244)</f>
        <v>#DIV/0!</v>
      </c>
      <c r="AV239" s="28" t="str">
        <f>IF( OR(ISBLANK(R239:R244),ISBLANK(AJ239:AJ244), ISBLANK(T239:T244),ISBLANK(AL239:AL244)), "·", bdRateExtend( R239:R244,T239:T244, AJ239:AJ244,AL239:AL244))</f>
        <v>·</v>
      </c>
      <c r="AW239" s="28" t="str">
        <f>IF( OR(ISBLANK(R239:R244),ISBLANK(AJ239:AJ244), ISBLANK(U239:U244),ISBLANK(AM239:AM244)), "·", bdRateExtend( R239:R244,U239:U244, AJ239:AJ244,AM239:AM244))</f>
        <v>·</v>
      </c>
      <c r="AX239" s="28" t="str">
        <f>IF( OR(ISBLANK(R239:R244),ISBLANK(AJ239:AJ244), ISBLANK(V239:V244),ISBLANK(AN239:AN244)), "·", bdRateExtend( R239:R244,V239:V244, AJ239:AJ244,AN239:AN244))</f>
        <v>·</v>
      </c>
      <c r="AY239" s="29"/>
      <c r="BA239" s="28" t="str">
        <f>IF( OR(ISBLANK(P239:P244),ISBLANK(AH239:AH244), ISBLANK(T239:T244),ISBLANK(AL239:AL244)), "·", bdRateExtend( P239:P244,T239:T244, AH239:AH244,AL239:AL244))</f>
        <v>·</v>
      </c>
      <c r="BB239" s="28" t="str">
        <f>IF( OR(ISBLANK(P239:P244),ISBLANK(AH239:AH244), ISBLANK(U239:U244),ISBLANK(AM239:AM244)), "·", bdRateExtend( P239:P244,U239:U244, AH239:AH244,AM239:AM244))</f>
        <v>·</v>
      </c>
      <c r="BC239" s="28" t="str">
        <f>IF( OR(ISBLANK(P239:P244),ISBLANK(AH239:AH244), ISBLANK(V239:V244),ISBLANK(AN239:AN244)), "·", bdRateExtend( P239:P244,V239:V244, AH239:AH244,AN239:AN244))</f>
        <v>·</v>
      </c>
      <c r="BD239" s="29"/>
    </row>
    <row r="240" spans="1:56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 t="str">
        <f t="shared" si="34"/>
        <v>·</v>
      </c>
      <c r="K240" s="34" t="str">
        <f t="shared" si="35"/>
        <v>·</v>
      </c>
      <c r="L240" s="34" t="str">
        <f t="shared" si="36"/>
        <v>·</v>
      </c>
      <c r="M240" s="35"/>
      <c r="N240" s="34" t="str">
        <f t="shared" si="37"/>
        <v>·</v>
      </c>
      <c r="O240" s="36"/>
      <c r="P240" s="37"/>
      <c r="Q240" s="37"/>
      <c r="R240" s="37"/>
      <c r="S240" s="38"/>
      <c r="T240" s="39"/>
      <c r="U240" s="39"/>
      <c r="V240" s="39"/>
      <c r="W240" s="38"/>
      <c r="X240" s="41"/>
      <c r="Y240" s="41"/>
      <c r="AA240" s="33" t="str">
        <f t="shared" si="38"/>
        <v>·</v>
      </c>
      <c r="AB240" s="34" t="str">
        <f t="shared" si="39"/>
        <v>·</v>
      </c>
      <c r="AC240" s="34" t="str">
        <f t="shared" si="40"/>
        <v>·</v>
      </c>
      <c r="AD240" s="34" t="str">
        <f t="shared" si="41"/>
        <v>·</v>
      </c>
      <c r="AE240" s="35"/>
      <c r="AF240" s="34" t="str">
        <f t="shared" si="42"/>
        <v>·</v>
      </c>
      <c r="AG240" s="36"/>
      <c r="AH240" s="37"/>
      <c r="AI240" s="37"/>
      <c r="AJ240" s="37"/>
      <c r="AK240" s="38"/>
      <c r="AL240" s="39"/>
      <c r="AM240" s="39"/>
      <c r="AN240" s="39"/>
      <c r="AO240" s="38"/>
      <c r="AP240" s="41"/>
      <c r="AQ240" s="41"/>
      <c r="AS240" s="42" t="e">
        <f t="shared" si="43"/>
        <v>#DIV/0!</v>
      </c>
      <c r="AT240" s="42"/>
      <c r="AV240" s="43"/>
      <c r="AW240" s="43"/>
      <c r="AX240" s="43"/>
      <c r="AY240" s="44"/>
      <c r="BA240" s="43"/>
      <c r="BB240" s="43"/>
      <c r="BC240" s="43"/>
      <c r="BD240" s="44"/>
    </row>
    <row r="241" spans="1:56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 t="str">
        <f t="shared" si="34"/>
        <v>·</v>
      </c>
      <c r="K241" s="19" t="str">
        <f t="shared" si="35"/>
        <v>·</v>
      </c>
      <c r="L241" s="19" t="str">
        <f t="shared" si="36"/>
        <v>·</v>
      </c>
      <c r="M241" s="20"/>
      <c r="N241" s="19" t="str">
        <f t="shared" si="37"/>
        <v>·</v>
      </c>
      <c r="O241" s="21"/>
      <c r="P241" s="22"/>
      <c r="Q241" s="22"/>
      <c r="R241" s="22"/>
      <c r="S241" s="23"/>
      <c r="T241" s="24"/>
      <c r="U241" s="24"/>
      <c r="V241" s="24"/>
      <c r="W241" s="23"/>
      <c r="X241" s="26"/>
      <c r="Y241" s="26"/>
      <c r="AA241" s="18" t="str">
        <f t="shared" si="38"/>
        <v>·</v>
      </c>
      <c r="AB241" s="19" t="str">
        <f t="shared" si="39"/>
        <v>·</v>
      </c>
      <c r="AC241" s="19" t="str">
        <f t="shared" si="40"/>
        <v>·</v>
      </c>
      <c r="AD241" s="19" t="str">
        <f t="shared" si="41"/>
        <v>·</v>
      </c>
      <c r="AE241" s="20"/>
      <c r="AF241" s="19" t="str">
        <f t="shared" si="42"/>
        <v>·</v>
      </c>
      <c r="AG241" s="21"/>
      <c r="AH241" s="22"/>
      <c r="AI241" s="22"/>
      <c r="AJ241" s="22"/>
      <c r="AK241" s="23"/>
      <c r="AL241" s="24"/>
      <c r="AM241" s="24"/>
      <c r="AN241" s="24"/>
      <c r="AO241" s="23"/>
      <c r="AP241" s="26"/>
      <c r="AQ241" s="26"/>
      <c r="AS241" s="27" t="e">
        <f t="shared" si="43"/>
        <v>#DIV/0!</v>
      </c>
      <c r="AT241" s="27"/>
      <c r="AV241" s="28"/>
      <c r="AW241" s="28"/>
      <c r="AX241" s="28"/>
      <c r="AY241" s="29"/>
      <c r="BA241" s="28"/>
      <c r="BB241" s="28"/>
      <c r="BC241" s="28"/>
      <c r="BD241" s="29"/>
    </row>
    <row r="242" spans="1:56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 t="str">
        <f t="shared" si="34"/>
        <v>·</v>
      </c>
      <c r="K242" s="34" t="str">
        <f t="shared" si="35"/>
        <v>·</v>
      </c>
      <c r="L242" s="34" t="str">
        <f t="shared" si="36"/>
        <v>·</v>
      </c>
      <c r="M242" s="35"/>
      <c r="N242" s="34" t="str">
        <f t="shared" si="37"/>
        <v>·</v>
      </c>
      <c r="O242" s="36"/>
      <c r="P242" s="37"/>
      <c r="Q242" s="37"/>
      <c r="R242" s="37"/>
      <c r="S242" s="38"/>
      <c r="T242" s="39"/>
      <c r="U242" s="39"/>
      <c r="V242" s="39"/>
      <c r="W242" s="38"/>
      <c r="X242" s="41"/>
      <c r="Y242" s="41"/>
      <c r="AA242" s="33" t="str">
        <f t="shared" si="38"/>
        <v>·</v>
      </c>
      <c r="AB242" s="34" t="str">
        <f t="shared" si="39"/>
        <v>·</v>
      </c>
      <c r="AC242" s="34" t="str">
        <f t="shared" si="40"/>
        <v>·</v>
      </c>
      <c r="AD242" s="34" t="str">
        <f t="shared" si="41"/>
        <v>·</v>
      </c>
      <c r="AE242" s="35"/>
      <c r="AF242" s="34" t="str">
        <f t="shared" si="42"/>
        <v>·</v>
      </c>
      <c r="AG242" s="36"/>
      <c r="AH242" s="37"/>
      <c r="AI242" s="37"/>
      <c r="AJ242" s="37"/>
      <c r="AK242" s="38"/>
      <c r="AL242" s="39"/>
      <c r="AM242" s="39"/>
      <c r="AN242" s="39"/>
      <c r="AO242" s="38"/>
      <c r="AP242" s="41"/>
      <c r="AQ242" s="41"/>
      <c r="AS242" s="42" t="e">
        <f t="shared" si="43"/>
        <v>#DIV/0!</v>
      </c>
      <c r="AT242" s="42"/>
      <c r="AV242" s="43"/>
      <c r="AW242" s="43"/>
      <c r="AX242" s="43"/>
      <c r="AY242" s="44"/>
      <c r="BA242" s="43"/>
      <c r="BB242" s="43"/>
      <c r="BC242" s="43"/>
      <c r="BD242" s="44"/>
    </row>
    <row r="243" spans="1:56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3"/>
      <c r="X243" s="26"/>
      <c r="Y243" s="26"/>
      <c r="AA243" s="18" t="str">
        <f t="shared" si="38"/>
        <v>·</v>
      </c>
      <c r="AB243" s="19" t="str">
        <f t="shared" si="39"/>
        <v>·</v>
      </c>
      <c r="AC243" s="19" t="str">
        <f t="shared" si="40"/>
        <v>·</v>
      </c>
      <c r="AD243" s="19" t="str">
        <f t="shared" si="41"/>
        <v>·</v>
      </c>
      <c r="AE243" s="20"/>
      <c r="AF243" s="19" t="str">
        <f t="shared" si="42"/>
        <v>·</v>
      </c>
      <c r="AG243" s="21"/>
      <c r="AH243" s="22"/>
      <c r="AI243" s="22"/>
      <c r="AJ243" s="22"/>
      <c r="AK243" s="23"/>
      <c r="AL243" s="24"/>
      <c r="AM243" s="24"/>
      <c r="AN243" s="24"/>
      <c r="AO243" s="23"/>
      <c r="AP243" s="26"/>
      <c r="AQ243" s="26"/>
      <c r="AS243" s="27" t="e">
        <f t="shared" si="43"/>
        <v>#DIV/0!</v>
      </c>
      <c r="AT243" s="27"/>
      <c r="AV243" s="28"/>
      <c r="AW243" s="28"/>
      <c r="AX243" s="28"/>
      <c r="AY243" s="29"/>
      <c r="BA243" s="28"/>
      <c r="BB243" s="28"/>
      <c r="BC243" s="28"/>
      <c r="BD243" s="29"/>
    </row>
    <row r="244" spans="1:56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3"/>
      <c r="X244" s="56"/>
      <c r="Y244" s="56"/>
      <c r="AA244" s="48" t="str">
        <f t="shared" si="38"/>
        <v>·</v>
      </c>
      <c r="AB244" s="49" t="str">
        <f t="shared" si="39"/>
        <v>·</v>
      </c>
      <c r="AC244" s="49" t="str">
        <f t="shared" si="40"/>
        <v>·</v>
      </c>
      <c r="AD244" s="49" t="str">
        <f t="shared" si="41"/>
        <v>·</v>
      </c>
      <c r="AE244" s="50"/>
      <c r="AF244" s="49" t="str">
        <f t="shared" si="42"/>
        <v>·</v>
      </c>
      <c r="AG244" s="51"/>
      <c r="AH244" s="52"/>
      <c r="AI244" s="52"/>
      <c r="AJ244" s="52"/>
      <c r="AK244" s="53"/>
      <c r="AL244" s="54"/>
      <c r="AM244" s="54"/>
      <c r="AN244" s="54"/>
      <c r="AO244" s="53"/>
      <c r="AP244" s="56"/>
      <c r="AQ244" s="56"/>
      <c r="AS244" s="57" t="e">
        <f t="shared" si="43"/>
        <v>#DIV/0!</v>
      </c>
      <c r="AT244" s="57"/>
      <c r="AV244" s="58"/>
      <c r="AW244" s="58"/>
      <c r="AX244" s="58"/>
      <c r="AY244" s="59"/>
      <c r="BA244" s="58"/>
      <c r="BB244" s="58"/>
      <c r="BC244" s="58"/>
      <c r="BD244" s="59"/>
    </row>
    <row r="245" spans="1:56" x14ac:dyDescent="0.15">
      <c r="A245" s="15"/>
      <c r="B245" s="15" t="s">
        <v>353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 t="str">
        <f t="shared" si="34"/>
        <v>·</v>
      </c>
      <c r="K245" s="19" t="str">
        <f t="shared" si="35"/>
        <v>·</v>
      </c>
      <c r="L245" s="19" t="str">
        <f t="shared" si="36"/>
        <v>·</v>
      </c>
      <c r="M245" s="20"/>
      <c r="N245" s="19" t="str">
        <f t="shared" si="37"/>
        <v>·</v>
      </c>
      <c r="O245" s="21"/>
      <c r="P245" s="22"/>
      <c r="Q245" s="22"/>
      <c r="R245" s="22"/>
      <c r="S245" s="23"/>
      <c r="T245" s="24"/>
      <c r="U245" s="24"/>
      <c r="V245" s="24"/>
      <c r="W245" s="23"/>
      <c r="X245" s="26"/>
      <c r="Y245" s="26"/>
      <c r="AA245" s="18" t="str">
        <f t="shared" si="38"/>
        <v>·</v>
      </c>
      <c r="AB245" s="19" t="str">
        <f t="shared" si="39"/>
        <v>·</v>
      </c>
      <c r="AC245" s="19" t="str">
        <f t="shared" si="40"/>
        <v>·</v>
      </c>
      <c r="AD245" s="19" t="str">
        <f t="shared" si="41"/>
        <v>·</v>
      </c>
      <c r="AE245" s="20"/>
      <c r="AF245" s="19" t="str">
        <f t="shared" si="42"/>
        <v>·</v>
      </c>
      <c r="AG245" s="21"/>
      <c r="AH245" s="22"/>
      <c r="AI245" s="22"/>
      <c r="AJ245" s="22"/>
      <c r="AK245" s="23"/>
      <c r="AL245" s="24"/>
      <c r="AM245" s="24"/>
      <c r="AN245" s="24"/>
      <c r="AO245" s="23"/>
      <c r="AP245" s="26"/>
      <c r="AQ245" s="26"/>
      <c r="AS245" s="27" t="e">
        <f t="shared" si="43"/>
        <v>#DIV/0!</v>
      </c>
      <c r="AT245" s="27" t="e">
        <f t="array" ref="AT245">AVERAGE(AI245:AI250/AH245:AH250) - AVERAGE(Q245:Q250/P245:P250)</f>
        <v>#DIV/0!</v>
      </c>
      <c r="AV245" s="28" t="str">
        <f>IF( OR(ISBLANK(R245:R250),ISBLANK(AJ245:AJ250), ISBLANK(T245:T250),ISBLANK(AL245:AL250)), "·", bdRateExtend( R245:R250,T245:T250, AJ245:AJ250,AL245:AL250))</f>
        <v>·</v>
      </c>
      <c r="AW245" s="28" t="str">
        <f>IF( OR(ISBLANK(R245:R250),ISBLANK(AJ245:AJ250), ISBLANK(U245:U250),ISBLANK(AM245:AM250)), "·", bdRateExtend( R245:R250,U245:U250, AJ245:AJ250,AM245:AM250))</f>
        <v>·</v>
      </c>
      <c r="AX245" s="28" t="str">
        <f>IF( OR(ISBLANK(R245:R250),ISBLANK(AJ245:AJ250), ISBLANK(V245:V250),ISBLANK(AN245:AN250)), "·", bdRateExtend( R245:R250,V245:V250, AJ245:AJ250,AN245:AN250))</f>
        <v>·</v>
      </c>
      <c r="AY245" s="29"/>
      <c r="BA245" s="28" t="str">
        <f>IF( OR(ISBLANK(P245:P250),ISBLANK(AH245:AH250), ISBLANK(T245:T250),ISBLANK(AL245:AL250)), "·", bdRateExtend( P245:P250,T245:T250, AH245:AH250,AL245:AL250))</f>
        <v>·</v>
      </c>
      <c r="BB245" s="28" t="str">
        <f>IF( OR(ISBLANK(P245:P250),ISBLANK(AH245:AH250), ISBLANK(U245:U250),ISBLANK(AM245:AM250)), "·", bdRateExtend( P245:P250,U245:U250, AH245:AH250,AM245:AM250))</f>
        <v>·</v>
      </c>
      <c r="BC245" s="28" t="str">
        <f>IF( OR(ISBLANK(P245:P250),ISBLANK(AH245:AH250), ISBLANK(V245:V250),ISBLANK(AN245:AN250)), "·", bdRateExtend( P245:P250,V245:V250, AH245:AH250,AN245:AN250))</f>
        <v>·</v>
      </c>
      <c r="BD245" s="29"/>
    </row>
    <row r="246" spans="1:56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 t="str">
        <f t="shared" si="34"/>
        <v>·</v>
      </c>
      <c r="K246" s="34" t="str">
        <f t="shared" si="35"/>
        <v>·</v>
      </c>
      <c r="L246" s="34" t="str">
        <f t="shared" si="36"/>
        <v>·</v>
      </c>
      <c r="M246" s="35"/>
      <c r="N246" s="34" t="str">
        <f t="shared" si="37"/>
        <v>·</v>
      </c>
      <c r="O246" s="36"/>
      <c r="P246" s="37"/>
      <c r="Q246" s="37"/>
      <c r="R246" s="37"/>
      <c r="S246" s="38"/>
      <c r="T246" s="39"/>
      <c r="U246" s="39"/>
      <c r="V246" s="39"/>
      <c r="W246" s="38"/>
      <c r="X246" s="41"/>
      <c r="Y246" s="41"/>
      <c r="AA246" s="33" t="str">
        <f t="shared" si="38"/>
        <v>·</v>
      </c>
      <c r="AB246" s="34" t="str">
        <f t="shared" si="39"/>
        <v>·</v>
      </c>
      <c r="AC246" s="34" t="str">
        <f t="shared" si="40"/>
        <v>·</v>
      </c>
      <c r="AD246" s="34" t="str">
        <f t="shared" si="41"/>
        <v>·</v>
      </c>
      <c r="AE246" s="35"/>
      <c r="AF246" s="34" t="str">
        <f t="shared" si="42"/>
        <v>·</v>
      </c>
      <c r="AG246" s="36"/>
      <c r="AH246" s="37"/>
      <c r="AI246" s="37"/>
      <c r="AJ246" s="37"/>
      <c r="AK246" s="38"/>
      <c r="AL246" s="39"/>
      <c r="AM246" s="39"/>
      <c r="AN246" s="39"/>
      <c r="AO246" s="38"/>
      <c r="AP246" s="41"/>
      <c r="AQ246" s="41"/>
      <c r="AS246" s="42" t="e">
        <f t="shared" si="43"/>
        <v>#DIV/0!</v>
      </c>
      <c r="AT246" s="42"/>
      <c r="AV246" s="43"/>
      <c r="AW246" s="43"/>
      <c r="AX246" s="43"/>
      <c r="AY246" s="44"/>
      <c r="BA246" s="43"/>
      <c r="BB246" s="43"/>
      <c r="BC246" s="43"/>
      <c r="BD246" s="44"/>
    </row>
    <row r="247" spans="1:56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 t="str">
        <f t="shared" si="34"/>
        <v>·</v>
      </c>
      <c r="K247" s="19" t="str">
        <f t="shared" si="35"/>
        <v>·</v>
      </c>
      <c r="L247" s="19" t="str">
        <f t="shared" si="36"/>
        <v>·</v>
      </c>
      <c r="M247" s="20"/>
      <c r="N247" s="19" t="str">
        <f t="shared" si="37"/>
        <v>·</v>
      </c>
      <c r="O247" s="21"/>
      <c r="P247" s="22"/>
      <c r="Q247" s="22"/>
      <c r="R247" s="22"/>
      <c r="S247" s="23"/>
      <c r="T247" s="24"/>
      <c r="U247" s="24"/>
      <c r="V247" s="24"/>
      <c r="W247" s="23"/>
      <c r="X247" s="26"/>
      <c r="Y247" s="26"/>
      <c r="AA247" s="18" t="str">
        <f t="shared" si="38"/>
        <v>·</v>
      </c>
      <c r="AB247" s="19" t="str">
        <f t="shared" si="39"/>
        <v>·</v>
      </c>
      <c r="AC247" s="19" t="str">
        <f t="shared" si="40"/>
        <v>·</v>
      </c>
      <c r="AD247" s="19" t="str">
        <f t="shared" si="41"/>
        <v>·</v>
      </c>
      <c r="AE247" s="20"/>
      <c r="AF247" s="19" t="str">
        <f t="shared" si="42"/>
        <v>·</v>
      </c>
      <c r="AG247" s="21"/>
      <c r="AH247" s="22"/>
      <c r="AI247" s="22"/>
      <c r="AJ247" s="22"/>
      <c r="AK247" s="23"/>
      <c r="AL247" s="24"/>
      <c r="AM247" s="24"/>
      <c r="AN247" s="24"/>
      <c r="AO247" s="23"/>
      <c r="AP247" s="26"/>
      <c r="AQ247" s="26"/>
      <c r="AS247" s="27" t="e">
        <f t="shared" si="43"/>
        <v>#DIV/0!</v>
      </c>
      <c r="AT247" s="27"/>
      <c r="AV247" s="28"/>
      <c r="AW247" s="28"/>
      <c r="AX247" s="28"/>
      <c r="AY247" s="29"/>
      <c r="BA247" s="28"/>
      <c r="BB247" s="28"/>
      <c r="BC247" s="28"/>
      <c r="BD247" s="29"/>
    </row>
    <row r="248" spans="1:56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8"/>
      <c r="X248" s="41"/>
      <c r="Y248" s="41"/>
      <c r="AA248" s="33" t="str">
        <f t="shared" si="38"/>
        <v>·</v>
      </c>
      <c r="AB248" s="34" t="str">
        <f t="shared" si="39"/>
        <v>·</v>
      </c>
      <c r="AC248" s="34" t="str">
        <f t="shared" si="40"/>
        <v>·</v>
      </c>
      <c r="AD248" s="34" t="str">
        <f t="shared" si="41"/>
        <v>·</v>
      </c>
      <c r="AE248" s="35"/>
      <c r="AF248" s="34" t="str">
        <f t="shared" si="42"/>
        <v>·</v>
      </c>
      <c r="AG248" s="36"/>
      <c r="AH248" s="37"/>
      <c r="AI248" s="37"/>
      <c r="AJ248" s="37"/>
      <c r="AK248" s="38"/>
      <c r="AL248" s="39"/>
      <c r="AM248" s="39"/>
      <c r="AN248" s="39"/>
      <c r="AO248" s="38"/>
      <c r="AP248" s="41"/>
      <c r="AQ248" s="41"/>
      <c r="AS248" s="42" t="e">
        <f t="shared" si="43"/>
        <v>#DIV/0!</v>
      </c>
      <c r="AT248" s="42"/>
      <c r="AV248" s="43"/>
      <c r="AW248" s="43"/>
      <c r="AX248" s="43"/>
      <c r="AY248" s="44"/>
      <c r="BA248" s="43"/>
      <c r="BB248" s="43"/>
      <c r="BC248" s="43"/>
      <c r="BD248" s="44"/>
    </row>
    <row r="249" spans="1:56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3"/>
      <c r="X249" s="26"/>
      <c r="Y249" s="26"/>
      <c r="AA249" s="18" t="str">
        <f t="shared" si="38"/>
        <v>·</v>
      </c>
      <c r="AB249" s="19" t="str">
        <f t="shared" si="39"/>
        <v>·</v>
      </c>
      <c r="AC249" s="19" t="str">
        <f t="shared" si="40"/>
        <v>·</v>
      </c>
      <c r="AD249" s="19" t="str">
        <f t="shared" si="41"/>
        <v>·</v>
      </c>
      <c r="AE249" s="20"/>
      <c r="AF249" s="19" t="str">
        <f t="shared" si="42"/>
        <v>·</v>
      </c>
      <c r="AG249" s="21"/>
      <c r="AH249" s="22"/>
      <c r="AI249" s="22"/>
      <c r="AJ249" s="22"/>
      <c r="AK249" s="23"/>
      <c r="AL249" s="24"/>
      <c r="AM249" s="24"/>
      <c r="AN249" s="24"/>
      <c r="AO249" s="23"/>
      <c r="AP249" s="26"/>
      <c r="AQ249" s="26"/>
      <c r="AS249" s="27" t="e">
        <f t="shared" si="43"/>
        <v>#DIV/0!</v>
      </c>
      <c r="AT249" s="27"/>
      <c r="AV249" s="28"/>
      <c r="AW249" s="28"/>
      <c r="AX249" s="28"/>
      <c r="AY249" s="29"/>
      <c r="BA249" s="28"/>
      <c r="BB249" s="28"/>
      <c r="BC249" s="28"/>
      <c r="BD249" s="29"/>
    </row>
    <row r="250" spans="1:56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3"/>
      <c r="X250" s="56"/>
      <c r="Y250" s="56"/>
      <c r="AA250" s="48" t="str">
        <f t="shared" si="38"/>
        <v>·</v>
      </c>
      <c r="AB250" s="49" t="str">
        <f t="shared" si="39"/>
        <v>·</v>
      </c>
      <c r="AC250" s="49" t="str">
        <f t="shared" si="40"/>
        <v>·</v>
      </c>
      <c r="AD250" s="49" t="str">
        <f t="shared" si="41"/>
        <v>·</v>
      </c>
      <c r="AE250" s="50"/>
      <c r="AF250" s="49" t="str">
        <f t="shared" si="42"/>
        <v>·</v>
      </c>
      <c r="AG250" s="51"/>
      <c r="AH250" s="52"/>
      <c r="AI250" s="52"/>
      <c r="AJ250" s="52"/>
      <c r="AK250" s="53"/>
      <c r="AL250" s="54"/>
      <c r="AM250" s="54"/>
      <c r="AN250" s="54"/>
      <c r="AO250" s="53"/>
      <c r="AP250" s="56"/>
      <c r="AQ250" s="56"/>
      <c r="AS250" s="57" t="e">
        <f t="shared" si="43"/>
        <v>#DIV/0!</v>
      </c>
      <c r="AT250" s="57"/>
      <c r="AV250" s="58"/>
      <c r="AW250" s="58"/>
      <c r="AX250" s="58"/>
      <c r="AY250" s="59"/>
      <c r="BA250" s="58"/>
      <c r="BB250" s="58"/>
      <c r="BC250" s="58"/>
      <c r="BD250" s="59"/>
    </row>
    <row r="251" spans="1:56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 t="str">
        <f t="shared" si="34"/>
        <v>·</v>
      </c>
      <c r="K251" s="19" t="str">
        <f t="shared" si="35"/>
        <v>·</v>
      </c>
      <c r="L251" s="19" t="str">
        <f t="shared" si="36"/>
        <v>·</v>
      </c>
      <c r="M251" s="20"/>
      <c r="N251" s="19" t="str">
        <f t="shared" si="37"/>
        <v>·</v>
      </c>
      <c r="O251" s="21"/>
      <c r="P251" s="22"/>
      <c r="Q251" s="22"/>
      <c r="R251" s="22"/>
      <c r="S251" s="23"/>
      <c r="T251" s="24"/>
      <c r="U251" s="24"/>
      <c r="V251" s="24"/>
      <c r="W251" s="23"/>
      <c r="X251" s="26"/>
      <c r="Y251" s="26"/>
      <c r="AA251" s="18" t="str">
        <f t="shared" si="38"/>
        <v>·</v>
      </c>
      <c r="AB251" s="19" t="str">
        <f t="shared" si="39"/>
        <v>·</v>
      </c>
      <c r="AC251" s="19" t="str">
        <f t="shared" si="40"/>
        <v>·</v>
      </c>
      <c r="AD251" s="19" t="str">
        <f t="shared" si="41"/>
        <v>·</v>
      </c>
      <c r="AE251" s="20"/>
      <c r="AF251" s="19" t="str">
        <f t="shared" si="42"/>
        <v>·</v>
      </c>
      <c r="AG251" s="21"/>
      <c r="AH251" s="22"/>
      <c r="AI251" s="22"/>
      <c r="AJ251" s="22"/>
      <c r="AK251" s="23"/>
      <c r="AL251" s="24"/>
      <c r="AM251" s="24"/>
      <c r="AN251" s="24"/>
      <c r="AO251" s="23"/>
      <c r="AP251" s="26"/>
      <c r="AQ251" s="26"/>
      <c r="AS251" s="27" t="e">
        <f t="shared" si="43"/>
        <v>#DIV/0!</v>
      </c>
      <c r="AT251" s="27" t="e">
        <f t="array" ref="AT251">AVERAGE(AI251:AI256/AH251:AH256) - AVERAGE(Q251:Q256/P251:P256)</f>
        <v>#DIV/0!</v>
      </c>
      <c r="AV251" s="28" t="str">
        <f>IF( OR(ISBLANK(R251:R256),ISBLANK(AJ251:AJ256), ISBLANK(T251:T256),ISBLANK(AL251:AL256)), "·", bdRateExtend( R251:R256,T251:T256, AJ251:AJ256,AL251:AL256))</f>
        <v>·</v>
      </c>
      <c r="AW251" s="28" t="str">
        <f>IF( OR(ISBLANK(R251:R256),ISBLANK(AJ251:AJ256), ISBLANK(U251:U256),ISBLANK(AM251:AM256)), "·", bdRateExtend( R251:R256,U251:U256, AJ251:AJ256,AM251:AM256))</f>
        <v>·</v>
      </c>
      <c r="AX251" s="28" t="str">
        <f>IF( OR(ISBLANK(R251:R256),ISBLANK(AJ251:AJ256), ISBLANK(V251:V256),ISBLANK(AN251:AN256)), "·", bdRateExtend( R251:R256,V251:V256, AJ251:AJ256,AN251:AN256))</f>
        <v>·</v>
      </c>
      <c r="AY251" s="29"/>
      <c r="BA251" s="28" t="str">
        <f>IF( OR(ISBLANK(P251:P256),ISBLANK(AH251:AH256), ISBLANK(T251:T256),ISBLANK(AL251:AL256)), "·", bdRateExtend( P251:P256,T251:T256, AH251:AH256,AL251:AL256))</f>
        <v>·</v>
      </c>
      <c r="BB251" s="28" t="str">
        <f>IF( OR(ISBLANK(P251:P256),ISBLANK(AH251:AH256), ISBLANK(U251:U256),ISBLANK(AM251:AM256)), "·", bdRateExtend( P251:P256,U251:U256, AH251:AH256,AM251:AM256))</f>
        <v>·</v>
      </c>
      <c r="BC251" s="28" t="str">
        <f>IF( OR(ISBLANK(P251:P256),ISBLANK(AH251:AH256), ISBLANK(V251:V256),ISBLANK(AN251:AN256)), "·", bdRateExtend( P251:P256,V251:V256, AH251:AH256,AN251:AN256))</f>
        <v>·</v>
      </c>
      <c r="BD251" s="29"/>
    </row>
    <row r="252" spans="1:56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 t="str">
        <f t="shared" si="34"/>
        <v>·</v>
      </c>
      <c r="K252" s="34" t="str">
        <f t="shared" si="35"/>
        <v>·</v>
      </c>
      <c r="L252" s="34" t="str">
        <f t="shared" si="36"/>
        <v>·</v>
      </c>
      <c r="M252" s="35"/>
      <c r="N252" s="34" t="str">
        <f t="shared" si="37"/>
        <v>·</v>
      </c>
      <c r="O252" s="36"/>
      <c r="P252" s="37"/>
      <c r="Q252" s="37"/>
      <c r="R252" s="37"/>
      <c r="S252" s="38"/>
      <c r="T252" s="39"/>
      <c r="U252" s="39"/>
      <c r="V252" s="39"/>
      <c r="W252" s="38"/>
      <c r="X252" s="41"/>
      <c r="Y252" s="41"/>
      <c r="AA252" s="33" t="str">
        <f t="shared" si="38"/>
        <v>·</v>
      </c>
      <c r="AB252" s="34" t="str">
        <f t="shared" si="39"/>
        <v>·</v>
      </c>
      <c r="AC252" s="34" t="str">
        <f t="shared" si="40"/>
        <v>·</v>
      </c>
      <c r="AD252" s="34" t="str">
        <f t="shared" si="41"/>
        <v>·</v>
      </c>
      <c r="AE252" s="35"/>
      <c r="AF252" s="34" t="str">
        <f t="shared" si="42"/>
        <v>·</v>
      </c>
      <c r="AG252" s="36"/>
      <c r="AH252" s="37"/>
      <c r="AI252" s="37"/>
      <c r="AJ252" s="37"/>
      <c r="AK252" s="38"/>
      <c r="AL252" s="39"/>
      <c r="AM252" s="39"/>
      <c r="AN252" s="39"/>
      <c r="AO252" s="38"/>
      <c r="AP252" s="41"/>
      <c r="AQ252" s="41"/>
      <c r="AS252" s="42" t="e">
        <f t="shared" si="43"/>
        <v>#DIV/0!</v>
      </c>
      <c r="AT252" s="42"/>
      <c r="AV252" s="43"/>
      <c r="AW252" s="43"/>
      <c r="AX252" s="43"/>
      <c r="AY252" s="44"/>
      <c r="BA252" s="43"/>
      <c r="BB252" s="43"/>
      <c r="BC252" s="43"/>
      <c r="BD252" s="44"/>
    </row>
    <row r="253" spans="1:56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 t="str">
        <f t="shared" si="34"/>
        <v>·</v>
      </c>
      <c r="K253" s="19" t="str">
        <f t="shared" si="35"/>
        <v>·</v>
      </c>
      <c r="L253" s="19" t="str">
        <f t="shared" si="36"/>
        <v>·</v>
      </c>
      <c r="M253" s="20"/>
      <c r="N253" s="19" t="str">
        <f t="shared" si="37"/>
        <v>·</v>
      </c>
      <c r="O253" s="21"/>
      <c r="P253" s="22"/>
      <c r="Q253" s="22"/>
      <c r="R253" s="22"/>
      <c r="S253" s="23"/>
      <c r="T253" s="24"/>
      <c r="U253" s="24"/>
      <c r="V253" s="24"/>
      <c r="W253" s="23"/>
      <c r="X253" s="26"/>
      <c r="Y253" s="26"/>
      <c r="AA253" s="18" t="str">
        <f t="shared" si="38"/>
        <v>·</v>
      </c>
      <c r="AB253" s="19" t="str">
        <f t="shared" si="39"/>
        <v>·</v>
      </c>
      <c r="AC253" s="19" t="str">
        <f t="shared" si="40"/>
        <v>·</v>
      </c>
      <c r="AD253" s="19" t="str">
        <f t="shared" si="41"/>
        <v>·</v>
      </c>
      <c r="AE253" s="20"/>
      <c r="AF253" s="19" t="str">
        <f t="shared" si="42"/>
        <v>·</v>
      </c>
      <c r="AG253" s="21"/>
      <c r="AH253" s="22"/>
      <c r="AI253" s="22"/>
      <c r="AJ253" s="22"/>
      <c r="AK253" s="23"/>
      <c r="AL253" s="24"/>
      <c r="AM253" s="24"/>
      <c r="AN253" s="24"/>
      <c r="AO253" s="23"/>
      <c r="AP253" s="26"/>
      <c r="AQ253" s="26"/>
      <c r="AS253" s="27" t="e">
        <f t="shared" si="43"/>
        <v>#DIV/0!</v>
      </c>
      <c r="AT253" s="27"/>
      <c r="AV253" s="28"/>
      <c r="AW253" s="28"/>
      <c r="AX253" s="28"/>
      <c r="AY253" s="29"/>
      <c r="BA253" s="28"/>
      <c r="BB253" s="28"/>
      <c r="BC253" s="28"/>
      <c r="BD253" s="29"/>
    </row>
    <row r="254" spans="1:56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 t="str">
        <f t="shared" si="34"/>
        <v>·</v>
      </c>
      <c r="K254" s="34" t="str">
        <f t="shared" si="35"/>
        <v>·</v>
      </c>
      <c r="L254" s="34" t="str">
        <f t="shared" si="36"/>
        <v>·</v>
      </c>
      <c r="M254" s="35"/>
      <c r="N254" s="34" t="str">
        <f t="shared" si="37"/>
        <v>·</v>
      </c>
      <c r="O254" s="36"/>
      <c r="P254" s="37"/>
      <c r="Q254" s="37"/>
      <c r="R254" s="37"/>
      <c r="S254" s="38"/>
      <c r="T254" s="39"/>
      <c r="U254" s="39"/>
      <c r="V254" s="39"/>
      <c r="W254" s="38"/>
      <c r="X254" s="41"/>
      <c r="Y254" s="41"/>
      <c r="AA254" s="33" t="str">
        <f t="shared" si="38"/>
        <v>·</v>
      </c>
      <c r="AB254" s="34" t="str">
        <f t="shared" si="39"/>
        <v>·</v>
      </c>
      <c r="AC254" s="34" t="str">
        <f t="shared" si="40"/>
        <v>·</v>
      </c>
      <c r="AD254" s="34" t="str">
        <f t="shared" si="41"/>
        <v>·</v>
      </c>
      <c r="AE254" s="35"/>
      <c r="AF254" s="34" t="str">
        <f t="shared" si="42"/>
        <v>·</v>
      </c>
      <c r="AG254" s="36"/>
      <c r="AH254" s="37"/>
      <c r="AI254" s="37"/>
      <c r="AJ254" s="37"/>
      <c r="AK254" s="38"/>
      <c r="AL254" s="39"/>
      <c r="AM254" s="39"/>
      <c r="AN254" s="39"/>
      <c r="AO254" s="38"/>
      <c r="AP254" s="41"/>
      <c r="AQ254" s="41"/>
      <c r="AS254" s="42" t="e">
        <f t="shared" si="43"/>
        <v>#DIV/0!</v>
      </c>
      <c r="AT254" s="42"/>
      <c r="AV254" s="43"/>
      <c r="AW254" s="43"/>
      <c r="AX254" s="43"/>
      <c r="AY254" s="44"/>
      <c r="BA254" s="43"/>
      <c r="BB254" s="43"/>
      <c r="BC254" s="43"/>
      <c r="BD254" s="44"/>
    </row>
    <row r="255" spans="1:56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3"/>
      <c r="X255" s="26"/>
      <c r="Y255" s="26"/>
      <c r="AA255" s="18" t="str">
        <f t="shared" si="38"/>
        <v>·</v>
      </c>
      <c r="AB255" s="19" t="str">
        <f t="shared" si="39"/>
        <v>·</v>
      </c>
      <c r="AC255" s="19" t="str">
        <f t="shared" si="40"/>
        <v>·</v>
      </c>
      <c r="AD255" s="19" t="str">
        <f t="shared" si="41"/>
        <v>·</v>
      </c>
      <c r="AE255" s="20"/>
      <c r="AF255" s="19" t="str">
        <f t="shared" si="42"/>
        <v>·</v>
      </c>
      <c r="AG255" s="21"/>
      <c r="AH255" s="22"/>
      <c r="AI255" s="22"/>
      <c r="AJ255" s="22"/>
      <c r="AK255" s="23"/>
      <c r="AL255" s="24"/>
      <c r="AM255" s="24"/>
      <c r="AN255" s="24"/>
      <c r="AO255" s="23"/>
      <c r="AP255" s="26"/>
      <c r="AQ255" s="26"/>
      <c r="AS255" s="27" t="e">
        <f t="shared" si="43"/>
        <v>#DIV/0!</v>
      </c>
      <c r="AT255" s="27"/>
      <c r="AV255" s="28"/>
      <c r="AW255" s="28"/>
      <c r="AX255" s="28"/>
      <c r="AY255" s="29"/>
      <c r="BA255" s="28"/>
      <c r="BB255" s="28"/>
      <c r="BC255" s="28"/>
      <c r="BD255" s="29"/>
    </row>
    <row r="256" spans="1:56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3"/>
      <c r="X256" s="56"/>
      <c r="Y256" s="56"/>
      <c r="AA256" s="48" t="str">
        <f t="shared" si="38"/>
        <v>·</v>
      </c>
      <c r="AB256" s="49" t="str">
        <f t="shared" si="39"/>
        <v>·</v>
      </c>
      <c r="AC256" s="49" t="str">
        <f t="shared" si="40"/>
        <v>·</v>
      </c>
      <c r="AD256" s="49" t="str">
        <f t="shared" si="41"/>
        <v>·</v>
      </c>
      <c r="AE256" s="50"/>
      <c r="AF256" s="49" t="str">
        <f t="shared" si="42"/>
        <v>·</v>
      </c>
      <c r="AG256" s="51"/>
      <c r="AH256" s="52"/>
      <c r="AI256" s="52"/>
      <c r="AJ256" s="52"/>
      <c r="AK256" s="53"/>
      <c r="AL256" s="54"/>
      <c r="AM256" s="54"/>
      <c r="AN256" s="54"/>
      <c r="AO256" s="53"/>
      <c r="AP256" s="56"/>
      <c r="AQ256" s="56"/>
      <c r="AS256" s="57" t="e">
        <f t="shared" si="43"/>
        <v>#DIV/0!</v>
      </c>
      <c r="AT256" s="57"/>
      <c r="AV256" s="58"/>
      <c r="AW256" s="58"/>
      <c r="AX256" s="58"/>
      <c r="AY256" s="59"/>
      <c r="BA256" s="58"/>
      <c r="BB256" s="58"/>
      <c r="BC256" s="58"/>
      <c r="BD256" s="59"/>
    </row>
    <row r="257" spans="1:56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 t="str">
        <f t="shared" si="34"/>
        <v>·</v>
      </c>
      <c r="K257" s="19" t="str">
        <f t="shared" si="35"/>
        <v>·</v>
      </c>
      <c r="L257" s="19" t="str">
        <f t="shared" si="36"/>
        <v>·</v>
      </c>
      <c r="M257" s="20"/>
      <c r="N257" s="19" t="str">
        <f t="shared" si="37"/>
        <v>·</v>
      </c>
      <c r="O257" s="21"/>
      <c r="P257" s="22"/>
      <c r="Q257" s="22"/>
      <c r="R257" s="22"/>
      <c r="S257" s="23"/>
      <c r="T257" s="24"/>
      <c r="U257" s="24"/>
      <c r="V257" s="24"/>
      <c r="W257" s="23"/>
      <c r="X257" s="26"/>
      <c r="Y257" s="26"/>
      <c r="AA257" s="18" t="str">
        <f t="shared" si="38"/>
        <v>·</v>
      </c>
      <c r="AB257" s="19" t="str">
        <f t="shared" si="39"/>
        <v>·</v>
      </c>
      <c r="AC257" s="19" t="str">
        <f t="shared" si="40"/>
        <v>·</v>
      </c>
      <c r="AD257" s="19" t="str">
        <f t="shared" si="41"/>
        <v>·</v>
      </c>
      <c r="AE257" s="20"/>
      <c r="AF257" s="19" t="str">
        <f t="shared" si="42"/>
        <v>·</v>
      </c>
      <c r="AG257" s="21"/>
      <c r="AH257" s="22"/>
      <c r="AI257" s="22"/>
      <c r="AJ257" s="22"/>
      <c r="AK257" s="23"/>
      <c r="AL257" s="24"/>
      <c r="AM257" s="24"/>
      <c r="AN257" s="24"/>
      <c r="AO257" s="23"/>
      <c r="AP257" s="26"/>
      <c r="AQ257" s="26"/>
      <c r="AS257" s="27" t="e">
        <f t="shared" si="43"/>
        <v>#DIV/0!</v>
      </c>
      <c r="AT257" s="27" t="e">
        <f t="array" ref="AT257">AVERAGE(AI257:AI262/AH257:AH262) - AVERAGE(Q257:Q262/P257:P262)</f>
        <v>#DIV/0!</v>
      </c>
      <c r="AV257" s="28" t="str">
        <f>IF( OR(ISBLANK(R257:R262),ISBLANK(AJ257:AJ262), ISBLANK(T257:T262),ISBLANK(AL257:AL262)), "·", bdRateExtend( R257:R262,T257:T262, AJ257:AJ262,AL257:AL262))</f>
        <v>·</v>
      </c>
      <c r="AW257" s="28" t="str">
        <f>IF( OR(ISBLANK(R257:R262),ISBLANK(AJ257:AJ262), ISBLANK(U257:U262),ISBLANK(AM257:AM262)), "·", bdRateExtend( R257:R262,U257:U262, AJ257:AJ262,AM257:AM262))</f>
        <v>·</v>
      </c>
      <c r="AX257" s="28" t="str">
        <f>IF( OR(ISBLANK(R257:R262),ISBLANK(AJ257:AJ262), ISBLANK(V257:V262),ISBLANK(AN257:AN262)), "·", bdRateExtend( R257:R262,V257:V262, AJ257:AJ262,AN257:AN262))</f>
        <v>·</v>
      </c>
      <c r="AY257" s="29"/>
      <c r="BA257" s="28" t="str">
        <f>IF( OR(ISBLANK(P257:P262),ISBLANK(AH257:AH262), ISBLANK(T257:T262),ISBLANK(AL257:AL262)), "·", bdRateExtend( P257:P262,T257:T262, AH257:AH262,AL257:AL262))</f>
        <v>·</v>
      </c>
      <c r="BB257" s="28" t="str">
        <f>IF( OR(ISBLANK(P257:P262),ISBLANK(AH257:AH262), ISBLANK(U257:U262),ISBLANK(AM257:AM262)), "·", bdRateExtend( P257:P262,U257:U262, AH257:AH262,AM257:AM262))</f>
        <v>·</v>
      </c>
      <c r="BC257" s="28" t="str">
        <f>IF( OR(ISBLANK(P257:P262),ISBLANK(AH257:AH262), ISBLANK(V257:V262),ISBLANK(AN257:AN262)), "·", bdRateExtend( P257:P262,V257:V262, AH257:AH262,AN257:AN262))</f>
        <v>·</v>
      </c>
      <c r="BD257" s="29"/>
    </row>
    <row r="258" spans="1:56" outlineLevel="1" x14ac:dyDescent="0.1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 t="str">
        <f t="shared" si="34"/>
        <v>·</v>
      </c>
      <c r="K258" s="34" t="str">
        <f t="shared" si="35"/>
        <v>·</v>
      </c>
      <c r="L258" s="34" t="str">
        <f t="shared" si="36"/>
        <v>·</v>
      </c>
      <c r="M258" s="35"/>
      <c r="N258" s="34" t="str">
        <f t="shared" si="37"/>
        <v>·</v>
      </c>
      <c r="O258" s="36"/>
      <c r="P258" s="37"/>
      <c r="Q258" s="37"/>
      <c r="R258" s="37"/>
      <c r="S258" s="38"/>
      <c r="T258" s="39"/>
      <c r="U258" s="39"/>
      <c r="V258" s="39"/>
      <c r="W258" s="38"/>
      <c r="X258" s="41"/>
      <c r="Y258" s="41"/>
      <c r="AA258" s="33" t="str">
        <f t="shared" si="38"/>
        <v>·</v>
      </c>
      <c r="AB258" s="34" t="str">
        <f t="shared" si="39"/>
        <v>·</v>
      </c>
      <c r="AC258" s="34" t="str">
        <f t="shared" si="40"/>
        <v>·</v>
      </c>
      <c r="AD258" s="34" t="str">
        <f t="shared" si="41"/>
        <v>·</v>
      </c>
      <c r="AE258" s="35"/>
      <c r="AF258" s="34" t="str">
        <f t="shared" si="42"/>
        <v>·</v>
      </c>
      <c r="AG258" s="36"/>
      <c r="AH258" s="37"/>
      <c r="AI258" s="37"/>
      <c r="AJ258" s="37"/>
      <c r="AK258" s="38"/>
      <c r="AL258" s="39"/>
      <c r="AM258" s="39"/>
      <c r="AN258" s="39"/>
      <c r="AO258" s="38"/>
      <c r="AP258" s="41"/>
      <c r="AQ258" s="41"/>
      <c r="AS258" s="42" t="e">
        <f t="shared" si="43"/>
        <v>#DIV/0!</v>
      </c>
      <c r="AT258" s="42"/>
      <c r="AV258" s="43"/>
      <c r="AW258" s="43"/>
      <c r="AX258" s="43"/>
      <c r="AY258" s="44"/>
      <c r="BA258" s="43"/>
      <c r="BB258" s="43"/>
      <c r="BC258" s="43"/>
      <c r="BD258" s="44"/>
    </row>
    <row r="259" spans="1:56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 t="str">
        <f t="shared" si="34"/>
        <v>·</v>
      </c>
      <c r="K259" s="19" t="str">
        <f t="shared" si="35"/>
        <v>·</v>
      </c>
      <c r="L259" s="19" t="str">
        <f t="shared" si="36"/>
        <v>·</v>
      </c>
      <c r="M259" s="20"/>
      <c r="N259" s="19" t="str">
        <f t="shared" si="37"/>
        <v>·</v>
      </c>
      <c r="O259" s="21"/>
      <c r="P259" s="22"/>
      <c r="Q259" s="22"/>
      <c r="R259" s="22"/>
      <c r="S259" s="23"/>
      <c r="T259" s="24"/>
      <c r="U259" s="24"/>
      <c r="V259" s="24"/>
      <c r="W259" s="23"/>
      <c r="X259" s="26"/>
      <c r="Y259" s="26"/>
      <c r="AA259" s="18" t="str">
        <f t="shared" si="38"/>
        <v>·</v>
      </c>
      <c r="AB259" s="19" t="str">
        <f t="shared" si="39"/>
        <v>·</v>
      </c>
      <c r="AC259" s="19" t="str">
        <f t="shared" si="40"/>
        <v>·</v>
      </c>
      <c r="AD259" s="19" t="str">
        <f t="shared" si="41"/>
        <v>·</v>
      </c>
      <c r="AE259" s="20"/>
      <c r="AF259" s="19" t="str">
        <f t="shared" si="42"/>
        <v>·</v>
      </c>
      <c r="AG259" s="21"/>
      <c r="AH259" s="22"/>
      <c r="AI259" s="22"/>
      <c r="AJ259" s="22"/>
      <c r="AK259" s="23"/>
      <c r="AL259" s="24"/>
      <c r="AM259" s="24"/>
      <c r="AN259" s="24"/>
      <c r="AO259" s="23"/>
      <c r="AP259" s="26"/>
      <c r="AQ259" s="26"/>
      <c r="AS259" s="27" t="e">
        <f t="shared" si="43"/>
        <v>#DIV/0!</v>
      </c>
      <c r="AT259" s="27"/>
      <c r="AV259" s="28"/>
      <c r="AW259" s="28"/>
      <c r="AX259" s="28"/>
      <c r="AY259" s="29"/>
      <c r="BA259" s="28"/>
      <c r="BB259" s="28"/>
      <c r="BC259" s="28"/>
      <c r="BD259" s="29"/>
    </row>
    <row r="260" spans="1:56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 t="str">
        <f t="shared" si="34"/>
        <v>·</v>
      </c>
      <c r="K260" s="34" t="str">
        <f t="shared" si="35"/>
        <v>·</v>
      </c>
      <c r="L260" s="34" t="str">
        <f t="shared" si="36"/>
        <v>·</v>
      </c>
      <c r="M260" s="35"/>
      <c r="N260" s="34" t="str">
        <f t="shared" si="37"/>
        <v>·</v>
      </c>
      <c r="O260" s="36"/>
      <c r="P260" s="37"/>
      <c r="Q260" s="37"/>
      <c r="R260" s="37"/>
      <c r="S260" s="38"/>
      <c r="T260" s="39"/>
      <c r="U260" s="39"/>
      <c r="V260" s="39"/>
      <c r="W260" s="38"/>
      <c r="X260" s="41"/>
      <c r="Y260" s="41"/>
      <c r="AA260" s="33" t="str">
        <f t="shared" si="38"/>
        <v>·</v>
      </c>
      <c r="AB260" s="34" t="str">
        <f t="shared" si="39"/>
        <v>·</v>
      </c>
      <c r="AC260" s="34" t="str">
        <f t="shared" si="40"/>
        <v>·</v>
      </c>
      <c r="AD260" s="34" t="str">
        <f t="shared" si="41"/>
        <v>·</v>
      </c>
      <c r="AE260" s="35"/>
      <c r="AF260" s="34" t="str">
        <f t="shared" si="42"/>
        <v>·</v>
      </c>
      <c r="AG260" s="36"/>
      <c r="AH260" s="37"/>
      <c r="AI260" s="37"/>
      <c r="AJ260" s="37"/>
      <c r="AK260" s="38"/>
      <c r="AL260" s="39"/>
      <c r="AM260" s="39"/>
      <c r="AN260" s="39"/>
      <c r="AO260" s="38"/>
      <c r="AP260" s="41"/>
      <c r="AQ260" s="41"/>
      <c r="AS260" s="42" t="e">
        <f t="shared" si="43"/>
        <v>#DIV/0!</v>
      </c>
      <c r="AT260" s="42"/>
      <c r="AV260" s="43"/>
      <c r="AW260" s="43"/>
      <c r="AX260" s="43"/>
      <c r="AY260" s="44"/>
      <c r="BA260" s="43"/>
      <c r="BB260" s="43"/>
      <c r="BC260" s="43"/>
      <c r="BD260" s="44"/>
    </row>
    <row r="261" spans="1:56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3"/>
      <c r="X261" s="26"/>
      <c r="Y261" s="26"/>
      <c r="AA261" s="18" t="str">
        <f t="shared" ref="AA261:AA342" si="49">IF(OR(ISBLANK(AH261),ISBLANK(G261)),"·",AH261*G261/F261/1000000)</f>
        <v>·</v>
      </c>
      <c r="AB261" s="19" t="str">
        <f t="shared" ref="AB261:AB342" si="50">IF(ISBLANK(AH261),"·",AH261/D261)</f>
        <v>·</v>
      </c>
      <c r="AC261" s="19" t="str">
        <f t="shared" ref="AC261:AC342" si="51">IF(AI261="","·",AI261/D261)</f>
        <v>·</v>
      </c>
      <c r="AD261" s="19" t="str">
        <f t="shared" ref="AD261:AD298" si="52">IF(ISBLANK(AJ261),"·",AJ261/D261)</f>
        <v>·</v>
      </c>
      <c r="AE261" s="20"/>
      <c r="AF261" s="19" t="str">
        <f t="shared" ref="AF261:AF342" si="53">IF(ISBLANK(AH261),"·",AH261/AG261)</f>
        <v>·</v>
      </c>
      <c r="AG261" s="21"/>
      <c r="AH261" s="22"/>
      <c r="AI261" s="22"/>
      <c r="AJ261" s="22"/>
      <c r="AK261" s="23"/>
      <c r="AL261" s="24"/>
      <c r="AM261" s="24"/>
      <c r="AN261" s="24"/>
      <c r="AO261" s="23"/>
      <c r="AP261" s="26"/>
      <c r="AQ261" s="26"/>
      <c r="AS261" s="27" t="e">
        <f t="shared" ref="AS261:AS342" si="54">(AI261/AH261) - (Q261/P261)</f>
        <v>#DIV/0!</v>
      </c>
      <c r="AT261" s="27"/>
      <c r="AV261" s="28"/>
      <c r="AW261" s="28"/>
      <c r="AX261" s="28"/>
      <c r="AY261" s="29"/>
      <c r="BA261" s="28"/>
      <c r="BB261" s="28"/>
      <c r="BC261" s="28"/>
      <c r="BD261" s="29"/>
    </row>
    <row r="262" spans="1:56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3"/>
      <c r="X262" s="56"/>
      <c r="Y262" s="56"/>
      <c r="AA262" s="48" t="str">
        <f t="shared" si="49"/>
        <v>·</v>
      </c>
      <c r="AB262" s="49" t="str">
        <f t="shared" si="50"/>
        <v>·</v>
      </c>
      <c r="AC262" s="49" t="str">
        <f t="shared" si="51"/>
        <v>·</v>
      </c>
      <c r="AD262" s="49" t="str">
        <f t="shared" si="52"/>
        <v>·</v>
      </c>
      <c r="AE262" s="50"/>
      <c r="AF262" s="49" t="str">
        <f t="shared" si="53"/>
        <v>·</v>
      </c>
      <c r="AG262" s="51"/>
      <c r="AH262" s="52"/>
      <c r="AI262" s="52"/>
      <c r="AJ262" s="52"/>
      <c r="AK262" s="53"/>
      <c r="AL262" s="54"/>
      <c r="AM262" s="54"/>
      <c r="AN262" s="54"/>
      <c r="AO262" s="53"/>
      <c r="AP262" s="56"/>
      <c r="AQ262" s="56"/>
      <c r="AS262" s="57" t="e">
        <f t="shared" si="54"/>
        <v>#DIV/0!</v>
      </c>
      <c r="AT262" s="57"/>
      <c r="AV262" s="58"/>
      <c r="AW262" s="58"/>
      <c r="AX262" s="58"/>
      <c r="AY262" s="59"/>
      <c r="BA262" s="58"/>
      <c r="BB262" s="58"/>
      <c r="BC262" s="58"/>
      <c r="BD262" s="59"/>
    </row>
    <row r="263" spans="1:56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 t="str">
        <f t="shared" si="45"/>
        <v>·</v>
      </c>
      <c r="K263" s="19" t="str">
        <f t="shared" si="46"/>
        <v>·</v>
      </c>
      <c r="L263" s="19" t="str">
        <f t="shared" si="47"/>
        <v>·</v>
      </c>
      <c r="M263" s="20"/>
      <c r="N263" s="19" t="str">
        <f t="shared" si="48"/>
        <v>·</v>
      </c>
      <c r="O263" s="21"/>
      <c r="P263" s="22"/>
      <c r="Q263" s="22"/>
      <c r="R263" s="22"/>
      <c r="S263" s="23"/>
      <c r="T263" s="24"/>
      <c r="U263" s="24"/>
      <c r="V263" s="24"/>
      <c r="W263" s="23"/>
      <c r="X263" s="26"/>
      <c r="Y263" s="26"/>
      <c r="AA263" s="18" t="str">
        <f t="shared" si="49"/>
        <v>·</v>
      </c>
      <c r="AB263" s="19" t="str">
        <f t="shared" si="50"/>
        <v>·</v>
      </c>
      <c r="AC263" s="19" t="str">
        <f t="shared" si="51"/>
        <v>·</v>
      </c>
      <c r="AD263" s="19" t="str">
        <f t="shared" si="52"/>
        <v>·</v>
      </c>
      <c r="AE263" s="20"/>
      <c r="AF263" s="19" t="str">
        <f t="shared" si="53"/>
        <v>·</v>
      </c>
      <c r="AG263" s="21"/>
      <c r="AH263" s="22"/>
      <c r="AI263" s="22"/>
      <c r="AJ263" s="22"/>
      <c r="AK263" s="23"/>
      <c r="AL263" s="24"/>
      <c r="AM263" s="24"/>
      <c r="AN263" s="24"/>
      <c r="AO263" s="23"/>
      <c r="AP263" s="26"/>
      <c r="AQ263" s="26"/>
      <c r="AS263" s="27" t="e">
        <f t="shared" si="54"/>
        <v>#DIV/0!</v>
      </c>
      <c r="AT263" s="27" t="e">
        <f t="array" ref="AT263">AVERAGE(AI263:AI268/AH263:AH268) - AVERAGE(Q263:Q268/P263:P268)</f>
        <v>#DIV/0!</v>
      </c>
      <c r="AV263" s="28" t="str">
        <f>IF( OR(ISBLANK(R263:R268),ISBLANK(AJ263:AJ268), ISBLANK(T263:T268),ISBLANK(AL263:AL268)), "·", bdRateExtend( R263:R268,T263:T268, AJ263:AJ268,AL263:AL268))</f>
        <v>·</v>
      </c>
      <c r="AW263" s="28" t="str">
        <f>IF( OR(ISBLANK(R263:R268),ISBLANK(AJ263:AJ268), ISBLANK(U263:U268),ISBLANK(AM263:AM268)), "·", bdRateExtend( R263:R268,U263:U268, AJ263:AJ268,AM263:AM268))</f>
        <v>·</v>
      </c>
      <c r="AX263" s="28" t="str">
        <f>IF( OR(ISBLANK(R263:R268),ISBLANK(AJ263:AJ268), ISBLANK(V263:V268),ISBLANK(AN263:AN268)), "·", bdRateExtend( R263:R268,V263:V268, AJ263:AJ268,AN263:AN268))</f>
        <v>·</v>
      </c>
      <c r="AY263" s="29"/>
      <c r="BA263" s="28" t="str">
        <f>IF( OR(ISBLANK(P263:P268),ISBLANK(AH263:AH268), ISBLANK(T263:T268),ISBLANK(AL263:AL268)), "·", bdRateExtend( P263:P268,T263:T268, AH263:AH268,AL263:AL268))</f>
        <v>·</v>
      </c>
      <c r="BB263" s="28" t="str">
        <f>IF( OR(ISBLANK(P263:P268),ISBLANK(AH263:AH268), ISBLANK(U263:U268),ISBLANK(AM263:AM268)), "·", bdRateExtend( P263:P268,U263:U268, AH263:AH268,AM263:AM268))</f>
        <v>·</v>
      </c>
      <c r="BC263" s="28" t="str">
        <f>IF( OR(ISBLANK(P263:P268),ISBLANK(AH263:AH268), ISBLANK(V263:V268),ISBLANK(AN263:AN268)), "·", bdRateExtend( P263:P268,V263:V268, AH263:AH268,AN263:AN268))</f>
        <v>·</v>
      </c>
      <c r="BD263" s="29"/>
    </row>
    <row r="264" spans="1:56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 t="str">
        <f t="shared" si="45"/>
        <v>·</v>
      </c>
      <c r="K264" s="34" t="str">
        <f t="shared" si="46"/>
        <v>·</v>
      </c>
      <c r="L264" s="34" t="str">
        <f t="shared" si="47"/>
        <v>·</v>
      </c>
      <c r="M264" s="35"/>
      <c r="N264" s="34" t="str">
        <f t="shared" si="48"/>
        <v>·</v>
      </c>
      <c r="O264" s="36"/>
      <c r="P264" s="37"/>
      <c r="Q264" s="37"/>
      <c r="R264" s="37"/>
      <c r="S264" s="38"/>
      <c r="T264" s="39"/>
      <c r="U264" s="39"/>
      <c r="V264" s="39"/>
      <c r="W264" s="38"/>
      <c r="X264" s="41"/>
      <c r="Y264" s="41"/>
      <c r="AA264" s="33" t="str">
        <f t="shared" si="49"/>
        <v>·</v>
      </c>
      <c r="AB264" s="34" t="str">
        <f t="shared" si="50"/>
        <v>·</v>
      </c>
      <c r="AC264" s="34" t="str">
        <f t="shared" si="51"/>
        <v>·</v>
      </c>
      <c r="AD264" s="34" t="str">
        <f t="shared" si="52"/>
        <v>·</v>
      </c>
      <c r="AE264" s="35"/>
      <c r="AF264" s="34" t="str">
        <f t="shared" si="53"/>
        <v>·</v>
      </c>
      <c r="AG264" s="36"/>
      <c r="AH264" s="37"/>
      <c r="AI264" s="37"/>
      <c r="AJ264" s="37"/>
      <c r="AK264" s="38"/>
      <c r="AL264" s="39"/>
      <c r="AM264" s="39"/>
      <c r="AN264" s="39"/>
      <c r="AO264" s="38"/>
      <c r="AP264" s="41"/>
      <c r="AQ264" s="41"/>
      <c r="AS264" s="42" t="e">
        <f t="shared" si="54"/>
        <v>#DIV/0!</v>
      </c>
      <c r="AT264" s="42"/>
      <c r="AV264" s="43"/>
      <c r="AW264" s="43"/>
      <c r="AX264" s="43"/>
      <c r="AY264" s="44"/>
      <c r="BA264" s="43"/>
      <c r="BB264" s="43"/>
      <c r="BC264" s="43"/>
      <c r="BD264" s="44"/>
    </row>
    <row r="265" spans="1:56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 t="str">
        <f t="shared" si="45"/>
        <v>·</v>
      </c>
      <c r="K265" s="19" t="str">
        <f t="shared" si="46"/>
        <v>·</v>
      </c>
      <c r="L265" s="19" t="str">
        <f t="shared" si="47"/>
        <v>·</v>
      </c>
      <c r="M265" s="20"/>
      <c r="N265" s="19" t="str">
        <f t="shared" si="48"/>
        <v>·</v>
      </c>
      <c r="O265" s="21"/>
      <c r="P265" s="22"/>
      <c r="Q265" s="22"/>
      <c r="R265" s="22"/>
      <c r="S265" s="23"/>
      <c r="T265" s="24"/>
      <c r="U265" s="24"/>
      <c r="V265" s="24"/>
      <c r="W265" s="23"/>
      <c r="X265" s="26"/>
      <c r="Y265" s="26"/>
      <c r="AA265" s="18" t="str">
        <f t="shared" si="49"/>
        <v>·</v>
      </c>
      <c r="AB265" s="19" t="str">
        <f t="shared" si="50"/>
        <v>·</v>
      </c>
      <c r="AC265" s="19" t="str">
        <f t="shared" si="51"/>
        <v>·</v>
      </c>
      <c r="AD265" s="19" t="str">
        <f t="shared" si="52"/>
        <v>·</v>
      </c>
      <c r="AE265" s="20"/>
      <c r="AF265" s="19" t="str">
        <f t="shared" si="53"/>
        <v>·</v>
      </c>
      <c r="AG265" s="21"/>
      <c r="AH265" s="22"/>
      <c r="AI265" s="22"/>
      <c r="AJ265" s="22"/>
      <c r="AK265" s="23"/>
      <c r="AL265" s="24"/>
      <c r="AM265" s="24"/>
      <c r="AN265" s="24"/>
      <c r="AO265" s="23"/>
      <c r="AP265" s="26"/>
      <c r="AQ265" s="26"/>
      <c r="AS265" s="27" t="e">
        <f t="shared" si="54"/>
        <v>#DIV/0!</v>
      </c>
      <c r="AT265" s="27"/>
      <c r="AV265" s="28"/>
      <c r="AW265" s="28"/>
      <c r="AX265" s="28"/>
      <c r="AY265" s="29"/>
      <c r="BA265" s="28"/>
      <c r="BB265" s="28"/>
      <c r="BC265" s="28"/>
      <c r="BD265" s="29"/>
    </row>
    <row r="266" spans="1:56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 t="str">
        <f t="shared" si="45"/>
        <v>·</v>
      </c>
      <c r="K266" s="34" t="str">
        <f t="shared" si="46"/>
        <v>·</v>
      </c>
      <c r="L266" s="34" t="str">
        <f t="shared" si="47"/>
        <v>·</v>
      </c>
      <c r="M266" s="35"/>
      <c r="N266" s="34" t="str">
        <f t="shared" si="48"/>
        <v>·</v>
      </c>
      <c r="O266" s="36"/>
      <c r="P266" s="37"/>
      <c r="Q266" s="37"/>
      <c r="R266" s="37"/>
      <c r="S266" s="38"/>
      <c r="T266" s="39"/>
      <c r="U266" s="39"/>
      <c r="V266" s="39"/>
      <c r="W266" s="38"/>
      <c r="X266" s="41"/>
      <c r="Y266" s="41"/>
      <c r="AA266" s="33" t="str">
        <f t="shared" si="49"/>
        <v>·</v>
      </c>
      <c r="AB266" s="34" t="str">
        <f t="shared" si="50"/>
        <v>·</v>
      </c>
      <c r="AC266" s="34" t="str">
        <f t="shared" si="51"/>
        <v>·</v>
      </c>
      <c r="AD266" s="34" t="str">
        <f t="shared" si="52"/>
        <v>·</v>
      </c>
      <c r="AE266" s="35"/>
      <c r="AF266" s="34" t="str">
        <f t="shared" si="53"/>
        <v>·</v>
      </c>
      <c r="AG266" s="36"/>
      <c r="AH266" s="37"/>
      <c r="AI266" s="37"/>
      <c r="AJ266" s="37"/>
      <c r="AK266" s="38"/>
      <c r="AL266" s="39"/>
      <c r="AM266" s="39"/>
      <c r="AN266" s="39"/>
      <c r="AO266" s="38"/>
      <c r="AP266" s="41"/>
      <c r="AQ266" s="41"/>
      <c r="AS266" s="42" t="e">
        <f t="shared" si="54"/>
        <v>#DIV/0!</v>
      </c>
      <c r="AT266" s="42"/>
      <c r="AV266" s="43"/>
      <c r="AW266" s="43"/>
      <c r="AX266" s="43"/>
      <c r="AY266" s="44"/>
      <c r="BA266" s="43"/>
      <c r="BB266" s="43"/>
      <c r="BC266" s="43"/>
      <c r="BD266" s="44"/>
    </row>
    <row r="267" spans="1:56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3"/>
      <c r="X267" s="26"/>
      <c r="Y267" s="26"/>
      <c r="AA267" s="18" t="str">
        <f t="shared" si="49"/>
        <v>·</v>
      </c>
      <c r="AB267" s="19" t="str">
        <f t="shared" si="50"/>
        <v>·</v>
      </c>
      <c r="AC267" s="19" t="str">
        <f t="shared" si="51"/>
        <v>·</v>
      </c>
      <c r="AD267" s="19" t="str">
        <f t="shared" si="52"/>
        <v>·</v>
      </c>
      <c r="AE267" s="20"/>
      <c r="AF267" s="19" t="str">
        <f t="shared" si="53"/>
        <v>·</v>
      </c>
      <c r="AG267" s="21"/>
      <c r="AH267" s="22"/>
      <c r="AI267" s="22"/>
      <c r="AJ267" s="22"/>
      <c r="AK267" s="23"/>
      <c r="AL267" s="24"/>
      <c r="AM267" s="24"/>
      <c r="AN267" s="24"/>
      <c r="AO267" s="23"/>
      <c r="AP267" s="26"/>
      <c r="AQ267" s="26"/>
      <c r="AS267" s="27" t="e">
        <f t="shared" si="54"/>
        <v>#DIV/0!</v>
      </c>
      <c r="AT267" s="27"/>
      <c r="AV267" s="28"/>
      <c r="AW267" s="28"/>
      <c r="AX267" s="28"/>
      <c r="AY267" s="29"/>
      <c r="BA267" s="28"/>
      <c r="BB267" s="28"/>
      <c r="BC267" s="28"/>
      <c r="BD267" s="29"/>
    </row>
    <row r="268" spans="1:56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3"/>
      <c r="X268" s="56"/>
      <c r="Y268" s="56"/>
      <c r="AA268" s="48" t="str">
        <f t="shared" si="49"/>
        <v>·</v>
      </c>
      <c r="AB268" s="49" t="str">
        <f t="shared" si="50"/>
        <v>·</v>
      </c>
      <c r="AC268" s="49" t="str">
        <f t="shared" si="51"/>
        <v>·</v>
      </c>
      <c r="AD268" s="49" t="str">
        <f t="shared" si="52"/>
        <v>·</v>
      </c>
      <c r="AE268" s="50"/>
      <c r="AF268" s="49" t="str">
        <f t="shared" si="53"/>
        <v>·</v>
      </c>
      <c r="AG268" s="51"/>
      <c r="AH268" s="52"/>
      <c r="AI268" s="52"/>
      <c r="AJ268" s="52"/>
      <c r="AK268" s="53"/>
      <c r="AL268" s="54"/>
      <c r="AM268" s="54"/>
      <c r="AN268" s="54"/>
      <c r="AO268" s="53"/>
      <c r="AP268" s="56"/>
      <c r="AQ268" s="56"/>
      <c r="AS268" s="57" t="e">
        <f t="shared" si="54"/>
        <v>#DIV/0!</v>
      </c>
      <c r="AT268" s="57"/>
      <c r="AV268" s="58"/>
      <c r="AW268" s="58"/>
      <c r="AX268" s="58"/>
      <c r="AY268" s="59"/>
      <c r="BA268" s="58"/>
      <c r="BB268" s="58"/>
      <c r="BC268" s="58"/>
      <c r="BD268" s="59"/>
    </row>
    <row r="269" spans="1:56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 t="str">
        <f t="shared" si="45"/>
        <v>·</v>
      </c>
      <c r="K269" s="19" t="str">
        <f t="shared" si="46"/>
        <v>·</v>
      </c>
      <c r="L269" s="19" t="str">
        <f t="shared" si="47"/>
        <v>·</v>
      </c>
      <c r="M269" s="20"/>
      <c r="N269" s="19" t="str">
        <f t="shared" si="48"/>
        <v>·</v>
      </c>
      <c r="O269" s="21"/>
      <c r="P269" s="22"/>
      <c r="Q269" s="22"/>
      <c r="R269" s="22"/>
      <c r="S269" s="23"/>
      <c r="T269" s="24"/>
      <c r="U269" s="24"/>
      <c r="V269" s="24"/>
      <c r="W269" s="23"/>
      <c r="X269" s="26"/>
      <c r="Y269" s="26"/>
      <c r="AA269" s="18" t="str">
        <f t="shared" si="49"/>
        <v>·</v>
      </c>
      <c r="AB269" s="19" t="str">
        <f t="shared" si="50"/>
        <v>·</v>
      </c>
      <c r="AC269" s="19" t="str">
        <f t="shared" si="51"/>
        <v>·</v>
      </c>
      <c r="AD269" s="19" t="str">
        <f t="shared" si="52"/>
        <v>·</v>
      </c>
      <c r="AE269" s="20"/>
      <c r="AF269" s="19" t="str">
        <f t="shared" si="53"/>
        <v>·</v>
      </c>
      <c r="AG269" s="21"/>
      <c r="AH269" s="22"/>
      <c r="AI269" s="22"/>
      <c r="AJ269" s="22"/>
      <c r="AK269" s="23"/>
      <c r="AL269" s="24"/>
      <c r="AM269" s="24"/>
      <c r="AN269" s="24"/>
      <c r="AO269" s="23"/>
      <c r="AP269" s="26"/>
      <c r="AQ269" s="26"/>
      <c r="AS269" s="27" t="e">
        <f t="shared" si="54"/>
        <v>#DIV/0!</v>
      </c>
      <c r="AT269" s="27" t="e">
        <f t="array" ref="AT269">AVERAGE(AI269:AI274/AH269:AH274) - AVERAGE(Q269:Q274/P269:P274)</f>
        <v>#DIV/0!</v>
      </c>
      <c r="AV269" s="28" t="str">
        <f>IF( OR(ISBLANK(R269:R274),ISBLANK(AJ269:AJ274), ISBLANK(T269:T274),ISBLANK(AL269:AL274)), "·", bdRateExtend( R269:R274,T269:T274, AJ269:AJ274,AL269:AL274))</f>
        <v>·</v>
      </c>
      <c r="AW269" s="28" t="str">
        <f>IF( OR(ISBLANK(R269:R274),ISBLANK(AJ269:AJ274), ISBLANK(U269:U274),ISBLANK(AM269:AM274)), "·", bdRateExtend( R269:R274,U269:U274, AJ269:AJ274,AM269:AM274))</f>
        <v>·</v>
      </c>
      <c r="AX269" s="28" t="str">
        <f>IF( OR(ISBLANK(R269:R274),ISBLANK(AJ269:AJ274), ISBLANK(V269:V274),ISBLANK(AN269:AN274)), "·", bdRateExtend( R269:R274,V269:V274, AJ269:AJ274,AN269:AN274))</f>
        <v>·</v>
      </c>
      <c r="AY269" s="29"/>
      <c r="BA269" s="28" t="str">
        <f>IF( OR(ISBLANK(P269:P274),ISBLANK(AH269:AH274), ISBLANK(T269:T274),ISBLANK(AL269:AL274)), "·", bdRateExtend( P269:P274,T269:T274, AH269:AH274,AL269:AL274))</f>
        <v>·</v>
      </c>
      <c r="BB269" s="28" t="str">
        <f>IF( OR(ISBLANK(P269:P274),ISBLANK(AH269:AH274), ISBLANK(U269:U274),ISBLANK(AM269:AM274)), "·", bdRateExtend( P269:P274,U269:U274, AH269:AH274,AM269:AM274))</f>
        <v>·</v>
      </c>
      <c r="BC269" s="28" t="str">
        <f>IF( OR(ISBLANK(P269:P274),ISBLANK(AH269:AH274), ISBLANK(V269:V274),ISBLANK(AN269:AN274)), "·", bdRateExtend( P269:P274,V269:V274, AH269:AH274,AN269:AN274))</f>
        <v>·</v>
      </c>
      <c r="BD269" s="29"/>
    </row>
    <row r="270" spans="1:56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 t="str">
        <f t="shared" si="45"/>
        <v>·</v>
      </c>
      <c r="K270" s="34" t="str">
        <f t="shared" si="46"/>
        <v>·</v>
      </c>
      <c r="L270" s="34" t="str">
        <f t="shared" si="47"/>
        <v>·</v>
      </c>
      <c r="M270" s="35"/>
      <c r="N270" s="34" t="str">
        <f t="shared" si="48"/>
        <v>·</v>
      </c>
      <c r="O270" s="36"/>
      <c r="P270" s="37"/>
      <c r="Q270" s="37"/>
      <c r="R270" s="37"/>
      <c r="S270" s="38"/>
      <c r="T270" s="39"/>
      <c r="U270" s="39"/>
      <c r="V270" s="39"/>
      <c r="W270" s="38"/>
      <c r="X270" s="41"/>
      <c r="Y270" s="41"/>
      <c r="AA270" s="33" t="str">
        <f t="shared" si="49"/>
        <v>·</v>
      </c>
      <c r="AB270" s="34" t="str">
        <f t="shared" si="50"/>
        <v>·</v>
      </c>
      <c r="AC270" s="34" t="str">
        <f t="shared" si="51"/>
        <v>·</v>
      </c>
      <c r="AD270" s="34" t="str">
        <f t="shared" si="52"/>
        <v>·</v>
      </c>
      <c r="AE270" s="35"/>
      <c r="AF270" s="34" t="str">
        <f t="shared" si="53"/>
        <v>·</v>
      </c>
      <c r="AG270" s="36"/>
      <c r="AH270" s="37"/>
      <c r="AI270" s="37"/>
      <c r="AJ270" s="37"/>
      <c r="AK270" s="38"/>
      <c r="AL270" s="39"/>
      <c r="AM270" s="39"/>
      <c r="AN270" s="39"/>
      <c r="AO270" s="38"/>
      <c r="AP270" s="41"/>
      <c r="AQ270" s="41"/>
      <c r="AS270" s="42" t="e">
        <f t="shared" si="54"/>
        <v>#DIV/0!</v>
      </c>
      <c r="AT270" s="42"/>
      <c r="AV270" s="43"/>
      <c r="AW270" s="43"/>
      <c r="AX270" s="43"/>
      <c r="AY270" s="44"/>
      <c r="BA270" s="43"/>
      <c r="BB270" s="43"/>
      <c r="BC270" s="43"/>
      <c r="BD270" s="44"/>
    </row>
    <row r="271" spans="1:56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 t="str">
        <f t="shared" si="45"/>
        <v>·</v>
      </c>
      <c r="K271" s="19" t="str">
        <f t="shared" si="46"/>
        <v>·</v>
      </c>
      <c r="L271" s="19" t="str">
        <f t="shared" si="47"/>
        <v>·</v>
      </c>
      <c r="M271" s="20"/>
      <c r="N271" s="19" t="str">
        <f t="shared" si="48"/>
        <v>·</v>
      </c>
      <c r="O271" s="21"/>
      <c r="P271" s="22"/>
      <c r="Q271" s="22"/>
      <c r="R271" s="22"/>
      <c r="S271" s="23"/>
      <c r="T271" s="24"/>
      <c r="U271" s="24"/>
      <c r="V271" s="24"/>
      <c r="W271" s="23"/>
      <c r="X271" s="26"/>
      <c r="Y271" s="26"/>
      <c r="AA271" s="18" t="str">
        <f t="shared" si="49"/>
        <v>·</v>
      </c>
      <c r="AB271" s="19" t="str">
        <f t="shared" si="50"/>
        <v>·</v>
      </c>
      <c r="AC271" s="19" t="str">
        <f t="shared" si="51"/>
        <v>·</v>
      </c>
      <c r="AD271" s="19" t="str">
        <f t="shared" si="52"/>
        <v>·</v>
      </c>
      <c r="AE271" s="20"/>
      <c r="AF271" s="19" t="str">
        <f t="shared" si="53"/>
        <v>·</v>
      </c>
      <c r="AG271" s="21"/>
      <c r="AH271" s="22"/>
      <c r="AI271" s="22"/>
      <c r="AJ271" s="22"/>
      <c r="AK271" s="23"/>
      <c r="AL271" s="24"/>
      <c r="AM271" s="24"/>
      <c r="AN271" s="24"/>
      <c r="AO271" s="23"/>
      <c r="AP271" s="26"/>
      <c r="AQ271" s="26"/>
      <c r="AS271" s="27" t="e">
        <f t="shared" si="54"/>
        <v>#DIV/0!</v>
      </c>
      <c r="AT271" s="27"/>
      <c r="AV271" s="28"/>
      <c r="AW271" s="28"/>
      <c r="AX271" s="28"/>
      <c r="AY271" s="29"/>
      <c r="BA271" s="28"/>
      <c r="BB271" s="28"/>
      <c r="BC271" s="28"/>
      <c r="BD271" s="29"/>
    </row>
    <row r="272" spans="1:56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 t="str">
        <f t="shared" si="45"/>
        <v>·</v>
      </c>
      <c r="K272" s="34" t="str">
        <f t="shared" si="46"/>
        <v>·</v>
      </c>
      <c r="L272" s="34" t="str">
        <f t="shared" si="47"/>
        <v>·</v>
      </c>
      <c r="M272" s="35"/>
      <c r="N272" s="34" t="str">
        <f t="shared" si="48"/>
        <v>·</v>
      </c>
      <c r="O272" s="36"/>
      <c r="P272" s="37"/>
      <c r="Q272" s="37"/>
      <c r="R272" s="37"/>
      <c r="S272" s="38"/>
      <c r="T272" s="39"/>
      <c r="U272" s="39"/>
      <c r="V272" s="39"/>
      <c r="W272" s="38"/>
      <c r="X272" s="41"/>
      <c r="Y272" s="41"/>
      <c r="AA272" s="33" t="str">
        <f t="shared" si="49"/>
        <v>·</v>
      </c>
      <c r="AB272" s="34" t="str">
        <f t="shared" si="50"/>
        <v>·</v>
      </c>
      <c r="AC272" s="34" t="str">
        <f t="shared" si="51"/>
        <v>·</v>
      </c>
      <c r="AD272" s="34" t="str">
        <f t="shared" si="52"/>
        <v>·</v>
      </c>
      <c r="AE272" s="35"/>
      <c r="AF272" s="34" t="str">
        <f t="shared" si="53"/>
        <v>·</v>
      </c>
      <c r="AG272" s="36"/>
      <c r="AH272" s="37"/>
      <c r="AI272" s="37"/>
      <c r="AJ272" s="37"/>
      <c r="AK272" s="38"/>
      <c r="AL272" s="39"/>
      <c r="AM272" s="39"/>
      <c r="AN272" s="39"/>
      <c r="AO272" s="38"/>
      <c r="AP272" s="41"/>
      <c r="AQ272" s="41"/>
      <c r="AS272" s="42" t="e">
        <f t="shared" si="54"/>
        <v>#DIV/0!</v>
      </c>
      <c r="AT272" s="42"/>
      <c r="AV272" s="43"/>
      <c r="AW272" s="43"/>
      <c r="AX272" s="43"/>
      <c r="AY272" s="44"/>
      <c r="BA272" s="43"/>
      <c r="BB272" s="43"/>
      <c r="BC272" s="43"/>
      <c r="BD272" s="44"/>
    </row>
    <row r="273" spans="1:56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3"/>
      <c r="X273" s="26"/>
      <c r="Y273" s="26"/>
      <c r="AA273" s="18" t="str">
        <f t="shared" si="49"/>
        <v>·</v>
      </c>
      <c r="AB273" s="19" t="str">
        <f t="shared" si="50"/>
        <v>·</v>
      </c>
      <c r="AC273" s="19" t="str">
        <f t="shared" si="51"/>
        <v>·</v>
      </c>
      <c r="AD273" s="19" t="str">
        <f t="shared" si="52"/>
        <v>·</v>
      </c>
      <c r="AE273" s="20"/>
      <c r="AF273" s="19" t="str">
        <f t="shared" si="53"/>
        <v>·</v>
      </c>
      <c r="AG273" s="21"/>
      <c r="AH273" s="22"/>
      <c r="AI273" s="22"/>
      <c r="AJ273" s="22"/>
      <c r="AK273" s="23"/>
      <c r="AL273" s="24"/>
      <c r="AM273" s="24"/>
      <c r="AN273" s="24"/>
      <c r="AO273" s="23"/>
      <c r="AP273" s="26"/>
      <c r="AQ273" s="26"/>
      <c r="AS273" s="27" t="e">
        <f t="shared" si="54"/>
        <v>#DIV/0!</v>
      </c>
      <c r="AT273" s="27"/>
      <c r="AV273" s="28"/>
      <c r="AW273" s="28"/>
      <c r="AX273" s="28"/>
      <c r="AY273" s="29"/>
      <c r="BA273" s="28"/>
      <c r="BB273" s="28"/>
      <c r="BC273" s="28"/>
      <c r="BD273" s="29"/>
    </row>
    <row r="274" spans="1:56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3"/>
      <c r="X274" s="56"/>
      <c r="Y274" s="56"/>
      <c r="AA274" s="48" t="str">
        <f t="shared" si="49"/>
        <v>·</v>
      </c>
      <c r="AB274" s="49" t="str">
        <f t="shared" si="50"/>
        <v>·</v>
      </c>
      <c r="AC274" s="49" t="str">
        <f t="shared" si="51"/>
        <v>·</v>
      </c>
      <c r="AD274" s="49" t="str">
        <f t="shared" si="52"/>
        <v>·</v>
      </c>
      <c r="AE274" s="50"/>
      <c r="AF274" s="49" t="str">
        <f t="shared" si="53"/>
        <v>·</v>
      </c>
      <c r="AG274" s="51"/>
      <c r="AH274" s="52"/>
      <c r="AI274" s="52"/>
      <c r="AJ274" s="52"/>
      <c r="AK274" s="53"/>
      <c r="AL274" s="54"/>
      <c r="AM274" s="54"/>
      <c r="AN274" s="54"/>
      <c r="AO274" s="53"/>
      <c r="AP274" s="56"/>
      <c r="AQ274" s="56"/>
      <c r="AS274" s="57" t="e">
        <f t="shared" si="54"/>
        <v>#DIV/0!</v>
      </c>
      <c r="AT274" s="57"/>
      <c r="AV274" s="58"/>
      <c r="AW274" s="58"/>
      <c r="AX274" s="58"/>
      <c r="AY274" s="59"/>
      <c r="BA274" s="58"/>
      <c r="BB274" s="58"/>
      <c r="BC274" s="58"/>
      <c r="BD274" s="59"/>
    </row>
    <row r="275" spans="1:56" x14ac:dyDescent="0.15">
      <c r="A275" s="15"/>
      <c r="B275" s="15" t="s">
        <v>368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 t="str">
        <f t="shared" si="45"/>
        <v>·</v>
      </c>
      <c r="K275" s="19" t="str">
        <f t="shared" si="46"/>
        <v>·</v>
      </c>
      <c r="L275" s="19" t="str">
        <f t="shared" si="47"/>
        <v>·</v>
      </c>
      <c r="M275" s="20"/>
      <c r="N275" s="19" t="str">
        <f t="shared" si="48"/>
        <v>·</v>
      </c>
      <c r="O275" s="21"/>
      <c r="P275" s="22"/>
      <c r="Q275" s="22"/>
      <c r="R275" s="22"/>
      <c r="S275" s="23"/>
      <c r="T275" s="24"/>
      <c r="U275" s="24"/>
      <c r="V275" s="24"/>
      <c r="W275" s="23"/>
      <c r="X275" s="26"/>
      <c r="Y275" s="26"/>
      <c r="AA275" s="18" t="str">
        <f t="shared" si="49"/>
        <v>·</v>
      </c>
      <c r="AB275" s="19" t="str">
        <f t="shared" si="50"/>
        <v>·</v>
      </c>
      <c r="AC275" s="19" t="str">
        <f t="shared" si="51"/>
        <v>·</v>
      </c>
      <c r="AD275" s="19" t="str">
        <f t="shared" si="52"/>
        <v>·</v>
      </c>
      <c r="AE275" s="20"/>
      <c r="AF275" s="19" t="str">
        <f t="shared" si="53"/>
        <v>·</v>
      </c>
      <c r="AG275" s="21"/>
      <c r="AH275" s="22"/>
      <c r="AI275" s="22"/>
      <c r="AJ275" s="22"/>
      <c r="AK275" s="23"/>
      <c r="AL275" s="24"/>
      <c r="AM275" s="24"/>
      <c r="AN275" s="24"/>
      <c r="AO275" s="23"/>
      <c r="AP275" s="26"/>
      <c r="AQ275" s="26"/>
      <c r="AS275" s="27" t="e">
        <f t="shared" si="54"/>
        <v>#DIV/0!</v>
      </c>
      <c r="AT275" s="27" t="e">
        <f t="array" ref="AT275">AVERAGE(AI275:AI280/AH275:AH280) - AVERAGE(Q275:Q280/P275:P280)</f>
        <v>#DIV/0!</v>
      </c>
      <c r="AV275" s="28" t="str">
        <f>IF( OR(ISBLANK(R275:R280),ISBLANK(AJ275:AJ280), ISBLANK(T275:T280),ISBLANK(AL275:AL280)), "·", bdRateExtend( R275:R280,T275:T280, AJ275:AJ280,AL275:AL280))</f>
        <v>·</v>
      </c>
      <c r="AW275" s="28" t="str">
        <f>IF( OR(ISBLANK(R275:R280),ISBLANK(AJ275:AJ280), ISBLANK(U275:U280),ISBLANK(AM275:AM280)), "·", bdRateExtend( R275:R280,U275:U280, AJ275:AJ280,AM275:AM280))</f>
        <v>·</v>
      </c>
      <c r="AX275" s="28" t="str">
        <f>IF( OR(ISBLANK(R275:R280),ISBLANK(AJ275:AJ280), ISBLANK(V275:V280),ISBLANK(AN275:AN280)), "·", bdRateExtend( R275:R280,V275:V280, AJ275:AJ280,AN275:AN280))</f>
        <v>·</v>
      </c>
      <c r="AY275" s="29"/>
      <c r="BA275" s="28" t="str">
        <f>IF( OR(ISBLANK(P275:P280),ISBLANK(AH275:AH280), ISBLANK(T275:T280),ISBLANK(AL275:AL280)), "·", bdRateExtend( P275:P280,T275:T280, AH275:AH280,AL275:AL280))</f>
        <v>·</v>
      </c>
      <c r="BB275" s="28" t="str">
        <f>IF( OR(ISBLANK(P275:P280),ISBLANK(AH275:AH280), ISBLANK(U275:U280),ISBLANK(AM275:AM280)), "·", bdRateExtend( P275:P280,U275:U280, AH275:AH280,AM275:AM280))</f>
        <v>·</v>
      </c>
      <c r="BC275" s="28" t="str">
        <f>IF( OR(ISBLANK(P275:P280),ISBLANK(AH275:AH280), ISBLANK(V275:V280),ISBLANK(AN275:AN280)), "·", bdRateExtend( P275:P280,V275:V280, AH275:AH280,AN275:AN280))</f>
        <v>·</v>
      </c>
      <c r="BD275" s="29"/>
    </row>
    <row r="276" spans="1:56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 t="str">
        <f t="shared" si="45"/>
        <v>·</v>
      </c>
      <c r="K276" s="34" t="str">
        <f t="shared" si="46"/>
        <v>·</v>
      </c>
      <c r="L276" s="34" t="str">
        <f t="shared" si="47"/>
        <v>·</v>
      </c>
      <c r="M276" s="35"/>
      <c r="N276" s="34" t="str">
        <f t="shared" si="48"/>
        <v>·</v>
      </c>
      <c r="O276" s="36"/>
      <c r="P276" s="37"/>
      <c r="Q276" s="37"/>
      <c r="R276" s="37"/>
      <c r="S276" s="38"/>
      <c r="T276" s="39"/>
      <c r="U276" s="39"/>
      <c r="V276" s="39"/>
      <c r="W276" s="38"/>
      <c r="X276" s="41"/>
      <c r="Y276" s="41"/>
      <c r="AA276" s="33" t="str">
        <f t="shared" si="49"/>
        <v>·</v>
      </c>
      <c r="AB276" s="34" t="str">
        <f t="shared" si="50"/>
        <v>·</v>
      </c>
      <c r="AC276" s="34" t="str">
        <f t="shared" si="51"/>
        <v>·</v>
      </c>
      <c r="AD276" s="34" t="str">
        <f t="shared" si="52"/>
        <v>·</v>
      </c>
      <c r="AE276" s="35"/>
      <c r="AF276" s="34" t="str">
        <f t="shared" si="53"/>
        <v>·</v>
      </c>
      <c r="AG276" s="36"/>
      <c r="AH276" s="37"/>
      <c r="AI276" s="37"/>
      <c r="AJ276" s="37"/>
      <c r="AK276" s="38"/>
      <c r="AL276" s="39"/>
      <c r="AM276" s="39"/>
      <c r="AN276" s="39"/>
      <c r="AO276" s="38"/>
      <c r="AP276" s="41"/>
      <c r="AQ276" s="41"/>
      <c r="AS276" s="42" t="e">
        <f t="shared" si="54"/>
        <v>#DIV/0!</v>
      </c>
      <c r="AT276" s="42"/>
      <c r="AV276" s="43"/>
      <c r="AW276" s="43"/>
      <c r="AX276" s="43"/>
      <c r="AY276" s="44"/>
      <c r="BA276" s="43"/>
      <c r="BB276" s="43"/>
      <c r="BC276" s="43"/>
      <c r="BD276" s="44"/>
    </row>
    <row r="277" spans="1:56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3"/>
      <c r="X277" s="26"/>
      <c r="Y277" s="26"/>
      <c r="AA277" s="18" t="str">
        <f t="shared" si="49"/>
        <v>·</v>
      </c>
      <c r="AB277" s="19" t="str">
        <f t="shared" si="50"/>
        <v>·</v>
      </c>
      <c r="AC277" s="19" t="str">
        <f t="shared" si="51"/>
        <v>·</v>
      </c>
      <c r="AD277" s="19" t="str">
        <f t="shared" si="52"/>
        <v>·</v>
      </c>
      <c r="AE277" s="20"/>
      <c r="AF277" s="19" t="str">
        <f t="shared" si="53"/>
        <v>·</v>
      </c>
      <c r="AG277" s="21"/>
      <c r="AH277" s="22"/>
      <c r="AI277" s="22"/>
      <c r="AJ277" s="22"/>
      <c r="AK277" s="23"/>
      <c r="AL277" s="24"/>
      <c r="AM277" s="24"/>
      <c r="AN277" s="24"/>
      <c r="AO277" s="23"/>
      <c r="AP277" s="26"/>
      <c r="AQ277" s="26"/>
      <c r="AS277" s="27" t="e">
        <f t="shared" si="54"/>
        <v>#DIV/0!</v>
      </c>
      <c r="AT277" s="27"/>
      <c r="AV277" s="28"/>
      <c r="AW277" s="28"/>
      <c r="AX277" s="28"/>
      <c r="AY277" s="29"/>
      <c r="BA277" s="28"/>
      <c r="BB277" s="28"/>
      <c r="BC277" s="28"/>
      <c r="BD277" s="29"/>
    </row>
    <row r="278" spans="1:56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8"/>
      <c r="X278" s="41"/>
      <c r="Y278" s="41"/>
      <c r="AA278" s="33" t="str">
        <f t="shared" si="49"/>
        <v>·</v>
      </c>
      <c r="AB278" s="34" t="str">
        <f t="shared" si="50"/>
        <v>·</v>
      </c>
      <c r="AC278" s="34" t="str">
        <f t="shared" si="51"/>
        <v>·</v>
      </c>
      <c r="AD278" s="34" t="str">
        <f t="shared" si="52"/>
        <v>·</v>
      </c>
      <c r="AE278" s="35"/>
      <c r="AF278" s="34" t="str">
        <f t="shared" si="53"/>
        <v>·</v>
      </c>
      <c r="AG278" s="36"/>
      <c r="AH278" s="37"/>
      <c r="AI278" s="37"/>
      <c r="AJ278" s="37"/>
      <c r="AK278" s="38"/>
      <c r="AL278" s="39"/>
      <c r="AM278" s="39"/>
      <c r="AN278" s="39"/>
      <c r="AO278" s="38"/>
      <c r="AP278" s="41"/>
      <c r="AQ278" s="41"/>
      <c r="AS278" s="42" t="e">
        <f t="shared" si="54"/>
        <v>#DIV/0!</v>
      </c>
      <c r="AT278" s="42"/>
      <c r="AV278" s="43"/>
      <c r="AW278" s="43"/>
      <c r="AX278" s="43"/>
      <c r="AY278" s="44"/>
      <c r="BA278" s="43"/>
      <c r="BB278" s="43"/>
      <c r="BC278" s="43"/>
      <c r="BD278" s="44"/>
    </row>
    <row r="279" spans="1:56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3"/>
      <c r="X279" s="26"/>
      <c r="Y279" s="26"/>
      <c r="AA279" s="18" t="str">
        <f t="shared" si="49"/>
        <v>·</v>
      </c>
      <c r="AB279" s="19" t="str">
        <f t="shared" si="50"/>
        <v>·</v>
      </c>
      <c r="AC279" s="19" t="str">
        <f t="shared" si="51"/>
        <v>·</v>
      </c>
      <c r="AD279" s="19" t="str">
        <f t="shared" si="52"/>
        <v>·</v>
      </c>
      <c r="AE279" s="20"/>
      <c r="AF279" s="19" t="str">
        <f t="shared" si="53"/>
        <v>·</v>
      </c>
      <c r="AG279" s="21"/>
      <c r="AH279" s="22"/>
      <c r="AI279" s="22"/>
      <c r="AJ279" s="22"/>
      <c r="AK279" s="23"/>
      <c r="AL279" s="24"/>
      <c r="AM279" s="24"/>
      <c r="AN279" s="24"/>
      <c r="AO279" s="23"/>
      <c r="AP279" s="26"/>
      <c r="AQ279" s="26"/>
      <c r="AS279" s="27" t="e">
        <f t="shared" si="54"/>
        <v>#DIV/0!</v>
      </c>
      <c r="AT279" s="27"/>
      <c r="AV279" s="28"/>
      <c r="AW279" s="28"/>
      <c r="AX279" s="28"/>
      <c r="AY279" s="29"/>
      <c r="BA279" s="28"/>
      <c r="BB279" s="28"/>
      <c r="BC279" s="28"/>
      <c r="BD279" s="29"/>
    </row>
    <row r="280" spans="1:56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3"/>
      <c r="X280" s="56"/>
      <c r="Y280" s="56"/>
      <c r="AA280" s="48" t="str">
        <f t="shared" si="49"/>
        <v>·</v>
      </c>
      <c r="AB280" s="49" t="str">
        <f t="shared" si="50"/>
        <v>·</v>
      </c>
      <c r="AC280" s="49" t="str">
        <f t="shared" si="51"/>
        <v>·</v>
      </c>
      <c r="AD280" s="49" t="str">
        <f t="shared" si="52"/>
        <v>·</v>
      </c>
      <c r="AE280" s="50"/>
      <c r="AF280" s="49" t="str">
        <f t="shared" si="53"/>
        <v>·</v>
      </c>
      <c r="AG280" s="51"/>
      <c r="AH280" s="52"/>
      <c r="AI280" s="52"/>
      <c r="AJ280" s="52"/>
      <c r="AK280" s="53"/>
      <c r="AL280" s="54"/>
      <c r="AM280" s="54"/>
      <c r="AN280" s="54"/>
      <c r="AO280" s="53"/>
      <c r="AP280" s="56"/>
      <c r="AQ280" s="56"/>
      <c r="AS280" s="57" t="e">
        <f t="shared" si="54"/>
        <v>#DIV/0!</v>
      </c>
      <c r="AT280" s="57"/>
      <c r="AV280" s="58"/>
      <c r="AW280" s="58"/>
      <c r="AX280" s="58"/>
      <c r="AY280" s="59"/>
      <c r="BA280" s="58"/>
      <c r="BB280" s="58"/>
      <c r="BC280" s="58"/>
      <c r="BD280" s="59"/>
    </row>
    <row r="281" spans="1:56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6"/>
      <c r="Y281" s="26"/>
      <c r="AA281" s="18" t="str">
        <f t="shared" si="49"/>
        <v>·</v>
      </c>
      <c r="AB281" s="19" t="str">
        <f t="shared" si="50"/>
        <v>·</v>
      </c>
      <c r="AC281" s="19" t="str">
        <f t="shared" si="51"/>
        <v>·</v>
      </c>
      <c r="AD281" s="19" t="str">
        <f t="shared" si="52"/>
        <v>·</v>
      </c>
      <c r="AE281" s="19" t="str">
        <f t="shared" ref="AE281:AE312" si="56">IF(ISBLANK(AI281),"·",AK281/D281)</f>
        <v>·</v>
      </c>
      <c r="AF281" s="19" t="str">
        <f t="shared" si="53"/>
        <v>·</v>
      </c>
      <c r="AG281" s="21"/>
      <c r="AH281" s="22"/>
      <c r="AI281" s="22"/>
      <c r="AJ281" s="22"/>
      <c r="AK281" s="22"/>
      <c r="AL281" s="24"/>
      <c r="AM281" s="24"/>
      <c r="AN281" s="24"/>
      <c r="AO281" s="24"/>
      <c r="AP281" s="26"/>
      <c r="AQ281" s="26"/>
      <c r="AS281" s="27" t="e">
        <f t="shared" si="54"/>
        <v>#DIV/0!</v>
      </c>
      <c r="AT281" s="27" t="e">
        <f t="array" ref="AT281">AVERAGE(AI281:AI286/AH281:AH286) - AVERAGE(Q281:Q286/P281:P286)</f>
        <v>#DIV/0!</v>
      </c>
      <c r="AV281" s="28" t="str">
        <f>IF( OR(ISBLANK(R281:R286),ISBLANK(AJ281:AJ286), ISBLANK(T281:T286),ISBLANK(AL281:AL286)), "·", bdRateExtend( R281:R286,T281:T286, AJ281:AJ286,AL281:AL286))</f>
        <v>·</v>
      </c>
      <c r="AW281" s="28" t="str">
        <f>IF( OR(ISBLANK(R281:R286),ISBLANK(AJ281:AJ286), ISBLANK(U281:U286),ISBLANK(AM281:AM286)), "·", bdRateExtend( R281:R286,U281:U286, AJ281:AJ286,AM281:AM286))</f>
        <v>·</v>
      </c>
      <c r="AX281" s="28" t="str">
        <f>IF( OR(ISBLANK(R281:R286),ISBLANK(AJ281:AJ286), ISBLANK(V281:V286),ISBLANK(AN281:AN286)), "·", bdRateExtend( R281:R286,V281:V286, AJ281:AJ286,AN281:AN286))</f>
        <v>·</v>
      </c>
      <c r="AY281" s="28" t="str">
        <f>IF( OR(ISBLANK(S281:S286),ISBLANK(AK281:AK286), ISBLANK(W281:W286),ISBLANK(AO281:AO286)), "·", bdRateExtend( S281:S286,W281:W286, AK281:AK286,AO281:AO286))</f>
        <v>·</v>
      </c>
      <c r="BA281" s="28" t="str">
        <f>IF( OR(ISBLANK(P281:P286),ISBLANK(AH281:AH286), ISBLANK(T281:T286),ISBLANK(AL281:AL286)), "·", bdRateExtend( P281:P286,T281:T286, AH281:AH286,AL281:AL286))</f>
        <v>·</v>
      </c>
      <c r="BB281" s="28" t="str">
        <f>IF( OR(ISBLANK(P281:P286),ISBLANK(AH281:AH286), ISBLANK(U281:U286),ISBLANK(AM281:AM286)), "·", bdRateExtend( P281:P286,U281:U286, AH281:AH286,AM281:AM286))</f>
        <v>·</v>
      </c>
      <c r="BC281" s="28" t="str">
        <f>IF( OR(ISBLANK(P281:P286),ISBLANK(AH281:AH286), ISBLANK(V281:V286),ISBLANK(AN281:AN286)), "·", bdRateExtend( P281:P286,V281:V286, AH281:AH286,AN281:AN286))</f>
        <v>·</v>
      </c>
      <c r="BD281" s="28" t="str">
        <f>IF( OR(ISBLANK(P281:P286),ISBLANK(AH281:AH286), ISBLANK(W281:W286),ISBLANK(AO281:AO286)), "·", bdRateExtend( P281:P286,W281:W286, AH281:AH286,AO281:AO286))</f>
        <v>·</v>
      </c>
    </row>
    <row r="282" spans="1:56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41"/>
      <c r="Y282" s="41"/>
      <c r="AA282" s="33" t="str">
        <f t="shared" si="49"/>
        <v>·</v>
      </c>
      <c r="AB282" s="34" t="str">
        <f t="shared" si="50"/>
        <v>·</v>
      </c>
      <c r="AC282" s="34" t="str">
        <f t="shared" si="51"/>
        <v>·</v>
      </c>
      <c r="AD282" s="34" t="str">
        <f t="shared" si="52"/>
        <v>·</v>
      </c>
      <c r="AE282" s="34" t="str">
        <f t="shared" si="56"/>
        <v>·</v>
      </c>
      <c r="AF282" s="34" t="str">
        <f t="shared" si="53"/>
        <v>·</v>
      </c>
      <c r="AG282" s="36"/>
      <c r="AH282" s="37"/>
      <c r="AI282" s="37"/>
      <c r="AJ282" s="37"/>
      <c r="AK282" s="37"/>
      <c r="AL282" s="39"/>
      <c r="AM282" s="39"/>
      <c r="AN282" s="39"/>
      <c r="AO282" s="39"/>
      <c r="AP282" s="41"/>
      <c r="AQ282" s="41"/>
      <c r="AS282" s="42" t="e">
        <f t="shared" si="54"/>
        <v>#DIV/0!</v>
      </c>
      <c r="AT282" s="42"/>
      <c r="AV282" s="43"/>
      <c r="AW282" s="43"/>
      <c r="AX282" s="43"/>
      <c r="AY282" s="43"/>
      <c r="BA282" s="43"/>
      <c r="BB282" s="43"/>
      <c r="BC282" s="43"/>
      <c r="BD282" s="43"/>
    </row>
    <row r="283" spans="1:56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6"/>
      <c r="Y283" s="26"/>
      <c r="AA283" s="18" t="str">
        <f t="shared" si="49"/>
        <v>·</v>
      </c>
      <c r="AB283" s="19" t="str">
        <f t="shared" si="50"/>
        <v>·</v>
      </c>
      <c r="AC283" s="19" t="str">
        <f t="shared" si="51"/>
        <v>·</v>
      </c>
      <c r="AD283" s="19" t="str">
        <f t="shared" si="52"/>
        <v>·</v>
      </c>
      <c r="AE283" s="19" t="str">
        <f t="shared" si="56"/>
        <v>·</v>
      </c>
      <c r="AF283" s="19" t="str">
        <f t="shared" si="53"/>
        <v>·</v>
      </c>
      <c r="AG283" s="21"/>
      <c r="AH283" s="22"/>
      <c r="AI283" s="22"/>
      <c r="AJ283" s="22"/>
      <c r="AK283" s="22"/>
      <c r="AL283" s="24"/>
      <c r="AM283" s="24"/>
      <c r="AN283" s="24"/>
      <c r="AO283" s="24"/>
      <c r="AP283" s="26"/>
      <c r="AQ283" s="26"/>
      <c r="AS283" s="27" t="e">
        <f t="shared" si="54"/>
        <v>#DIV/0!</v>
      </c>
      <c r="AT283" s="27"/>
      <c r="AV283" s="28"/>
      <c r="AW283" s="28"/>
      <c r="AX283" s="28"/>
      <c r="AY283" s="28"/>
      <c r="BA283" s="28"/>
      <c r="BB283" s="28"/>
      <c r="BC283" s="28"/>
      <c r="BD283" s="28"/>
    </row>
    <row r="284" spans="1:56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41"/>
      <c r="Y284" s="41"/>
      <c r="AA284" s="33" t="str">
        <f t="shared" si="49"/>
        <v>·</v>
      </c>
      <c r="AB284" s="34" t="str">
        <f t="shared" si="50"/>
        <v>·</v>
      </c>
      <c r="AC284" s="34" t="str">
        <f t="shared" si="51"/>
        <v>·</v>
      </c>
      <c r="AD284" s="34" t="str">
        <f t="shared" si="52"/>
        <v>·</v>
      </c>
      <c r="AE284" s="34" t="str">
        <f t="shared" si="56"/>
        <v>·</v>
      </c>
      <c r="AF284" s="34" t="str">
        <f t="shared" si="53"/>
        <v>·</v>
      </c>
      <c r="AG284" s="36"/>
      <c r="AH284" s="37"/>
      <c r="AI284" s="37"/>
      <c r="AJ284" s="37"/>
      <c r="AK284" s="37"/>
      <c r="AL284" s="39"/>
      <c r="AM284" s="39"/>
      <c r="AN284" s="39"/>
      <c r="AO284" s="39"/>
      <c r="AP284" s="41"/>
      <c r="AQ284" s="41"/>
      <c r="AS284" s="42" t="e">
        <f t="shared" si="54"/>
        <v>#DIV/0!</v>
      </c>
      <c r="AT284" s="42"/>
      <c r="AV284" s="43"/>
      <c r="AW284" s="43"/>
      <c r="AX284" s="43"/>
      <c r="AY284" s="43"/>
      <c r="BA284" s="43"/>
      <c r="BB284" s="43"/>
      <c r="BC284" s="43"/>
      <c r="BD284" s="43"/>
    </row>
    <row r="285" spans="1:56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6"/>
      <c r="Y285" s="26"/>
      <c r="AA285" s="18" t="str">
        <f t="shared" si="49"/>
        <v>·</v>
      </c>
      <c r="AB285" s="19" t="str">
        <f t="shared" si="50"/>
        <v>·</v>
      </c>
      <c r="AC285" s="19" t="str">
        <f t="shared" si="51"/>
        <v>·</v>
      </c>
      <c r="AD285" s="19" t="str">
        <f t="shared" si="52"/>
        <v>·</v>
      </c>
      <c r="AE285" s="19" t="str">
        <f t="shared" si="56"/>
        <v>·</v>
      </c>
      <c r="AF285" s="19" t="str">
        <f t="shared" si="53"/>
        <v>·</v>
      </c>
      <c r="AG285" s="21"/>
      <c r="AH285" s="22"/>
      <c r="AI285" s="22"/>
      <c r="AJ285" s="22"/>
      <c r="AK285" s="22"/>
      <c r="AL285" s="24"/>
      <c r="AM285" s="24"/>
      <c r="AN285" s="24"/>
      <c r="AO285" s="24"/>
      <c r="AP285" s="26"/>
      <c r="AQ285" s="26"/>
      <c r="AS285" s="27" t="e">
        <f t="shared" si="54"/>
        <v>#DIV/0!</v>
      </c>
      <c r="AT285" s="27"/>
      <c r="AV285" s="28"/>
      <c r="AW285" s="28"/>
      <c r="AX285" s="28"/>
      <c r="AY285" s="28"/>
      <c r="BA285" s="28"/>
      <c r="BB285" s="28"/>
      <c r="BC285" s="28"/>
      <c r="BD285" s="28"/>
    </row>
    <row r="286" spans="1:56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6"/>
      <c r="Y286" s="56"/>
      <c r="AA286" s="48" t="str">
        <f t="shared" si="49"/>
        <v>·</v>
      </c>
      <c r="AB286" s="49" t="str">
        <f t="shared" si="50"/>
        <v>·</v>
      </c>
      <c r="AC286" s="49" t="str">
        <f t="shared" si="51"/>
        <v>·</v>
      </c>
      <c r="AD286" s="49" t="str">
        <f t="shared" si="52"/>
        <v>·</v>
      </c>
      <c r="AE286" s="49" t="str">
        <f t="shared" si="56"/>
        <v>·</v>
      </c>
      <c r="AF286" s="49" t="str">
        <f t="shared" si="53"/>
        <v>·</v>
      </c>
      <c r="AG286" s="51"/>
      <c r="AH286" s="52"/>
      <c r="AI286" s="52"/>
      <c r="AJ286" s="52"/>
      <c r="AK286" s="52"/>
      <c r="AL286" s="54"/>
      <c r="AM286" s="54"/>
      <c r="AN286" s="54"/>
      <c r="AO286" s="54"/>
      <c r="AP286" s="56"/>
      <c r="AQ286" s="56"/>
      <c r="AS286" s="57" t="e">
        <f t="shared" si="54"/>
        <v>#DIV/0!</v>
      </c>
      <c r="AT286" s="57"/>
      <c r="AV286" s="58"/>
      <c r="AW286" s="58"/>
      <c r="AX286" s="58"/>
      <c r="AY286" s="58"/>
      <c r="BA286" s="58"/>
      <c r="BB286" s="58"/>
      <c r="BC286" s="58"/>
      <c r="BD286" s="58"/>
    </row>
    <row r="287" spans="1:56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6"/>
      <c r="Y287" s="26"/>
      <c r="AA287" s="18" t="str">
        <f t="shared" si="49"/>
        <v>·</v>
      </c>
      <c r="AB287" s="19" t="str">
        <f t="shared" si="50"/>
        <v>·</v>
      </c>
      <c r="AC287" s="19" t="str">
        <f t="shared" si="51"/>
        <v>·</v>
      </c>
      <c r="AD287" s="19" t="str">
        <f t="shared" si="52"/>
        <v>·</v>
      </c>
      <c r="AE287" s="19" t="str">
        <f t="shared" si="56"/>
        <v>·</v>
      </c>
      <c r="AF287" s="19" t="str">
        <f t="shared" si="53"/>
        <v>·</v>
      </c>
      <c r="AG287" s="21"/>
      <c r="AH287" s="22"/>
      <c r="AI287" s="22"/>
      <c r="AJ287" s="22"/>
      <c r="AK287" s="22"/>
      <c r="AL287" s="24"/>
      <c r="AM287" s="24"/>
      <c r="AN287" s="24"/>
      <c r="AO287" s="24"/>
      <c r="AP287" s="26"/>
      <c r="AQ287" s="26"/>
      <c r="AS287" s="27" t="e">
        <f t="shared" si="54"/>
        <v>#DIV/0!</v>
      </c>
      <c r="AT287" s="27" t="e">
        <f t="array" ref="AT287">AVERAGE(AI287:AI292/AH287:AH292) - AVERAGE(Q287:Q292/P287:P292)</f>
        <v>#DIV/0!</v>
      </c>
      <c r="AV287" s="28" t="str">
        <f>IF( OR(ISBLANK(R287:R292),ISBLANK(AJ287:AJ292), ISBLANK(T287:T292),ISBLANK(AL287:AL292)), "·", bdRateExtend( R287:R292,T287:T292, AJ287:AJ292,AL287:AL292))</f>
        <v>·</v>
      </c>
      <c r="AW287" s="28" t="str">
        <f>IF( OR(ISBLANK(R287:R292),ISBLANK(AJ287:AJ292), ISBLANK(U287:U292),ISBLANK(AM287:AM292)), "·", bdRateExtend( R287:R292,U287:U292, AJ287:AJ292,AM287:AM292))</f>
        <v>·</v>
      </c>
      <c r="AX287" s="28" t="str">
        <f>IF( OR(ISBLANK(R287:R292),ISBLANK(AJ287:AJ292), ISBLANK(V287:V292),ISBLANK(AN287:AN292)), "·", bdRateExtend( R287:R292,V287:V292, AJ287:AJ292,AN287:AN292))</f>
        <v>·</v>
      </c>
      <c r="AY287" s="28" t="str">
        <f>IF( OR(ISBLANK(S287:S292),ISBLANK(AK287:AK292), ISBLANK(W287:W292),ISBLANK(AO287:AO292)), "·", bdRateExtend( S287:S292,W287:W292, AK287:AK292,AO287:AO292))</f>
        <v>·</v>
      </c>
      <c r="BA287" s="28" t="str">
        <f>IF( OR(ISBLANK(P287:P292),ISBLANK(AH287:AH292), ISBLANK(T287:T292),ISBLANK(AL287:AL292)), "·", bdRateExtend( P287:P292,T287:T292, AH287:AH292,AL287:AL292))</f>
        <v>·</v>
      </c>
      <c r="BB287" s="28" t="str">
        <f>IF( OR(ISBLANK(P287:P292),ISBLANK(AH287:AH292), ISBLANK(U287:U292),ISBLANK(AM287:AM292)), "·", bdRateExtend( P287:P292,U287:U292, AH287:AH292,AM287:AM292))</f>
        <v>·</v>
      </c>
      <c r="BC287" s="28" t="str">
        <f>IF( OR(ISBLANK(P287:P292),ISBLANK(AH287:AH292), ISBLANK(V287:V292),ISBLANK(AN287:AN292)), "·", bdRateExtend( P287:P292,V287:V292, AH287:AH292,AN287:AN292))</f>
        <v>·</v>
      </c>
      <c r="BD287" s="28" t="str">
        <f>IF( OR(ISBLANK(P287:P292),ISBLANK(AH287:AH292), ISBLANK(W287:W292),ISBLANK(AO287:AO292)), "·", bdRateExtend( P287:P292,W287:W292, AH287:AH292,AO287:AO292))</f>
        <v>·</v>
      </c>
    </row>
    <row r="288" spans="1:56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41"/>
      <c r="Y288" s="41"/>
      <c r="AA288" s="33" t="str">
        <f t="shared" si="49"/>
        <v>·</v>
      </c>
      <c r="AB288" s="34" t="str">
        <f t="shared" si="50"/>
        <v>·</v>
      </c>
      <c r="AC288" s="34" t="str">
        <f t="shared" si="51"/>
        <v>·</v>
      </c>
      <c r="AD288" s="34" t="str">
        <f t="shared" si="52"/>
        <v>·</v>
      </c>
      <c r="AE288" s="34" t="str">
        <f t="shared" si="56"/>
        <v>·</v>
      </c>
      <c r="AF288" s="34" t="str">
        <f t="shared" si="53"/>
        <v>·</v>
      </c>
      <c r="AG288" s="36"/>
      <c r="AH288" s="37"/>
      <c r="AI288" s="37"/>
      <c r="AJ288" s="37"/>
      <c r="AK288" s="37"/>
      <c r="AL288" s="39"/>
      <c r="AM288" s="39"/>
      <c r="AN288" s="39"/>
      <c r="AO288" s="39"/>
      <c r="AP288" s="41"/>
      <c r="AQ288" s="41"/>
      <c r="AS288" s="42" t="e">
        <f t="shared" si="54"/>
        <v>#DIV/0!</v>
      </c>
      <c r="AT288" s="42"/>
      <c r="AV288" s="43"/>
      <c r="AW288" s="43"/>
      <c r="AX288" s="43"/>
      <c r="AY288" s="43"/>
      <c r="BA288" s="43"/>
      <c r="BB288" s="43"/>
      <c r="BC288" s="43"/>
      <c r="BD288" s="43"/>
    </row>
    <row r="289" spans="1:56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6"/>
      <c r="Y289" s="26"/>
      <c r="AA289" s="18" t="str">
        <f t="shared" si="49"/>
        <v>·</v>
      </c>
      <c r="AB289" s="19" t="str">
        <f t="shared" si="50"/>
        <v>·</v>
      </c>
      <c r="AC289" s="19" t="str">
        <f t="shared" si="51"/>
        <v>·</v>
      </c>
      <c r="AD289" s="19" t="str">
        <f t="shared" si="52"/>
        <v>·</v>
      </c>
      <c r="AE289" s="19" t="str">
        <f t="shared" si="56"/>
        <v>·</v>
      </c>
      <c r="AF289" s="19" t="str">
        <f t="shared" si="53"/>
        <v>·</v>
      </c>
      <c r="AG289" s="21"/>
      <c r="AH289" s="22"/>
      <c r="AI289" s="22"/>
      <c r="AJ289" s="22"/>
      <c r="AK289" s="22"/>
      <c r="AL289" s="24"/>
      <c r="AM289" s="24"/>
      <c r="AN289" s="24"/>
      <c r="AO289" s="24"/>
      <c r="AP289" s="26"/>
      <c r="AQ289" s="26"/>
      <c r="AS289" s="27" t="e">
        <f t="shared" si="54"/>
        <v>#DIV/0!</v>
      </c>
      <c r="AT289" s="27"/>
      <c r="AV289" s="28"/>
      <c r="AW289" s="28"/>
      <c r="AX289" s="28"/>
      <c r="AY289" s="28"/>
      <c r="BA289" s="28"/>
      <c r="BB289" s="28"/>
      <c r="BC289" s="28"/>
      <c r="BD289" s="28"/>
    </row>
    <row r="290" spans="1:56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41"/>
      <c r="Y290" s="41"/>
      <c r="AA290" s="33" t="str">
        <f t="shared" si="49"/>
        <v>·</v>
      </c>
      <c r="AB290" s="34" t="str">
        <f t="shared" si="50"/>
        <v>·</v>
      </c>
      <c r="AC290" s="34" t="str">
        <f t="shared" si="51"/>
        <v>·</v>
      </c>
      <c r="AD290" s="34" t="str">
        <f t="shared" si="52"/>
        <v>·</v>
      </c>
      <c r="AE290" s="34" t="str">
        <f t="shared" si="56"/>
        <v>·</v>
      </c>
      <c r="AF290" s="34" t="str">
        <f t="shared" si="53"/>
        <v>·</v>
      </c>
      <c r="AG290" s="36"/>
      <c r="AH290" s="37"/>
      <c r="AI290" s="37"/>
      <c r="AJ290" s="37"/>
      <c r="AK290" s="37"/>
      <c r="AL290" s="39"/>
      <c r="AM290" s="39"/>
      <c r="AN290" s="39"/>
      <c r="AO290" s="39"/>
      <c r="AP290" s="41"/>
      <c r="AQ290" s="41"/>
      <c r="AS290" s="42" t="e">
        <f t="shared" si="54"/>
        <v>#DIV/0!</v>
      </c>
      <c r="AT290" s="42"/>
      <c r="AV290" s="43"/>
      <c r="AW290" s="43"/>
      <c r="AX290" s="43"/>
      <c r="AY290" s="43"/>
      <c r="BA290" s="43"/>
      <c r="BB290" s="43"/>
      <c r="BC290" s="43"/>
      <c r="BD290" s="43"/>
    </row>
    <row r="291" spans="1:56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6"/>
      <c r="Y291" s="26"/>
      <c r="AA291" s="18" t="str">
        <f t="shared" si="49"/>
        <v>·</v>
      </c>
      <c r="AB291" s="19" t="str">
        <f t="shared" si="50"/>
        <v>·</v>
      </c>
      <c r="AC291" s="19" t="str">
        <f t="shared" si="51"/>
        <v>·</v>
      </c>
      <c r="AD291" s="19" t="str">
        <f t="shared" si="52"/>
        <v>·</v>
      </c>
      <c r="AE291" s="19" t="str">
        <f t="shared" si="56"/>
        <v>·</v>
      </c>
      <c r="AF291" s="19" t="str">
        <f t="shared" si="53"/>
        <v>·</v>
      </c>
      <c r="AG291" s="21"/>
      <c r="AH291" s="22"/>
      <c r="AI291" s="22"/>
      <c r="AJ291" s="22"/>
      <c r="AK291" s="22"/>
      <c r="AL291" s="24"/>
      <c r="AM291" s="24"/>
      <c r="AN291" s="24"/>
      <c r="AO291" s="24"/>
      <c r="AP291" s="26"/>
      <c r="AQ291" s="26"/>
      <c r="AS291" s="27" t="e">
        <f t="shared" si="54"/>
        <v>#DIV/0!</v>
      </c>
      <c r="AT291" s="27"/>
      <c r="AV291" s="28"/>
      <c r="AW291" s="28"/>
      <c r="AX291" s="28"/>
      <c r="AY291" s="28"/>
      <c r="BA291" s="28"/>
      <c r="BB291" s="28"/>
      <c r="BC291" s="28"/>
      <c r="BD291" s="28"/>
    </row>
    <row r="292" spans="1:56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6"/>
      <c r="Y292" s="56"/>
      <c r="AA292" s="48" t="str">
        <f t="shared" si="49"/>
        <v>·</v>
      </c>
      <c r="AB292" s="49" t="str">
        <f t="shared" si="50"/>
        <v>·</v>
      </c>
      <c r="AC292" s="49" t="str">
        <f t="shared" si="51"/>
        <v>·</v>
      </c>
      <c r="AD292" s="49" t="str">
        <f t="shared" si="52"/>
        <v>·</v>
      </c>
      <c r="AE292" s="49" t="str">
        <f t="shared" si="56"/>
        <v>·</v>
      </c>
      <c r="AF292" s="49" t="str">
        <f t="shared" si="53"/>
        <v>·</v>
      </c>
      <c r="AG292" s="51"/>
      <c r="AH292" s="52"/>
      <c r="AI292" s="52"/>
      <c r="AJ292" s="52"/>
      <c r="AK292" s="52"/>
      <c r="AL292" s="54"/>
      <c r="AM292" s="54"/>
      <c r="AN292" s="54"/>
      <c r="AO292" s="54"/>
      <c r="AP292" s="56"/>
      <c r="AQ292" s="56"/>
      <c r="AS292" s="57" t="e">
        <f t="shared" si="54"/>
        <v>#DIV/0!</v>
      </c>
      <c r="AT292" s="57"/>
      <c r="AV292" s="58"/>
      <c r="AW292" s="58"/>
      <c r="AX292" s="58"/>
      <c r="AY292" s="58"/>
      <c r="BA292" s="58"/>
      <c r="BB292" s="58"/>
      <c r="BC292" s="58"/>
      <c r="BD292" s="58"/>
    </row>
    <row r="293" spans="1:56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6"/>
      <c r="Y293" s="26"/>
      <c r="AA293" s="18" t="str">
        <f t="shared" si="49"/>
        <v>·</v>
      </c>
      <c r="AB293" s="19" t="str">
        <f t="shared" si="50"/>
        <v>·</v>
      </c>
      <c r="AC293" s="19" t="str">
        <f t="shared" si="51"/>
        <v>·</v>
      </c>
      <c r="AD293" s="19" t="str">
        <f t="shared" si="52"/>
        <v>·</v>
      </c>
      <c r="AE293" s="19" t="str">
        <f t="shared" si="56"/>
        <v>·</v>
      </c>
      <c r="AF293" s="19" t="str">
        <f t="shared" si="53"/>
        <v>·</v>
      </c>
      <c r="AG293" s="21"/>
      <c r="AH293" s="22"/>
      <c r="AI293" s="22"/>
      <c r="AJ293" s="22"/>
      <c r="AK293" s="22"/>
      <c r="AL293" s="24"/>
      <c r="AM293" s="24"/>
      <c r="AN293" s="24"/>
      <c r="AO293" s="24"/>
      <c r="AP293" s="26"/>
      <c r="AQ293" s="26"/>
      <c r="AS293" s="27" t="e">
        <f t="shared" si="54"/>
        <v>#DIV/0!</v>
      </c>
      <c r="AT293" s="27" t="e">
        <f t="array" ref="AT293">AVERAGE(AI293:AI298/AH293:AH298) - AVERAGE(Q293:Q298/P293:P298)</f>
        <v>#DIV/0!</v>
      </c>
      <c r="AV293" s="28" t="str">
        <f>IF( OR(ISBLANK(R293:R298),ISBLANK(AJ293:AJ298), ISBLANK(T293:T298),ISBLANK(AL293:AL298)), "·", bdRateExtend( R293:R298,T293:T298, AJ293:AJ298,AL293:AL298))</f>
        <v>·</v>
      </c>
      <c r="AW293" s="28" t="str">
        <f>IF( OR(ISBLANK(R293:R298),ISBLANK(AJ293:AJ298), ISBLANK(U293:U298),ISBLANK(AM293:AM298)), "·", bdRateExtend( R293:R298,U293:U298, AJ293:AJ298,AM293:AM298))</f>
        <v>·</v>
      </c>
      <c r="AX293" s="28" t="str">
        <f>IF( OR(ISBLANK(R293:R298),ISBLANK(AJ293:AJ298), ISBLANK(V293:V298),ISBLANK(AN293:AN298)), "·", bdRateExtend( R293:R298,V293:V298, AJ293:AJ298,AN293:AN298))</f>
        <v>·</v>
      </c>
      <c r="AY293" s="28" t="str">
        <f>IF( OR(ISBLANK(S293:S298),ISBLANK(AK293:AK298), ISBLANK(W293:W298),ISBLANK(AO293:AO298)), "·", bdRateExtend( S293:S298,W293:W298, AK293:AK298,AO293:AO298))</f>
        <v>·</v>
      </c>
      <c r="BA293" s="28" t="str">
        <f>IF( OR(ISBLANK(P293:P298),ISBLANK(AH293:AH298), ISBLANK(T293:T298),ISBLANK(AL293:AL298)), "·", bdRateExtend( P293:P298,T293:T298, AH293:AH298,AL293:AL298))</f>
        <v>·</v>
      </c>
      <c r="BB293" s="28" t="str">
        <f>IF( OR(ISBLANK(P293:P298),ISBLANK(AH293:AH298), ISBLANK(U293:U298),ISBLANK(AM293:AM298)), "·", bdRateExtend( P293:P298,U293:U298, AH293:AH298,AM293:AM298))</f>
        <v>·</v>
      </c>
      <c r="BC293" s="28" t="str">
        <f>IF( OR(ISBLANK(P293:P298),ISBLANK(AH293:AH298), ISBLANK(V293:V298),ISBLANK(AN293:AN298)), "·", bdRateExtend( P293:P298,V293:V298, AH293:AH298,AN293:AN298))</f>
        <v>·</v>
      </c>
      <c r="BD293" s="28" t="str">
        <f>IF( OR(ISBLANK(P293:P298),ISBLANK(AH293:AH298), ISBLANK(W293:W298),ISBLANK(AO293:AO298)), "·", bdRateExtend( P293:P298,W293:W298, AH293:AH298,AO293:AO298))</f>
        <v>·</v>
      </c>
    </row>
    <row r="294" spans="1:56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41"/>
      <c r="Y294" s="41"/>
      <c r="AA294" s="33" t="str">
        <f t="shared" si="49"/>
        <v>·</v>
      </c>
      <c r="AB294" s="34" t="str">
        <f t="shared" si="50"/>
        <v>·</v>
      </c>
      <c r="AC294" s="34" t="str">
        <f t="shared" si="51"/>
        <v>·</v>
      </c>
      <c r="AD294" s="34" t="str">
        <f t="shared" si="52"/>
        <v>·</v>
      </c>
      <c r="AE294" s="34" t="str">
        <f t="shared" si="56"/>
        <v>·</v>
      </c>
      <c r="AF294" s="34" t="str">
        <f t="shared" si="53"/>
        <v>·</v>
      </c>
      <c r="AG294" s="36"/>
      <c r="AH294" s="37"/>
      <c r="AI294" s="37"/>
      <c r="AJ294" s="37"/>
      <c r="AK294" s="37"/>
      <c r="AL294" s="39"/>
      <c r="AM294" s="39"/>
      <c r="AN294" s="39"/>
      <c r="AO294" s="39"/>
      <c r="AP294" s="41"/>
      <c r="AQ294" s="41"/>
      <c r="AS294" s="42" t="e">
        <f t="shared" si="54"/>
        <v>#DIV/0!</v>
      </c>
      <c r="AT294" s="42"/>
      <c r="AV294" s="43"/>
      <c r="AW294" s="43"/>
      <c r="AX294" s="43"/>
      <c r="AY294" s="43"/>
      <c r="BA294" s="43"/>
      <c r="BB294" s="43"/>
      <c r="BC294" s="43"/>
      <c r="BD294" s="43"/>
    </row>
    <row r="295" spans="1:56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6"/>
      <c r="Y295" s="26"/>
      <c r="AA295" s="18" t="str">
        <f t="shared" si="49"/>
        <v>·</v>
      </c>
      <c r="AB295" s="19" t="str">
        <f t="shared" si="50"/>
        <v>·</v>
      </c>
      <c r="AC295" s="19" t="str">
        <f t="shared" si="51"/>
        <v>·</v>
      </c>
      <c r="AD295" s="19" t="str">
        <f t="shared" si="52"/>
        <v>·</v>
      </c>
      <c r="AE295" s="19" t="str">
        <f t="shared" si="56"/>
        <v>·</v>
      </c>
      <c r="AF295" s="19" t="str">
        <f t="shared" si="53"/>
        <v>·</v>
      </c>
      <c r="AG295" s="21"/>
      <c r="AH295" s="22"/>
      <c r="AI295" s="22"/>
      <c r="AJ295" s="22"/>
      <c r="AK295" s="22"/>
      <c r="AL295" s="24"/>
      <c r="AM295" s="24"/>
      <c r="AN295" s="24"/>
      <c r="AO295" s="24"/>
      <c r="AP295" s="26"/>
      <c r="AQ295" s="26"/>
      <c r="AS295" s="27" t="e">
        <f t="shared" si="54"/>
        <v>#DIV/0!</v>
      </c>
      <c r="AT295" s="27"/>
      <c r="AV295" s="28"/>
      <c r="AW295" s="28"/>
      <c r="AX295" s="28"/>
      <c r="AY295" s="28"/>
      <c r="BA295" s="28"/>
      <c r="BB295" s="28"/>
      <c r="BC295" s="28"/>
      <c r="BD295" s="28"/>
    </row>
    <row r="296" spans="1:56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41"/>
      <c r="Y296" s="41"/>
      <c r="AA296" s="33" t="str">
        <f t="shared" si="49"/>
        <v>·</v>
      </c>
      <c r="AB296" s="34" t="str">
        <f t="shared" si="50"/>
        <v>·</v>
      </c>
      <c r="AC296" s="34" t="str">
        <f t="shared" si="51"/>
        <v>·</v>
      </c>
      <c r="AD296" s="34" t="str">
        <f t="shared" si="52"/>
        <v>·</v>
      </c>
      <c r="AE296" s="34" t="str">
        <f t="shared" si="56"/>
        <v>·</v>
      </c>
      <c r="AF296" s="34" t="str">
        <f t="shared" si="53"/>
        <v>·</v>
      </c>
      <c r="AG296" s="36"/>
      <c r="AH296" s="37"/>
      <c r="AI296" s="37"/>
      <c r="AJ296" s="37"/>
      <c r="AK296" s="37"/>
      <c r="AL296" s="39"/>
      <c r="AM296" s="39"/>
      <c r="AN296" s="39"/>
      <c r="AO296" s="39"/>
      <c r="AP296" s="41"/>
      <c r="AQ296" s="41"/>
      <c r="AS296" s="42" t="e">
        <f t="shared" si="54"/>
        <v>#DIV/0!</v>
      </c>
      <c r="AT296" s="42"/>
      <c r="AV296" s="43"/>
      <c r="AW296" s="43"/>
      <c r="AX296" s="43"/>
      <c r="AY296" s="43"/>
      <c r="BA296" s="43"/>
      <c r="BB296" s="43"/>
      <c r="BC296" s="43"/>
      <c r="BD296" s="43"/>
    </row>
    <row r="297" spans="1:56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6"/>
      <c r="Y297" s="26"/>
      <c r="AA297" s="18" t="str">
        <f t="shared" si="49"/>
        <v>·</v>
      </c>
      <c r="AB297" s="19" t="str">
        <f t="shared" si="50"/>
        <v>·</v>
      </c>
      <c r="AC297" s="19" t="str">
        <f t="shared" si="51"/>
        <v>·</v>
      </c>
      <c r="AD297" s="19" t="str">
        <f t="shared" si="52"/>
        <v>·</v>
      </c>
      <c r="AE297" s="19" t="str">
        <f t="shared" si="56"/>
        <v>·</v>
      </c>
      <c r="AF297" s="19" t="str">
        <f t="shared" si="53"/>
        <v>·</v>
      </c>
      <c r="AG297" s="21"/>
      <c r="AH297" s="22"/>
      <c r="AI297" s="22"/>
      <c r="AJ297" s="22"/>
      <c r="AK297" s="22"/>
      <c r="AL297" s="24"/>
      <c r="AM297" s="24"/>
      <c r="AN297" s="24"/>
      <c r="AO297" s="24"/>
      <c r="AP297" s="26"/>
      <c r="AQ297" s="26"/>
      <c r="AS297" s="27" t="e">
        <f t="shared" si="54"/>
        <v>#DIV/0!</v>
      </c>
      <c r="AT297" s="27"/>
      <c r="AV297" s="28"/>
      <c r="AW297" s="28"/>
      <c r="AX297" s="28"/>
      <c r="AY297" s="28"/>
      <c r="BA297" s="28"/>
      <c r="BB297" s="28"/>
      <c r="BC297" s="28"/>
      <c r="BD297" s="28"/>
    </row>
    <row r="298" spans="1:56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6"/>
      <c r="Y298" s="56"/>
      <c r="AA298" s="48" t="str">
        <f t="shared" si="49"/>
        <v>·</v>
      </c>
      <c r="AB298" s="49" t="str">
        <f t="shared" si="50"/>
        <v>·</v>
      </c>
      <c r="AC298" s="49" t="str">
        <f t="shared" si="51"/>
        <v>·</v>
      </c>
      <c r="AD298" s="49" t="str">
        <f t="shared" si="52"/>
        <v>·</v>
      </c>
      <c r="AE298" s="49" t="str">
        <f t="shared" si="56"/>
        <v>·</v>
      </c>
      <c r="AF298" s="49" t="str">
        <f t="shared" si="53"/>
        <v>·</v>
      </c>
      <c r="AG298" s="51"/>
      <c r="AH298" s="52"/>
      <c r="AI298" s="52"/>
      <c r="AJ298" s="52"/>
      <c r="AK298" s="52"/>
      <c r="AL298" s="54"/>
      <c r="AM298" s="54"/>
      <c r="AN298" s="54"/>
      <c r="AO298" s="54"/>
      <c r="AP298" s="56"/>
      <c r="AQ298" s="56"/>
      <c r="AS298" s="57" t="e">
        <f t="shared" si="54"/>
        <v>#DIV/0!</v>
      </c>
      <c r="AT298" s="57"/>
      <c r="AV298" s="58"/>
      <c r="AW298" s="58"/>
      <c r="AX298" s="58"/>
      <c r="AY298" s="58"/>
      <c r="BA298" s="58"/>
      <c r="BB298" s="58"/>
      <c r="BC298" s="58"/>
      <c r="BD298" s="58"/>
    </row>
    <row r="299" spans="1:56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3"/>
      <c r="U299" s="23"/>
      <c r="V299" s="23"/>
      <c r="W299" s="24"/>
      <c r="X299" s="26"/>
      <c r="Y299" s="26"/>
      <c r="AA299" s="18" t="str">
        <f t="shared" si="49"/>
        <v>·</v>
      </c>
      <c r="AB299" s="19" t="str">
        <f t="shared" si="50"/>
        <v>·</v>
      </c>
      <c r="AC299" s="19" t="str">
        <f t="shared" si="51"/>
        <v>·</v>
      </c>
      <c r="AD299" s="20"/>
      <c r="AE299" s="19" t="str">
        <f t="shared" si="56"/>
        <v>·</v>
      </c>
      <c r="AF299" s="19" t="str">
        <f t="shared" si="53"/>
        <v>·</v>
      </c>
      <c r="AG299" s="21"/>
      <c r="AH299" s="22"/>
      <c r="AI299" s="22"/>
      <c r="AJ299" s="23"/>
      <c r="AK299" s="22"/>
      <c r="AL299" s="23"/>
      <c r="AM299" s="23"/>
      <c r="AN299" s="23"/>
      <c r="AO299" s="24"/>
      <c r="AP299" s="26"/>
      <c r="AQ299" s="26"/>
      <c r="AS299" s="27" t="e">
        <f t="shared" si="54"/>
        <v>#DIV/0!</v>
      </c>
      <c r="AT299" s="27" t="e">
        <f t="array" ref="AT299">AVERAGE(AI299:AI304/AH299:AH304) - AVERAGE(Q299:Q304/P299:P304)</f>
        <v>#DIV/0!</v>
      </c>
      <c r="AV299" s="29"/>
      <c r="AW299" s="29"/>
      <c r="AX299" s="29"/>
      <c r="AY299" s="28" t="str">
        <f>IF( OR(ISBLANK(S299:S304),ISBLANK(AK299:AK304), ISBLANK(W299:W304),ISBLANK(AO299:AO304)), "·", bdRateExtend( S299:S304,W299:W304, AK299:AK304,AO299:AO304))</f>
        <v>·</v>
      </c>
      <c r="BA299" s="29"/>
      <c r="BB299" s="29"/>
      <c r="BC299" s="29"/>
      <c r="BD299" s="28" t="str">
        <f>IF( OR(ISBLANK(P299:P304),ISBLANK(AH299:AH304), ISBLANK(W299:W304),ISBLANK(AO299:AO304)), "·", bdRateExtend( P299:P304,W299:W304, AH299:AH304,AO299:AO304))</f>
        <v>·</v>
      </c>
    </row>
    <row r="300" spans="1:56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8"/>
      <c r="U300" s="38"/>
      <c r="V300" s="38"/>
      <c r="W300" s="39"/>
      <c r="X300" s="41"/>
      <c r="Y300" s="41"/>
      <c r="AA300" s="33" t="str">
        <f t="shared" si="49"/>
        <v>·</v>
      </c>
      <c r="AB300" s="34" t="str">
        <f t="shared" si="50"/>
        <v>·</v>
      </c>
      <c r="AC300" s="34" t="str">
        <f t="shared" si="51"/>
        <v>·</v>
      </c>
      <c r="AD300" s="35"/>
      <c r="AE300" s="34" t="str">
        <f t="shared" si="56"/>
        <v>·</v>
      </c>
      <c r="AF300" s="34" t="str">
        <f t="shared" si="53"/>
        <v>·</v>
      </c>
      <c r="AG300" s="36"/>
      <c r="AH300" s="37"/>
      <c r="AI300" s="37"/>
      <c r="AJ300" s="38"/>
      <c r="AK300" s="37"/>
      <c r="AL300" s="38"/>
      <c r="AM300" s="38"/>
      <c r="AN300" s="38"/>
      <c r="AO300" s="39"/>
      <c r="AP300" s="41"/>
      <c r="AQ300" s="41"/>
      <c r="AS300" s="42" t="e">
        <f t="shared" si="54"/>
        <v>#DIV/0!</v>
      </c>
      <c r="AT300" s="42"/>
      <c r="AV300" s="44"/>
      <c r="AW300" s="44"/>
      <c r="AX300" s="44"/>
      <c r="AY300" s="43"/>
      <c r="BA300" s="44"/>
      <c r="BB300" s="44"/>
      <c r="BC300" s="44"/>
      <c r="BD300" s="43"/>
    </row>
    <row r="301" spans="1:56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3"/>
      <c r="U301" s="23"/>
      <c r="V301" s="23"/>
      <c r="W301" s="24"/>
      <c r="X301" s="26"/>
      <c r="Y301" s="26"/>
      <c r="AA301" s="18" t="str">
        <f t="shared" si="49"/>
        <v>·</v>
      </c>
      <c r="AB301" s="19" t="str">
        <f t="shared" si="50"/>
        <v>·</v>
      </c>
      <c r="AC301" s="19" t="str">
        <f t="shared" si="51"/>
        <v>·</v>
      </c>
      <c r="AD301" s="20"/>
      <c r="AE301" s="19" t="str">
        <f t="shared" si="56"/>
        <v>·</v>
      </c>
      <c r="AF301" s="19" t="str">
        <f t="shared" si="53"/>
        <v>·</v>
      </c>
      <c r="AG301" s="21"/>
      <c r="AH301" s="22"/>
      <c r="AI301" s="22"/>
      <c r="AJ301" s="23"/>
      <c r="AK301" s="22"/>
      <c r="AL301" s="23"/>
      <c r="AM301" s="23"/>
      <c r="AN301" s="23"/>
      <c r="AO301" s="24"/>
      <c r="AP301" s="26"/>
      <c r="AQ301" s="26"/>
      <c r="AS301" s="27" t="e">
        <f t="shared" si="54"/>
        <v>#DIV/0!</v>
      </c>
      <c r="AT301" s="27"/>
      <c r="AV301" s="29"/>
      <c r="AW301" s="29"/>
      <c r="AX301" s="29"/>
      <c r="AY301" s="28"/>
      <c r="BA301" s="29"/>
      <c r="BB301" s="29"/>
      <c r="BC301" s="29"/>
      <c r="BD301" s="28"/>
    </row>
    <row r="302" spans="1:56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8"/>
      <c r="U302" s="38"/>
      <c r="V302" s="38"/>
      <c r="W302" s="39"/>
      <c r="X302" s="41"/>
      <c r="Y302" s="41"/>
      <c r="AA302" s="33" t="str">
        <f t="shared" si="49"/>
        <v>·</v>
      </c>
      <c r="AB302" s="34" t="str">
        <f t="shared" si="50"/>
        <v>·</v>
      </c>
      <c r="AC302" s="34" t="str">
        <f t="shared" si="51"/>
        <v>·</v>
      </c>
      <c r="AD302" s="35"/>
      <c r="AE302" s="34" t="str">
        <f t="shared" si="56"/>
        <v>·</v>
      </c>
      <c r="AF302" s="34" t="str">
        <f t="shared" si="53"/>
        <v>·</v>
      </c>
      <c r="AG302" s="36"/>
      <c r="AH302" s="37"/>
      <c r="AI302" s="37"/>
      <c r="AJ302" s="38"/>
      <c r="AK302" s="37"/>
      <c r="AL302" s="38"/>
      <c r="AM302" s="38"/>
      <c r="AN302" s="38"/>
      <c r="AO302" s="39"/>
      <c r="AP302" s="41"/>
      <c r="AQ302" s="41"/>
      <c r="AS302" s="42" t="e">
        <f t="shared" si="54"/>
        <v>#DIV/0!</v>
      </c>
      <c r="AT302" s="42"/>
      <c r="AV302" s="44"/>
      <c r="AW302" s="44"/>
      <c r="AX302" s="44"/>
      <c r="AY302" s="43"/>
      <c r="BA302" s="44"/>
      <c r="BB302" s="44"/>
      <c r="BC302" s="44"/>
      <c r="BD302" s="43"/>
    </row>
    <row r="303" spans="1:56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3"/>
      <c r="U303" s="23"/>
      <c r="V303" s="23"/>
      <c r="W303" s="24"/>
      <c r="X303" s="26"/>
      <c r="Y303" s="26"/>
      <c r="AA303" s="18" t="str">
        <f t="shared" si="49"/>
        <v>·</v>
      </c>
      <c r="AB303" s="19" t="str">
        <f t="shared" si="50"/>
        <v>·</v>
      </c>
      <c r="AC303" s="19" t="str">
        <f t="shared" si="51"/>
        <v>·</v>
      </c>
      <c r="AD303" s="20"/>
      <c r="AE303" s="19" t="str">
        <f t="shared" si="56"/>
        <v>·</v>
      </c>
      <c r="AF303" s="19" t="str">
        <f t="shared" si="53"/>
        <v>·</v>
      </c>
      <c r="AG303" s="21"/>
      <c r="AH303" s="22"/>
      <c r="AI303" s="22"/>
      <c r="AJ303" s="23"/>
      <c r="AK303" s="22"/>
      <c r="AL303" s="23"/>
      <c r="AM303" s="23"/>
      <c r="AN303" s="23"/>
      <c r="AO303" s="24"/>
      <c r="AP303" s="26"/>
      <c r="AQ303" s="26"/>
      <c r="AS303" s="27" t="e">
        <f t="shared" si="54"/>
        <v>#DIV/0!</v>
      </c>
      <c r="AT303" s="27"/>
      <c r="AV303" s="29"/>
      <c r="AW303" s="29"/>
      <c r="AX303" s="29"/>
      <c r="AY303" s="28"/>
      <c r="BA303" s="29"/>
      <c r="BB303" s="29"/>
      <c r="BC303" s="29"/>
      <c r="BD303" s="28"/>
    </row>
    <row r="304" spans="1:56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3"/>
      <c r="U304" s="53"/>
      <c r="V304" s="53"/>
      <c r="W304" s="54"/>
      <c r="X304" s="56"/>
      <c r="Y304" s="56"/>
      <c r="AA304" s="48" t="str">
        <f t="shared" si="49"/>
        <v>·</v>
      </c>
      <c r="AB304" s="49" t="str">
        <f t="shared" si="50"/>
        <v>·</v>
      </c>
      <c r="AC304" s="49" t="str">
        <f t="shared" si="51"/>
        <v>·</v>
      </c>
      <c r="AD304" s="50"/>
      <c r="AE304" s="49" t="str">
        <f t="shared" si="56"/>
        <v>·</v>
      </c>
      <c r="AF304" s="49" t="str">
        <f t="shared" si="53"/>
        <v>·</v>
      </c>
      <c r="AG304" s="51"/>
      <c r="AH304" s="52"/>
      <c r="AI304" s="52"/>
      <c r="AJ304" s="53"/>
      <c r="AK304" s="52"/>
      <c r="AL304" s="53"/>
      <c r="AM304" s="53"/>
      <c r="AN304" s="53"/>
      <c r="AO304" s="54"/>
      <c r="AP304" s="56"/>
      <c r="AQ304" s="56"/>
      <c r="AS304" s="57" t="e">
        <f t="shared" si="54"/>
        <v>#DIV/0!</v>
      </c>
      <c r="AT304" s="57"/>
      <c r="AV304" s="59"/>
      <c r="AW304" s="59"/>
      <c r="AX304" s="59"/>
      <c r="AY304" s="58"/>
      <c r="BA304" s="59"/>
      <c r="BB304" s="59"/>
      <c r="BC304" s="59"/>
      <c r="BD304" s="58"/>
    </row>
    <row r="305" spans="1:56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3"/>
      <c r="U305" s="23"/>
      <c r="V305" s="23"/>
      <c r="W305" s="24"/>
      <c r="X305" s="26"/>
      <c r="Y305" s="26"/>
      <c r="AA305" s="18" t="str">
        <f t="shared" si="49"/>
        <v>·</v>
      </c>
      <c r="AB305" s="19" t="str">
        <f t="shared" si="50"/>
        <v>·</v>
      </c>
      <c r="AC305" s="19" t="str">
        <f t="shared" si="51"/>
        <v>·</v>
      </c>
      <c r="AD305" s="20"/>
      <c r="AE305" s="19" t="str">
        <f t="shared" si="56"/>
        <v>·</v>
      </c>
      <c r="AF305" s="19" t="str">
        <f t="shared" si="53"/>
        <v>·</v>
      </c>
      <c r="AG305" s="21"/>
      <c r="AH305" s="22"/>
      <c r="AI305" s="22"/>
      <c r="AJ305" s="23"/>
      <c r="AK305" s="22"/>
      <c r="AL305" s="23"/>
      <c r="AM305" s="23"/>
      <c r="AN305" s="23"/>
      <c r="AO305" s="24"/>
      <c r="AP305" s="26"/>
      <c r="AQ305" s="26"/>
      <c r="AS305" s="27" t="e">
        <f t="shared" si="54"/>
        <v>#DIV/0!</v>
      </c>
      <c r="AT305" s="27" t="e">
        <f t="array" ref="AT305">AVERAGE(AI305:AI310/AH305:AH310) - AVERAGE(Q305:Q310/P305:P310)</f>
        <v>#DIV/0!</v>
      </c>
      <c r="AV305" s="29"/>
      <c r="AW305" s="29"/>
      <c r="AX305" s="29"/>
      <c r="AY305" s="28" t="str">
        <f>IF( OR(ISBLANK(S305:S310),ISBLANK(AK305:AK310), ISBLANK(W305:W310),ISBLANK(AO305:AO310)), "·", bdRateExtend( S305:S310,W305:W310, AK305:AK310,AO305:AO310))</f>
        <v>·</v>
      </c>
      <c r="BA305" s="29"/>
      <c r="BB305" s="29"/>
      <c r="BC305" s="29"/>
      <c r="BD305" s="28" t="str">
        <f>IF( OR(ISBLANK(P305:P310),ISBLANK(AH305:AH310), ISBLANK(W305:W310),ISBLANK(AO305:AO310)), "·", bdRateExtend( P305:P310,W305:W310, AH305:AH310,AO305:AO310))</f>
        <v>·</v>
      </c>
    </row>
    <row r="306" spans="1:56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8"/>
      <c r="U306" s="38"/>
      <c r="V306" s="38"/>
      <c r="W306" s="39"/>
      <c r="X306" s="41"/>
      <c r="Y306" s="41"/>
      <c r="AA306" s="33" t="str">
        <f t="shared" si="49"/>
        <v>·</v>
      </c>
      <c r="AB306" s="34" t="str">
        <f t="shared" si="50"/>
        <v>·</v>
      </c>
      <c r="AC306" s="34" t="str">
        <f t="shared" si="51"/>
        <v>·</v>
      </c>
      <c r="AD306" s="35"/>
      <c r="AE306" s="34" t="str">
        <f t="shared" si="56"/>
        <v>·</v>
      </c>
      <c r="AF306" s="34" t="str">
        <f t="shared" si="53"/>
        <v>·</v>
      </c>
      <c r="AG306" s="36"/>
      <c r="AH306" s="37"/>
      <c r="AI306" s="37"/>
      <c r="AJ306" s="38"/>
      <c r="AK306" s="37"/>
      <c r="AL306" s="38"/>
      <c r="AM306" s="38"/>
      <c r="AN306" s="38"/>
      <c r="AO306" s="39"/>
      <c r="AP306" s="41"/>
      <c r="AQ306" s="41"/>
      <c r="AS306" s="42" t="e">
        <f t="shared" si="54"/>
        <v>#DIV/0!</v>
      </c>
      <c r="AT306" s="42"/>
      <c r="AV306" s="44"/>
      <c r="AW306" s="44"/>
      <c r="AX306" s="44"/>
      <c r="AY306" s="43"/>
      <c r="BA306" s="44"/>
      <c r="BB306" s="44"/>
      <c r="BC306" s="44"/>
      <c r="BD306" s="43"/>
    </row>
    <row r="307" spans="1:56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3"/>
      <c r="U307" s="23"/>
      <c r="V307" s="23"/>
      <c r="W307" s="24"/>
      <c r="X307" s="26"/>
      <c r="Y307" s="26"/>
      <c r="AA307" s="18" t="str">
        <f t="shared" si="49"/>
        <v>·</v>
      </c>
      <c r="AB307" s="19" t="str">
        <f t="shared" si="50"/>
        <v>·</v>
      </c>
      <c r="AC307" s="19" t="str">
        <f t="shared" si="51"/>
        <v>·</v>
      </c>
      <c r="AD307" s="20"/>
      <c r="AE307" s="19" t="str">
        <f t="shared" si="56"/>
        <v>·</v>
      </c>
      <c r="AF307" s="19" t="str">
        <f t="shared" si="53"/>
        <v>·</v>
      </c>
      <c r="AG307" s="21"/>
      <c r="AH307" s="22"/>
      <c r="AI307" s="22"/>
      <c r="AJ307" s="23"/>
      <c r="AK307" s="22"/>
      <c r="AL307" s="23"/>
      <c r="AM307" s="23"/>
      <c r="AN307" s="23"/>
      <c r="AO307" s="24"/>
      <c r="AP307" s="26"/>
      <c r="AQ307" s="26"/>
      <c r="AS307" s="27" t="e">
        <f t="shared" si="54"/>
        <v>#DIV/0!</v>
      </c>
      <c r="AT307" s="27"/>
      <c r="AV307" s="29"/>
      <c r="AW307" s="29"/>
      <c r="AX307" s="29"/>
      <c r="AY307" s="28"/>
      <c r="BA307" s="29"/>
      <c r="BB307" s="29"/>
      <c r="BC307" s="29"/>
      <c r="BD307" s="28"/>
    </row>
    <row r="308" spans="1:56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8"/>
      <c r="U308" s="38"/>
      <c r="V308" s="38"/>
      <c r="W308" s="39"/>
      <c r="X308" s="41"/>
      <c r="Y308" s="41"/>
      <c r="AA308" s="33" t="str">
        <f t="shared" si="49"/>
        <v>·</v>
      </c>
      <c r="AB308" s="34" t="str">
        <f t="shared" si="50"/>
        <v>·</v>
      </c>
      <c r="AC308" s="34" t="str">
        <f t="shared" si="51"/>
        <v>·</v>
      </c>
      <c r="AD308" s="35"/>
      <c r="AE308" s="34" t="str">
        <f t="shared" si="56"/>
        <v>·</v>
      </c>
      <c r="AF308" s="34" t="str">
        <f t="shared" si="53"/>
        <v>·</v>
      </c>
      <c r="AG308" s="36"/>
      <c r="AH308" s="37"/>
      <c r="AI308" s="37"/>
      <c r="AJ308" s="38"/>
      <c r="AK308" s="37"/>
      <c r="AL308" s="38"/>
      <c r="AM308" s="38"/>
      <c r="AN308" s="38"/>
      <c r="AO308" s="39"/>
      <c r="AP308" s="41"/>
      <c r="AQ308" s="41"/>
      <c r="AS308" s="42" t="e">
        <f t="shared" si="54"/>
        <v>#DIV/0!</v>
      </c>
      <c r="AT308" s="42"/>
      <c r="AV308" s="44"/>
      <c r="AW308" s="44"/>
      <c r="AX308" s="44"/>
      <c r="AY308" s="43"/>
      <c r="BA308" s="44"/>
      <c r="BB308" s="44"/>
      <c r="BC308" s="44"/>
      <c r="BD308" s="43"/>
    </row>
    <row r="309" spans="1:56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3"/>
      <c r="U309" s="23"/>
      <c r="V309" s="23"/>
      <c r="W309" s="24"/>
      <c r="X309" s="26"/>
      <c r="Y309" s="26"/>
      <c r="AA309" s="18" t="str">
        <f t="shared" si="49"/>
        <v>·</v>
      </c>
      <c r="AB309" s="19" t="str">
        <f t="shared" si="50"/>
        <v>·</v>
      </c>
      <c r="AC309" s="19" t="str">
        <f t="shared" si="51"/>
        <v>·</v>
      </c>
      <c r="AD309" s="20"/>
      <c r="AE309" s="19" t="str">
        <f t="shared" si="56"/>
        <v>·</v>
      </c>
      <c r="AF309" s="19" t="str">
        <f t="shared" si="53"/>
        <v>·</v>
      </c>
      <c r="AG309" s="21"/>
      <c r="AH309" s="22"/>
      <c r="AI309" s="22"/>
      <c r="AJ309" s="23"/>
      <c r="AK309" s="22"/>
      <c r="AL309" s="23"/>
      <c r="AM309" s="23"/>
      <c r="AN309" s="23"/>
      <c r="AO309" s="24"/>
      <c r="AP309" s="26"/>
      <c r="AQ309" s="26"/>
      <c r="AS309" s="27" t="e">
        <f t="shared" si="54"/>
        <v>#DIV/0!</v>
      </c>
      <c r="AT309" s="27"/>
      <c r="AV309" s="29"/>
      <c r="AW309" s="29"/>
      <c r="AX309" s="29"/>
      <c r="AY309" s="28"/>
      <c r="BA309" s="29"/>
      <c r="BB309" s="29"/>
      <c r="BC309" s="29"/>
      <c r="BD309" s="28"/>
    </row>
    <row r="310" spans="1:56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3"/>
      <c r="U310" s="53"/>
      <c r="V310" s="53"/>
      <c r="W310" s="54"/>
      <c r="X310" s="56"/>
      <c r="Y310" s="56"/>
      <c r="AA310" s="48" t="str">
        <f t="shared" si="49"/>
        <v>·</v>
      </c>
      <c r="AB310" s="49" t="str">
        <f t="shared" si="50"/>
        <v>·</v>
      </c>
      <c r="AC310" s="49" t="str">
        <f t="shared" si="51"/>
        <v>·</v>
      </c>
      <c r="AD310" s="50"/>
      <c r="AE310" s="49" t="str">
        <f t="shared" si="56"/>
        <v>·</v>
      </c>
      <c r="AF310" s="49" t="str">
        <f t="shared" si="53"/>
        <v>·</v>
      </c>
      <c r="AG310" s="51"/>
      <c r="AH310" s="52"/>
      <c r="AI310" s="52"/>
      <c r="AJ310" s="53"/>
      <c r="AK310" s="52"/>
      <c r="AL310" s="53"/>
      <c r="AM310" s="53"/>
      <c r="AN310" s="53"/>
      <c r="AO310" s="54"/>
      <c r="AP310" s="56"/>
      <c r="AQ310" s="56"/>
      <c r="AS310" s="57" t="e">
        <f t="shared" si="54"/>
        <v>#DIV/0!</v>
      </c>
      <c r="AT310" s="57"/>
      <c r="AV310" s="59"/>
      <c r="AW310" s="59"/>
      <c r="AX310" s="59"/>
      <c r="AY310" s="58"/>
      <c r="BA310" s="59"/>
      <c r="BB310" s="59"/>
      <c r="BC310" s="59"/>
      <c r="BD310" s="58"/>
    </row>
    <row r="311" spans="1:56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3"/>
      <c r="U311" s="23"/>
      <c r="V311" s="23"/>
      <c r="W311" s="24"/>
      <c r="X311" s="26"/>
      <c r="Y311" s="26"/>
      <c r="AA311" s="18" t="str">
        <f t="shared" si="49"/>
        <v>·</v>
      </c>
      <c r="AB311" s="19" t="str">
        <f t="shared" si="50"/>
        <v>·</v>
      </c>
      <c r="AC311" s="19" t="str">
        <f t="shared" si="51"/>
        <v>·</v>
      </c>
      <c r="AD311" s="20"/>
      <c r="AE311" s="19" t="str">
        <f t="shared" si="56"/>
        <v>·</v>
      </c>
      <c r="AF311" s="19" t="str">
        <f t="shared" si="53"/>
        <v>·</v>
      </c>
      <c r="AG311" s="21"/>
      <c r="AH311" s="22"/>
      <c r="AI311" s="22"/>
      <c r="AJ311" s="23"/>
      <c r="AK311" s="22"/>
      <c r="AL311" s="23"/>
      <c r="AM311" s="23"/>
      <c r="AN311" s="23"/>
      <c r="AO311" s="24"/>
      <c r="AP311" s="26"/>
      <c r="AQ311" s="26"/>
      <c r="AS311" s="27" t="e">
        <f t="shared" si="54"/>
        <v>#DIV/0!</v>
      </c>
      <c r="AT311" s="27" t="e">
        <f t="array" ref="AT311">AVERAGE(AI311:AI316/AH311:AH316) - AVERAGE(Q311:Q316/P311:P316)</f>
        <v>#DIV/0!</v>
      </c>
      <c r="AV311" s="29"/>
      <c r="AW311" s="29"/>
      <c r="AX311" s="29"/>
      <c r="AY311" s="28" t="str">
        <f>IF( OR(ISBLANK(S311:S316),ISBLANK(AK311:AK316), ISBLANK(W311:W316),ISBLANK(AO311:AO316)), "·", bdRateExtend( S311:S316,W311:W316, AK311:AK316,AO311:AO316))</f>
        <v>·</v>
      </c>
      <c r="BA311" s="29"/>
      <c r="BB311" s="29"/>
      <c r="BC311" s="29"/>
      <c r="BD311" s="28" t="str">
        <f>IF( OR(ISBLANK(P311:P316),ISBLANK(AH311:AH316), ISBLANK(W311:W316),ISBLANK(AO311:AO316)), "·", bdRateExtend( P311:P316,W311:W316, AH311:AH316,AO311:AO316))</f>
        <v>·</v>
      </c>
    </row>
    <row r="312" spans="1:56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8"/>
      <c r="U312" s="38"/>
      <c r="V312" s="38"/>
      <c r="W312" s="39"/>
      <c r="X312" s="41"/>
      <c r="Y312" s="41"/>
      <c r="AA312" s="33" t="str">
        <f t="shared" si="49"/>
        <v>·</v>
      </c>
      <c r="AB312" s="34" t="str">
        <f t="shared" si="50"/>
        <v>·</v>
      </c>
      <c r="AC312" s="34" t="str">
        <f t="shared" si="51"/>
        <v>·</v>
      </c>
      <c r="AD312" s="35"/>
      <c r="AE312" s="34" t="str">
        <f t="shared" si="56"/>
        <v>·</v>
      </c>
      <c r="AF312" s="34" t="str">
        <f t="shared" si="53"/>
        <v>·</v>
      </c>
      <c r="AG312" s="36"/>
      <c r="AH312" s="37"/>
      <c r="AI312" s="37"/>
      <c r="AJ312" s="38"/>
      <c r="AK312" s="37"/>
      <c r="AL312" s="38"/>
      <c r="AM312" s="38"/>
      <c r="AN312" s="38"/>
      <c r="AO312" s="39"/>
      <c r="AP312" s="41"/>
      <c r="AQ312" s="41"/>
      <c r="AS312" s="42" t="e">
        <f t="shared" si="54"/>
        <v>#DIV/0!</v>
      </c>
      <c r="AT312" s="42"/>
      <c r="AV312" s="44"/>
      <c r="AW312" s="44"/>
      <c r="AX312" s="44"/>
      <c r="AY312" s="43"/>
      <c r="BA312" s="44"/>
      <c r="BB312" s="44"/>
      <c r="BC312" s="44"/>
      <c r="BD312" s="43"/>
    </row>
    <row r="313" spans="1:56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3"/>
      <c r="U313" s="23"/>
      <c r="V313" s="23"/>
      <c r="W313" s="24"/>
      <c r="X313" s="26"/>
      <c r="Y313" s="26"/>
      <c r="AA313" s="18" t="str">
        <f t="shared" si="49"/>
        <v>·</v>
      </c>
      <c r="AB313" s="19" t="str">
        <f t="shared" si="50"/>
        <v>·</v>
      </c>
      <c r="AC313" s="19" t="str">
        <f t="shared" si="51"/>
        <v>·</v>
      </c>
      <c r="AD313" s="20"/>
      <c r="AE313" s="19" t="str">
        <f t="shared" ref="AE313:AE358" si="58">IF(ISBLANK(AI313),"·",AK313/D313)</f>
        <v>·</v>
      </c>
      <c r="AF313" s="19" t="str">
        <f t="shared" si="53"/>
        <v>·</v>
      </c>
      <c r="AG313" s="21"/>
      <c r="AH313" s="22"/>
      <c r="AI313" s="22"/>
      <c r="AJ313" s="23"/>
      <c r="AK313" s="22"/>
      <c r="AL313" s="23"/>
      <c r="AM313" s="23"/>
      <c r="AN313" s="23"/>
      <c r="AO313" s="24"/>
      <c r="AP313" s="26"/>
      <c r="AQ313" s="26"/>
      <c r="AS313" s="27" t="e">
        <f t="shared" si="54"/>
        <v>#DIV/0!</v>
      </c>
      <c r="AT313" s="27"/>
      <c r="AV313" s="29"/>
      <c r="AW313" s="29"/>
      <c r="AX313" s="29"/>
      <c r="AY313" s="28"/>
      <c r="BA313" s="29"/>
      <c r="BB313" s="29"/>
      <c r="BC313" s="29"/>
      <c r="BD313" s="28"/>
    </row>
    <row r="314" spans="1:56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8"/>
      <c r="U314" s="38"/>
      <c r="V314" s="38"/>
      <c r="W314" s="39"/>
      <c r="X314" s="41"/>
      <c r="Y314" s="41"/>
      <c r="AA314" s="33" t="str">
        <f t="shared" si="49"/>
        <v>·</v>
      </c>
      <c r="AB314" s="34" t="str">
        <f t="shared" si="50"/>
        <v>·</v>
      </c>
      <c r="AC314" s="34" t="str">
        <f t="shared" si="51"/>
        <v>·</v>
      </c>
      <c r="AD314" s="35"/>
      <c r="AE314" s="34" t="str">
        <f t="shared" si="58"/>
        <v>·</v>
      </c>
      <c r="AF314" s="34" t="str">
        <f t="shared" si="53"/>
        <v>·</v>
      </c>
      <c r="AG314" s="36"/>
      <c r="AH314" s="37"/>
      <c r="AI314" s="37"/>
      <c r="AJ314" s="38"/>
      <c r="AK314" s="37"/>
      <c r="AL314" s="38"/>
      <c r="AM314" s="38"/>
      <c r="AN314" s="38"/>
      <c r="AO314" s="39"/>
      <c r="AP314" s="41"/>
      <c r="AQ314" s="41"/>
      <c r="AS314" s="42" t="e">
        <f t="shared" si="54"/>
        <v>#DIV/0!</v>
      </c>
      <c r="AT314" s="42"/>
      <c r="AV314" s="44"/>
      <c r="AW314" s="44"/>
      <c r="AX314" s="44"/>
      <c r="AY314" s="43"/>
      <c r="BA314" s="44"/>
      <c r="BB314" s="44"/>
      <c r="BC314" s="44"/>
      <c r="BD314" s="43"/>
    </row>
    <row r="315" spans="1:56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3"/>
      <c r="U315" s="23"/>
      <c r="V315" s="23"/>
      <c r="W315" s="24"/>
      <c r="X315" s="26"/>
      <c r="Y315" s="26"/>
      <c r="AA315" s="18" t="str">
        <f t="shared" si="49"/>
        <v>·</v>
      </c>
      <c r="AB315" s="19" t="str">
        <f t="shared" si="50"/>
        <v>·</v>
      </c>
      <c r="AC315" s="19" t="str">
        <f t="shared" si="51"/>
        <v>·</v>
      </c>
      <c r="AD315" s="20"/>
      <c r="AE315" s="19" t="str">
        <f t="shared" si="58"/>
        <v>·</v>
      </c>
      <c r="AF315" s="19" t="str">
        <f t="shared" si="53"/>
        <v>·</v>
      </c>
      <c r="AG315" s="21"/>
      <c r="AH315" s="22"/>
      <c r="AI315" s="22"/>
      <c r="AJ315" s="23"/>
      <c r="AK315" s="22"/>
      <c r="AL315" s="23"/>
      <c r="AM315" s="23"/>
      <c r="AN315" s="23"/>
      <c r="AO315" s="24"/>
      <c r="AP315" s="26"/>
      <c r="AQ315" s="26"/>
      <c r="AS315" s="27" t="e">
        <f t="shared" si="54"/>
        <v>#DIV/0!</v>
      </c>
      <c r="AT315" s="27"/>
      <c r="AV315" s="29"/>
      <c r="AW315" s="29"/>
      <c r="AX315" s="29"/>
      <c r="AY315" s="28"/>
      <c r="BA315" s="29"/>
      <c r="BB315" s="29"/>
      <c r="BC315" s="29"/>
      <c r="BD315" s="28"/>
    </row>
    <row r="316" spans="1:56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3"/>
      <c r="U316" s="53"/>
      <c r="V316" s="53"/>
      <c r="W316" s="54"/>
      <c r="X316" s="56"/>
      <c r="Y316" s="56"/>
      <c r="AA316" s="48" t="str">
        <f t="shared" si="49"/>
        <v>·</v>
      </c>
      <c r="AB316" s="49" t="str">
        <f t="shared" si="50"/>
        <v>·</v>
      </c>
      <c r="AC316" s="49" t="str">
        <f t="shared" si="51"/>
        <v>·</v>
      </c>
      <c r="AD316" s="50"/>
      <c r="AE316" s="49" t="str">
        <f t="shared" si="58"/>
        <v>·</v>
      </c>
      <c r="AF316" s="49" t="str">
        <f t="shared" si="53"/>
        <v>·</v>
      </c>
      <c r="AG316" s="51"/>
      <c r="AH316" s="52"/>
      <c r="AI316" s="52"/>
      <c r="AJ316" s="53"/>
      <c r="AK316" s="52"/>
      <c r="AL316" s="53"/>
      <c r="AM316" s="53"/>
      <c r="AN316" s="53"/>
      <c r="AO316" s="54"/>
      <c r="AP316" s="56"/>
      <c r="AQ316" s="56"/>
      <c r="AS316" s="57" t="e">
        <f t="shared" si="54"/>
        <v>#DIV/0!</v>
      </c>
      <c r="AT316" s="57"/>
      <c r="AV316" s="59"/>
      <c r="AW316" s="59"/>
      <c r="AX316" s="59"/>
      <c r="AY316" s="58"/>
      <c r="BA316" s="59"/>
      <c r="BB316" s="59"/>
      <c r="BC316" s="59"/>
      <c r="BD316" s="58"/>
    </row>
    <row r="317" spans="1:56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3"/>
      <c r="U317" s="23"/>
      <c r="V317" s="23"/>
      <c r="W317" s="24"/>
      <c r="X317" s="26"/>
      <c r="Y317" s="26"/>
      <c r="AA317" s="18" t="str">
        <f t="shared" si="49"/>
        <v>·</v>
      </c>
      <c r="AB317" s="19" t="str">
        <f t="shared" si="50"/>
        <v>·</v>
      </c>
      <c r="AC317" s="19" t="str">
        <f t="shared" si="51"/>
        <v>·</v>
      </c>
      <c r="AD317" s="20"/>
      <c r="AE317" s="19" t="str">
        <f t="shared" si="58"/>
        <v>·</v>
      </c>
      <c r="AF317" s="19" t="str">
        <f t="shared" si="53"/>
        <v>·</v>
      </c>
      <c r="AG317" s="21"/>
      <c r="AH317" s="22"/>
      <c r="AI317" s="22"/>
      <c r="AJ317" s="23"/>
      <c r="AK317" s="22"/>
      <c r="AL317" s="23"/>
      <c r="AM317" s="23"/>
      <c r="AN317" s="23"/>
      <c r="AO317" s="24"/>
      <c r="AP317" s="26"/>
      <c r="AQ317" s="26"/>
      <c r="AS317" s="27" t="e">
        <f t="shared" si="54"/>
        <v>#DIV/0!</v>
      </c>
      <c r="AT317" s="27" t="e">
        <f t="array" ref="AT317">AVERAGE(AI317:AI322/AH317:AH322) - AVERAGE(Q317:Q322/P317:P322)</f>
        <v>#DIV/0!</v>
      </c>
      <c r="AV317" s="29"/>
      <c r="AW317" s="29"/>
      <c r="AX317" s="29"/>
      <c r="AY317" s="28" t="str">
        <f>IF( OR(ISBLANK(S317:S322),ISBLANK(AK317:AK322), ISBLANK(W317:W322),ISBLANK(AO317:AO322)), "·", bdRateExtend( S317:S322,W317:W322, AK317:AK322,AO317:AO322))</f>
        <v>·</v>
      </c>
      <c r="BA317" s="29"/>
      <c r="BB317" s="29"/>
      <c r="BC317" s="29"/>
      <c r="BD317" s="28" t="str">
        <f>IF( OR(ISBLANK(P317:P322),ISBLANK(AH317:AH322), ISBLANK(W317:W322),ISBLANK(AO317:AO322)), "·", bdRateExtend( P317:P322,W317:W322, AH317:AH322,AO317:AO322))</f>
        <v>·</v>
      </c>
    </row>
    <row r="318" spans="1:56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8"/>
      <c r="U318" s="38"/>
      <c r="V318" s="38"/>
      <c r="W318" s="39"/>
      <c r="X318" s="41"/>
      <c r="Y318" s="41"/>
      <c r="AA318" s="33" t="str">
        <f t="shared" si="49"/>
        <v>·</v>
      </c>
      <c r="AB318" s="34" t="str">
        <f t="shared" si="50"/>
        <v>·</v>
      </c>
      <c r="AC318" s="34" t="str">
        <f t="shared" si="51"/>
        <v>·</v>
      </c>
      <c r="AD318" s="35"/>
      <c r="AE318" s="34" t="str">
        <f t="shared" si="58"/>
        <v>·</v>
      </c>
      <c r="AF318" s="34" t="str">
        <f t="shared" si="53"/>
        <v>·</v>
      </c>
      <c r="AG318" s="36"/>
      <c r="AH318" s="37"/>
      <c r="AI318" s="37"/>
      <c r="AJ318" s="38"/>
      <c r="AK318" s="37"/>
      <c r="AL318" s="38"/>
      <c r="AM318" s="38"/>
      <c r="AN318" s="38"/>
      <c r="AO318" s="39"/>
      <c r="AP318" s="41"/>
      <c r="AQ318" s="41"/>
      <c r="AS318" s="42" t="e">
        <f t="shared" si="54"/>
        <v>#DIV/0!</v>
      </c>
      <c r="AT318" s="42"/>
      <c r="AV318" s="44"/>
      <c r="AW318" s="44"/>
      <c r="AX318" s="44"/>
      <c r="AY318" s="43"/>
      <c r="BA318" s="44"/>
      <c r="BB318" s="44"/>
      <c r="BC318" s="44"/>
      <c r="BD318" s="43"/>
    </row>
    <row r="319" spans="1:56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3"/>
      <c r="U319" s="23"/>
      <c r="V319" s="23"/>
      <c r="W319" s="24"/>
      <c r="X319" s="26"/>
      <c r="Y319" s="26"/>
      <c r="AA319" s="18" t="str">
        <f t="shared" si="49"/>
        <v>·</v>
      </c>
      <c r="AB319" s="19" t="str">
        <f t="shared" si="50"/>
        <v>·</v>
      </c>
      <c r="AC319" s="19" t="str">
        <f t="shared" si="51"/>
        <v>·</v>
      </c>
      <c r="AD319" s="20"/>
      <c r="AE319" s="19" t="str">
        <f t="shared" si="58"/>
        <v>·</v>
      </c>
      <c r="AF319" s="19" t="str">
        <f t="shared" si="53"/>
        <v>·</v>
      </c>
      <c r="AG319" s="21"/>
      <c r="AH319" s="22"/>
      <c r="AI319" s="22"/>
      <c r="AJ319" s="23"/>
      <c r="AK319" s="22"/>
      <c r="AL319" s="23"/>
      <c r="AM319" s="23"/>
      <c r="AN319" s="23"/>
      <c r="AO319" s="24"/>
      <c r="AP319" s="26"/>
      <c r="AQ319" s="26"/>
      <c r="AS319" s="27" t="e">
        <f t="shared" si="54"/>
        <v>#DIV/0!</v>
      </c>
      <c r="AT319" s="27"/>
      <c r="AV319" s="29"/>
      <c r="AW319" s="29"/>
      <c r="AX319" s="29"/>
      <c r="AY319" s="28"/>
      <c r="BA319" s="29"/>
      <c r="BB319" s="29"/>
      <c r="BC319" s="29"/>
      <c r="BD319" s="28"/>
    </row>
    <row r="320" spans="1:56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8"/>
      <c r="U320" s="38"/>
      <c r="V320" s="38"/>
      <c r="W320" s="39"/>
      <c r="X320" s="41"/>
      <c r="Y320" s="41"/>
      <c r="AA320" s="33" t="str">
        <f t="shared" si="49"/>
        <v>·</v>
      </c>
      <c r="AB320" s="34" t="str">
        <f t="shared" si="50"/>
        <v>·</v>
      </c>
      <c r="AC320" s="34" t="str">
        <f t="shared" si="51"/>
        <v>·</v>
      </c>
      <c r="AD320" s="35"/>
      <c r="AE320" s="34" t="str">
        <f t="shared" si="58"/>
        <v>·</v>
      </c>
      <c r="AF320" s="34" t="str">
        <f t="shared" si="53"/>
        <v>·</v>
      </c>
      <c r="AG320" s="36"/>
      <c r="AH320" s="37"/>
      <c r="AI320" s="37"/>
      <c r="AJ320" s="38"/>
      <c r="AK320" s="37"/>
      <c r="AL320" s="38"/>
      <c r="AM320" s="38"/>
      <c r="AN320" s="38"/>
      <c r="AO320" s="39"/>
      <c r="AP320" s="41"/>
      <c r="AQ320" s="41"/>
      <c r="AS320" s="42" t="e">
        <f t="shared" si="54"/>
        <v>#DIV/0!</v>
      </c>
      <c r="AT320" s="42"/>
      <c r="AV320" s="44"/>
      <c r="AW320" s="44"/>
      <c r="AX320" s="44"/>
      <c r="AY320" s="43"/>
      <c r="BA320" s="44"/>
      <c r="BB320" s="44"/>
      <c r="BC320" s="44"/>
      <c r="BD320" s="43"/>
    </row>
    <row r="321" spans="1:56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3"/>
      <c r="U321" s="23"/>
      <c r="V321" s="23"/>
      <c r="W321" s="24"/>
      <c r="X321" s="26"/>
      <c r="Y321" s="26"/>
      <c r="AA321" s="18" t="str">
        <f t="shared" si="49"/>
        <v>·</v>
      </c>
      <c r="AB321" s="19" t="str">
        <f t="shared" si="50"/>
        <v>·</v>
      </c>
      <c r="AC321" s="19" t="str">
        <f t="shared" si="51"/>
        <v>·</v>
      </c>
      <c r="AD321" s="20"/>
      <c r="AE321" s="19" t="str">
        <f t="shared" si="58"/>
        <v>·</v>
      </c>
      <c r="AF321" s="19" t="str">
        <f t="shared" si="53"/>
        <v>·</v>
      </c>
      <c r="AG321" s="21"/>
      <c r="AH321" s="22"/>
      <c r="AI321" s="22"/>
      <c r="AJ321" s="23"/>
      <c r="AK321" s="22"/>
      <c r="AL321" s="23"/>
      <c r="AM321" s="23"/>
      <c r="AN321" s="23"/>
      <c r="AO321" s="24"/>
      <c r="AP321" s="26"/>
      <c r="AQ321" s="26"/>
      <c r="AS321" s="27" t="e">
        <f t="shared" si="54"/>
        <v>#DIV/0!</v>
      </c>
      <c r="AT321" s="27"/>
      <c r="AV321" s="29"/>
      <c r="AW321" s="29"/>
      <c r="AX321" s="29"/>
      <c r="AY321" s="28"/>
      <c r="BA321" s="29"/>
      <c r="BB321" s="29"/>
      <c r="BC321" s="29"/>
      <c r="BD321" s="28"/>
    </row>
    <row r="322" spans="1:56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3"/>
      <c r="U322" s="53"/>
      <c r="V322" s="53"/>
      <c r="W322" s="54"/>
      <c r="X322" s="56"/>
      <c r="Y322" s="56"/>
      <c r="AA322" s="48" t="str">
        <f t="shared" si="49"/>
        <v>·</v>
      </c>
      <c r="AB322" s="49" t="str">
        <f t="shared" si="50"/>
        <v>·</v>
      </c>
      <c r="AC322" s="49" t="str">
        <f t="shared" si="51"/>
        <v>·</v>
      </c>
      <c r="AD322" s="50"/>
      <c r="AE322" s="49" t="str">
        <f t="shared" si="58"/>
        <v>·</v>
      </c>
      <c r="AF322" s="49" t="str">
        <f t="shared" si="53"/>
        <v>·</v>
      </c>
      <c r="AG322" s="51"/>
      <c r="AH322" s="52"/>
      <c r="AI322" s="52"/>
      <c r="AJ322" s="53"/>
      <c r="AK322" s="52"/>
      <c r="AL322" s="53"/>
      <c r="AM322" s="53"/>
      <c r="AN322" s="53"/>
      <c r="AO322" s="54"/>
      <c r="AP322" s="56"/>
      <c r="AQ322" s="56"/>
      <c r="AS322" s="57" t="e">
        <f t="shared" si="54"/>
        <v>#DIV/0!</v>
      </c>
      <c r="AT322" s="57"/>
      <c r="AV322" s="59"/>
      <c r="AW322" s="59"/>
      <c r="AX322" s="59"/>
      <c r="AY322" s="58"/>
      <c r="BA322" s="59"/>
      <c r="BB322" s="59"/>
      <c r="BC322" s="59"/>
      <c r="BD322" s="58"/>
    </row>
    <row r="323" spans="1:56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3"/>
      <c r="U323" s="23"/>
      <c r="V323" s="23"/>
      <c r="W323" s="24"/>
      <c r="X323" s="26"/>
      <c r="Y323" s="26"/>
      <c r="AA323" s="18" t="str">
        <f t="shared" ref="AA323:AA340" si="64">IF(OR(ISBLANK(AH323),ISBLANK(G323)),"·",AH323*G323/F323/1000000)</f>
        <v>·</v>
      </c>
      <c r="AB323" s="19" t="str">
        <f t="shared" ref="AB323:AB340" si="65">IF(ISBLANK(AH323),"·",AH323/D323)</f>
        <v>·</v>
      </c>
      <c r="AC323" s="19" t="str">
        <f t="shared" ref="AC323:AC340" si="66">IF(AI323="","·",AI323/D323)</f>
        <v>·</v>
      </c>
      <c r="AD323" s="20"/>
      <c r="AE323" s="19" t="str">
        <f t="shared" ref="AE323:AE340" si="67">IF(ISBLANK(AI323),"·",AK323/D323)</f>
        <v>·</v>
      </c>
      <c r="AF323" s="19" t="str">
        <f t="shared" ref="AF323:AF340" si="68">IF(ISBLANK(AH323),"·",AH323/AG323)</f>
        <v>·</v>
      </c>
      <c r="AG323" s="21"/>
      <c r="AH323" s="22"/>
      <c r="AI323" s="22"/>
      <c r="AJ323" s="23"/>
      <c r="AK323" s="22"/>
      <c r="AL323" s="23"/>
      <c r="AM323" s="23"/>
      <c r="AN323" s="23"/>
      <c r="AO323" s="24"/>
      <c r="AP323" s="26"/>
      <c r="AQ323" s="26"/>
      <c r="AS323" s="27" t="e">
        <f t="shared" ref="AS323:AS340" si="69">(AI323/AH323) - (Q323/P323)</f>
        <v>#DIV/0!</v>
      </c>
      <c r="AT323" s="27" t="e">
        <f t="array" ref="AT323">AVERAGE(AI323:AI328/AH323:AH328) - AVERAGE(Q323:Q328/P323:P328)</f>
        <v>#DIV/0!</v>
      </c>
      <c r="AV323" s="29"/>
      <c r="AW323" s="29"/>
      <c r="AX323" s="29"/>
      <c r="AY323" s="28" t="str">
        <f>IF( OR(ISBLANK(S323:S328),ISBLANK(AK323:AK328), ISBLANK(W323:W328),ISBLANK(AO323:AO328)), "·", bdRateExtend( S323:S328,W323:W328, AK323:AK328,AO323:AO328))</f>
        <v>·</v>
      </c>
      <c r="BA323" s="29"/>
      <c r="BB323" s="29"/>
      <c r="BC323" s="29"/>
      <c r="BD323" s="28" t="str">
        <f>IF( OR(ISBLANK(P323:P328),ISBLANK(AH323:AH328), ISBLANK(W323:W328),ISBLANK(AO323:AO328)), "·", bdRateExtend( P323:P328,W323:W328, AH323:AH328,AO323:AO328))</f>
        <v>·</v>
      </c>
    </row>
    <row r="324" spans="1:56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8"/>
      <c r="U324" s="38"/>
      <c r="V324" s="38"/>
      <c r="W324" s="39"/>
      <c r="X324" s="41"/>
      <c r="Y324" s="41"/>
      <c r="AA324" s="33" t="str">
        <f t="shared" si="64"/>
        <v>·</v>
      </c>
      <c r="AB324" s="34" t="str">
        <f t="shared" si="65"/>
        <v>·</v>
      </c>
      <c r="AC324" s="34" t="str">
        <f t="shared" si="66"/>
        <v>·</v>
      </c>
      <c r="AD324" s="35"/>
      <c r="AE324" s="34" t="str">
        <f t="shared" si="67"/>
        <v>·</v>
      </c>
      <c r="AF324" s="34" t="str">
        <f t="shared" si="68"/>
        <v>·</v>
      </c>
      <c r="AG324" s="36"/>
      <c r="AH324" s="37"/>
      <c r="AI324" s="37"/>
      <c r="AJ324" s="38"/>
      <c r="AK324" s="37"/>
      <c r="AL324" s="38"/>
      <c r="AM324" s="38"/>
      <c r="AN324" s="38"/>
      <c r="AO324" s="39"/>
      <c r="AP324" s="41"/>
      <c r="AQ324" s="41"/>
      <c r="AS324" s="42" t="e">
        <f t="shared" si="69"/>
        <v>#DIV/0!</v>
      </c>
      <c r="AT324" s="42"/>
      <c r="AV324" s="44"/>
      <c r="AW324" s="44"/>
      <c r="AX324" s="44"/>
      <c r="AY324" s="43"/>
      <c r="BA324" s="44"/>
      <c r="BB324" s="44"/>
      <c r="BC324" s="44"/>
      <c r="BD324" s="43"/>
    </row>
    <row r="325" spans="1:56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3"/>
      <c r="U325" s="23"/>
      <c r="V325" s="23"/>
      <c r="W325" s="24"/>
      <c r="X325" s="26"/>
      <c r="Y325" s="26"/>
      <c r="AA325" s="18" t="str">
        <f t="shared" si="64"/>
        <v>·</v>
      </c>
      <c r="AB325" s="19" t="str">
        <f t="shared" si="65"/>
        <v>·</v>
      </c>
      <c r="AC325" s="19" t="str">
        <f t="shared" si="66"/>
        <v>·</v>
      </c>
      <c r="AD325" s="20"/>
      <c r="AE325" s="19" t="str">
        <f t="shared" si="67"/>
        <v>·</v>
      </c>
      <c r="AF325" s="19" t="str">
        <f t="shared" si="68"/>
        <v>·</v>
      </c>
      <c r="AG325" s="21"/>
      <c r="AH325" s="22"/>
      <c r="AI325" s="22"/>
      <c r="AJ325" s="23"/>
      <c r="AK325" s="22"/>
      <c r="AL325" s="23"/>
      <c r="AM325" s="23"/>
      <c r="AN325" s="23"/>
      <c r="AO325" s="24"/>
      <c r="AP325" s="26"/>
      <c r="AQ325" s="26"/>
      <c r="AS325" s="27" t="e">
        <f t="shared" si="69"/>
        <v>#DIV/0!</v>
      </c>
      <c r="AT325" s="27"/>
      <c r="AV325" s="29"/>
      <c r="AW325" s="29"/>
      <c r="AX325" s="29"/>
      <c r="AY325" s="28"/>
      <c r="BA325" s="29"/>
      <c r="BB325" s="29"/>
      <c r="BC325" s="29"/>
      <c r="BD325" s="28"/>
    </row>
    <row r="326" spans="1:56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8"/>
      <c r="U326" s="38"/>
      <c r="V326" s="38"/>
      <c r="W326" s="39"/>
      <c r="X326" s="41"/>
      <c r="Y326" s="41"/>
      <c r="AA326" s="33" t="str">
        <f t="shared" si="64"/>
        <v>·</v>
      </c>
      <c r="AB326" s="34" t="str">
        <f t="shared" si="65"/>
        <v>·</v>
      </c>
      <c r="AC326" s="34" t="str">
        <f t="shared" si="66"/>
        <v>·</v>
      </c>
      <c r="AD326" s="35"/>
      <c r="AE326" s="34" t="str">
        <f t="shared" si="67"/>
        <v>·</v>
      </c>
      <c r="AF326" s="34" t="str">
        <f t="shared" si="68"/>
        <v>·</v>
      </c>
      <c r="AG326" s="36"/>
      <c r="AH326" s="37"/>
      <c r="AI326" s="37"/>
      <c r="AJ326" s="38"/>
      <c r="AK326" s="37"/>
      <c r="AL326" s="38"/>
      <c r="AM326" s="38"/>
      <c r="AN326" s="38"/>
      <c r="AO326" s="39"/>
      <c r="AP326" s="41"/>
      <c r="AQ326" s="41"/>
      <c r="AS326" s="42" t="e">
        <f t="shared" si="69"/>
        <v>#DIV/0!</v>
      </c>
      <c r="AT326" s="42"/>
      <c r="AV326" s="44"/>
      <c r="AW326" s="44"/>
      <c r="AX326" s="44"/>
      <c r="AY326" s="43"/>
      <c r="BA326" s="44"/>
      <c r="BB326" s="44"/>
      <c r="BC326" s="44"/>
      <c r="BD326" s="43"/>
    </row>
    <row r="327" spans="1:56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3"/>
      <c r="U327" s="23"/>
      <c r="V327" s="23"/>
      <c r="W327" s="24"/>
      <c r="X327" s="26"/>
      <c r="Y327" s="26"/>
      <c r="AA327" s="18" t="str">
        <f t="shared" si="64"/>
        <v>·</v>
      </c>
      <c r="AB327" s="19" t="str">
        <f t="shared" si="65"/>
        <v>·</v>
      </c>
      <c r="AC327" s="19" t="str">
        <f t="shared" si="66"/>
        <v>·</v>
      </c>
      <c r="AD327" s="20"/>
      <c r="AE327" s="19" t="str">
        <f t="shared" si="67"/>
        <v>·</v>
      </c>
      <c r="AF327" s="19" t="str">
        <f t="shared" si="68"/>
        <v>·</v>
      </c>
      <c r="AG327" s="21"/>
      <c r="AH327" s="22"/>
      <c r="AI327" s="22"/>
      <c r="AJ327" s="23"/>
      <c r="AK327" s="22"/>
      <c r="AL327" s="23"/>
      <c r="AM327" s="23"/>
      <c r="AN327" s="23"/>
      <c r="AO327" s="24"/>
      <c r="AP327" s="26"/>
      <c r="AQ327" s="26"/>
      <c r="AS327" s="27" t="e">
        <f t="shared" si="69"/>
        <v>#DIV/0!</v>
      </c>
      <c r="AT327" s="27"/>
      <c r="AV327" s="29"/>
      <c r="AW327" s="29"/>
      <c r="AX327" s="29"/>
      <c r="AY327" s="28"/>
      <c r="BA327" s="29"/>
      <c r="BB327" s="29"/>
      <c r="BC327" s="29"/>
      <c r="BD327" s="28"/>
    </row>
    <row r="328" spans="1:56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3"/>
      <c r="U328" s="53"/>
      <c r="V328" s="53"/>
      <c r="W328" s="54"/>
      <c r="X328" s="56"/>
      <c r="Y328" s="56"/>
      <c r="AA328" s="48" t="str">
        <f t="shared" si="64"/>
        <v>·</v>
      </c>
      <c r="AB328" s="49" t="str">
        <f t="shared" si="65"/>
        <v>·</v>
      </c>
      <c r="AC328" s="49" t="str">
        <f t="shared" si="66"/>
        <v>·</v>
      </c>
      <c r="AD328" s="50"/>
      <c r="AE328" s="49" t="str">
        <f t="shared" si="67"/>
        <v>·</v>
      </c>
      <c r="AF328" s="49" t="str">
        <f t="shared" si="68"/>
        <v>·</v>
      </c>
      <c r="AG328" s="51"/>
      <c r="AH328" s="52"/>
      <c r="AI328" s="52"/>
      <c r="AJ328" s="53"/>
      <c r="AK328" s="52"/>
      <c r="AL328" s="53"/>
      <c r="AM328" s="53"/>
      <c r="AN328" s="53"/>
      <c r="AO328" s="54"/>
      <c r="AP328" s="56"/>
      <c r="AQ328" s="56"/>
      <c r="AS328" s="57" t="e">
        <f t="shared" si="69"/>
        <v>#DIV/0!</v>
      </c>
      <c r="AT328" s="57"/>
      <c r="AV328" s="59"/>
      <c r="AW328" s="59"/>
      <c r="AX328" s="59"/>
      <c r="AY328" s="58"/>
      <c r="BA328" s="59"/>
      <c r="BB328" s="59"/>
      <c r="BC328" s="59"/>
      <c r="BD328" s="58"/>
    </row>
    <row r="329" spans="1:56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3"/>
      <c r="U329" s="23"/>
      <c r="V329" s="23"/>
      <c r="W329" s="24"/>
      <c r="X329" s="26"/>
      <c r="Y329" s="26"/>
      <c r="AA329" s="18" t="str">
        <f t="shared" si="64"/>
        <v>·</v>
      </c>
      <c r="AB329" s="19" t="str">
        <f t="shared" si="65"/>
        <v>·</v>
      </c>
      <c r="AC329" s="19" t="str">
        <f t="shared" si="66"/>
        <v>·</v>
      </c>
      <c r="AD329" s="20"/>
      <c r="AE329" s="19" t="str">
        <f t="shared" si="67"/>
        <v>·</v>
      </c>
      <c r="AF329" s="19" t="str">
        <f t="shared" si="68"/>
        <v>·</v>
      </c>
      <c r="AG329" s="21"/>
      <c r="AH329" s="22"/>
      <c r="AI329" s="22"/>
      <c r="AJ329" s="23"/>
      <c r="AK329" s="22"/>
      <c r="AL329" s="23"/>
      <c r="AM329" s="23"/>
      <c r="AN329" s="23"/>
      <c r="AO329" s="24"/>
      <c r="AP329" s="26"/>
      <c r="AQ329" s="26"/>
      <c r="AS329" s="27" t="e">
        <f t="shared" si="69"/>
        <v>#DIV/0!</v>
      </c>
      <c r="AT329" s="27" t="e">
        <f t="array" ref="AT329">AVERAGE(AI329:AI334/AH329:AH334) - AVERAGE(Q329:Q334/P329:P334)</f>
        <v>#DIV/0!</v>
      </c>
      <c r="AV329" s="29"/>
      <c r="AW329" s="29"/>
      <c r="AX329" s="29"/>
      <c r="AY329" s="28" t="str">
        <f>IF( OR(ISBLANK(S329:S334),ISBLANK(AK329:AK334), ISBLANK(W329:W334),ISBLANK(AO329:AO334)), "·", bdRateExtend( S329:S334,W329:W334, AK329:AK334,AO329:AO334))</f>
        <v>·</v>
      </c>
      <c r="BA329" s="29"/>
      <c r="BB329" s="29"/>
      <c r="BC329" s="29"/>
      <c r="BD329" s="28" t="str">
        <f>IF( OR(ISBLANK(P329:P334),ISBLANK(AH329:AH334), ISBLANK(W329:W334),ISBLANK(AO329:AO334)), "·", bdRateExtend( P329:P334,W329:W334, AH329:AH334,AO329:AO334))</f>
        <v>·</v>
      </c>
    </row>
    <row r="330" spans="1:56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8"/>
      <c r="U330" s="38"/>
      <c r="V330" s="38"/>
      <c r="W330" s="39"/>
      <c r="X330" s="41"/>
      <c r="Y330" s="41"/>
      <c r="AA330" s="33" t="str">
        <f t="shared" si="64"/>
        <v>·</v>
      </c>
      <c r="AB330" s="34" t="str">
        <f t="shared" si="65"/>
        <v>·</v>
      </c>
      <c r="AC330" s="34" t="str">
        <f t="shared" si="66"/>
        <v>·</v>
      </c>
      <c r="AD330" s="35"/>
      <c r="AE330" s="34" t="str">
        <f t="shared" si="67"/>
        <v>·</v>
      </c>
      <c r="AF330" s="34" t="str">
        <f t="shared" si="68"/>
        <v>·</v>
      </c>
      <c r="AG330" s="36"/>
      <c r="AH330" s="37"/>
      <c r="AI330" s="37"/>
      <c r="AJ330" s="38"/>
      <c r="AK330" s="37"/>
      <c r="AL330" s="38"/>
      <c r="AM330" s="38"/>
      <c r="AN330" s="38"/>
      <c r="AO330" s="39"/>
      <c r="AP330" s="41"/>
      <c r="AQ330" s="41"/>
      <c r="AS330" s="42" t="e">
        <f t="shared" si="69"/>
        <v>#DIV/0!</v>
      </c>
      <c r="AT330" s="42"/>
      <c r="AV330" s="44"/>
      <c r="AW330" s="44"/>
      <c r="AX330" s="44"/>
      <c r="AY330" s="43"/>
      <c r="BA330" s="44"/>
      <c r="BB330" s="44"/>
      <c r="BC330" s="44"/>
      <c r="BD330" s="43"/>
    </row>
    <row r="331" spans="1:56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3"/>
      <c r="U331" s="23"/>
      <c r="V331" s="23"/>
      <c r="W331" s="24"/>
      <c r="X331" s="26"/>
      <c r="Y331" s="26"/>
      <c r="AA331" s="18" t="str">
        <f t="shared" si="64"/>
        <v>·</v>
      </c>
      <c r="AB331" s="19" t="str">
        <f t="shared" si="65"/>
        <v>·</v>
      </c>
      <c r="AC331" s="19" t="str">
        <f t="shared" si="66"/>
        <v>·</v>
      </c>
      <c r="AD331" s="20"/>
      <c r="AE331" s="19" t="str">
        <f t="shared" si="67"/>
        <v>·</v>
      </c>
      <c r="AF331" s="19" t="str">
        <f t="shared" si="68"/>
        <v>·</v>
      </c>
      <c r="AG331" s="21"/>
      <c r="AH331" s="22"/>
      <c r="AI331" s="22"/>
      <c r="AJ331" s="23"/>
      <c r="AK331" s="22"/>
      <c r="AL331" s="23"/>
      <c r="AM331" s="23"/>
      <c r="AN331" s="23"/>
      <c r="AO331" s="24"/>
      <c r="AP331" s="26"/>
      <c r="AQ331" s="26"/>
      <c r="AS331" s="27" t="e">
        <f t="shared" si="69"/>
        <v>#DIV/0!</v>
      </c>
      <c r="AT331" s="27"/>
      <c r="AV331" s="29"/>
      <c r="AW331" s="29"/>
      <c r="AX331" s="29"/>
      <c r="AY331" s="28"/>
      <c r="BA331" s="29"/>
      <c r="BB331" s="29"/>
      <c r="BC331" s="29"/>
      <c r="BD331" s="28"/>
    </row>
    <row r="332" spans="1:56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8"/>
      <c r="U332" s="38"/>
      <c r="V332" s="38"/>
      <c r="W332" s="39"/>
      <c r="X332" s="41"/>
      <c r="Y332" s="41"/>
      <c r="AA332" s="33" t="str">
        <f t="shared" si="64"/>
        <v>·</v>
      </c>
      <c r="AB332" s="34" t="str">
        <f t="shared" si="65"/>
        <v>·</v>
      </c>
      <c r="AC332" s="34" t="str">
        <f t="shared" si="66"/>
        <v>·</v>
      </c>
      <c r="AD332" s="35"/>
      <c r="AE332" s="34" t="str">
        <f t="shared" si="67"/>
        <v>·</v>
      </c>
      <c r="AF332" s="34" t="str">
        <f t="shared" si="68"/>
        <v>·</v>
      </c>
      <c r="AG332" s="36"/>
      <c r="AH332" s="37"/>
      <c r="AI332" s="37"/>
      <c r="AJ332" s="38"/>
      <c r="AK332" s="37"/>
      <c r="AL332" s="38"/>
      <c r="AM332" s="38"/>
      <c r="AN332" s="38"/>
      <c r="AO332" s="39"/>
      <c r="AP332" s="41"/>
      <c r="AQ332" s="41"/>
      <c r="AS332" s="42" t="e">
        <f t="shared" si="69"/>
        <v>#DIV/0!</v>
      </c>
      <c r="AT332" s="42"/>
      <c r="AV332" s="44"/>
      <c r="AW332" s="44"/>
      <c r="AX332" s="44"/>
      <c r="AY332" s="43"/>
      <c r="BA332" s="44"/>
      <c r="BB332" s="44"/>
      <c r="BC332" s="44"/>
      <c r="BD332" s="43"/>
    </row>
    <row r="333" spans="1:56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3"/>
      <c r="U333" s="23"/>
      <c r="V333" s="23"/>
      <c r="W333" s="24"/>
      <c r="X333" s="26"/>
      <c r="Y333" s="26"/>
      <c r="AA333" s="18" t="str">
        <f t="shared" si="64"/>
        <v>·</v>
      </c>
      <c r="AB333" s="19" t="str">
        <f t="shared" si="65"/>
        <v>·</v>
      </c>
      <c r="AC333" s="19" t="str">
        <f t="shared" si="66"/>
        <v>·</v>
      </c>
      <c r="AD333" s="20"/>
      <c r="AE333" s="19" t="str">
        <f t="shared" si="67"/>
        <v>·</v>
      </c>
      <c r="AF333" s="19" t="str">
        <f t="shared" si="68"/>
        <v>·</v>
      </c>
      <c r="AG333" s="21"/>
      <c r="AH333" s="22"/>
      <c r="AI333" s="22"/>
      <c r="AJ333" s="23"/>
      <c r="AK333" s="22"/>
      <c r="AL333" s="23"/>
      <c r="AM333" s="23"/>
      <c r="AN333" s="23"/>
      <c r="AO333" s="24"/>
      <c r="AP333" s="26"/>
      <c r="AQ333" s="26"/>
      <c r="AS333" s="27" t="e">
        <f t="shared" si="69"/>
        <v>#DIV/0!</v>
      </c>
      <c r="AT333" s="27"/>
      <c r="AV333" s="29"/>
      <c r="AW333" s="29"/>
      <c r="AX333" s="29"/>
      <c r="AY333" s="28"/>
      <c r="BA333" s="29"/>
      <c r="BB333" s="29"/>
      <c r="BC333" s="29"/>
      <c r="BD333" s="28"/>
    </row>
    <row r="334" spans="1:56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3"/>
      <c r="U334" s="53"/>
      <c r="V334" s="53"/>
      <c r="W334" s="54"/>
      <c r="X334" s="56"/>
      <c r="Y334" s="56"/>
      <c r="AA334" s="48" t="str">
        <f t="shared" si="64"/>
        <v>·</v>
      </c>
      <c r="AB334" s="49" t="str">
        <f t="shared" si="65"/>
        <v>·</v>
      </c>
      <c r="AC334" s="49" t="str">
        <f t="shared" si="66"/>
        <v>·</v>
      </c>
      <c r="AD334" s="50"/>
      <c r="AE334" s="49" t="str">
        <f t="shared" si="67"/>
        <v>·</v>
      </c>
      <c r="AF334" s="49" t="str">
        <f t="shared" si="68"/>
        <v>·</v>
      </c>
      <c r="AG334" s="51"/>
      <c r="AH334" s="52"/>
      <c r="AI334" s="52"/>
      <c r="AJ334" s="53"/>
      <c r="AK334" s="52"/>
      <c r="AL334" s="53"/>
      <c r="AM334" s="53"/>
      <c r="AN334" s="53"/>
      <c r="AO334" s="54"/>
      <c r="AP334" s="56"/>
      <c r="AQ334" s="56"/>
      <c r="AS334" s="57" t="e">
        <f t="shared" si="69"/>
        <v>#DIV/0!</v>
      </c>
      <c r="AT334" s="57"/>
      <c r="AV334" s="59"/>
      <c r="AW334" s="59"/>
      <c r="AX334" s="59"/>
      <c r="AY334" s="58"/>
      <c r="BA334" s="59"/>
      <c r="BB334" s="59"/>
      <c r="BC334" s="59"/>
      <c r="BD334" s="58"/>
    </row>
    <row r="335" spans="1:56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3"/>
      <c r="U335" s="23"/>
      <c r="V335" s="23"/>
      <c r="W335" s="24"/>
      <c r="X335" s="26"/>
      <c r="Y335" s="26"/>
      <c r="AA335" s="18" t="str">
        <f t="shared" si="64"/>
        <v>·</v>
      </c>
      <c r="AB335" s="19" t="str">
        <f t="shared" si="65"/>
        <v>·</v>
      </c>
      <c r="AC335" s="19" t="str">
        <f t="shared" si="66"/>
        <v>·</v>
      </c>
      <c r="AD335" s="20"/>
      <c r="AE335" s="19" t="str">
        <f t="shared" si="67"/>
        <v>·</v>
      </c>
      <c r="AF335" s="19" t="str">
        <f t="shared" si="68"/>
        <v>·</v>
      </c>
      <c r="AG335" s="21"/>
      <c r="AH335" s="22"/>
      <c r="AI335" s="22"/>
      <c r="AJ335" s="23"/>
      <c r="AK335" s="22"/>
      <c r="AL335" s="23"/>
      <c r="AM335" s="23"/>
      <c r="AN335" s="23"/>
      <c r="AO335" s="24"/>
      <c r="AP335" s="26"/>
      <c r="AQ335" s="26"/>
      <c r="AS335" s="27" t="e">
        <f t="shared" si="69"/>
        <v>#DIV/0!</v>
      </c>
      <c r="AT335" s="27" t="e">
        <f t="array" ref="AT335">AVERAGE(AI335:AI340/AH335:AH340) - AVERAGE(Q335:Q340/P335:P340)</f>
        <v>#DIV/0!</v>
      </c>
      <c r="AV335" s="29"/>
      <c r="AW335" s="29"/>
      <c r="AX335" s="29"/>
      <c r="AY335" s="28" t="str">
        <f>IF( OR(ISBLANK(S335:S340),ISBLANK(AK335:AK340), ISBLANK(W335:W340),ISBLANK(AO335:AO340)), "·", bdRateExtend( S335:S340,W335:W340, AK335:AK340,AO335:AO340))</f>
        <v>·</v>
      </c>
      <c r="BA335" s="29"/>
      <c r="BB335" s="29"/>
      <c r="BC335" s="29"/>
      <c r="BD335" s="28" t="str">
        <f>IF( OR(ISBLANK(P335:P340),ISBLANK(AH335:AH340), ISBLANK(W335:W340),ISBLANK(AO335:AO340)), "·", bdRateExtend( P335:P340,W335:W340, AH335:AH340,AO335:AO340))</f>
        <v>·</v>
      </c>
    </row>
    <row r="336" spans="1:56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8"/>
      <c r="U336" s="38"/>
      <c r="V336" s="38"/>
      <c r="W336" s="39"/>
      <c r="X336" s="41"/>
      <c r="Y336" s="41"/>
      <c r="AA336" s="33" t="str">
        <f t="shared" si="64"/>
        <v>·</v>
      </c>
      <c r="AB336" s="34" t="str">
        <f t="shared" si="65"/>
        <v>·</v>
      </c>
      <c r="AC336" s="34" t="str">
        <f t="shared" si="66"/>
        <v>·</v>
      </c>
      <c r="AD336" s="35"/>
      <c r="AE336" s="34" t="str">
        <f t="shared" si="67"/>
        <v>·</v>
      </c>
      <c r="AF336" s="34" t="str">
        <f t="shared" si="68"/>
        <v>·</v>
      </c>
      <c r="AG336" s="36"/>
      <c r="AH336" s="37"/>
      <c r="AI336" s="37"/>
      <c r="AJ336" s="38"/>
      <c r="AK336" s="37"/>
      <c r="AL336" s="38"/>
      <c r="AM336" s="38"/>
      <c r="AN336" s="38"/>
      <c r="AO336" s="39"/>
      <c r="AP336" s="41"/>
      <c r="AQ336" s="41"/>
      <c r="AS336" s="42" t="e">
        <f t="shared" si="69"/>
        <v>#DIV/0!</v>
      </c>
      <c r="AT336" s="42"/>
      <c r="AV336" s="44"/>
      <c r="AW336" s="44"/>
      <c r="AX336" s="44"/>
      <c r="AY336" s="43"/>
      <c r="BA336" s="44"/>
      <c r="BB336" s="44"/>
      <c r="BC336" s="44"/>
      <c r="BD336" s="43"/>
    </row>
    <row r="337" spans="1:56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3"/>
      <c r="U337" s="23"/>
      <c r="V337" s="23"/>
      <c r="W337" s="24"/>
      <c r="X337" s="26"/>
      <c r="Y337" s="26"/>
      <c r="AA337" s="18" t="str">
        <f t="shared" si="64"/>
        <v>·</v>
      </c>
      <c r="AB337" s="19" t="str">
        <f t="shared" si="65"/>
        <v>·</v>
      </c>
      <c r="AC337" s="19" t="str">
        <f t="shared" si="66"/>
        <v>·</v>
      </c>
      <c r="AD337" s="20"/>
      <c r="AE337" s="19" t="str">
        <f t="shared" si="67"/>
        <v>·</v>
      </c>
      <c r="AF337" s="19" t="str">
        <f t="shared" si="68"/>
        <v>·</v>
      </c>
      <c r="AG337" s="21"/>
      <c r="AH337" s="22"/>
      <c r="AI337" s="22"/>
      <c r="AJ337" s="23"/>
      <c r="AK337" s="22"/>
      <c r="AL337" s="23"/>
      <c r="AM337" s="23"/>
      <c r="AN337" s="23"/>
      <c r="AO337" s="24"/>
      <c r="AP337" s="26"/>
      <c r="AQ337" s="26"/>
      <c r="AS337" s="27" t="e">
        <f t="shared" si="69"/>
        <v>#DIV/0!</v>
      </c>
      <c r="AT337" s="27"/>
      <c r="AV337" s="29"/>
      <c r="AW337" s="29"/>
      <c r="AX337" s="29"/>
      <c r="AY337" s="28"/>
      <c r="BA337" s="29"/>
      <c r="BB337" s="29"/>
      <c r="BC337" s="29"/>
      <c r="BD337" s="28"/>
    </row>
    <row r="338" spans="1:56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8"/>
      <c r="U338" s="38"/>
      <c r="V338" s="38"/>
      <c r="W338" s="39"/>
      <c r="X338" s="41"/>
      <c r="Y338" s="41"/>
      <c r="AA338" s="33" t="str">
        <f t="shared" si="64"/>
        <v>·</v>
      </c>
      <c r="AB338" s="34" t="str">
        <f t="shared" si="65"/>
        <v>·</v>
      </c>
      <c r="AC338" s="34" t="str">
        <f t="shared" si="66"/>
        <v>·</v>
      </c>
      <c r="AD338" s="35"/>
      <c r="AE338" s="34" t="str">
        <f t="shared" si="67"/>
        <v>·</v>
      </c>
      <c r="AF338" s="34" t="str">
        <f t="shared" si="68"/>
        <v>·</v>
      </c>
      <c r="AG338" s="36"/>
      <c r="AH338" s="37"/>
      <c r="AI338" s="37"/>
      <c r="AJ338" s="38"/>
      <c r="AK338" s="37"/>
      <c r="AL338" s="38"/>
      <c r="AM338" s="38"/>
      <c r="AN338" s="38"/>
      <c r="AO338" s="39"/>
      <c r="AP338" s="41"/>
      <c r="AQ338" s="41"/>
      <c r="AS338" s="42" t="e">
        <f t="shared" si="69"/>
        <v>#DIV/0!</v>
      </c>
      <c r="AT338" s="42"/>
      <c r="AV338" s="44"/>
      <c r="AW338" s="44"/>
      <c r="AX338" s="44"/>
      <c r="AY338" s="43"/>
      <c r="BA338" s="44"/>
      <c r="BB338" s="44"/>
      <c r="BC338" s="44"/>
      <c r="BD338" s="43"/>
    </row>
    <row r="339" spans="1:56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3"/>
      <c r="U339" s="23"/>
      <c r="V339" s="23"/>
      <c r="W339" s="24"/>
      <c r="X339" s="26"/>
      <c r="Y339" s="26"/>
      <c r="AA339" s="18" t="str">
        <f t="shared" si="64"/>
        <v>·</v>
      </c>
      <c r="AB339" s="19" t="str">
        <f t="shared" si="65"/>
        <v>·</v>
      </c>
      <c r="AC339" s="19" t="str">
        <f t="shared" si="66"/>
        <v>·</v>
      </c>
      <c r="AD339" s="20"/>
      <c r="AE339" s="19" t="str">
        <f t="shared" si="67"/>
        <v>·</v>
      </c>
      <c r="AF339" s="19" t="str">
        <f t="shared" si="68"/>
        <v>·</v>
      </c>
      <c r="AG339" s="21"/>
      <c r="AH339" s="22"/>
      <c r="AI339" s="22"/>
      <c r="AJ339" s="23"/>
      <c r="AK339" s="22"/>
      <c r="AL339" s="23"/>
      <c r="AM339" s="23"/>
      <c r="AN339" s="23"/>
      <c r="AO339" s="24"/>
      <c r="AP339" s="26"/>
      <c r="AQ339" s="26"/>
      <c r="AS339" s="27" t="e">
        <f t="shared" si="69"/>
        <v>#DIV/0!</v>
      </c>
      <c r="AT339" s="27"/>
      <c r="AV339" s="29"/>
      <c r="AW339" s="29"/>
      <c r="AX339" s="29"/>
      <c r="AY339" s="28"/>
      <c r="BA339" s="29"/>
      <c r="BB339" s="29"/>
      <c r="BC339" s="29"/>
      <c r="BD339" s="28"/>
    </row>
    <row r="340" spans="1:56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3"/>
      <c r="U340" s="53"/>
      <c r="V340" s="53"/>
      <c r="W340" s="54"/>
      <c r="X340" s="56"/>
      <c r="Y340" s="56"/>
      <c r="AA340" s="48" t="str">
        <f t="shared" si="64"/>
        <v>·</v>
      </c>
      <c r="AB340" s="49" t="str">
        <f t="shared" si="65"/>
        <v>·</v>
      </c>
      <c r="AC340" s="49" t="str">
        <f t="shared" si="66"/>
        <v>·</v>
      </c>
      <c r="AD340" s="50"/>
      <c r="AE340" s="49" t="str">
        <f t="shared" si="67"/>
        <v>·</v>
      </c>
      <c r="AF340" s="49" t="str">
        <f t="shared" si="68"/>
        <v>·</v>
      </c>
      <c r="AG340" s="51"/>
      <c r="AH340" s="52"/>
      <c r="AI340" s="52"/>
      <c r="AJ340" s="53"/>
      <c r="AK340" s="52"/>
      <c r="AL340" s="53"/>
      <c r="AM340" s="53"/>
      <c r="AN340" s="53"/>
      <c r="AO340" s="54"/>
      <c r="AP340" s="56"/>
      <c r="AQ340" s="56"/>
      <c r="AS340" s="57" t="e">
        <f t="shared" si="69"/>
        <v>#DIV/0!</v>
      </c>
      <c r="AT340" s="57"/>
      <c r="AV340" s="59"/>
      <c r="AW340" s="59"/>
      <c r="AX340" s="59"/>
      <c r="AY340" s="58"/>
      <c r="BA340" s="59"/>
      <c r="BB340" s="59"/>
      <c r="BC340" s="59"/>
      <c r="BD340" s="58"/>
    </row>
    <row r="341" spans="1:56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3"/>
      <c r="U341" s="23"/>
      <c r="V341" s="23"/>
      <c r="W341" s="24"/>
      <c r="X341" s="26"/>
      <c r="Y341" s="26"/>
      <c r="AA341" s="18" t="str">
        <f t="shared" si="49"/>
        <v>·</v>
      </c>
      <c r="AB341" s="19" t="str">
        <f t="shared" si="50"/>
        <v>·</v>
      </c>
      <c r="AC341" s="19" t="str">
        <f t="shared" si="51"/>
        <v>·</v>
      </c>
      <c r="AD341" s="20"/>
      <c r="AE341" s="19" t="str">
        <f t="shared" si="58"/>
        <v>·</v>
      </c>
      <c r="AF341" s="19" t="str">
        <f t="shared" si="53"/>
        <v>·</v>
      </c>
      <c r="AG341" s="21"/>
      <c r="AH341" s="22"/>
      <c r="AI341" s="22"/>
      <c r="AJ341" s="23"/>
      <c r="AK341" s="22"/>
      <c r="AL341" s="23"/>
      <c r="AM341" s="23"/>
      <c r="AN341" s="23"/>
      <c r="AO341" s="24"/>
      <c r="AP341" s="26"/>
      <c r="AQ341" s="26"/>
      <c r="AS341" s="27" t="e">
        <f t="shared" si="54"/>
        <v>#DIV/0!</v>
      </c>
      <c r="AT341" s="27" t="e">
        <f t="array" ref="AT341">AVERAGE(AI341:AI346/AH341:AH346) - AVERAGE(Q341:Q346/P341:P346)</f>
        <v>#DIV/0!</v>
      </c>
      <c r="AV341" s="29"/>
      <c r="AW341" s="29"/>
      <c r="AX341" s="29"/>
      <c r="AY341" s="28" t="str">
        <f>IF( OR(ISBLANK(S341:S346),ISBLANK(AK341:AK346), ISBLANK(W341:W346),ISBLANK(AO341:AO346)), "·", bdRateExtend( S341:S346,W341:W346, AK341:AK346,AO341:AO346))</f>
        <v>·</v>
      </c>
      <c r="BA341" s="29"/>
      <c r="BB341" s="29"/>
      <c r="BC341" s="29"/>
      <c r="BD341" s="28" t="str">
        <f>IF( OR(ISBLANK(P341:P346),ISBLANK(AH341:AH346), ISBLANK(W341:W346),ISBLANK(AO341:AO346)), "·", bdRateExtend( P341:P346,W341:W346, AH341:AH346,AO341:AO346))</f>
        <v>·</v>
      </c>
    </row>
    <row r="342" spans="1:56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8"/>
      <c r="U342" s="38"/>
      <c r="V342" s="38"/>
      <c r="W342" s="39"/>
      <c r="X342" s="41"/>
      <c r="Y342" s="41"/>
      <c r="AA342" s="33" t="str">
        <f t="shared" si="49"/>
        <v>·</v>
      </c>
      <c r="AB342" s="34" t="str">
        <f t="shared" si="50"/>
        <v>·</v>
      </c>
      <c r="AC342" s="34" t="str">
        <f t="shared" si="51"/>
        <v>·</v>
      </c>
      <c r="AD342" s="35"/>
      <c r="AE342" s="34" t="str">
        <f t="shared" si="58"/>
        <v>·</v>
      </c>
      <c r="AF342" s="34" t="str">
        <f t="shared" si="53"/>
        <v>·</v>
      </c>
      <c r="AG342" s="36"/>
      <c r="AH342" s="37"/>
      <c r="AI342" s="37"/>
      <c r="AJ342" s="38"/>
      <c r="AK342" s="37"/>
      <c r="AL342" s="38"/>
      <c r="AM342" s="38"/>
      <c r="AN342" s="38"/>
      <c r="AO342" s="39"/>
      <c r="AP342" s="41"/>
      <c r="AQ342" s="41"/>
      <c r="AS342" s="42" t="e">
        <f t="shared" si="54"/>
        <v>#DIV/0!</v>
      </c>
      <c r="AT342" s="42"/>
      <c r="AV342" s="44"/>
      <c r="AW342" s="44"/>
      <c r="AX342" s="44"/>
      <c r="AY342" s="43"/>
      <c r="BA342" s="44"/>
      <c r="BB342" s="44"/>
      <c r="BC342" s="44"/>
      <c r="BD342" s="43"/>
    </row>
    <row r="343" spans="1:56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3"/>
      <c r="U343" s="23"/>
      <c r="V343" s="23"/>
      <c r="W343" s="24"/>
      <c r="X343" s="26"/>
      <c r="Y343" s="26"/>
      <c r="AA343" s="18" t="str">
        <f t="shared" ref="AA343:AA358" si="74">IF(OR(ISBLANK(AH343),ISBLANK(G343)),"·",AH343*G343/F343/1000000)</f>
        <v>·</v>
      </c>
      <c r="AB343" s="19" t="str">
        <f t="shared" ref="AB343:AB358" si="75">IF(ISBLANK(AH343),"·",AH343/D343)</f>
        <v>·</v>
      </c>
      <c r="AC343" s="19" t="str">
        <f t="shared" ref="AC343:AC358" si="76">IF(AI343="","·",AI343/D343)</f>
        <v>·</v>
      </c>
      <c r="AD343" s="20"/>
      <c r="AE343" s="19" t="str">
        <f t="shared" si="58"/>
        <v>·</v>
      </c>
      <c r="AF343" s="19" t="str">
        <f t="shared" ref="AF343:AF358" si="77">IF(ISBLANK(AH343),"·",AH343/AG343)</f>
        <v>·</v>
      </c>
      <c r="AG343" s="21"/>
      <c r="AH343" s="22"/>
      <c r="AI343" s="22"/>
      <c r="AJ343" s="23"/>
      <c r="AK343" s="22"/>
      <c r="AL343" s="23"/>
      <c r="AM343" s="23"/>
      <c r="AN343" s="23"/>
      <c r="AO343" s="24"/>
      <c r="AP343" s="26"/>
      <c r="AQ343" s="26"/>
      <c r="AS343" s="27" t="e">
        <f t="shared" ref="AS343:AS358" si="78">(AI343/AH343) - (Q343/P343)</f>
        <v>#DIV/0!</v>
      </c>
      <c r="AT343" s="27"/>
      <c r="AV343" s="29"/>
      <c r="AW343" s="29"/>
      <c r="AX343" s="29"/>
      <c r="AY343" s="28"/>
      <c r="BA343" s="29"/>
      <c r="BB343" s="29"/>
      <c r="BC343" s="29"/>
      <c r="BD343" s="28"/>
    </row>
    <row r="344" spans="1:56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8"/>
      <c r="U344" s="38"/>
      <c r="V344" s="38"/>
      <c r="W344" s="39"/>
      <c r="X344" s="41"/>
      <c r="Y344" s="41"/>
      <c r="AA344" s="33" t="str">
        <f t="shared" si="74"/>
        <v>·</v>
      </c>
      <c r="AB344" s="34" t="str">
        <f t="shared" si="75"/>
        <v>·</v>
      </c>
      <c r="AC344" s="34" t="str">
        <f t="shared" si="76"/>
        <v>·</v>
      </c>
      <c r="AD344" s="35"/>
      <c r="AE344" s="34" t="str">
        <f t="shared" si="58"/>
        <v>·</v>
      </c>
      <c r="AF344" s="34" t="str">
        <f t="shared" si="77"/>
        <v>·</v>
      </c>
      <c r="AG344" s="36"/>
      <c r="AH344" s="37"/>
      <c r="AI344" s="37"/>
      <c r="AJ344" s="38"/>
      <c r="AK344" s="37"/>
      <c r="AL344" s="38"/>
      <c r="AM344" s="38"/>
      <c r="AN344" s="38"/>
      <c r="AO344" s="39"/>
      <c r="AP344" s="41"/>
      <c r="AQ344" s="41"/>
      <c r="AS344" s="42" t="e">
        <f t="shared" si="78"/>
        <v>#DIV/0!</v>
      </c>
      <c r="AT344" s="42"/>
      <c r="AV344" s="44"/>
      <c r="AW344" s="44"/>
      <c r="AX344" s="44"/>
      <c r="AY344" s="43"/>
      <c r="BA344" s="44"/>
      <c r="BB344" s="44"/>
      <c r="BC344" s="44"/>
      <c r="BD344" s="43"/>
    </row>
    <row r="345" spans="1:56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3"/>
      <c r="U345" s="23"/>
      <c r="V345" s="23"/>
      <c r="W345" s="24"/>
      <c r="X345" s="26"/>
      <c r="Y345" s="26"/>
      <c r="AA345" s="18" t="str">
        <f t="shared" si="74"/>
        <v>·</v>
      </c>
      <c r="AB345" s="19" t="str">
        <f t="shared" si="75"/>
        <v>·</v>
      </c>
      <c r="AC345" s="19" t="str">
        <f t="shared" si="76"/>
        <v>·</v>
      </c>
      <c r="AD345" s="20"/>
      <c r="AE345" s="19" t="str">
        <f t="shared" si="58"/>
        <v>·</v>
      </c>
      <c r="AF345" s="19" t="str">
        <f t="shared" si="77"/>
        <v>·</v>
      </c>
      <c r="AG345" s="21"/>
      <c r="AH345" s="22"/>
      <c r="AI345" s="22"/>
      <c r="AJ345" s="23"/>
      <c r="AK345" s="22"/>
      <c r="AL345" s="23"/>
      <c r="AM345" s="23"/>
      <c r="AN345" s="23"/>
      <c r="AO345" s="24"/>
      <c r="AP345" s="26"/>
      <c r="AQ345" s="26"/>
      <c r="AS345" s="27" t="e">
        <f t="shared" si="78"/>
        <v>#DIV/0!</v>
      </c>
      <c r="AT345" s="27"/>
      <c r="AV345" s="29"/>
      <c r="AW345" s="29"/>
      <c r="AX345" s="29"/>
      <c r="AY345" s="28"/>
      <c r="BA345" s="29"/>
      <c r="BB345" s="29"/>
      <c r="BC345" s="29"/>
      <c r="BD345" s="28"/>
    </row>
    <row r="346" spans="1:56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3"/>
      <c r="U346" s="53"/>
      <c r="V346" s="53"/>
      <c r="W346" s="54"/>
      <c r="X346" s="56"/>
      <c r="Y346" s="56"/>
      <c r="AA346" s="48" t="str">
        <f t="shared" si="74"/>
        <v>·</v>
      </c>
      <c r="AB346" s="49" t="str">
        <f t="shared" si="75"/>
        <v>·</v>
      </c>
      <c r="AC346" s="49" t="str">
        <f t="shared" si="76"/>
        <v>·</v>
      </c>
      <c r="AD346" s="50"/>
      <c r="AE346" s="49" t="str">
        <f t="shared" si="58"/>
        <v>·</v>
      </c>
      <c r="AF346" s="49" t="str">
        <f t="shared" si="77"/>
        <v>·</v>
      </c>
      <c r="AG346" s="51"/>
      <c r="AH346" s="52"/>
      <c r="AI346" s="52"/>
      <c r="AJ346" s="53"/>
      <c r="AK346" s="52"/>
      <c r="AL346" s="53"/>
      <c r="AM346" s="53"/>
      <c r="AN346" s="53"/>
      <c r="AO346" s="54"/>
      <c r="AP346" s="56"/>
      <c r="AQ346" s="56"/>
      <c r="AS346" s="57" t="e">
        <f t="shared" si="78"/>
        <v>#DIV/0!</v>
      </c>
      <c r="AT346" s="57"/>
      <c r="AV346" s="59"/>
      <c r="AW346" s="59"/>
      <c r="AX346" s="59"/>
      <c r="AY346" s="58"/>
      <c r="BA346" s="59"/>
      <c r="BB346" s="59"/>
      <c r="BC346" s="59"/>
      <c r="BD346" s="58"/>
    </row>
    <row r="347" spans="1:56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3"/>
      <c r="U347" s="23"/>
      <c r="V347" s="23"/>
      <c r="W347" s="24"/>
      <c r="X347" s="26"/>
      <c r="Y347" s="26"/>
      <c r="AA347" s="18" t="str">
        <f t="shared" si="74"/>
        <v>·</v>
      </c>
      <c r="AB347" s="19" t="str">
        <f t="shared" si="75"/>
        <v>·</v>
      </c>
      <c r="AC347" s="19" t="str">
        <f t="shared" si="76"/>
        <v>·</v>
      </c>
      <c r="AD347" s="20"/>
      <c r="AE347" s="19" t="str">
        <f t="shared" si="58"/>
        <v>·</v>
      </c>
      <c r="AF347" s="19" t="str">
        <f t="shared" si="77"/>
        <v>·</v>
      </c>
      <c r="AG347" s="21"/>
      <c r="AH347" s="22"/>
      <c r="AI347" s="22"/>
      <c r="AJ347" s="23"/>
      <c r="AK347" s="22"/>
      <c r="AL347" s="23"/>
      <c r="AM347" s="23"/>
      <c r="AN347" s="23"/>
      <c r="AO347" s="24"/>
      <c r="AP347" s="26"/>
      <c r="AQ347" s="26"/>
      <c r="AS347" s="27" t="e">
        <f t="shared" si="78"/>
        <v>#DIV/0!</v>
      </c>
      <c r="AT347" s="27" t="e">
        <f t="array" ref="AT347">AVERAGE(AI347:AI352/AH347:AH352) - AVERAGE(Q347:Q352/P347:P352)</f>
        <v>#DIV/0!</v>
      </c>
      <c r="AV347" s="29"/>
      <c r="AW347" s="29"/>
      <c r="AX347" s="29"/>
      <c r="AY347" s="28" t="str">
        <f>IF( OR(ISBLANK(S347:S352),ISBLANK(AK347:AK352), ISBLANK(W347:W352),ISBLANK(AO347:AO352)), "·", bdRateExtend( S347:S352,W347:W352, AK347:AK352,AO347:AO352))</f>
        <v>·</v>
      </c>
      <c r="BA347" s="29"/>
      <c r="BB347" s="29"/>
      <c r="BC347" s="29"/>
      <c r="BD347" s="28" t="str">
        <f>IF( OR(ISBLANK(P347:P352),ISBLANK(AH347:AH352), ISBLANK(W347:W352),ISBLANK(AO347:AO352)), "·", bdRateExtend( P347:P352,W347:W352, AH347:AH352,AO347:AO352))</f>
        <v>·</v>
      </c>
    </row>
    <row r="348" spans="1:56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8"/>
      <c r="U348" s="38"/>
      <c r="V348" s="38"/>
      <c r="W348" s="39"/>
      <c r="X348" s="41"/>
      <c r="Y348" s="41"/>
      <c r="AA348" s="33" t="str">
        <f t="shared" si="74"/>
        <v>·</v>
      </c>
      <c r="AB348" s="34" t="str">
        <f t="shared" si="75"/>
        <v>·</v>
      </c>
      <c r="AC348" s="34" t="str">
        <f t="shared" si="76"/>
        <v>·</v>
      </c>
      <c r="AD348" s="35"/>
      <c r="AE348" s="34" t="str">
        <f t="shared" si="58"/>
        <v>·</v>
      </c>
      <c r="AF348" s="34" t="str">
        <f t="shared" si="77"/>
        <v>·</v>
      </c>
      <c r="AG348" s="36"/>
      <c r="AH348" s="37"/>
      <c r="AI348" s="37"/>
      <c r="AJ348" s="38"/>
      <c r="AK348" s="37"/>
      <c r="AL348" s="38"/>
      <c r="AM348" s="38"/>
      <c r="AN348" s="38"/>
      <c r="AO348" s="39"/>
      <c r="AP348" s="41"/>
      <c r="AQ348" s="41"/>
      <c r="AS348" s="42" t="e">
        <f t="shared" si="78"/>
        <v>#DIV/0!</v>
      </c>
      <c r="AT348" s="42"/>
      <c r="AV348" s="44"/>
      <c r="AW348" s="44"/>
      <c r="AX348" s="44"/>
      <c r="AY348" s="43"/>
      <c r="BA348" s="44"/>
      <c r="BB348" s="44"/>
      <c r="BC348" s="44"/>
      <c r="BD348" s="43"/>
    </row>
    <row r="349" spans="1:56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3"/>
      <c r="U349" s="23"/>
      <c r="V349" s="23"/>
      <c r="W349" s="24"/>
      <c r="X349" s="26"/>
      <c r="Y349" s="26"/>
      <c r="AA349" s="18" t="str">
        <f t="shared" si="74"/>
        <v>·</v>
      </c>
      <c r="AB349" s="19" t="str">
        <f t="shared" si="75"/>
        <v>·</v>
      </c>
      <c r="AC349" s="19" t="str">
        <f t="shared" si="76"/>
        <v>·</v>
      </c>
      <c r="AD349" s="20"/>
      <c r="AE349" s="19" t="str">
        <f t="shared" si="58"/>
        <v>·</v>
      </c>
      <c r="AF349" s="19" t="str">
        <f t="shared" si="77"/>
        <v>·</v>
      </c>
      <c r="AG349" s="21"/>
      <c r="AH349" s="22"/>
      <c r="AI349" s="22"/>
      <c r="AJ349" s="23"/>
      <c r="AK349" s="22"/>
      <c r="AL349" s="23"/>
      <c r="AM349" s="23"/>
      <c r="AN349" s="23"/>
      <c r="AO349" s="24"/>
      <c r="AP349" s="26"/>
      <c r="AQ349" s="26"/>
      <c r="AS349" s="27" t="e">
        <f t="shared" si="78"/>
        <v>#DIV/0!</v>
      </c>
      <c r="AT349" s="27"/>
      <c r="AV349" s="29"/>
      <c r="AW349" s="29"/>
      <c r="AX349" s="29"/>
      <c r="AY349" s="28"/>
      <c r="BA349" s="29"/>
      <c r="BB349" s="29"/>
      <c r="BC349" s="29"/>
      <c r="BD349" s="28"/>
    </row>
    <row r="350" spans="1:56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8"/>
      <c r="U350" s="38"/>
      <c r="V350" s="38"/>
      <c r="W350" s="39"/>
      <c r="X350" s="41"/>
      <c r="Y350" s="41"/>
      <c r="AA350" s="33" t="str">
        <f t="shared" si="74"/>
        <v>·</v>
      </c>
      <c r="AB350" s="34" t="str">
        <f t="shared" si="75"/>
        <v>·</v>
      </c>
      <c r="AC350" s="34" t="str">
        <f t="shared" si="76"/>
        <v>·</v>
      </c>
      <c r="AD350" s="35"/>
      <c r="AE350" s="34" t="str">
        <f t="shared" si="58"/>
        <v>·</v>
      </c>
      <c r="AF350" s="34" t="str">
        <f t="shared" si="77"/>
        <v>·</v>
      </c>
      <c r="AG350" s="36"/>
      <c r="AH350" s="37"/>
      <c r="AI350" s="37"/>
      <c r="AJ350" s="38"/>
      <c r="AK350" s="37"/>
      <c r="AL350" s="38"/>
      <c r="AM350" s="38"/>
      <c r="AN350" s="38"/>
      <c r="AO350" s="39"/>
      <c r="AP350" s="41"/>
      <c r="AQ350" s="41"/>
      <c r="AS350" s="42" t="e">
        <f t="shared" si="78"/>
        <v>#DIV/0!</v>
      </c>
      <c r="AT350" s="42"/>
      <c r="AV350" s="44"/>
      <c r="AW350" s="44"/>
      <c r="AX350" s="44"/>
      <c r="AY350" s="43"/>
      <c r="BA350" s="44"/>
      <c r="BB350" s="44"/>
      <c r="BC350" s="44"/>
      <c r="BD350" s="43"/>
    </row>
    <row r="351" spans="1:56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3"/>
      <c r="U351" s="23"/>
      <c r="V351" s="23"/>
      <c r="W351" s="24"/>
      <c r="X351" s="26"/>
      <c r="Y351" s="26"/>
      <c r="AA351" s="18" t="str">
        <f t="shared" si="74"/>
        <v>·</v>
      </c>
      <c r="AB351" s="19" t="str">
        <f t="shared" si="75"/>
        <v>·</v>
      </c>
      <c r="AC351" s="19" t="str">
        <f t="shared" si="76"/>
        <v>·</v>
      </c>
      <c r="AD351" s="20"/>
      <c r="AE351" s="19" t="str">
        <f t="shared" si="58"/>
        <v>·</v>
      </c>
      <c r="AF351" s="19" t="str">
        <f t="shared" si="77"/>
        <v>·</v>
      </c>
      <c r="AG351" s="21"/>
      <c r="AH351" s="22"/>
      <c r="AI351" s="22"/>
      <c r="AJ351" s="23"/>
      <c r="AK351" s="22"/>
      <c r="AL351" s="23"/>
      <c r="AM351" s="23"/>
      <c r="AN351" s="23"/>
      <c r="AO351" s="24"/>
      <c r="AP351" s="26"/>
      <c r="AQ351" s="26"/>
      <c r="AS351" s="27" t="e">
        <f t="shared" si="78"/>
        <v>#DIV/0!</v>
      </c>
      <c r="AT351" s="27"/>
      <c r="AV351" s="29"/>
      <c r="AW351" s="29"/>
      <c r="AX351" s="29"/>
      <c r="AY351" s="28"/>
      <c r="BA351" s="29"/>
      <c r="BB351" s="29"/>
      <c r="BC351" s="29"/>
      <c r="BD351" s="28"/>
    </row>
    <row r="352" spans="1:56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3"/>
      <c r="U352" s="53"/>
      <c r="V352" s="53"/>
      <c r="W352" s="54"/>
      <c r="X352" s="56"/>
      <c r="Y352" s="56"/>
      <c r="AA352" s="48" t="str">
        <f t="shared" si="74"/>
        <v>·</v>
      </c>
      <c r="AB352" s="49" t="str">
        <f t="shared" si="75"/>
        <v>·</v>
      </c>
      <c r="AC352" s="49" t="str">
        <f t="shared" si="76"/>
        <v>·</v>
      </c>
      <c r="AD352" s="50"/>
      <c r="AE352" s="49" t="str">
        <f t="shared" si="58"/>
        <v>·</v>
      </c>
      <c r="AF352" s="49" t="str">
        <f t="shared" si="77"/>
        <v>·</v>
      </c>
      <c r="AG352" s="51"/>
      <c r="AH352" s="52"/>
      <c r="AI352" s="52"/>
      <c r="AJ352" s="53"/>
      <c r="AK352" s="52"/>
      <c r="AL352" s="53"/>
      <c r="AM352" s="53"/>
      <c r="AN352" s="53"/>
      <c r="AO352" s="54"/>
      <c r="AP352" s="56"/>
      <c r="AQ352" s="56"/>
      <c r="AS352" s="57" t="e">
        <f t="shared" si="78"/>
        <v>#DIV/0!</v>
      </c>
      <c r="AT352" s="57"/>
      <c r="AV352" s="59"/>
      <c r="AW352" s="59"/>
      <c r="AX352" s="59"/>
      <c r="AY352" s="58"/>
      <c r="BA352" s="59"/>
      <c r="BB352" s="59"/>
      <c r="BC352" s="59"/>
      <c r="BD352" s="58"/>
    </row>
    <row r="353" spans="1:56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3"/>
      <c r="U353" s="23"/>
      <c r="V353" s="23"/>
      <c r="W353" s="24"/>
      <c r="X353" s="26"/>
      <c r="Y353" s="26"/>
      <c r="AA353" s="18" t="str">
        <f t="shared" si="74"/>
        <v>·</v>
      </c>
      <c r="AB353" s="19" t="str">
        <f t="shared" si="75"/>
        <v>·</v>
      </c>
      <c r="AC353" s="19" t="str">
        <f t="shared" si="76"/>
        <v>·</v>
      </c>
      <c r="AD353" s="20"/>
      <c r="AE353" s="19" t="str">
        <f t="shared" si="58"/>
        <v>·</v>
      </c>
      <c r="AF353" s="19" t="str">
        <f t="shared" si="77"/>
        <v>·</v>
      </c>
      <c r="AG353" s="21"/>
      <c r="AH353" s="22"/>
      <c r="AI353" s="22"/>
      <c r="AJ353" s="23"/>
      <c r="AK353" s="22"/>
      <c r="AL353" s="23"/>
      <c r="AM353" s="23"/>
      <c r="AN353" s="23"/>
      <c r="AO353" s="24"/>
      <c r="AP353" s="26"/>
      <c r="AQ353" s="26"/>
      <c r="AS353" s="27" t="e">
        <f t="shared" si="78"/>
        <v>#DIV/0!</v>
      </c>
      <c r="AT353" s="27" t="e">
        <f t="array" ref="AT353">AVERAGE(AI353:AI358/AH353:AH358) - AVERAGE(Q353:Q358/P353:P358)</f>
        <v>#DIV/0!</v>
      </c>
      <c r="AV353" s="29"/>
      <c r="AW353" s="29"/>
      <c r="AX353" s="29"/>
      <c r="AY353" s="28" t="str">
        <f>IF( OR(ISBLANK(S353:S358),ISBLANK(AK353:AK358), ISBLANK(W353:W358),ISBLANK(AO353:AO358)), "·", bdRateExtend( S353:S358,W353:W358, AK353:AK358,AO353:AO358))</f>
        <v>·</v>
      </c>
      <c r="BA353" s="29"/>
      <c r="BB353" s="29"/>
      <c r="BC353" s="29"/>
      <c r="BD353" s="28" t="str">
        <f>IF( OR(ISBLANK(P353:P358),ISBLANK(AH353:AH358), ISBLANK(W353:W358),ISBLANK(AO353:AO358)), "·", bdRateExtend( P353:P358,W353:W358, AH353:AH358,AO353:AO358))</f>
        <v>·</v>
      </c>
    </row>
    <row r="354" spans="1:56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8"/>
      <c r="U354" s="38"/>
      <c r="V354" s="38"/>
      <c r="W354" s="39"/>
      <c r="X354" s="41"/>
      <c r="Y354" s="41"/>
      <c r="AA354" s="33" t="str">
        <f t="shared" si="74"/>
        <v>·</v>
      </c>
      <c r="AB354" s="34" t="str">
        <f t="shared" si="75"/>
        <v>·</v>
      </c>
      <c r="AC354" s="34" t="str">
        <f t="shared" si="76"/>
        <v>·</v>
      </c>
      <c r="AD354" s="35"/>
      <c r="AE354" s="34" t="str">
        <f t="shared" si="58"/>
        <v>·</v>
      </c>
      <c r="AF354" s="34" t="str">
        <f t="shared" si="77"/>
        <v>·</v>
      </c>
      <c r="AG354" s="36"/>
      <c r="AH354" s="37"/>
      <c r="AI354" s="37"/>
      <c r="AJ354" s="38"/>
      <c r="AK354" s="37"/>
      <c r="AL354" s="38"/>
      <c r="AM354" s="38"/>
      <c r="AN354" s="38"/>
      <c r="AO354" s="39"/>
      <c r="AP354" s="41"/>
      <c r="AQ354" s="41"/>
      <c r="AS354" s="42" t="e">
        <f t="shared" si="78"/>
        <v>#DIV/0!</v>
      </c>
      <c r="AT354" s="42"/>
      <c r="AV354" s="44"/>
      <c r="AW354" s="44"/>
      <c r="AX354" s="44"/>
      <c r="AY354" s="43"/>
      <c r="BA354" s="44"/>
      <c r="BB354" s="44"/>
      <c r="BC354" s="44"/>
      <c r="BD354" s="43"/>
    </row>
    <row r="355" spans="1:56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3"/>
      <c r="U355" s="23"/>
      <c r="V355" s="23"/>
      <c r="W355" s="24"/>
      <c r="X355" s="26"/>
      <c r="Y355" s="26"/>
      <c r="AA355" s="18" t="str">
        <f t="shared" si="74"/>
        <v>·</v>
      </c>
      <c r="AB355" s="19" t="str">
        <f t="shared" si="75"/>
        <v>·</v>
      </c>
      <c r="AC355" s="19" t="str">
        <f t="shared" si="76"/>
        <v>·</v>
      </c>
      <c r="AD355" s="20"/>
      <c r="AE355" s="19" t="str">
        <f t="shared" si="58"/>
        <v>·</v>
      </c>
      <c r="AF355" s="19" t="str">
        <f t="shared" si="77"/>
        <v>·</v>
      </c>
      <c r="AG355" s="21"/>
      <c r="AH355" s="22"/>
      <c r="AI355" s="22"/>
      <c r="AJ355" s="23"/>
      <c r="AK355" s="22"/>
      <c r="AL355" s="23"/>
      <c r="AM355" s="23"/>
      <c r="AN355" s="23"/>
      <c r="AO355" s="24"/>
      <c r="AP355" s="26"/>
      <c r="AQ355" s="26"/>
      <c r="AS355" s="27" t="e">
        <f t="shared" si="78"/>
        <v>#DIV/0!</v>
      </c>
      <c r="AT355" s="27"/>
      <c r="AV355" s="29"/>
      <c r="AW355" s="29"/>
      <c r="AX355" s="29"/>
      <c r="AY355" s="28"/>
      <c r="BA355" s="29"/>
      <c r="BB355" s="29"/>
      <c r="BC355" s="29"/>
      <c r="BD355" s="28"/>
    </row>
    <row r="356" spans="1:56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8"/>
      <c r="U356" s="38"/>
      <c r="V356" s="38"/>
      <c r="W356" s="39"/>
      <c r="X356" s="41"/>
      <c r="Y356" s="41"/>
      <c r="AA356" s="33" t="str">
        <f t="shared" si="74"/>
        <v>·</v>
      </c>
      <c r="AB356" s="34" t="str">
        <f t="shared" si="75"/>
        <v>·</v>
      </c>
      <c r="AC356" s="34" t="str">
        <f t="shared" si="76"/>
        <v>·</v>
      </c>
      <c r="AD356" s="35"/>
      <c r="AE356" s="34" t="str">
        <f t="shared" si="58"/>
        <v>·</v>
      </c>
      <c r="AF356" s="34" t="str">
        <f t="shared" si="77"/>
        <v>·</v>
      </c>
      <c r="AG356" s="36"/>
      <c r="AH356" s="37"/>
      <c r="AI356" s="37"/>
      <c r="AJ356" s="38"/>
      <c r="AK356" s="37"/>
      <c r="AL356" s="38"/>
      <c r="AM356" s="38"/>
      <c r="AN356" s="38"/>
      <c r="AO356" s="39"/>
      <c r="AP356" s="41"/>
      <c r="AQ356" s="41"/>
      <c r="AS356" s="42" t="e">
        <f t="shared" si="78"/>
        <v>#DIV/0!</v>
      </c>
      <c r="AT356" s="42"/>
      <c r="AV356" s="44"/>
      <c r="AW356" s="44"/>
      <c r="AX356" s="44"/>
      <c r="AY356" s="43"/>
      <c r="BA356" s="44"/>
      <c r="BB356" s="44"/>
      <c r="BC356" s="44"/>
      <c r="BD356" s="43"/>
    </row>
    <row r="357" spans="1:56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3"/>
      <c r="U357" s="23"/>
      <c r="V357" s="23"/>
      <c r="W357" s="24"/>
      <c r="X357" s="26"/>
      <c r="Y357" s="26"/>
      <c r="AA357" s="18" t="str">
        <f t="shared" si="74"/>
        <v>·</v>
      </c>
      <c r="AB357" s="19" t="str">
        <f t="shared" si="75"/>
        <v>·</v>
      </c>
      <c r="AC357" s="19" t="str">
        <f t="shared" si="76"/>
        <v>·</v>
      </c>
      <c r="AD357" s="20"/>
      <c r="AE357" s="19" t="str">
        <f t="shared" si="58"/>
        <v>·</v>
      </c>
      <c r="AF357" s="19" t="str">
        <f t="shared" si="77"/>
        <v>·</v>
      </c>
      <c r="AG357" s="21"/>
      <c r="AH357" s="22"/>
      <c r="AI357" s="22"/>
      <c r="AJ357" s="23"/>
      <c r="AK357" s="22"/>
      <c r="AL357" s="23"/>
      <c r="AM357" s="23"/>
      <c r="AN357" s="23"/>
      <c r="AO357" s="24"/>
      <c r="AP357" s="26"/>
      <c r="AQ357" s="26"/>
      <c r="AS357" s="27" t="e">
        <f t="shared" si="78"/>
        <v>#DIV/0!</v>
      </c>
      <c r="AT357" s="27"/>
      <c r="AV357" s="29"/>
      <c r="AW357" s="29"/>
      <c r="AX357" s="29"/>
      <c r="AY357" s="28"/>
      <c r="BA357" s="29"/>
      <c r="BB357" s="29"/>
      <c r="BC357" s="29"/>
      <c r="BD357" s="28"/>
    </row>
    <row r="358" spans="1:56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3"/>
      <c r="U358" s="53"/>
      <c r="V358" s="53"/>
      <c r="W358" s="54"/>
      <c r="X358" s="56"/>
      <c r="Y358" s="56"/>
      <c r="AA358" s="48" t="str">
        <f t="shared" si="74"/>
        <v>·</v>
      </c>
      <c r="AB358" s="49" t="str">
        <f t="shared" si="75"/>
        <v>·</v>
      </c>
      <c r="AC358" s="49" t="str">
        <f t="shared" si="76"/>
        <v>·</v>
      </c>
      <c r="AD358" s="50"/>
      <c r="AE358" s="49" t="str">
        <f t="shared" si="58"/>
        <v>·</v>
      </c>
      <c r="AF358" s="49" t="str">
        <f t="shared" si="77"/>
        <v>·</v>
      </c>
      <c r="AG358" s="51"/>
      <c r="AH358" s="52"/>
      <c r="AI358" s="52"/>
      <c r="AJ358" s="53"/>
      <c r="AK358" s="52"/>
      <c r="AL358" s="53"/>
      <c r="AM358" s="53"/>
      <c r="AN358" s="53"/>
      <c r="AO358" s="54"/>
      <c r="AP358" s="56"/>
      <c r="AQ358" s="56"/>
      <c r="AS358" s="57" t="e">
        <f t="shared" si="78"/>
        <v>#DIV/0!</v>
      </c>
      <c r="AT358" s="57"/>
      <c r="AV358" s="59"/>
      <c r="AW358" s="59"/>
      <c r="AX358" s="59"/>
      <c r="AY358" s="58"/>
      <c r="BA358" s="59"/>
      <c r="BB358" s="59"/>
      <c r="BC358" s="59"/>
      <c r="BD358" s="58"/>
    </row>
    <row r="359" spans="1:56" x14ac:dyDescent="0.15">
      <c r="B359" s="60" t="s">
        <v>402</v>
      </c>
      <c r="J359" s="61" t="e">
        <f>AVERAGE(J5:J58)</f>
        <v>#DIV/0!</v>
      </c>
      <c r="K359" s="61" t="e">
        <f>AVERAGE(K5:K58)</f>
        <v>#DIV/0!</v>
      </c>
      <c r="L359" s="61" t="e">
        <f>AVERAGE(L5:L58)</f>
        <v>#DIV/0!</v>
      </c>
      <c r="M359" s="62"/>
      <c r="AB359" s="61" t="e">
        <f>AVERAGE(AB5:AB58)</f>
        <v>#DIV/0!</v>
      </c>
      <c r="AC359" s="61" t="e">
        <f>AVERAGE(AC5:AC58)</f>
        <v>#DIV/0!</v>
      </c>
      <c r="AD359" s="61" t="e">
        <f>AVERAGE(AD5:AD58)</f>
        <v>#DIV/0!</v>
      </c>
      <c r="AE359" s="62"/>
      <c r="AT359" s="7" t="e">
        <f>AVERAGE(AT5:AT58)</f>
        <v>#DIV/0!</v>
      </c>
      <c r="AV359" s="3" t="e">
        <f>AVERAGE(AV5:AV58)</f>
        <v>#DIV/0!</v>
      </c>
      <c r="AW359" s="3" t="e">
        <f>AVERAGE(AW5:AW58)</f>
        <v>#DIV/0!</v>
      </c>
      <c r="AX359" s="3" t="e">
        <f>AVERAGE(AX5:AX58)</f>
        <v>#DIV/0!</v>
      </c>
      <c r="AY359" s="4"/>
      <c r="BA359" s="3" t="e">
        <f>AVERAGE(BA5:BA58)</f>
        <v>#DIV/0!</v>
      </c>
      <c r="BB359" s="3" t="e">
        <f>AVERAGE(BB5:BB58)</f>
        <v>#DIV/0!</v>
      </c>
      <c r="BC359" s="3" t="e">
        <f>AVERAGE(BC5:BC58)</f>
        <v>#DIV/0!</v>
      </c>
      <c r="BD359" s="4"/>
    </row>
    <row r="360" spans="1:56" x14ac:dyDescent="0.15">
      <c r="B360" s="60" t="s">
        <v>403</v>
      </c>
      <c r="J360" s="61" t="e">
        <f>AVERAGE(J59:J130)</f>
        <v>#DIV/0!</v>
      </c>
      <c r="K360" s="61" t="e">
        <f>AVERAGE(K59:K130)</f>
        <v>#DIV/0!</v>
      </c>
      <c r="L360" s="61" t="e">
        <f>AVERAGE(L59:L130)</f>
        <v>#DIV/0!</v>
      </c>
      <c r="M360" s="62"/>
      <c r="AB360" s="61" t="e">
        <f>AVERAGE(AB59:AB130)</f>
        <v>#DIV/0!</v>
      </c>
      <c r="AC360" s="61" t="e">
        <f>AVERAGE(AC59:AC130)</f>
        <v>#DIV/0!</v>
      </c>
      <c r="AD360" s="61" t="e">
        <f>AVERAGE(AD59:AD130)</f>
        <v>#DIV/0!</v>
      </c>
      <c r="AE360" s="62"/>
      <c r="AT360" s="7" t="e">
        <f>AVERAGE(AT59:AT130)</f>
        <v>#DIV/0!</v>
      </c>
      <c r="AV360" s="3" t="e">
        <f>AVERAGE(AV59:AV130)</f>
        <v>#DIV/0!</v>
      </c>
      <c r="AW360" s="3" t="e">
        <f>AVERAGE(AW59:AW130)</f>
        <v>#DIV/0!</v>
      </c>
      <c r="AX360" s="3" t="e">
        <f>AVERAGE(AX59:AX130)</f>
        <v>#DIV/0!</v>
      </c>
      <c r="AY360" s="4"/>
      <c r="BA360" s="3" t="e">
        <f>AVERAGE(BA59:BA130)</f>
        <v>#DIV/0!</v>
      </c>
      <c r="BB360" s="3" t="e">
        <f>AVERAGE(BB59:BB130)</f>
        <v>#DIV/0!</v>
      </c>
      <c r="BC360" s="3" t="e">
        <f>AVERAGE(BC59:BC130)</f>
        <v>#DIV/0!</v>
      </c>
      <c r="BD360" s="4"/>
    </row>
    <row r="361" spans="1:56" x14ac:dyDescent="0.15">
      <c r="B361" s="60" t="s">
        <v>404</v>
      </c>
      <c r="J361" s="61" t="e">
        <f>AVERAGE(J131:J184)</f>
        <v>#DIV/0!</v>
      </c>
      <c r="K361" s="61" t="e">
        <f>AVERAGE(K131:K184)</f>
        <v>#DIV/0!</v>
      </c>
      <c r="L361" s="61" t="e">
        <f>AVERAGE(L131:L184)</f>
        <v>#DIV/0!</v>
      </c>
      <c r="M361" s="62"/>
      <c r="AB361" s="61" t="e">
        <f>AVERAGE(AB131:AB184)</f>
        <v>#DIV/0!</v>
      </c>
      <c r="AC361" s="61" t="e">
        <f>AVERAGE(AC131:AC184)</f>
        <v>#DIV/0!</v>
      </c>
      <c r="AD361" s="61" t="e">
        <f>AVERAGE(AD131:AD184)</f>
        <v>#DIV/0!</v>
      </c>
      <c r="AE361" s="62"/>
      <c r="AT361" s="7" t="e">
        <f>AVERAGE(AT131:AT184)</f>
        <v>#DIV/0!</v>
      </c>
      <c r="AV361" s="3" t="e">
        <f>AVERAGE(AV131:AV184)</f>
        <v>#DIV/0!</v>
      </c>
      <c r="AW361" s="3" t="e">
        <f>AVERAGE(AW131:AW184)</f>
        <v>#DIV/0!</v>
      </c>
      <c r="AX361" s="3" t="e">
        <f>AVERAGE(AX131:AX184)</f>
        <v>#DIV/0!</v>
      </c>
      <c r="AY361" s="4"/>
      <c r="BA361" s="3" t="e">
        <f>AVERAGE(BA131:BA184)</f>
        <v>#DIV/0!</v>
      </c>
      <c r="BB361" s="3" t="e">
        <f>AVERAGE(BB131:BB184)</f>
        <v>#DIV/0!</v>
      </c>
      <c r="BC361" s="3" t="e">
        <f>AVERAGE(BC131:BC184)</f>
        <v>#DIV/0!</v>
      </c>
      <c r="BD361" s="4"/>
    </row>
    <row r="362" spans="1:56" x14ac:dyDescent="0.15">
      <c r="B362" s="60" t="s">
        <v>405</v>
      </c>
      <c r="J362" s="61" t="e">
        <f>AVERAGE(J185:J280)</f>
        <v>#DIV/0!</v>
      </c>
      <c r="K362" s="61" t="e">
        <f>AVERAGE(K185:K280)</f>
        <v>#DIV/0!</v>
      </c>
      <c r="L362" s="61" t="e">
        <f>AVERAGE(L185:L280)</f>
        <v>#DIV/0!</v>
      </c>
      <c r="M362" s="62"/>
      <c r="AB362" s="61" t="e">
        <f>AVERAGE(AB185:AB280)</f>
        <v>#DIV/0!</v>
      </c>
      <c r="AC362" s="61" t="e">
        <f>AVERAGE(AC185:AC280)</f>
        <v>#DIV/0!</v>
      </c>
      <c r="AD362" s="61" t="e">
        <f>AVERAGE(AD185:AD280)</f>
        <v>#DIV/0!</v>
      </c>
      <c r="AE362" s="62"/>
      <c r="AT362" s="7" t="e">
        <f>AVERAGE(AT185:AT280)</f>
        <v>#DIV/0!</v>
      </c>
      <c r="AV362" s="3" t="e">
        <f>AVERAGE(AV185:AV280)</f>
        <v>#DIV/0!</v>
      </c>
      <c r="AW362" s="3" t="e">
        <f>AVERAGE(AW185:AW280)</f>
        <v>#DIV/0!</v>
      </c>
      <c r="AX362" s="3" t="e">
        <f>AVERAGE(AX185:AX280)</f>
        <v>#DIV/0!</v>
      </c>
      <c r="AY362" s="4"/>
      <c r="BA362" s="3" t="e">
        <f>AVERAGE(BA185:BA280)</f>
        <v>#DIV/0!</v>
      </c>
      <c r="BB362" s="3" t="e">
        <f>AVERAGE(BB185:BB280)</f>
        <v>#DIV/0!</v>
      </c>
      <c r="BC362" s="3" t="e">
        <f>AVERAGE(BC185:BC280)</f>
        <v>#DIV/0!</v>
      </c>
      <c r="BD362" s="4"/>
    </row>
    <row r="363" spans="1:56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B363" s="61" t="e">
        <f>AVERAGE(AB281:AB298)</f>
        <v>#DIV/0!</v>
      </c>
      <c r="AC363" s="61" t="e">
        <f>AVERAGE(AC281:AC298)</f>
        <v>#DIV/0!</v>
      </c>
      <c r="AD363" s="61" t="e">
        <f>AVERAGE(AD281:AD298)</f>
        <v>#DIV/0!</v>
      </c>
      <c r="AE363" s="61" t="e">
        <f>AVERAGE(AE281:AE298)</f>
        <v>#DIV/0!</v>
      </c>
      <c r="AT363" s="7" t="e">
        <f>AVERAGE(AT281:AT298)</f>
        <v>#DIV/0!</v>
      </c>
      <c r="AV363" s="3" t="e">
        <f>AVERAGE(AV281:AV298)</f>
        <v>#DIV/0!</v>
      </c>
      <c r="AW363" s="3" t="e">
        <f>AVERAGE(AW281:AW298)</f>
        <v>#DIV/0!</v>
      </c>
      <c r="AX363" s="3" t="e">
        <f>AVERAGE(AX281:AX298)</f>
        <v>#DIV/0!</v>
      </c>
      <c r="AY363" s="3" t="e">
        <f>AVERAGE(AY281:AY298)</f>
        <v>#DIV/0!</v>
      </c>
      <c r="BA363" s="3" t="e">
        <f>AVERAGE(BA281:BA298)</f>
        <v>#DIV/0!</v>
      </c>
      <c r="BB363" s="3" t="e">
        <f>AVERAGE(BB281:BB298)</f>
        <v>#DIV/0!</v>
      </c>
      <c r="BC363" s="3" t="e">
        <f>AVERAGE(BC281:BC298)</f>
        <v>#DIV/0!</v>
      </c>
      <c r="BD363" s="3" t="e">
        <f>AVERAGE(BD281:BD298)</f>
        <v>#DIV/0!</v>
      </c>
    </row>
    <row r="364" spans="1:56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B364" s="61" t="e">
        <f>AVERAGE(AB299:AB340)</f>
        <v>#DIV/0!</v>
      </c>
      <c r="AC364" s="61" t="e">
        <f>AVERAGE(AC299:AC340)</f>
        <v>#DIV/0!</v>
      </c>
      <c r="AD364" s="62"/>
      <c r="AE364" s="61" t="e">
        <f>AVERAGE(AE299:AE340)</f>
        <v>#DIV/0!</v>
      </c>
      <c r="AT364" s="61" t="e">
        <f>AVERAGE(AT299:AT340)</f>
        <v>#DIV/0!</v>
      </c>
      <c r="AV364" s="4"/>
      <c r="AW364" s="4"/>
      <c r="AX364" s="4"/>
      <c r="AY364" s="61" t="e">
        <f>AVERAGE(AY299:AY340)</f>
        <v>#DIV/0!</v>
      </c>
      <c r="BA364" s="4"/>
      <c r="BB364" s="4"/>
      <c r="BC364" s="4"/>
      <c r="BD364" s="61" t="e">
        <f>AVERAGE(BD299:BD340)</f>
        <v>#DIV/0!</v>
      </c>
    </row>
    <row r="365" spans="1:56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B365" s="61" t="e">
        <f>AVERAGE(AB341:AB358)</f>
        <v>#DIV/0!</v>
      </c>
      <c r="AC365" s="61" t="e">
        <f>AVERAGE(AC341:AC358)</f>
        <v>#DIV/0!</v>
      </c>
      <c r="AD365" s="62"/>
      <c r="AE365" s="61" t="e">
        <f>AVERAGE(AE341:AE358)</f>
        <v>#DIV/0!</v>
      </c>
      <c r="AT365" s="61" t="e">
        <f>AVERAGE(AT341:AT358)</f>
        <v>#DIV/0!</v>
      </c>
      <c r="AV365" s="4"/>
      <c r="AW365" s="4"/>
      <c r="AX365" s="4"/>
      <c r="AY365" s="61" t="e">
        <f>AVERAGE(AY341:AY358)</f>
        <v>#DIV/0!</v>
      </c>
      <c r="BA365" s="4"/>
      <c r="BB365" s="4"/>
      <c r="BC365" s="4"/>
      <c r="BD365" s="61" t="e">
        <f>AVERAGE(BD341:BD358)</f>
        <v>#DIV/0!</v>
      </c>
    </row>
    <row r="366" spans="1:56" x14ac:dyDescent="0.15">
      <c r="B366" s="60" t="s">
        <v>407</v>
      </c>
      <c r="J366" s="61" t="e">
        <f>AVERAGE(J5:J358)</f>
        <v>#DIV/0!</v>
      </c>
      <c r="K366" s="61" t="e">
        <f>AVERAGE(K5:K358)</f>
        <v>#DIV/0!</v>
      </c>
      <c r="L366" s="61" t="e">
        <f>AVERAGE(L5:L298)</f>
        <v>#DIV/0!</v>
      </c>
      <c r="M366" s="61" t="e">
        <f>AVERAGE(M281:M358)</f>
        <v>#DIV/0!</v>
      </c>
      <c r="AB366" s="61" t="e">
        <f>AVERAGE(AB5:AB358)</f>
        <v>#DIV/0!</v>
      </c>
      <c r="AC366" s="61" t="e">
        <f>AVERAGE(AC5:AC358)</f>
        <v>#DIV/0!</v>
      </c>
      <c r="AD366" s="61" t="e">
        <f>AVERAGE(AD5:AD298)</f>
        <v>#DIV/0!</v>
      </c>
      <c r="AE366" s="61" t="e">
        <f>AVERAGE(AE281:AE358)</f>
        <v>#DIV/0!</v>
      </c>
      <c r="AT366" s="7" t="e">
        <f>AVERAGE(AT5:AT358)</f>
        <v>#DIV/0!</v>
      </c>
      <c r="AV366" s="3" t="e">
        <f>AVERAGE(AV5:AV298)</f>
        <v>#DIV/0!</v>
      </c>
      <c r="AW366" s="3" t="e">
        <f>AVERAGE(AW5:AW298)</f>
        <v>#DIV/0!</v>
      </c>
      <c r="AX366" s="3" t="e">
        <f>AVERAGE(AX5:AX298)</f>
        <v>#DIV/0!</v>
      </c>
      <c r="AY366" s="3" t="e">
        <f>AVERAGE(AY281:AY358)</f>
        <v>#DIV/0!</v>
      </c>
      <c r="BA366" s="3" t="e">
        <f>AVERAGE(BA5:BA298)</f>
        <v>#DIV/0!</v>
      </c>
      <c r="BB366" s="3" t="e">
        <f>AVERAGE(BB5:BB298)</f>
        <v>#DIV/0!</v>
      </c>
      <c r="BC366" s="3" t="e">
        <f>AVERAGE(BC5:BC298)</f>
        <v>#DIV/0!</v>
      </c>
      <c r="BD366" s="3" t="e">
        <f>AVERAGE(BD281:BD358)</f>
        <v>#DIV/0!</v>
      </c>
    </row>
    <row r="367" spans="1:56" hidden="1" outlineLevel="2" x14ac:dyDescent="0.15">
      <c r="A367" s="60" t="s">
        <v>408</v>
      </c>
      <c r="B367" s="60" t="s">
        <v>409</v>
      </c>
      <c r="X367" s="63">
        <f>SUM(X5:X58,X59:X130,X131:X184,X185:X280,X281:X298,X299:X340,X341:X358)</f>
        <v>0</v>
      </c>
      <c r="Y367" s="63">
        <f>SUM(Y5:Y58,Y59:Y130,Y131:Y184,Y185:Y280,Y281:Y298,Y299:Y340,Y341:Y358)</f>
        <v>0</v>
      </c>
      <c r="AP367" s="63">
        <f>SUM(AP5:AP58,AP59:AP130,AP131:AP184,AP185:AP280,AP281:AP298,AP299:AP340,AP341:AP358)</f>
        <v>0</v>
      </c>
      <c r="AQ367" s="63">
        <f>SUM(AQ5:AQ58,AQ59:AQ130,AQ131:AQ184,AQ185:AQ280,AQ281:AQ298,AQ299:AQ340,AQ341:AQ358)</f>
        <v>0</v>
      </c>
    </row>
    <row r="368" spans="1:56" hidden="1" outlineLevel="2" x14ac:dyDescent="0.15">
      <c r="B368" s="60" t="s">
        <v>410</v>
      </c>
      <c r="AP368" s="7" t="e">
        <f>AP367/X367</f>
        <v>#DIV/0!</v>
      </c>
      <c r="AQ368" s="7" t="e">
        <f>AQ367/Y367</f>
        <v>#DIV/0!</v>
      </c>
    </row>
    <row r="369" spans="2:43" hidden="1" outlineLevel="2" x14ac:dyDescent="0.15">
      <c r="B369" s="60" t="s">
        <v>411</v>
      </c>
      <c r="X369" s="63" t="e">
        <f>GEOMEAN(X5:X58,X59:X130,X131:X184,X185:X280,X281:X298,X299:X340,X341:X358)</f>
        <v>#NUM!</v>
      </c>
      <c r="Y369" s="63" t="e">
        <f>GEOMEAN(Y5:Y58,Y59:Y130,Y131:Y184,Y185:Y280,Y281:Y298,Y299:Y340,Y341:Y358)</f>
        <v>#NUM!</v>
      </c>
      <c r="AP369" s="63" t="e">
        <f>GEOMEAN(AP5:AP58,AP59:AP130,AP131:AP184,AP185:AP280,AP281:AP298,AP299:AP340,AP341:AP358)</f>
        <v>#NUM!</v>
      </c>
      <c r="AQ369" s="63" t="e">
        <f>GEOMEAN(AQ5:AQ58,AQ59:AQ130,AQ131:AQ184,AQ185:AQ280,AQ281:AQ298,AQ299:AQ340,AQ341:AQ358)</f>
        <v>#NUM!</v>
      </c>
    </row>
    <row r="370" spans="2:43" outlineLevel="2" collapsed="1" x14ac:dyDescent="0.15">
      <c r="B370" s="60" t="s">
        <v>412</v>
      </c>
      <c r="AP370" s="7" t="e">
        <f>AP369/X369</f>
        <v>#NUM!</v>
      </c>
      <c r="AQ370" s="7" t="e">
        <f>AQ369/Y369</f>
        <v>#NUM!</v>
      </c>
    </row>
  </sheetData>
  <mergeCells count="30">
    <mergeCell ref="A2:A3"/>
    <mergeCell ref="B2:B3"/>
    <mergeCell ref="C2:C3"/>
    <mergeCell ref="D2:D3"/>
    <mergeCell ref="E2:E3"/>
    <mergeCell ref="P2:S2"/>
    <mergeCell ref="T2:W2"/>
    <mergeCell ref="X2:X3"/>
    <mergeCell ref="Y2:Y3"/>
    <mergeCell ref="F2:F3"/>
    <mergeCell ref="G2:G3"/>
    <mergeCell ref="I2:I3"/>
    <mergeCell ref="J2:M2"/>
    <mergeCell ref="N2:N3"/>
    <mergeCell ref="AV2:AY2"/>
    <mergeCell ref="BA2:BD2"/>
    <mergeCell ref="A1:G1"/>
    <mergeCell ref="I1:Y1"/>
    <mergeCell ref="AA1:AQ1"/>
    <mergeCell ref="AL2:AO2"/>
    <mergeCell ref="AP2:AP3"/>
    <mergeCell ref="AQ2:AQ3"/>
    <mergeCell ref="AS2:AS3"/>
    <mergeCell ref="AT2:AT3"/>
    <mergeCell ref="AA2:AA3"/>
    <mergeCell ref="AB2:AE2"/>
    <mergeCell ref="AF2:AF3"/>
    <mergeCell ref="AG2:AG3"/>
    <mergeCell ref="AH2:AK2"/>
    <mergeCell ref="O2:O3"/>
  </mergeCells>
  <phoneticPr fontId="2" type="noConversion"/>
  <conditionalFormatting sqref="AV5:AV322 AV366 AV341:AV363">
    <cfRule type="cellIs" dxfId="163" priority="33" operator="greaterThanOrEqual">
      <formula>0.03</formula>
    </cfRule>
    <cfRule type="cellIs" dxfId="162" priority="34" operator="lessThanOrEqual">
      <formula>-0.03</formula>
    </cfRule>
  </conditionalFormatting>
  <conditionalFormatting sqref="AW5:AW322 AW366 AW341:AW363">
    <cfRule type="cellIs" dxfId="161" priority="29" operator="greaterThanOrEqual">
      <formula>0.03</formula>
    </cfRule>
    <cfRule type="cellIs" dxfId="160" priority="30" operator="lessThanOrEqual">
      <formula>-0.03</formula>
    </cfRule>
  </conditionalFormatting>
  <conditionalFormatting sqref="AX5:AX322 AX366 AX341:AX363">
    <cfRule type="cellIs" dxfId="159" priority="25" operator="greaterThanOrEqual">
      <formula>0.03</formula>
    </cfRule>
    <cfRule type="cellIs" dxfId="158" priority="26" operator="lessThanOrEqual">
      <formula>-0.03</formula>
    </cfRule>
  </conditionalFormatting>
  <conditionalFormatting sqref="AY5:AY322 AY363 AY341:AY358 AY366">
    <cfRule type="cellIs" dxfId="157" priority="35" operator="greaterThanOrEqual">
      <formula>0.03</formula>
    </cfRule>
    <cfRule type="cellIs" dxfId="156" priority="36" operator="lessThanOrEqual">
      <formula>-0.03</formula>
    </cfRule>
  </conditionalFormatting>
  <conditionalFormatting sqref="BA5:BA322 BA366 BA341:BA363">
    <cfRule type="cellIs" dxfId="155" priority="31" operator="greaterThanOrEqual">
      <formula>0.03</formula>
    </cfRule>
    <cfRule type="cellIs" dxfId="154" priority="32" operator="lessThanOrEqual">
      <formula>-0.03</formula>
    </cfRule>
  </conditionalFormatting>
  <conditionalFormatting sqref="BB5:BB322 BB366 BB341:BB363">
    <cfRule type="cellIs" dxfId="153" priority="21" operator="greaterThanOrEqual">
      <formula>0.03</formula>
    </cfRule>
    <cfRule type="cellIs" dxfId="152" priority="22" operator="lessThanOrEqual">
      <formula>-0.03</formula>
    </cfRule>
  </conditionalFormatting>
  <conditionalFormatting sqref="BC5:BC322 BC366 BC341:BC363">
    <cfRule type="cellIs" dxfId="151" priority="23" operator="greaterThanOrEqual">
      <formula>0.03</formula>
    </cfRule>
    <cfRule type="cellIs" dxfId="150" priority="24" operator="lessThanOrEqual">
      <formula>-0.03</formula>
    </cfRule>
  </conditionalFormatting>
  <conditionalFormatting sqref="BD5:BD322 BD363 BD341:BD358 BD366">
    <cfRule type="cellIs" dxfId="149" priority="27" operator="greaterThanOrEqual">
      <formula>0.03</formula>
    </cfRule>
    <cfRule type="cellIs" dxfId="148" priority="28" operator="lessThanOrEqual">
      <formula>-0.03</formula>
    </cfRule>
  </conditionalFormatting>
  <conditionalFormatting sqref="AV323:AV340">
    <cfRule type="cellIs" dxfId="147" priority="17" operator="greaterThanOrEqual">
      <formula>0.03</formula>
    </cfRule>
    <cfRule type="cellIs" dxfId="146" priority="18" operator="lessThanOrEqual">
      <formula>-0.03</formula>
    </cfRule>
  </conditionalFormatting>
  <conditionalFormatting sqref="AW323:AW340">
    <cfRule type="cellIs" dxfId="145" priority="13" operator="greaterThanOrEqual">
      <formula>0.03</formula>
    </cfRule>
    <cfRule type="cellIs" dxfId="144" priority="14" operator="lessThanOrEqual">
      <formula>-0.03</formula>
    </cfRule>
  </conditionalFormatting>
  <conditionalFormatting sqref="AX323:AX340">
    <cfRule type="cellIs" dxfId="143" priority="9" operator="greaterThanOrEqual">
      <formula>0.03</formula>
    </cfRule>
    <cfRule type="cellIs" dxfId="142" priority="10" operator="lessThanOrEqual">
      <formula>-0.03</formula>
    </cfRule>
  </conditionalFormatting>
  <conditionalFormatting sqref="AY323:AY340">
    <cfRule type="cellIs" dxfId="141" priority="19" operator="greaterThanOrEqual">
      <formula>0.03</formula>
    </cfRule>
    <cfRule type="cellIs" dxfId="140" priority="20" operator="lessThanOrEqual">
      <formula>-0.03</formula>
    </cfRule>
  </conditionalFormatting>
  <conditionalFormatting sqref="BA323:BA340">
    <cfRule type="cellIs" dxfId="139" priority="15" operator="greaterThanOrEqual">
      <formula>0.03</formula>
    </cfRule>
    <cfRule type="cellIs" dxfId="138" priority="16" operator="lessThanOrEqual">
      <formula>-0.03</formula>
    </cfRule>
  </conditionalFormatting>
  <conditionalFormatting sqref="BB323:BB340">
    <cfRule type="cellIs" dxfId="137" priority="5" operator="greaterThanOrEqual">
      <formula>0.03</formula>
    </cfRule>
    <cfRule type="cellIs" dxfId="136" priority="6" operator="lessThanOrEqual">
      <formula>-0.03</formula>
    </cfRule>
  </conditionalFormatting>
  <conditionalFormatting sqref="BC323:BC340">
    <cfRule type="cellIs" dxfId="135" priority="7" operator="greaterThanOrEqual">
      <formula>0.03</formula>
    </cfRule>
    <cfRule type="cellIs" dxfId="134" priority="8" operator="lessThanOrEqual">
      <formula>-0.03</formula>
    </cfRule>
  </conditionalFormatting>
  <conditionalFormatting sqref="BD323:BD340">
    <cfRule type="cellIs" dxfId="133" priority="11" operator="greaterThanOrEqual">
      <formula>0.03</formula>
    </cfRule>
    <cfRule type="cellIs" dxfId="132" priority="12" operator="lessThanOrEqual">
      <formula>-0.03</formula>
    </cfRule>
  </conditionalFormatting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V465"/>
  <sheetViews>
    <sheetView topLeftCell="A327" workbookViewId="0">
      <selection activeCell="A364" sqref="A364"/>
    </sheetView>
  </sheetViews>
  <sheetFormatPr defaultRowHeight="13.5" x14ac:dyDescent="0.15"/>
  <cols>
    <col min="1" max="1" width="8.625" customWidth="1"/>
  </cols>
  <sheetData>
    <row r="1" spans="1:2" x14ac:dyDescent="0.15">
      <c r="A1" t="s">
        <v>93</v>
      </c>
      <c r="B1">
        <v>1</v>
      </c>
    </row>
    <row r="2" spans="1:2" x14ac:dyDescent="0.15">
      <c r="A2" t="s">
        <v>96</v>
      </c>
      <c r="B2">
        <v>2</v>
      </c>
    </row>
    <row r="3" spans="1:2" x14ac:dyDescent="0.15">
      <c r="A3" t="s">
        <v>99</v>
      </c>
      <c r="B3">
        <v>3</v>
      </c>
    </row>
    <row r="4" spans="1:2" x14ac:dyDescent="0.15">
      <c r="A4" t="s">
        <v>102</v>
      </c>
      <c r="B4">
        <v>4</v>
      </c>
    </row>
    <row r="5" spans="1:2" x14ac:dyDescent="0.15">
      <c r="A5" t="s">
        <v>105</v>
      </c>
      <c r="B5">
        <v>5</v>
      </c>
    </row>
    <row r="6" spans="1:2" x14ac:dyDescent="0.15">
      <c r="A6" t="s">
        <v>108</v>
      </c>
      <c r="B6">
        <v>6</v>
      </c>
    </row>
    <row r="7" spans="1:2" x14ac:dyDescent="0.15">
      <c r="A7" t="s">
        <v>111</v>
      </c>
      <c r="B7">
        <v>7</v>
      </c>
    </row>
    <row r="8" spans="1:2" x14ac:dyDescent="0.15">
      <c r="A8" t="s">
        <v>114</v>
      </c>
      <c r="B8">
        <v>9</v>
      </c>
    </row>
    <row r="9" spans="1:2" x14ac:dyDescent="0.15">
      <c r="A9" t="s">
        <v>118</v>
      </c>
      <c r="B9">
        <v>10</v>
      </c>
    </row>
    <row r="10" spans="1:2" x14ac:dyDescent="0.15">
      <c r="A10" t="s">
        <v>121</v>
      </c>
      <c r="B10">
        <v>11</v>
      </c>
    </row>
    <row r="11" spans="1:2" x14ac:dyDescent="0.15">
      <c r="A11" t="s">
        <v>124</v>
      </c>
      <c r="B11">
        <v>12</v>
      </c>
    </row>
    <row r="12" spans="1:2" x14ac:dyDescent="0.15">
      <c r="A12" t="s">
        <v>127</v>
      </c>
      <c r="B12">
        <v>13</v>
      </c>
    </row>
    <row r="13" spans="1:2" x14ac:dyDescent="0.15">
      <c r="A13" t="s">
        <v>130</v>
      </c>
      <c r="B13">
        <v>14</v>
      </c>
    </row>
    <row r="14" spans="1:2" x14ac:dyDescent="0.15">
      <c r="A14" t="s">
        <v>132</v>
      </c>
      <c r="B14">
        <v>15</v>
      </c>
    </row>
    <row r="15" spans="1:2" x14ac:dyDescent="0.15">
      <c r="A15" t="s">
        <v>135</v>
      </c>
      <c r="B15">
        <v>16</v>
      </c>
    </row>
    <row r="16" spans="1:2" x14ac:dyDescent="0.15">
      <c r="A16" t="s">
        <v>137</v>
      </c>
      <c r="B16">
        <v>17</v>
      </c>
    </row>
    <row r="17" spans="1:2" x14ac:dyDescent="0.15">
      <c r="A17" t="s">
        <v>140</v>
      </c>
      <c r="B17">
        <v>18</v>
      </c>
    </row>
    <row r="18" spans="1:2" x14ac:dyDescent="0.15">
      <c r="A18" t="s">
        <v>142</v>
      </c>
      <c r="B18">
        <v>19</v>
      </c>
    </row>
    <row r="19" spans="1:2" x14ac:dyDescent="0.15">
      <c r="A19" t="s">
        <v>146</v>
      </c>
      <c r="B19">
        <v>20</v>
      </c>
    </row>
    <row r="20" spans="1:2" x14ac:dyDescent="0.15">
      <c r="A20" t="s">
        <v>149</v>
      </c>
      <c r="B20">
        <v>21</v>
      </c>
    </row>
    <row r="21" spans="1:2" x14ac:dyDescent="0.15">
      <c r="A21" t="s">
        <v>152</v>
      </c>
      <c r="B21">
        <v>22</v>
      </c>
    </row>
    <row r="22" spans="1:2" x14ac:dyDescent="0.15">
      <c r="A22" t="s">
        <v>154</v>
      </c>
      <c r="B22">
        <v>23</v>
      </c>
    </row>
    <row r="23" spans="1:2" x14ac:dyDescent="0.15">
      <c r="A23" t="s">
        <v>157</v>
      </c>
      <c r="B23">
        <v>24</v>
      </c>
    </row>
    <row r="24" spans="1:2" x14ac:dyDescent="0.15">
      <c r="A24" t="s">
        <v>160</v>
      </c>
      <c r="B24">
        <v>25</v>
      </c>
    </row>
    <row r="25" spans="1:2" x14ac:dyDescent="0.15">
      <c r="A25" t="s">
        <v>162</v>
      </c>
      <c r="B25">
        <v>27</v>
      </c>
    </row>
    <row r="26" spans="1:2" x14ac:dyDescent="0.15">
      <c r="A26" t="s">
        <v>164</v>
      </c>
      <c r="B26">
        <v>28</v>
      </c>
    </row>
    <row r="27" spans="1:2" x14ac:dyDescent="0.15">
      <c r="A27" t="s">
        <v>166</v>
      </c>
      <c r="B27">
        <v>29</v>
      </c>
    </row>
    <row r="28" spans="1:2" x14ac:dyDescent="0.15">
      <c r="A28" t="s">
        <v>168</v>
      </c>
      <c r="B28">
        <v>30</v>
      </c>
    </row>
    <row r="29" spans="1:2" x14ac:dyDescent="0.15">
      <c r="A29" t="s">
        <v>170</v>
      </c>
      <c r="B29">
        <v>31</v>
      </c>
    </row>
    <row r="30" spans="1:2" x14ac:dyDescent="0.15">
      <c r="A30" t="s">
        <v>172</v>
      </c>
      <c r="B30">
        <v>32</v>
      </c>
    </row>
    <row r="31" spans="1:2" x14ac:dyDescent="0.15">
      <c r="A31" t="s">
        <v>174</v>
      </c>
      <c r="B31">
        <v>33</v>
      </c>
    </row>
    <row r="32" spans="1:2" x14ac:dyDescent="0.15">
      <c r="A32" t="s">
        <v>176</v>
      </c>
      <c r="B32">
        <v>34</v>
      </c>
    </row>
    <row r="33" spans="1:2" x14ac:dyDescent="0.15">
      <c r="A33" t="s">
        <v>178</v>
      </c>
      <c r="B33">
        <v>35</v>
      </c>
    </row>
    <row r="34" spans="1:2" x14ac:dyDescent="0.15">
      <c r="A34" t="s">
        <v>180</v>
      </c>
      <c r="B34">
        <v>36</v>
      </c>
    </row>
    <row r="35" spans="1:2" x14ac:dyDescent="0.15">
      <c r="A35" t="s">
        <v>182</v>
      </c>
      <c r="B35">
        <v>37</v>
      </c>
    </row>
    <row r="36" spans="1:2" x14ac:dyDescent="0.15">
      <c r="A36" t="s">
        <v>184</v>
      </c>
      <c r="B36">
        <v>38</v>
      </c>
    </row>
    <row r="37" spans="1:2" x14ac:dyDescent="0.15">
      <c r="A37" t="s">
        <v>186</v>
      </c>
      <c r="B37">
        <v>39</v>
      </c>
    </row>
    <row r="38" spans="1:2" x14ac:dyDescent="0.15">
      <c r="A38" t="s">
        <v>188</v>
      </c>
      <c r="B38">
        <v>40</v>
      </c>
    </row>
    <row r="39" spans="1:2" x14ac:dyDescent="0.15">
      <c r="A39" t="s">
        <v>190</v>
      </c>
      <c r="B39">
        <v>41</v>
      </c>
    </row>
    <row r="40" spans="1:2" x14ac:dyDescent="0.15">
      <c r="A40" t="s">
        <v>192</v>
      </c>
      <c r="B40">
        <v>42</v>
      </c>
    </row>
    <row r="41" spans="1:2" x14ac:dyDescent="0.15">
      <c r="A41" t="s">
        <v>194</v>
      </c>
      <c r="B41">
        <v>43</v>
      </c>
    </row>
    <row r="42" spans="1:2" x14ac:dyDescent="0.15">
      <c r="A42" t="s">
        <v>197</v>
      </c>
      <c r="B42">
        <v>45</v>
      </c>
    </row>
    <row r="43" spans="1:2" x14ac:dyDescent="0.15">
      <c r="A43" t="s">
        <v>199</v>
      </c>
      <c r="B43">
        <v>46</v>
      </c>
    </row>
    <row r="44" spans="1:2" x14ac:dyDescent="0.15">
      <c r="A44" t="s">
        <v>202</v>
      </c>
      <c r="B44">
        <v>48</v>
      </c>
    </row>
    <row r="45" spans="1:2" x14ac:dyDescent="0.15">
      <c r="A45" t="s">
        <v>204</v>
      </c>
      <c r="B45">
        <v>49</v>
      </c>
    </row>
    <row r="46" spans="1:2" x14ac:dyDescent="0.15">
      <c r="A46" t="s">
        <v>206</v>
      </c>
      <c r="B46">
        <v>50</v>
      </c>
    </row>
    <row r="47" spans="1:2" x14ac:dyDescent="0.15">
      <c r="A47" t="s">
        <v>208</v>
      </c>
      <c r="B47">
        <v>51</v>
      </c>
    </row>
    <row r="48" spans="1:2" x14ac:dyDescent="0.15">
      <c r="A48" t="s">
        <v>211</v>
      </c>
      <c r="B48">
        <v>53</v>
      </c>
    </row>
    <row r="49" spans="1:2" x14ac:dyDescent="0.15">
      <c r="A49" t="s">
        <v>213</v>
      </c>
      <c r="B49">
        <v>54</v>
      </c>
    </row>
    <row r="50" spans="1:2" x14ac:dyDescent="0.15">
      <c r="A50" t="s">
        <v>215</v>
      </c>
      <c r="B50">
        <v>55</v>
      </c>
    </row>
    <row r="51" spans="1:2" x14ac:dyDescent="0.15">
      <c r="A51" t="s">
        <v>217</v>
      </c>
      <c r="B51">
        <v>56</v>
      </c>
    </row>
    <row r="52" spans="1:2" x14ac:dyDescent="0.15">
      <c r="A52" t="s">
        <v>219</v>
      </c>
      <c r="B52" t="s">
        <v>220</v>
      </c>
    </row>
    <row r="53" spans="1:2" x14ac:dyDescent="0.15">
      <c r="A53" t="s">
        <v>221</v>
      </c>
      <c r="B53" t="s">
        <v>222</v>
      </c>
    </row>
    <row r="54" spans="1:2" x14ac:dyDescent="0.15">
      <c r="A54" t="s">
        <v>231</v>
      </c>
      <c r="B54" t="s">
        <v>232</v>
      </c>
    </row>
    <row r="55" spans="1:2" x14ac:dyDescent="0.15">
      <c r="A55" t="s">
        <v>234</v>
      </c>
      <c r="B55" t="s">
        <v>235</v>
      </c>
    </row>
    <row r="56" spans="1:2" x14ac:dyDescent="0.15">
      <c r="A56" t="s">
        <v>237</v>
      </c>
      <c r="B56" t="s">
        <v>238</v>
      </c>
    </row>
    <row r="57" spans="1:2" x14ac:dyDescent="0.15">
      <c r="A57" t="s">
        <v>240</v>
      </c>
      <c r="B57" t="s">
        <v>241</v>
      </c>
    </row>
    <row r="58" spans="1:2" x14ac:dyDescent="0.15">
      <c r="A58" t="s">
        <v>243</v>
      </c>
      <c r="B58" t="s">
        <v>244</v>
      </c>
    </row>
    <row r="59" spans="1:2" x14ac:dyDescent="0.15">
      <c r="A59" t="s">
        <v>246</v>
      </c>
      <c r="B59" t="s">
        <v>247</v>
      </c>
    </row>
    <row r="60" spans="1:2" x14ac:dyDescent="0.15">
      <c r="A60" t="s">
        <v>249</v>
      </c>
      <c r="B60" t="s">
        <v>250</v>
      </c>
    </row>
    <row r="61" spans="1:2" x14ac:dyDescent="0.15">
      <c r="A61" t="s">
        <v>252</v>
      </c>
      <c r="B61" t="s">
        <v>253</v>
      </c>
    </row>
    <row r="62" spans="1:2" x14ac:dyDescent="0.15">
      <c r="A62" t="s">
        <v>255</v>
      </c>
      <c r="B62" t="s">
        <v>256</v>
      </c>
    </row>
    <row r="63" spans="1:2" x14ac:dyDescent="0.15">
      <c r="A63" t="s">
        <v>259</v>
      </c>
      <c r="B63" t="s">
        <v>260</v>
      </c>
    </row>
    <row r="64" spans="1:2" x14ac:dyDescent="0.15">
      <c r="A64" t="s">
        <v>262</v>
      </c>
      <c r="B64" t="s">
        <v>263</v>
      </c>
    </row>
    <row r="65" spans="1:2" x14ac:dyDescent="0.15">
      <c r="A65" t="s">
        <v>265</v>
      </c>
      <c r="B65" t="s">
        <v>266</v>
      </c>
    </row>
    <row r="66" spans="1:2" x14ac:dyDescent="0.15">
      <c r="A66" t="s">
        <v>268</v>
      </c>
      <c r="B66" t="s">
        <v>269</v>
      </c>
    </row>
    <row r="67" spans="1:2" x14ac:dyDescent="0.15">
      <c r="A67" t="s">
        <v>271</v>
      </c>
      <c r="B67" t="s">
        <v>272</v>
      </c>
    </row>
    <row r="68" spans="1:2" x14ac:dyDescent="0.15">
      <c r="A68" t="s">
        <v>274</v>
      </c>
      <c r="B68" t="s">
        <v>275</v>
      </c>
    </row>
    <row r="69" spans="1:2" x14ac:dyDescent="0.15">
      <c r="A69" t="s">
        <v>277</v>
      </c>
      <c r="B69" t="s">
        <v>278</v>
      </c>
    </row>
    <row r="70" spans="1:2" x14ac:dyDescent="0.15">
      <c r="A70" t="s">
        <v>280</v>
      </c>
      <c r="B70" t="s">
        <v>281</v>
      </c>
    </row>
    <row r="71" spans="1:2" x14ac:dyDescent="0.15">
      <c r="A71" t="s">
        <v>283</v>
      </c>
      <c r="B71" t="s">
        <v>284</v>
      </c>
    </row>
    <row r="72" spans="1:2" x14ac:dyDescent="0.15">
      <c r="A72" t="s">
        <v>286</v>
      </c>
      <c r="B72" t="s">
        <v>287</v>
      </c>
    </row>
    <row r="73" spans="1:2" x14ac:dyDescent="0.15">
      <c r="A73" t="s">
        <v>289</v>
      </c>
      <c r="B73" t="s">
        <v>290</v>
      </c>
    </row>
    <row r="74" spans="1:2" x14ac:dyDescent="0.15">
      <c r="A74" t="s">
        <v>292</v>
      </c>
      <c r="B74" t="s">
        <v>293</v>
      </c>
    </row>
    <row r="75" spans="1:2" x14ac:dyDescent="0.15">
      <c r="A75" t="s">
        <v>296</v>
      </c>
      <c r="B75" t="s">
        <v>297</v>
      </c>
    </row>
    <row r="76" spans="1:2" x14ac:dyDescent="0.15">
      <c r="A76" t="s">
        <v>299</v>
      </c>
      <c r="B76" t="s">
        <v>300</v>
      </c>
    </row>
    <row r="77" spans="1:2" x14ac:dyDescent="0.15">
      <c r="A77" t="s">
        <v>302</v>
      </c>
      <c r="B77" t="s">
        <v>303</v>
      </c>
    </row>
    <row r="78" spans="1:2" x14ac:dyDescent="0.15">
      <c r="A78" t="s">
        <v>305</v>
      </c>
      <c r="B78" t="s">
        <v>306</v>
      </c>
    </row>
    <row r="79" spans="1:2" x14ac:dyDescent="0.15">
      <c r="A79" t="s">
        <v>308</v>
      </c>
      <c r="B79" t="s">
        <v>309</v>
      </c>
    </row>
    <row r="80" spans="1:2" x14ac:dyDescent="0.15">
      <c r="A80" t="s">
        <v>311</v>
      </c>
      <c r="B80" t="s">
        <v>312</v>
      </c>
    </row>
    <row r="81" spans="1:2" x14ac:dyDescent="0.15">
      <c r="A81" t="s">
        <v>314</v>
      </c>
      <c r="B81" t="s">
        <v>315</v>
      </c>
    </row>
    <row r="82" spans="1:2" x14ac:dyDescent="0.15">
      <c r="A82" t="s">
        <v>317</v>
      </c>
      <c r="B82" t="s">
        <v>318</v>
      </c>
    </row>
    <row r="83" spans="1:2" x14ac:dyDescent="0.15">
      <c r="A83" t="s">
        <v>320</v>
      </c>
      <c r="B83" t="s">
        <v>321</v>
      </c>
    </row>
    <row r="84" spans="1:2" x14ac:dyDescent="0.15">
      <c r="A84" t="s">
        <v>324</v>
      </c>
      <c r="B84" t="s">
        <v>325</v>
      </c>
    </row>
    <row r="85" spans="1:2" x14ac:dyDescent="0.15">
      <c r="A85" t="s">
        <v>327</v>
      </c>
      <c r="B85" t="s">
        <v>328</v>
      </c>
    </row>
    <row r="86" spans="1:2" x14ac:dyDescent="0.15">
      <c r="A86" t="s">
        <v>330</v>
      </c>
      <c r="B86" t="s">
        <v>331</v>
      </c>
    </row>
    <row r="87" spans="1:2" x14ac:dyDescent="0.15">
      <c r="A87" t="s">
        <v>333</v>
      </c>
      <c r="B87" t="s">
        <v>334</v>
      </c>
    </row>
    <row r="88" spans="1:2" x14ac:dyDescent="0.15">
      <c r="A88" t="s">
        <v>336</v>
      </c>
      <c r="B88" t="s">
        <v>337</v>
      </c>
    </row>
    <row r="89" spans="1:2" x14ac:dyDescent="0.15">
      <c r="A89" t="s">
        <v>339</v>
      </c>
      <c r="B89" t="s">
        <v>340</v>
      </c>
    </row>
    <row r="90" spans="1:2" x14ac:dyDescent="0.15">
      <c r="A90" t="s">
        <v>342</v>
      </c>
      <c r="B90" t="s">
        <v>343</v>
      </c>
    </row>
    <row r="91" spans="1:2" x14ac:dyDescent="0.15">
      <c r="A91" t="s">
        <v>345</v>
      </c>
      <c r="B91" t="s">
        <v>346</v>
      </c>
    </row>
    <row r="92" spans="1:2" x14ac:dyDescent="0.15">
      <c r="A92" t="s">
        <v>348</v>
      </c>
      <c r="B92" t="s">
        <v>349</v>
      </c>
    </row>
    <row r="93" spans="1:2" x14ac:dyDescent="0.15">
      <c r="A93" t="s">
        <v>351</v>
      </c>
      <c r="B93" t="s">
        <v>352</v>
      </c>
    </row>
    <row r="94" spans="1:2" x14ac:dyDescent="0.15">
      <c r="A94" t="s">
        <v>354</v>
      </c>
      <c r="B94" t="s">
        <v>355</v>
      </c>
    </row>
    <row r="95" spans="1:2" x14ac:dyDescent="0.15">
      <c r="A95" t="s">
        <v>357</v>
      </c>
      <c r="B95" t="s">
        <v>358</v>
      </c>
    </row>
    <row r="96" spans="1:2" x14ac:dyDescent="0.15">
      <c r="A96" t="s">
        <v>360</v>
      </c>
      <c r="B96" t="s">
        <v>361</v>
      </c>
    </row>
    <row r="97" spans="1:2" x14ac:dyDescent="0.15">
      <c r="A97" t="s">
        <v>363</v>
      </c>
      <c r="B97" t="s">
        <v>364</v>
      </c>
    </row>
    <row r="98" spans="1:2" x14ac:dyDescent="0.15">
      <c r="A98" t="s">
        <v>366</v>
      </c>
      <c r="B98" t="s">
        <v>367</v>
      </c>
    </row>
    <row r="99" spans="1:2" x14ac:dyDescent="0.15">
      <c r="A99" t="s">
        <v>369</v>
      </c>
      <c r="B99" t="s">
        <v>370</v>
      </c>
    </row>
    <row r="100" spans="1:2" x14ac:dyDescent="0.15">
      <c r="A100" t="s">
        <v>373</v>
      </c>
      <c r="B100" t="s">
        <v>374</v>
      </c>
    </row>
    <row r="101" spans="1:2" x14ac:dyDescent="0.15">
      <c r="A101" t="s">
        <v>376</v>
      </c>
      <c r="B101" t="s">
        <v>377</v>
      </c>
    </row>
    <row r="102" spans="1:2" x14ac:dyDescent="0.15">
      <c r="A102" t="s">
        <v>379</v>
      </c>
      <c r="B102" t="s">
        <v>380</v>
      </c>
    </row>
    <row r="103" spans="1:2" x14ac:dyDescent="0.15">
      <c r="A103" t="s">
        <v>382</v>
      </c>
      <c r="B103" t="s">
        <v>383</v>
      </c>
    </row>
    <row r="104" spans="1:2" x14ac:dyDescent="0.15">
      <c r="A104" t="s">
        <v>385</v>
      </c>
      <c r="B104" t="s">
        <v>386</v>
      </c>
    </row>
    <row r="105" spans="1:2" x14ac:dyDescent="0.15">
      <c r="A105" t="s">
        <v>388</v>
      </c>
      <c r="B105" t="s">
        <v>389</v>
      </c>
    </row>
    <row r="106" spans="1:2" x14ac:dyDescent="0.15">
      <c r="A106" t="s">
        <v>391</v>
      </c>
      <c r="B106" t="s">
        <v>392</v>
      </c>
    </row>
    <row r="107" spans="1:2" x14ac:dyDescent="0.15">
      <c r="A107" t="s">
        <v>394</v>
      </c>
      <c r="B107" t="s">
        <v>395</v>
      </c>
    </row>
    <row r="108" spans="1:2" x14ac:dyDescent="0.15">
      <c r="A108" t="s">
        <v>397</v>
      </c>
      <c r="B108" t="s">
        <v>398</v>
      </c>
    </row>
    <row r="109" spans="1:2" x14ac:dyDescent="0.15">
      <c r="A109" t="s">
        <v>400</v>
      </c>
      <c r="B109" t="s">
        <v>401</v>
      </c>
    </row>
    <row r="110" spans="1:2" x14ac:dyDescent="0.15">
      <c r="A110" t="s">
        <v>995</v>
      </c>
      <c r="B110" s="79" t="s">
        <v>992</v>
      </c>
    </row>
    <row r="111" spans="1:2" x14ac:dyDescent="0.15">
      <c r="A111" t="s">
        <v>996</v>
      </c>
      <c r="B111" s="79" t="s">
        <v>993</v>
      </c>
    </row>
    <row r="112" spans="1:2" x14ac:dyDescent="0.15">
      <c r="A112" t="s">
        <v>997</v>
      </c>
      <c r="B112" s="79" t="s">
        <v>994</v>
      </c>
    </row>
    <row r="113" spans="1:18" x14ac:dyDescent="0.15">
      <c r="A113" t="s">
        <v>419</v>
      </c>
      <c r="B113" t="s">
        <v>47</v>
      </c>
      <c r="C113" t="s">
        <v>45</v>
      </c>
      <c r="D113" t="s">
        <v>55</v>
      </c>
      <c r="E113" t="s">
        <v>51</v>
      </c>
      <c r="F113" t="s">
        <v>5</v>
      </c>
      <c r="G113" t="s">
        <v>35</v>
      </c>
      <c r="H113" t="s">
        <v>75</v>
      </c>
      <c r="I113" t="s">
        <v>53</v>
      </c>
      <c r="J113" t="s">
        <v>9</v>
      </c>
      <c r="K113" t="s">
        <v>33</v>
      </c>
      <c r="L113" t="s">
        <v>65</v>
      </c>
      <c r="M113" t="s">
        <v>43</v>
      </c>
      <c r="N113" t="s">
        <v>69</v>
      </c>
      <c r="O113" t="s">
        <v>61</v>
      </c>
      <c r="P113" t="s">
        <v>21</v>
      </c>
      <c r="Q113" t="s">
        <v>71</v>
      </c>
      <c r="R113" t="s">
        <v>67</v>
      </c>
    </row>
    <row r="114" spans="1:18" x14ac:dyDescent="0.15">
      <c r="A114" t="s">
        <v>420</v>
      </c>
      <c r="B114">
        <v>1</v>
      </c>
    </row>
    <row r="115" spans="1:18" x14ac:dyDescent="0.15">
      <c r="A115" t="s">
        <v>421</v>
      </c>
      <c r="B115">
        <v>2</v>
      </c>
    </row>
    <row r="116" spans="1:18" x14ac:dyDescent="0.15">
      <c r="A116" t="s">
        <v>422</v>
      </c>
      <c r="B116">
        <v>3</v>
      </c>
    </row>
    <row r="117" spans="1:18" x14ac:dyDescent="0.15">
      <c r="A117" t="s">
        <v>423</v>
      </c>
      <c r="B117">
        <v>4</v>
      </c>
    </row>
    <row r="118" spans="1:18" x14ac:dyDescent="0.15">
      <c r="A118" t="s">
        <v>424</v>
      </c>
      <c r="B118">
        <v>5</v>
      </c>
    </row>
    <row r="119" spans="1:18" x14ac:dyDescent="0.15">
      <c r="A119" t="s">
        <v>425</v>
      </c>
      <c r="B119">
        <v>6</v>
      </c>
    </row>
    <row r="120" spans="1:18" x14ac:dyDescent="0.15">
      <c r="A120" t="s">
        <v>426</v>
      </c>
      <c r="B120">
        <v>7</v>
      </c>
    </row>
    <row r="121" spans="1:18" x14ac:dyDescent="0.15">
      <c r="A121" t="s">
        <v>427</v>
      </c>
      <c r="B121">
        <v>9</v>
      </c>
    </row>
    <row r="122" spans="1:18" x14ac:dyDescent="0.15">
      <c r="A122" t="s">
        <v>428</v>
      </c>
      <c r="B122">
        <v>10</v>
      </c>
    </row>
    <row r="123" spans="1:18" x14ac:dyDescent="0.15">
      <c r="A123" t="s">
        <v>429</v>
      </c>
      <c r="B123">
        <v>11</v>
      </c>
    </row>
    <row r="124" spans="1:18" x14ac:dyDescent="0.15">
      <c r="A124" t="s">
        <v>430</v>
      </c>
      <c r="B124">
        <v>12</v>
      </c>
    </row>
    <row r="125" spans="1:18" x14ac:dyDescent="0.15">
      <c r="A125" t="s">
        <v>431</v>
      </c>
      <c r="B125">
        <v>13</v>
      </c>
    </row>
    <row r="126" spans="1:18" x14ac:dyDescent="0.15">
      <c r="A126" t="s">
        <v>432</v>
      </c>
      <c r="B126">
        <v>14</v>
      </c>
    </row>
    <row r="127" spans="1:18" x14ac:dyDescent="0.15">
      <c r="A127" t="s">
        <v>433</v>
      </c>
      <c r="B127">
        <v>15</v>
      </c>
    </row>
    <row r="128" spans="1:18" x14ac:dyDescent="0.15">
      <c r="A128" t="s">
        <v>434</v>
      </c>
      <c r="B128">
        <v>16</v>
      </c>
    </row>
    <row r="129" spans="1:2" x14ac:dyDescent="0.15">
      <c r="A129" t="s">
        <v>435</v>
      </c>
      <c r="B129">
        <v>17</v>
      </c>
    </row>
    <row r="130" spans="1:2" x14ac:dyDescent="0.15">
      <c r="A130" t="s">
        <v>436</v>
      </c>
      <c r="B130">
        <v>18</v>
      </c>
    </row>
    <row r="131" spans="1:2" x14ac:dyDescent="0.15">
      <c r="A131" t="s">
        <v>437</v>
      </c>
      <c r="B131">
        <v>19</v>
      </c>
    </row>
    <row r="132" spans="1:2" x14ac:dyDescent="0.15">
      <c r="A132" t="s">
        <v>441</v>
      </c>
      <c r="B132">
        <v>20</v>
      </c>
    </row>
    <row r="133" spans="1:2" x14ac:dyDescent="0.15">
      <c r="A133" t="s">
        <v>444</v>
      </c>
      <c r="B133">
        <v>21</v>
      </c>
    </row>
    <row r="134" spans="1:2" x14ac:dyDescent="0.15">
      <c r="A134" t="s">
        <v>445</v>
      </c>
      <c r="B134">
        <v>22</v>
      </c>
    </row>
    <row r="135" spans="1:2" x14ac:dyDescent="0.15">
      <c r="A135" t="s">
        <v>446</v>
      </c>
      <c r="B135">
        <v>23</v>
      </c>
    </row>
    <row r="136" spans="1:2" x14ac:dyDescent="0.15">
      <c r="A136" t="s">
        <v>447</v>
      </c>
      <c r="B136">
        <v>24</v>
      </c>
    </row>
    <row r="137" spans="1:2" x14ac:dyDescent="0.15">
      <c r="A137" t="s">
        <v>448</v>
      </c>
      <c r="B137">
        <v>25</v>
      </c>
    </row>
    <row r="138" spans="1:2" x14ac:dyDescent="0.15">
      <c r="A138" t="s">
        <v>449</v>
      </c>
      <c r="B138">
        <v>26</v>
      </c>
    </row>
    <row r="139" spans="1:2" x14ac:dyDescent="0.15">
      <c r="A139" t="s">
        <v>450</v>
      </c>
      <c r="B139">
        <v>27</v>
      </c>
    </row>
    <row r="140" spans="1:2" x14ac:dyDescent="0.15">
      <c r="A140" t="s">
        <v>451</v>
      </c>
      <c r="B140">
        <v>29</v>
      </c>
    </row>
    <row r="141" spans="1:2" x14ac:dyDescent="0.15">
      <c r="A141" t="s">
        <v>452</v>
      </c>
      <c r="B141">
        <v>30</v>
      </c>
    </row>
    <row r="142" spans="1:2" x14ac:dyDescent="0.15">
      <c r="A142" t="s">
        <v>453</v>
      </c>
      <c r="B142">
        <v>31</v>
      </c>
    </row>
    <row r="143" spans="1:2" x14ac:dyDescent="0.15">
      <c r="A143" t="s">
        <v>454</v>
      </c>
      <c r="B143">
        <v>32</v>
      </c>
    </row>
    <row r="144" spans="1:2" x14ac:dyDescent="0.15">
      <c r="A144" t="s">
        <v>455</v>
      </c>
      <c r="B144">
        <v>33</v>
      </c>
    </row>
    <row r="145" spans="1:2" x14ac:dyDescent="0.15">
      <c r="A145" t="s">
        <v>456</v>
      </c>
      <c r="B145">
        <v>34</v>
      </c>
    </row>
    <row r="146" spans="1:2" x14ac:dyDescent="0.15">
      <c r="A146" t="s">
        <v>457</v>
      </c>
      <c r="B146">
        <v>35</v>
      </c>
    </row>
    <row r="147" spans="1:2" x14ac:dyDescent="0.15">
      <c r="A147" t="s">
        <v>458</v>
      </c>
      <c r="B147">
        <v>36</v>
      </c>
    </row>
    <row r="148" spans="1:2" x14ac:dyDescent="0.15">
      <c r="A148" t="s">
        <v>459</v>
      </c>
      <c r="B148">
        <v>37</v>
      </c>
    </row>
    <row r="149" spans="1:2" x14ac:dyDescent="0.15">
      <c r="A149" t="s">
        <v>460</v>
      </c>
      <c r="B149">
        <v>38</v>
      </c>
    </row>
    <row r="150" spans="1:2" x14ac:dyDescent="0.15">
      <c r="A150" t="s">
        <v>461</v>
      </c>
      <c r="B150">
        <v>39</v>
      </c>
    </row>
    <row r="151" spans="1:2" x14ac:dyDescent="0.15">
      <c r="A151" t="s">
        <v>463</v>
      </c>
      <c r="B151">
        <v>40</v>
      </c>
    </row>
    <row r="152" spans="1:2" x14ac:dyDescent="0.15">
      <c r="A152" t="s">
        <v>465</v>
      </c>
      <c r="B152">
        <v>41</v>
      </c>
    </row>
    <row r="153" spans="1:2" x14ac:dyDescent="0.15">
      <c r="A153" t="s">
        <v>466</v>
      </c>
      <c r="B153">
        <v>42</v>
      </c>
    </row>
    <row r="154" spans="1:2" x14ac:dyDescent="0.15">
      <c r="A154" t="s">
        <v>467</v>
      </c>
      <c r="B154">
        <v>43</v>
      </c>
    </row>
    <row r="155" spans="1:2" x14ac:dyDescent="0.15">
      <c r="A155" t="s">
        <v>468</v>
      </c>
      <c r="B155">
        <v>44</v>
      </c>
    </row>
    <row r="156" spans="1:2" x14ac:dyDescent="0.15">
      <c r="A156" t="s">
        <v>469</v>
      </c>
      <c r="B156">
        <v>45</v>
      </c>
    </row>
    <row r="157" spans="1:2" x14ac:dyDescent="0.15">
      <c r="A157" t="s">
        <v>470</v>
      </c>
      <c r="B157">
        <v>46</v>
      </c>
    </row>
    <row r="158" spans="1:2" x14ac:dyDescent="0.15">
      <c r="A158" t="s">
        <v>471</v>
      </c>
      <c r="B158">
        <v>47</v>
      </c>
    </row>
    <row r="159" spans="1:2" x14ac:dyDescent="0.15">
      <c r="A159" t="s">
        <v>472</v>
      </c>
      <c r="B159">
        <v>49</v>
      </c>
    </row>
    <row r="160" spans="1:2" x14ac:dyDescent="0.15">
      <c r="A160" t="s">
        <v>473</v>
      </c>
      <c r="B160">
        <v>50</v>
      </c>
    </row>
    <row r="161" spans="1:2" x14ac:dyDescent="0.15">
      <c r="A161" t="s">
        <v>476</v>
      </c>
      <c r="B161">
        <v>52</v>
      </c>
    </row>
    <row r="162" spans="1:2" x14ac:dyDescent="0.15">
      <c r="A162" t="s">
        <v>478</v>
      </c>
      <c r="B162">
        <v>53</v>
      </c>
    </row>
    <row r="163" spans="1:2" x14ac:dyDescent="0.15">
      <c r="A163" t="s">
        <v>479</v>
      </c>
      <c r="B163">
        <v>54</v>
      </c>
    </row>
    <row r="164" spans="1:2" x14ac:dyDescent="0.15">
      <c r="A164" t="s">
        <v>480</v>
      </c>
      <c r="B164">
        <v>55</v>
      </c>
    </row>
    <row r="165" spans="1:2" x14ac:dyDescent="0.15">
      <c r="A165" t="s">
        <v>481</v>
      </c>
      <c r="B165">
        <v>56</v>
      </c>
    </row>
    <row r="166" spans="1:2" x14ac:dyDescent="0.15">
      <c r="A166" t="s">
        <v>482</v>
      </c>
      <c r="B166">
        <v>57</v>
      </c>
    </row>
    <row r="167" spans="1:2" x14ac:dyDescent="0.15">
      <c r="A167" t="s">
        <v>485</v>
      </c>
      <c r="B167">
        <v>59</v>
      </c>
    </row>
    <row r="168" spans="1:2" x14ac:dyDescent="0.15">
      <c r="A168" t="s">
        <v>487</v>
      </c>
      <c r="B168">
        <v>60</v>
      </c>
    </row>
    <row r="169" spans="1:2" x14ac:dyDescent="0.15">
      <c r="A169" t="s">
        <v>488</v>
      </c>
      <c r="B169">
        <v>61</v>
      </c>
    </row>
    <row r="170" spans="1:2" x14ac:dyDescent="0.15">
      <c r="A170" t="s">
        <v>489</v>
      </c>
      <c r="B170">
        <v>62</v>
      </c>
    </row>
    <row r="171" spans="1:2" x14ac:dyDescent="0.15">
      <c r="A171" t="s">
        <v>490</v>
      </c>
      <c r="B171">
        <v>63</v>
      </c>
    </row>
    <row r="172" spans="1:2" x14ac:dyDescent="0.15">
      <c r="A172" t="s">
        <v>491</v>
      </c>
      <c r="B172">
        <v>64</v>
      </c>
    </row>
    <row r="173" spans="1:2" x14ac:dyDescent="0.15">
      <c r="A173" t="s">
        <v>493</v>
      </c>
      <c r="B173" t="s">
        <v>494</v>
      </c>
    </row>
    <row r="174" spans="1:2" x14ac:dyDescent="0.15">
      <c r="A174" t="s">
        <v>495</v>
      </c>
      <c r="B174" t="s">
        <v>496</v>
      </c>
    </row>
    <row r="175" spans="1:2" x14ac:dyDescent="0.15">
      <c r="A175" t="s">
        <v>497</v>
      </c>
      <c r="B175" t="s">
        <v>498</v>
      </c>
    </row>
    <row r="176" spans="1:2" x14ac:dyDescent="0.15">
      <c r="A176" t="s">
        <v>499</v>
      </c>
      <c r="B176" t="s">
        <v>500</v>
      </c>
    </row>
    <row r="177" spans="1:2" x14ac:dyDescent="0.15">
      <c r="A177" t="s">
        <v>501</v>
      </c>
      <c r="B177" t="s">
        <v>502</v>
      </c>
    </row>
    <row r="178" spans="1:2" x14ac:dyDescent="0.15">
      <c r="A178" t="s">
        <v>503</v>
      </c>
      <c r="B178" t="s">
        <v>504</v>
      </c>
    </row>
    <row r="179" spans="1:2" x14ac:dyDescent="0.15">
      <c r="A179" t="s">
        <v>505</v>
      </c>
      <c r="B179" t="s">
        <v>506</v>
      </c>
    </row>
    <row r="180" spans="1:2" x14ac:dyDescent="0.15">
      <c r="A180" t="s">
        <v>507</v>
      </c>
      <c r="B180" t="s">
        <v>508</v>
      </c>
    </row>
    <row r="181" spans="1:2" x14ac:dyDescent="0.15">
      <c r="A181" t="s">
        <v>509</v>
      </c>
      <c r="B181" t="s">
        <v>510</v>
      </c>
    </row>
    <row r="182" spans="1:2" x14ac:dyDescent="0.15">
      <c r="A182" t="s">
        <v>511</v>
      </c>
      <c r="B182" t="s">
        <v>512</v>
      </c>
    </row>
    <row r="183" spans="1:2" x14ac:dyDescent="0.15">
      <c r="A183" t="s">
        <v>513</v>
      </c>
      <c r="B183" t="s">
        <v>514</v>
      </c>
    </row>
    <row r="184" spans="1:2" x14ac:dyDescent="0.15">
      <c r="A184" t="s">
        <v>515</v>
      </c>
      <c r="B184" t="s">
        <v>516</v>
      </c>
    </row>
    <row r="185" spans="1:2" x14ac:dyDescent="0.15">
      <c r="A185" t="s">
        <v>517</v>
      </c>
      <c r="B185" t="s">
        <v>518</v>
      </c>
    </row>
    <row r="186" spans="1:2" x14ac:dyDescent="0.15">
      <c r="A186" t="s">
        <v>519</v>
      </c>
      <c r="B186" t="s">
        <v>520</v>
      </c>
    </row>
    <row r="187" spans="1:2" x14ac:dyDescent="0.15">
      <c r="A187" t="s">
        <v>521</v>
      </c>
      <c r="B187" t="s">
        <v>522</v>
      </c>
    </row>
    <row r="188" spans="1:2" x14ac:dyDescent="0.15">
      <c r="A188" t="s">
        <v>523</v>
      </c>
      <c r="B188" t="s">
        <v>524</v>
      </c>
    </row>
    <row r="189" spans="1:2" x14ac:dyDescent="0.15">
      <c r="A189" t="s">
        <v>525</v>
      </c>
      <c r="B189" t="s">
        <v>526</v>
      </c>
    </row>
    <row r="190" spans="1:2" x14ac:dyDescent="0.15">
      <c r="A190" t="s">
        <v>527</v>
      </c>
      <c r="B190" t="s">
        <v>528</v>
      </c>
    </row>
    <row r="191" spans="1:2" x14ac:dyDescent="0.15">
      <c r="A191" t="s">
        <v>529</v>
      </c>
      <c r="B191" t="s">
        <v>530</v>
      </c>
    </row>
    <row r="192" spans="1:2" x14ac:dyDescent="0.15">
      <c r="A192" t="s">
        <v>531</v>
      </c>
      <c r="B192" t="s">
        <v>532</v>
      </c>
    </row>
    <row r="193" spans="1:2" x14ac:dyDescent="0.15">
      <c r="A193" t="s">
        <v>533</v>
      </c>
      <c r="B193" t="s">
        <v>534</v>
      </c>
    </row>
    <row r="194" spans="1:2" x14ac:dyDescent="0.15">
      <c r="A194" t="s">
        <v>535</v>
      </c>
      <c r="B194" t="s">
        <v>536</v>
      </c>
    </row>
    <row r="195" spans="1:2" x14ac:dyDescent="0.15">
      <c r="A195" t="s">
        <v>537</v>
      </c>
      <c r="B195" t="s">
        <v>538</v>
      </c>
    </row>
    <row r="196" spans="1:2" x14ac:dyDescent="0.15">
      <c r="A196" t="s">
        <v>539</v>
      </c>
      <c r="B196" t="s">
        <v>540</v>
      </c>
    </row>
    <row r="197" spans="1:2" x14ac:dyDescent="0.15">
      <c r="A197" t="s">
        <v>541</v>
      </c>
      <c r="B197" t="s">
        <v>542</v>
      </c>
    </row>
    <row r="198" spans="1:2" x14ac:dyDescent="0.15">
      <c r="A198" t="s">
        <v>543</v>
      </c>
      <c r="B198" t="s">
        <v>544</v>
      </c>
    </row>
    <row r="199" spans="1:2" x14ac:dyDescent="0.15">
      <c r="A199" t="s">
        <v>545</v>
      </c>
      <c r="B199" t="s">
        <v>546</v>
      </c>
    </row>
    <row r="200" spans="1:2" x14ac:dyDescent="0.15">
      <c r="A200" t="s">
        <v>547</v>
      </c>
      <c r="B200" t="s">
        <v>548</v>
      </c>
    </row>
    <row r="201" spans="1:2" x14ac:dyDescent="0.15">
      <c r="A201" t="s">
        <v>549</v>
      </c>
      <c r="B201" t="s">
        <v>550</v>
      </c>
    </row>
    <row r="202" spans="1:2" x14ac:dyDescent="0.15">
      <c r="A202" t="s">
        <v>551</v>
      </c>
      <c r="B202" t="s">
        <v>552</v>
      </c>
    </row>
    <row r="203" spans="1:2" x14ac:dyDescent="0.15">
      <c r="A203" t="s">
        <v>553</v>
      </c>
      <c r="B203" t="s">
        <v>554</v>
      </c>
    </row>
    <row r="204" spans="1:2" x14ac:dyDescent="0.15">
      <c r="A204" t="s">
        <v>555</v>
      </c>
      <c r="B204" t="s">
        <v>556</v>
      </c>
    </row>
    <row r="205" spans="1:2" x14ac:dyDescent="0.15">
      <c r="A205" t="s">
        <v>557</v>
      </c>
      <c r="B205" t="s">
        <v>558</v>
      </c>
    </row>
    <row r="206" spans="1:2" x14ac:dyDescent="0.15">
      <c r="A206" t="s">
        <v>559</v>
      </c>
      <c r="B206" t="s">
        <v>560</v>
      </c>
    </row>
    <row r="207" spans="1:2" x14ac:dyDescent="0.15">
      <c r="A207" t="s">
        <v>561</v>
      </c>
      <c r="B207" t="s">
        <v>562</v>
      </c>
    </row>
    <row r="208" spans="1:2" x14ac:dyDescent="0.15">
      <c r="A208" t="s">
        <v>563</v>
      </c>
      <c r="B208" t="s">
        <v>564</v>
      </c>
    </row>
    <row r="209" spans="1:2" x14ac:dyDescent="0.15">
      <c r="A209" t="s">
        <v>565</v>
      </c>
      <c r="B209" t="s">
        <v>566</v>
      </c>
    </row>
    <row r="210" spans="1:2" x14ac:dyDescent="0.15">
      <c r="A210" t="s">
        <v>567</v>
      </c>
      <c r="B210" t="s">
        <v>568</v>
      </c>
    </row>
    <row r="211" spans="1:2" x14ac:dyDescent="0.15">
      <c r="A211" t="s">
        <v>569</v>
      </c>
      <c r="B211" t="s">
        <v>570</v>
      </c>
    </row>
    <row r="212" spans="1:2" x14ac:dyDescent="0.15">
      <c r="A212" t="s">
        <v>571</v>
      </c>
      <c r="B212" t="s">
        <v>572</v>
      </c>
    </row>
    <row r="213" spans="1:2" x14ac:dyDescent="0.15">
      <c r="A213" t="s">
        <v>573</v>
      </c>
      <c r="B213" t="s">
        <v>574</v>
      </c>
    </row>
    <row r="214" spans="1:2" x14ac:dyDescent="0.15">
      <c r="A214" t="s">
        <v>575</v>
      </c>
      <c r="B214" t="s">
        <v>576</v>
      </c>
    </row>
    <row r="215" spans="1:2" x14ac:dyDescent="0.15">
      <c r="A215" t="s">
        <v>577</v>
      </c>
      <c r="B215" t="s">
        <v>578</v>
      </c>
    </row>
    <row r="216" spans="1:2" x14ac:dyDescent="0.15">
      <c r="A216" t="s">
        <v>579</v>
      </c>
      <c r="B216" t="s">
        <v>580</v>
      </c>
    </row>
    <row r="217" spans="1:2" x14ac:dyDescent="0.15">
      <c r="A217" t="s">
        <v>581</v>
      </c>
      <c r="B217" t="s">
        <v>582</v>
      </c>
    </row>
    <row r="218" spans="1:2" x14ac:dyDescent="0.15">
      <c r="A218" t="s">
        <v>583</v>
      </c>
      <c r="B218" t="s">
        <v>584</v>
      </c>
    </row>
    <row r="219" spans="1:2" x14ac:dyDescent="0.15">
      <c r="A219" t="s">
        <v>585</v>
      </c>
      <c r="B219" t="s">
        <v>586</v>
      </c>
    </row>
    <row r="220" spans="1:2" x14ac:dyDescent="0.15">
      <c r="A220" t="s">
        <v>587</v>
      </c>
      <c r="B220" t="s">
        <v>588</v>
      </c>
    </row>
    <row r="221" spans="1:2" x14ac:dyDescent="0.15">
      <c r="A221" t="s">
        <v>589</v>
      </c>
      <c r="B221" t="s">
        <v>590</v>
      </c>
    </row>
    <row r="222" spans="1:2" x14ac:dyDescent="0.15">
      <c r="A222" t="s">
        <v>591</v>
      </c>
      <c r="B222" t="s">
        <v>592</v>
      </c>
    </row>
    <row r="223" spans="1:2" x14ac:dyDescent="0.15">
      <c r="A223" t="s">
        <v>593</v>
      </c>
      <c r="B223" t="s">
        <v>594</v>
      </c>
    </row>
    <row r="224" spans="1:2" x14ac:dyDescent="0.15">
      <c r="A224" t="s">
        <v>595</v>
      </c>
      <c r="B224" t="s">
        <v>596</v>
      </c>
    </row>
    <row r="225" spans="1:20" x14ac:dyDescent="0.15">
      <c r="A225" t="s">
        <v>597</v>
      </c>
      <c r="B225" t="s">
        <v>598</v>
      </c>
    </row>
    <row r="226" spans="1:20" x14ac:dyDescent="0.15">
      <c r="A226" t="s">
        <v>599</v>
      </c>
      <c r="B226" t="s">
        <v>600</v>
      </c>
    </row>
    <row r="227" spans="1:20" x14ac:dyDescent="0.15">
      <c r="A227" t="s">
        <v>601</v>
      </c>
      <c r="B227" t="s">
        <v>602</v>
      </c>
    </row>
    <row r="228" spans="1:20" x14ac:dyDescent="0.15">
      <c r="A228" t="s">
        <v>603</v>
      </c>
      <c r="B228" t="s">
        <v>604</v>
      </c>
    </row>
    <row r="229" spans="1:20" x14ac:dyDescent="0.15">
      <c r="A229" t="s">
        <v>605</v>
      </c>
      <c r="B229" t="s">
        <v>606</v>
      </c>
    </row>
    <row r="230" spans="1:20" x14ac:dyDescent="0.15">
      <c r="A230" t="s">
        <v>607</v>
      </c>
      <c r="B230" t="s">
        <v>608</v>
      </c>
    </row>
    <row r="231" spans="1:20" x14ac:dyDescent="0.15">
      <c r="A231" t="s">
        <v>998</v>
      </c>
      <c r="B231" s="79" t="s">
        <v>1001</v>
      </c>
    </row>
    <row r="232" spans="1:20" x14ac:dyDescent="0.15">
      <c r="A232" t="s">
        <v>999</v>
      </c>
      <c r="B232" s="79" t="s">
        <v>1002</v>
      </c>
    </row>
    <row r="233" spans="1:20" x14ac:dyDescent="0.15">
      <c r="A233" t="s">
        <v>1000</v>
      </c>
      <c r="B233" s="79" t="s">
        <v>1003</v>
      </c>
    </row>
    <row r="234" spans="1:20" x14ac:dyDescent="0.15">
      <c r="A234" t="s">
        <v>612</v>
      </c>
      <c r="B234" t="s">
        <v>13</v>
      </c>
      <c r="C234" t="s">
        <v>17</v>
      </c>
      <c r="D234" t="s">
        <v>45</v>
      </c>
      <c r="E234" t="s">
        <v>47</v>
      </c>
      <c r="F234" t="s">
        <v>9</v>
      </c>
      <c r="G234" t="s">
        <v>33</v>
      </c>
      <c r="H234" t="s">
        <v>53</v>
      </c>
      <c r="I234" t="s">
        <v>75</v>
      </c>
      <c r="J234" t="s">
        <v>35</v>
      </c>
      <c r="K234" t="s">
        <v>5</v>
      </c>
      <c r="L234" t="s">
        <v>51</v>
      </c>
      <c r="M234" t="s">
        <v>55</v>
      </c>
      <c r="N234" t="s">
        <v>71</v>
      </c>
      <c r="O234" t="s">
        <v>67</v>
      </c>
      <c r="P234" t="s">
        <v>21</v>
      </c>
      <c r="Q234" t="s">
        <v>69</v>
      </c>
      <c r="R234" t="s">
        <v>61</v>
      </c>
      <c r="S234" t="s">
        <v>43</v>
      </c>
      <c r="T234" t="s">
        <v>65</v>
      </c>
    </row>
    <row r="235" spans="1:20" x14ac:dyDescent="0.15">
      <c r="A235" t="s">
        <v>613</v>
      </c>
      <c r="B235">
        <v>1</v>
      </c>
    </row>
    <row r="236" spans="1:20" x14ac:dyDescent="0.15">
      <c r="A236" t="s">
        <v>614</v>
      </c>
      <c r="B236">
        <v>2</v>
      </c>
    </row>
    <row r="237" spans="1:20" x14ac:dyDescent="0.15">
      <c r="A237" t="s">
        <v>615</v>
      </c>
      <c r="B237">
        <v>3</v>
      </c>
    </row>
    <row r="238" spans="1:20" x14ac:dyDescent="0.15">
      <c r="A238" t="s">
        <v>616</v>
      </c>
      <c r="B238">
        <v>4</v>
      </c>
    </row>
    <row r="239" spans="1:20" x14ac:dyDescent="0.15">
      <c r="A239" t="s">
        <v>617</v>
      </c>
      <c r="B239">
        <v>5</v>
      </c>
    </row>
    <row r="240" spans="1:20" x14ac:dyDescent="0.15">
      <c r="A240" t="s">
        <v>618</v>
      </c>
      <c r="B240">
        <v>6</v>
      </c>
    </row>
    <row r="241" spans="1:2" x14ac:dyDescent="0.15">
      <c r="A241" t="s">
        <v>621</v>
      </c>
      <c r="B241">
        <v>8</v>
      </c>
    </row>
    <row r="242" spans="1:2" x14ac:dyDescent="0.15">
      <c r="A242" t="s">
        <v>622</v>
      </c>
      <c r="B242">
        <v>9</v>
      </c>
    </row>
    <row r="243" spans="1:2" x14ac:dyDescent="0.15">
      <c r="A243" t="s">
        <v>623</v>
      </c>
      <c r="B243">
        <v>10</v>
      </c>
    </row>
    <row r="244" spans="1:2" x14ac:dyDescent="0.15">
      <c r="A244" t="s">
        <v>624</v>
      </c>
      <c r="B244">
        <v>11</v>
      </c>
    </row>
    <row r="245" spans="1:2" x14ac:dyDescent="0.15">
      <c r="A245" t="s">
        <v>625</v>
      </c>
      <c r="B245">
        <v>12</v>
      </c>
    </row>
    <row r="246" spans="1:2" x14ac:dyDescent="0.15">
      <c r="A246" t="s">
        <v>626</v>
      </c>
      <c r="B246">
        <v>13</v>
      </c>
    </row>
    <row r="247" spans="1:2" x14ac:dyDescent="0.15">
      <c r="A247" t="s">
        <v>627</v>
      </c>
      <c r="B247">
        <v>14</v>
      </c>
    </row>
    <row r="248" spans="1:2" x14ac:dyDescent="0.15">
      <c r="A248" t="s">
        <v>628</v>
      </c>
      <c r="B248">
        <v>15</v>
      </c>
    </row>
    <row r="249" spans="1:2" x14ac:dyDescent="0.15">
      <c r="A249" t="s">
        <v>629</v>
      </c>
      <c r="B249">
        <v>16</v>
      </c>
    </row>
    <row r="250" spans="1:2" x14ac:dyDescent="0.15">
      <c r="A250" t="s">
        <v>630</v>
      </c>
      <c r="B250">
        <v>17</v>
      </c>
    </row>
    <row r="251" spans="1:2" x14ac:dyDescent="0.15">
      <c r="A251" t="s">
        <v>631</v>
      </c>
      <c r="B251">
        <v>18</v>
      </c>
    </row>
    <row r="252" spans="1:2" x14ac:dyDescent="0.15">
      <c r="A252" t="s">
        <v>632</v>
      </c>
      <c r="B252">
        <v>19</v>
      </c>
    </row>
    <row r="253" spans="1:2" x14ac:dyDescent="0.15">
      <c r="A253" t="s">
        <v>633</v>
      </c>
      <c r="B253">
        <v>20</v>
      </c>
    </row>
    <row r="254" spans="1:2" x14ac:dyDescent="0.15">
      <c r="A254" t="s">
        <v>634</v>
      </c>
      <c r="B254">
        <v>21</v>
      </c>
    </row>
    <row r="255" spans="1:2" x14ac:dyDescent="0.15">
      <c r="A255" t="s">
        <v>636</v>
      </c>
      <c r="B255">
        <v>23</v>
      </c>
    </row>
    <row r="256" spans="1:2" x14ac:dyDescent="0.15">
      <c r="A256" t="s">
        <v>637</v>
      </c>
      <c r="B256">
        <v>24</v>
      </c>
    </row>
    <row r="257" spans="1:2" x14ac:dyDescent="0.15">
      <c r="A257" t="s">
        <v>638</v>
      </c>
      <c r="B257">
        <v>25</v>
      </c>
    </row>
    <row r="258" spans="1:2" x14ac:dyDescent="0.15">
      <c r="A258" t="s">
        <v>639</v>
      </c>
      <c r="B258">
        <v>26</v>
      </c>
    </row>
    <row r="259" spans="1:2" x14ac:dyDescent="0.15">
      <c r="A259" t="s">
        <v>640</v>
      </c>
      <c r="B259">
        <v>27</v>
      </c>
    </row>
    <row r="260" spans="1:2" x14ac:dyDescent="0.15">
      <c r="A260" t="s">
        <v>641</v>
      </c>
      <c r="B260">
        <v>28</v>
      </c>
    </row>
    <row r="261" spans="1:2" x14ac:dyDescent="0.15">
      <c r="A261" t="s">
        <v>642</v>
      </c>
      <c r="B261">
        <v>29</v>
      </c>
    </row>
    <row r="262" spans="1:2" x14ac:dyDescent="0.15">
      <c r="A262" t="s">
        <v>643</v>
      </c>
      <c r="B262">
        <v>30</v>
      </c>
    </row>
    <row r="263" spans="1:2" x14ac:dyDescent="0.15">
      <c r="A263" t="s">
        <v>644</v>
      </c>
      <c r="B263">
        <v>31</v>
      </c>
    </row>
    <row r="264" spans="1:2" x14ac:dyDescent="0.15">
      <c r="A264" t="s">
        <v>645</v>
      </c>
      <c r="B264">
        <v>32</v>
      </c>
    </row>
    <row r="265" spans="1:2" x14ac:dyDescent="0.15">
      <c r="A265" t="s">
        <v>646</v>
      </c>
      <c r="B265">
        <v>33</v>
      </c>
    </row>
    <row r="266" spans="1:2" x14ac:dyDescent="0.15">
      <c r="A266" t="s">
        <v>647</v>
      </c>
      <c r="B266">
        <v>34</v>
      </c>
    </row>
    <row r="267" spans="1:2" x14ac:dyDescent="0.15">
      <c r="A267" t="s">
        <v>648</v>
      </c>
      <c r="B267">
        <v>35</v>
      </c>
    </row>
    <row r="268" spans="1:2" x14ac:dyDescent="0.15">
      <c r="A268" t="s">
        <v>649</v>
      </c>
      <c r="B268">
        <v>36</v>
      </c>
    </row>
    <row r="269" spans="1:2" x14ac:dyDescent="0.15">
      <c r="A269" t="s">
        <v>652</v>
      </c>
      <c r="B269">
        <v>38</v>
      </c>
    </row>
    <row r="270" spans="1:2" x14ac:dyDescent="0.15">
      <c r="A270" t="s">
        <v>654</v>
      </c>
      <c r="B270">
        <v>39</v>
      </c>
    </row>
    <row r="271" spans="1:2" x14ac:dyDescent="0.15">
      <c r="A271" t="s">
        <v>656</v>
      </c>
      <c r="B271">
        <v>40</v>
      </c>
    </row>
    <row r="272" spans="1:2" x14ac:dyDescent="0.15">
      <c r="A272" t="s">
        <v>658</v>
      </c>
      <c r="B272">
        <v>41</v>
      </c>
    </row>
    <row r="273" spans="1:2" x14ac:dyDescent="0.15">
      <c r="A273" t="s">
        <v>659</v>
      </c>
      <c r="B273">
        <v>42</v>
      </c>
    </row>
    <row r="274" spans="1:2" x14ac:dyDescent="0.15">
      <c r="A274" t="s">
        <v>660</v>
      </c>
      <c r="B274">
        <v>43</v>
      </c>
    </row>
    <row r="275" spans="1:2" x14ac:dyDescent="0.15">
      <c r="A275" t="s">
        <v>662</v>
      </c>
      <c r="B275" t="s">
        <v>663</v>
      </c>
    </row>
    <row r="276" spans="1:2" x14ac:dyDescent="0.15">
      <c r="A276" t="s">
        <v>664</v>
      </c>
      <c r="B276" t="s">
        <v>665</v>
      </c>
    </row>
    <row r="277" spans="1:2" x14ac:dyDescent="0.15">
      <c r="A277" t="s">
        <v>666</v>
      </c>
      <c r="B277" t="s">
        <v>667</v>
      </c>
    </row>
    <row r="278" spans="1:2" x14ac:dyDescent="0.15">
      <c r="A278" t="s">
        <v>668</v>
      </c>
      <c r="B278" t="s">
        <v>669</v>
      </c>
    </row>
    <row r="279" spans="1:2" x14ac:dyDescent="0.15">
      <c r="A279" t="s">
        <v>670</v>
      </c>
      <c r="B279" t="s">
        <v>671</v>
      </c>
    </row>
    <row r="280" spans="1:2" x14ac:dyDescent="0.15">
      <c r="A280" t="s">
        <v>672</v>
      </c>
      <c r="B280" t="s">
        <v>673</v>
      </c>
    </row>
    <row r="281" spans="1:2" x14ac:dyDescent="0.15">
      <c r="A281" t="s">
        <v>674</v>
      </c>
      <c r="B281" t="s">
        <v>675</v>
      </c>
    </row>
    <row r="282" spans="1:2" x14ac:dyDescent="0.15">
      <c r="A282" t="s">
        <v>676</v>
      </c>
      <c r="B282" t="s">
        <v>677</v>
      </c>
    </row>
    <row r="283" spans="1:2" x14ac:dyDescent="0.15">
      <c r="A283" t="s">
        <v>678</v>
      </c>
      <c r="B283" t="s">
        <v>679</v>
      </c>
    </row>
    <row r="284" spans="1:2" x14ac:dyDescent="0.15">
      <c r="A284" t="s">
        <v>680</v>
      </c>
      <c r="B284" t="s">
        <v>681</v>
      </c>
    </row>
    <row r="285" spans="1:2" x14ac:dyDescent="0.15">
      <c r="A285" t="s">
        <v>682</v>
      </c>
      <c r="B285" t="s">
        <v>683</v>
      </c>
    </row>
    <row r="286" spans="1:2" x14ac:dyDescent="0.15">
      <c r="A286" t="s">
        <v>684</v>
      </c>
      <c r="B286" t="s">
        <v>685</v>
      </c>
    </row>
    <row r="287" spans="1:2" x14ac:dyDescent="0.15">
      <c r="A287" t="s">
        <v>686</v>
      </c>
      <c r="B287" t="s">
        <v>687</v>
      </c>
    </row>
    <row r="288" spans="1:2" x14ac:dyDescent="0.15">
      <c r="A288" t="s">
        <v>688</v>
      </c>
      <c r="B288" t="s">
        <v>689</v>
      </c>
    </row>
    <row r="289" spans="1:2" x14ac:dyDescent="0.15">
      <c r="A289" t="s">
        <v>690</v>
      </c>
      <c r="B289" t="s">
        <v>691</v>
      </c>
    </row>
    <row r="290" spans="1:2" x14ac:dyDescent="0.15">
      <c r="A290" t="s">
        <v>692</v>
      </c>
      <c r="B290" t="s">
        <v>693</v>
      </c>
    </row>
    <row r="291" spans="1:2" x14ac:dyDescent="0.15">
      <c r="A291" t="s">
        <v>694</v>
      </c>
      <c r="B291" t="s">
        <v>695</v>
      </c>
    </row>
    <row r="292" spans="1:2" x14ac:dyDescent="0.15">
      <c r="A292" t="s">
        <v>696</v>
      </c>
      <c r="B292" t="s">
        <v>697</v>
      </c>
    </row>
    <row r="293" spans="1:2" x14ac:dyDescent="0.15">
      <c r="A293" t="s">
        <v>698</v>
      </c>
      <c r="B293" t="s">
        <v>699</v>
      </c>
    </row>
    <row r="294" spans="1:2" x14ac:dyDescent="0.15">
      <c r="A294" t="s">
        <v>700</v>
      </c>
      <c r="B294" t="s">
        <v>701</v>
      </c>
    </row>
    <row r="295" spans="1:2" x14ac:dyDescent="0.15">
      <c r="A295" t="s">
        <v>702</v>
      </c>
      <c r="B295" t="s">
        <v>703</v>
      </c>
    </row>
    <row r="296" spans="1:2" x14ac:dyDescent="0.15">
      <c r="A296" t="s">
        <v>704</v>
      </c>
      <c r="B296" t="s">
        <v>705</v>
      </c>
    </row>
    <row r="297" spans="1:2" x14ac:dyDescent="0.15">
      <c r="A297" t="s">
        <v>706</v>
      </c>
      <c r="B297" t="s">
        <v>707</v>
      </c>
    </row>
    <row r="298" spans="1:2" x14ac:dyDescent="0.15">
      <c r="A298" t="s">
        <v>708</v>
      </c>
      <c r="B298" t="s">
        <v>709</v>
      </c>
    </row>
    <row r="299" spans="1:2" x14ac:dyDescent="0.15">
      <c r="A299" t="s">
        <v>710</v>
      </c>
      <c r="B299" t="s">
        <v>711</v>
      </c>
    </row>
    <row r="300" spans="1:2" x14ac:dyDescent="0.15">
      <c r="A300" t="s">
        <v>712</v>
      </c>
      <c r="B300" t="s">
        <v>713</v>
      </c>
    </row>
    <row r="301" spans="1:2" x14ac:dyDescent="0.15">
      <c r="A301" t="s">
        <v>714</v>
      </c>
      <c r="B301" t="s">
        <v>715</v>
      </c>
    </row>
    <row r="302" spans="1:2" x14ac:dyDescent="0.15">
      <c r="A302" t="s">
        <v>716</v>
      </c>
      <c r="B302" t="s">
        <v>717</v>
      </c>
    </row>
    <row r="303" spans="1:2" x14ac:dyDescent="0.15">
      <c r="A303" t="s">
        <v>718</v>
      </c>
      <c r="B303" t="s">
        <v>719</v>
      </c>
    </row>
    <row r="304" spans="1:2" x14ac:dyDescent="0.15">
      <c r="A304" t="s">
        <v>720</v>
      </c>
      <c r="B304" t="s">
        <v>721</v>
      </c>
    </row>
    <row r="305" spans="1:2" x14ac:dyDescent="0.15">
      <c r="A305" t="s">
        <v>722</v>
      </c>
      <c r="B305" t="s">
        <v>723</v>
      </c>
    </row>
    <row r="306" spans="1:2" x14ac:dyDescent="0.15">
      <c r="A306" t="s">
        <v>724</v>
      </c>
      <c r="B306" t="s">
        <v>725</v>
      </c>
    </row>
    <row r="307" spans="1:2" x14ac:dyDescent="0.15">
      <c r="A307" t="s">
        <v>726</v>
      </c>
      <c r="B307" t="s">
        <v>727</v>
      </c>
    </row>
    <row r="308" spans="1:2" x14ac:dyDescent="0.15">
      <c r="A308" t="s">
        <v>728</v>
      </c>
      <c r="B308" t="s">
        <v>729</v>
      </c>
    </row>
    <row r="309" spans="1:2" x14ac:dyDescent="0.15">
      <c r="A309" t="s">
        <v>730</v>
      </c>
      <c r="B309" t="s">
        <v>731</v>
      </c>
    </row>
    <row r="310" spans="1:2" x14ac:dyDescent="0.15">
      <c r="A310" t="s">
        <v>732</v>
      </c>
      <c r="B310" t="s">
        <v>733</v>
      </c>
    </row>
    <row r="311" spans="1:2" x14ac:dyDescent="0.15">
      <c r="A311" t="s">
        <v>734</v>
      </c>
      <c r="B311" t="s">
        <v>735</v>
      </c>
    </row>
    <row r="312" spans="1:2" x14ac:dyDescent="0.15">
      <c r="A312" t="s">
        <v>736</v>
      </c>
      <c r="B312" t="s">
        <v>737</v>
      </c>
    </row>
    <row r="313" spans="1:2" x14ac:dyDescent="0.15">
      <c r="A313" t="s">
        <v>738</v>
      </c>
      <c r="B313" t="s">
        <v>739</v>
      </c>
    </row>
    <row r="314" spans="1:2" x14ac:dyDescent="0.15">
      <c r="A314" t="s">
        <v>740</v>
      </c>
      <c r="B314" t="s">
        <v>741</v>
      </c>
    </row>
    <row r="315" spans="1:2" x14ac:dyDescent="0.15">
      <c r="A315" t="s">
        <v>742</v>
      </c>
      <c r="B315" t="s">
        <v>743</v>
      </c>
    </row>
    <row r="316" spans="1:2" x14ac:dyDescent="0.15">
      <c r="A316" t="s">
        <v>744</v>
      </c>
      <c r="B316" t="s">
        <v>745</v>
      </c>
    </row>
    <row r="317" spans="1:2" x14ac:dyDescent="0.15">
      <c r="A317" t="s">
        <v>746</v>
      </c>
      <c r="B317" t="s">
        <v>747</v>
      </c>
    </row>
    <row r="318" spans="1:2" x14ac:dyDescent="0.15">
      <c r="A318" t="s">
        <v>748</v>
      </c>
      <c r="B318" t="s">
        <v>749</v>
      </c>
    </row>
    <row r="319" spans="1:2" x14ac:dyDescent="0.15">
      <c r="A319" t="s">
        <v>750</v>
      </c>
      <c r="B319" t="s">
        <v>751</v>
      </c>
    </row>
    <row r="320" spans="1:2" x14ac:dyDescent="0.15">
      <c r="A320" t="s">
        <v>752</v>
      </c>
      <c r="B320" t="s">
        <v>753</v>
      </c>
    </row>
    <row r="321" spans="1:15" x14ac:dyDescent="0.15">
      <c r="A321" t="s">
        <v>754</v>
      </c>
      <c r="B321" t="s">
        <v>755</v>
      </c>
    </row>
    <row r="322" spans="1:15" x14ac:dyDescent="0.15">
      <c r="A322" t="s">
        <v>756</v>
      </c>
      <c r="B322" t="s">
        <v>757</v>
      </c>
    </row>
    <row r="323" spans="1:15" x14ac:dyDescent="0.15">
      <c r="A323" t="s">
        <v>758</v>
      </c>
      <c r="B323" t="s">
        <v>759</v>
      </c>
    </row>
    <row r="324" spans="1:15" x14ac:dyDescent="0.15">
      <c r="A324" t="s">
        <v>760</v>
      </c>
      <c r="B324" t="s">
        <v>761</v>
      </c>
    </row>
    <row r="325" spans="1:15" x14ac:dyDescent="0.15">
      <c r="A325" t="s">
        <v>762</v>
      </c>
      <c r="B325" t="s">
        <v>763</v>
      </c>
    </row>
    <row r="326" spans="1:15" x14ac:dyDescent="0.15">
      <c r="A326" t="s">
        <v>764</v>
      </c>
      <c r="B326" t="s">
        <v>765</v>
      </c>
    </row>
    <row r="327" spans="1:15" x14ac:dyDescent="0.15">
      <c r="A327" t="s">
        <v>766</v>
      </c>
      <c r="B327" t="s">
        <v>767</v>
      </c>
    </row>
    <row r="328" spans="1:15" x14ac:dyDescent="0.15">
      <c r="A328" t="s">
        <v>768</v>
      </c>
      <c r="B328" t="s">
        <v>769</v>
      </c>
    </row>
    <row r="329" spans="1:15" x14ac:dyDescent="0.15">
      <c r="A329" t="s">
        <v>770</v>
      </c>
      <c r="B329" t="s">
        <v>771</v>
      </c>
    </row>
    <row r="330" spans="1:15" x14ac:dyDescent="0.15">
      <c r="A330" t="s">
        <v>772</v>
      </c>
      <c r="B330" t="s">
        <v>773</v>
      </c>
    </row>
    <row r="331" spans="1:15" x14ac:dyDescent="0.15">
      <c r="A331" t="s">
        <v>774</v>
      </c>
      <c r="B331" t="s">
        <v>775</v>
      </c>
    </row>
    <row r="332" spans="1:15" x14ac:dyDescent="0.15">
      <c r="A332" t="s">
        <v>776</v>
      </c>
      <c r="B332" t="s">
        <v>777</v>
      </c>
    </row>
    <row r="333" spans="1:15" x14ac:dyDescent="0.15">
      <c r="A333" t="s">
        <v>1004</v>
      </c>
      <c r="B333" s="79" t="s">
        <v>1007</v>
      </c>
    </row>
    <row r="334" spans="1:15" x14ac:dyDescent="0.15">
      <c r="A334" t="s">
        <v>1005</v>
      </c>
      <c r="B334" s="79" t="s">
        <v>1008</v>
      </c>
    </row>
    <row r="335" spans="1:15" x14ac:dyDescent="0.15">
      <c r="A335" t="s">
        <v>1006</v>
      </c>
      <c r="B335" s="79" t="s">
        <v>1009</v>
      </c>
    </row>
    <row r="336" spans="1:15" x14ac:dyDescent="0.15">
      <c r="A336" t="s">
        <v>781</v>
      </c>
      <c r="B336" t="s">
        <v>67</v>
      </c>
      <c r="C336" t="s">
        <v>77</v>
      </c>
      <c r="D336" t="s">
        <v>71</v>
      </c>
      <c r="E336" t="s">
        <v>69</v>
      </c>
      <c r="F336" t="s">
        <v>61</v>
      </c>
      <c r="G336" t="s">
        <v>21</v>
      </c>
      <c r="H336" t="s">
        <v>65</v>
      </c>
      <c r="I336" t="s">
        <v>45</v>
      </c>
      <c r="J336" t="s">
        <v>47</v>
      </c>
      <c r="K336" t="s">
        <v>75</v>
      </c>
      <c r="L336" t="s">
        <v>53</v>
      </c>
      <c r="M336" t="s">
        <v>55</v>
      </c>
      <c r="N336" t="s">
        <v>35</v>
      </c>
      <c r="O336" t="s">
        <v>51</v>
      </c>
    </row>
    <row r="337" spans="1:2" x14ac:dyDescent="0.15">
      <c r="A337" t="s">
        <v>782</v>
      </c>
      <c r="B337">
        <v>1</v>
      </c>
    </row>
    <row r="338" spans="1:2" x14ac:dyDescent="0.15">
      <c r="A338" t="s">
        <v>783</v>
      </c>
      <c r="B338">
        <v>2</v>
      </c>
    </row>
    <row r="339" spans="1:2" x14ac:dyDescent="0.15">
      <c r="A339" t="s">
        <v>784</v>
      </c>
      <c r="B339">
        <v>3</v>
      </c>
    </row>
    <row r="340" spans="1:2" x14ac:dyDescent="0.15">
      <c r="A340" t="s">
        <v>785</v>
      </c>
      <c r="B340">
        <v>4</v>
      </c>
    </row>
    <row r="341" spans="1:2" x14ac:dyDescent="0.15">
      <c r="A341" t="s">
        <v>786</v>
      </c>
      <c r="B341">
        <v>5</v>
      </c>
    </row>
    <row r="342" spans="1:2" x14ac:dyDescent="0.15">
      <c r="A342" t="s">
        <v>787</v>
      </c>
      <c r="B342">
        <v>6</v>
      </c>
    </row>
    <row r="343" spans="1:2" x14ac:dyDescent="0.15">
      <c r="A343" t="s">
        <v>788</v>
      </c>
      <c r="B343">
        <v>7</v>
      </c>
    </row>
    <row r="344" spans="1:2" x14ac:dyDescent="0.15">
      <c r="A344" t="s">
        <v>789</v>
      </c>
      <c r="B344">
        <v>9</v>
      </c>
    </row>
    <row r="345" spans="1:2" x14ac:dyDescent="0.15">
      <c r="A345" t="s">
        <v>790</v>
      </c>
      <c r="B345">
        <v>10</v>
      </c>
    </row>
    <row r="346" spans="1:2" x14ac:dyDescent="0.15">
      <c r="A346" t="s">
        <v>791</v>
      </c>
      <c r="B346">
        <v>11</v>
      </c>
    </row>
    <row r="347" spans="1:2" x14ac:dyDescent="0.15">
      <c r="A347" t="s">
        <v>792</v>
      </c>
      <c r="B347">
        <v>12</v>
      </c>
    </row>
    <row r="348" spans="1:2" x14ac:dyDescent="0.15">
      <c r="A348" t="s">
        <v>793</v>
      </c>
      <c r="B348">
        <v>13</v>
      </c>
    </row>
    <row r="349" spans="1:2" x14ac:dyDescent="0.15">
      <c r="A349" t="s">
        <v>794</v>
      </c>
      <c r="B349">
        <v>14</v>
      </c>
    </row>
    <row r="350" spans="1:2" x14ac:dyDescent="0.15">
      <c r="A350" t="s">
        <v>795</v>
      </c>
      <c r="B350">
        <v>15</v>
      </c>
    </row>
    <row r="351" spans="1:2" x14ac:dyDescent="0.15">
      <c r="A351" t="s">
        <v>796</v>
      </c>
      <c r="B351">
        <v>16</v>
      </c>
    </row>
    <row r="352" spans="1:2" x14ac:dyDescent="0.15">
      <c r="A352" t="s">
        <v>797</v>
      </c>
      <c r="B352">
        <v>17</v>
      </c>
    </row>
    <row r="353" spans="1:2" x14ac:dyDescent="0.15">
      <c r="A353" t="s">
        <v>798</v>
      </c>
      <c r="B353">
        <v>18</v>
      </c>
    </row>
    <row r="354" spans="1:2" x14ac:dyDescent="0.15">
      <c r="A354" t="s">
        <v>799</v>
      </c>
      <c r="B354">
        <v>19</v>
      </c>
    </row>
    <row r="355" spans="1:2" x14ac:dyDescent="0.15">
      <c r="A355" t="s">
        <v>800</v>
      </c>
      <c r="B355">
        <v>20</v>
      </c>
    </row>
    <row r="356" spans="1:2" x14ac:dyDescent="0.15">
      <c r="A356" t="s">
        <v>801</v>
      </c>
      <c r="B356">
        <v>21</v>
      </c>
    </row>
    <row r="357" spans="1:2" x14ac:dyDescent="0.15">
      <c r="A357" t="s">
        <v>802</v>
      </c>
      <c r="B357">
        <v>22</v>
      </c>
    </row>
    <row r="358" spans="1:2" x14ac:dyDescent="0.15">
      <c r="A358" t="s">
        <v>803</v>
      </c>
      <c r="B358">
        <v>23</v>
      </c>
    </row>
    <row r="359" spans="1:2" x14ac:dyDescent="0.15">
      <c r="A359" t="s">
        <v>806</v>
      </c>
      <c r="B359">
        <v>24</v>
      </c>
    </row>
    <row r="360" spans="1:2" x14ac:dyDescent="0.15">
      <c r="A360" t="s">
        <v>808</v>
      </c>
      <c r="B360">
        <v>25</v>
      </c>
    </row>
    <row r="361" spans="1:2" x14ac:dyDescent="0.15">
      <c r="A361" t="s">
        <v>810</v>
      </c>
      <c r="B361">
        <v>26</v>
      </c>
    </row>
    <row r="362" spans="1:2" x14ac:dyDescent="0.15">
      <c r="A362" t="s">
        <v>812</v>
      </c>
      <c r="B362">
        <v>27</v>
      </c>
    </row>
    <row r="363" spans="1:2" x14ac:dyDescent="0.15">
      <c r="A363" t="s">
        <v>813</v>
      </c>
      <c r="B363">
        <v>28</v>
      </c>
    </row>
    <row r="364" spans="1:2" x14ac:dyDescent="0.15">
      <c r="A364" t="s">
        <v>814</v>
      </c>
      <c r="B364">
        <v>29</v>
      </c>
    </row>
    <row r="365" spans="1:2" x14ac:dyDescent="0.15">
      <c r="A365" t="s">
        <v>815</v>
      </c>
      <c r="B365">
        <v>31</v>
      </c>
    </row>
    <row r="366" spans="1:2" x14ac:dyDescent="0.15">
      <c r="A366" t="s">
        <v>816</v>
      </c>
      <c r="B366">
        <v>32</v>
      </c>
    </row>
    <row r="367" spans="1:2" x14ac:dyDescent="0.15">
      <c r="A367" t="s">
        <v>817</v>
      </c>
      <c r="B367">
        <v>33</v>
      </c>
    </row>
    <row r="368" spans="1:2" x14ac:dyDescent="0.15">
      <c r="A368" t="s">
        <v>818</v>
      </c>
      <c r="B368">
        <v>34</v>
      </c>
    </row>
    <row r="369" spans="1:2" x14ac:dyDescent="0.15">
      <c r="A369" t="s">
        <v>819</v>
      </c>
      <c r="B369">
        <v>35</v>
      </c>
    </row>
    <row r="370" spans="1:2" x14ac:dyDescent="0.15">
      <c r="A370" t="s">
        <v>820</v>
      </c>
      <c r="B370">
        <v>36</v>
      </c>
    </row>
    <row r="371" spans="1:2" x14ac:dyDescent="0.15">
      <c r="A371" t="s">
        <v>821</v>
      </c>
      <c r="B371">
        <v>37</v>
      </c>
    </row>
    <row r="372" spans="1:2" x14ac:dyDescent="0.15">
      <c r="A372" t="s">
        <v>822</v>
      </c>
      <c r="B372">
        <v>38</v>
      </c>
    </row>
    <row r="373" spans="1:2" x14ac:dyDescent="0.15">
      <c r="A373" t="s">
        <v>823</v>
      </c>
      <c r="B373">
        <v>39</v>
      </c>
    </row>
    <row r="374" spans="1:2" x14ac:dyDescent="0.15">
      <c r="A374" t="s">
        <v>824</v>
      </c>
      <c r="B374">
        <v>40</v>
      </c>
    </row>
    <row r="375" spans="1:2" x14ac:dyDescent="0.15">
      <c r="A375" t="s">
        <v>825</v>
      </c>
      <c r="B375">
        <v>41</v>
      </c>
    </row>
    <row r="376" spans="1:2" x14ac:dyDescent="0.15">
      <c r="A376" t="s">
        <v>826</v>
      </c>
      <c r="B376">
        <v>42</v>
      </c>
    </row>
    <row r="377" spans="1:2" x14ac:dyDescent="0.15">
      <c r="A377" t="s">
        <v>827</v>
      </c>
      <c r="B377">
        <v>43</v>
      </c>
    </row>
    <row r="378" spans="1:2" x14ac:dyDescent="0.15">
      <c r="A378" t="s">
        <v>828</v>
      </c>
      <c r="B378">
        <v>44</v>
      </c>
    </row>
    <row r="379" spans="1:2" x14ac:dyDescent="0.15">
      <c r="A379" t="s">
        <v>829</v>
      </c>
      <c r="B379">
        <v>45</v>
      </c>
    </row>
    <row r="380" spans="1:2" x14ac:dyDescent="0.15">
      <c r="A380" t="s">
        <v>831</v>
      </c>
      <c r="B380">
        <v>46</v>
      </c>
    </row>
    <row r="381" spans="1:2" x14ac:dyDescent="0.15">
      <c r="A381" t="s">
        <v>833</v>
      </c>
      <c r="B381">
        <v>47</v>
      </c>
    </row>
    <row r="382" spans="1:2" x14ac:dyDescent="0.15">
      <c r="A382" t="s">
        <v>835</v>
      </c>
      <c r="B382">
        <v>48</v>
      </c>
    </row>
    <row r="383" spans="1:2" x14ac:dyDescent="0.15">
      <c r="A383" t="s">
        <v>837</v>
      </c>
      <c r="B383">
        <v>49</v>
      </c>
    </row>
    <row r="384" spans="1:2" x14ac:dyDescent="0.15">
      <c r="A384" t="s">
        <v>838</v>
      </c>
      <c r="B384">
        <v>50</v>
      </c>
    </row>
    <row r="385" spans="1:2" x14ac:dyDescent="0.15">
      <c r="A385" t="s">
        <v>839</v>
      </c>
      <c r="B385">
        <v>51</v>
      </c>
    </row>
    <row r="386" spans="1:2" x14ac:dyDescent="0.15">
      <c r="A386" t="s">
        <v>840</v>
      </c>
      <c r="B386">
        <v>53</v>
      </c>
    </row>
    <row r="387" spans="1:2" x14ac:dyDescent="0.15">
      <c r="A387" t="s">
        <v>841</v>
      </c>
      <c r="B387">
        <v>54</v>
      </c>
    </row>
    <row r="388" spans="1:2" x14ac:dyDescent="0.15">
      <c r="A388" t="s">
        <v>842</v>
      </c>
      <c r="B388">
        <v>56</v>
      </c>
    </row>
    <row r="389" spans="1:2" x14ac:dyDescent="0.15">
      <c r="A389" t="s">
        <v>843</v>
      </c>
      <c r="B389">
        <v>57</v>
      </c>
    </row>
    <row r="390" spans="1:2" x14ac:dyDescent="0.15">
      <c r="A390" t="s">
        <v>844</v>
      </c>
      <c r="B390">
        <v>58</v>
      </c>
    </row>
    <row r="391" spans="1:2" x14ac:dyDescent="0.15">
      <c r="A391" t="s">
        <v>845</v>
      </c>
      <c r="B391">
        <v>59</v>
      </c>
    </row>
    <row r="392" spans="1:2" x14ac:dyDescent="0.15">
      <c r="A392" t="s">
        <v>848</v>
      </c>
      <c r="B392">
        <v>61</v>
      </c>
    </row>
    <row r="393" spans="1:2" x14ac:dyDescent="0.15">
      <c r="A393" t="s">
        <v>850</v>
      </c>
      <c r="B393">
        <v>62</v>
      </c>
    </row>
    <row r="394" spans="1:2" x14ac:dyDescent="0.15">
      <c r="A394" t="s">
        <v>852</v>
      </c>
      <c r="B394">
        <v>63</v>
      </c>
    </row>
    <row r="395" spans="1:2" x14ac:dyDescent="0.15">
      <c r="A395" t="s">
        <v>854</v>
      </c>
      <c r="B395">
        <v>64</v>
      </c>
    </row>
    <row r="396" spans="1:2" x14ac:dyDescent="0.15">
      <c r="A396" t="s">
        <v>855</v>
      </c>
      <c r="B396">
        <v>66</v>
      </c>
    </row>
    <row r="397" spans="1:2" x14ac:dyDescent="0.15">
      <c r="A397" t="s">
        <v>856</v>
      </c>
      <c r="B397">
        <v>67</v>
      </c>
    </row>
    <row r="398" spans="1:2" x14ac:dyDescent="0.15">
      <c r="A398" t="s">
        <v>857</v>
      </c>
      <c r="B398">
        <v>68</v>
      </c>
    </row>
    <row r="399" spans="1:2" x14ac:dyDescent="0.15">
      <c r="A399" t="s">
        <v>858</v>
      </c>
      <c r="B399">
        <v>69</v>
      </c>
    </row>
    <row r="400" spans="1:2" x14ac:dyDescent="0.15">
      <c r="A400" t="s">
        <v>861</v>
      </c>
      <c r="B400">
        <v>71</v>
      </c>
    </row>
    <row r="401" spans="1:2" x14ac:dyDescent="0.15">
      <c r="A401" t="s">
        <v>863</v>
      </c>
      <c r="B401">
        <v>72</v>
      </c>
    </row>
    <row r="402" spans="1:2" x14ac:dyDescent="0.15">
      <c r="A402" t="s">
        <v>865</v>
      </c>
      <c r="B402">
        <v>73</v>
      </c>
    </row>
    <row r="403" spans="1:2" x14ac:dyDescent="0.15">
      <c r="A403" t="s">
        <v>867</v>
      </c>
      <c r="B403">
        <v>74</v>
      </c>
    </row>
    <row r="404" spans="1:2" x14ac:dyDescent="0.15">
      <c r="A404" t="s">
        <v>869</v>
      </c>
      <c r="B404" t="s">
        <v>870</v>
      </c>
    </row>
    <row r="405" spans="1:2" x14ac:dyDescent="0.15">
      <c r="A405" t="s">
        <v>871</v>
      </c>
      <c r="B405" t="s">
        <v>872</v>
      </c>
    </row>
    <row r="406" spans="1:2" x14ac:dyDescent="0.15">
      <c r="A406" t="s">
        <v>873</v>
      </c>
      <c r="B406" t="s">
        <v>874</v>
      </c>
    </row>
    <row r="407" spans="1:2" x14ac:dyDescent="0.15">
      <c r="A407" t="s">
        <v>875</v>
      </c>
      <c r="B407" t="s">
        <v>876</v>
      </c>
    </row>
    <row r="408" spans="1:2" x14ac:dyDescent="0.15">
      <c r="A408" t="s">
        <v>877</v>
      </c>
      <c r="B408" t="s">
        <v>878</v>
      </c>
    </row>
    <row r="409" spans="1:2" x14ac:dyDescent="0.15">
      <c r="A409" t="s">
        <v>879</v>
      </c>
      <c r="B409" t="s">
        <v>880</v>
      </c>
    </row>
    <row r="410" spans="1:2" x14ac:dyDescent="0.15">
      <c r="A410" t="s">
        <v>881</v>
      </c>
      <c r="B410" t="s">
        <v>882</v>
      </c>
    </row>
    <row r="411" spans="1:2" x14ac:dyDescent="0.15">
      <c r="A411" t="s">
        <v>883</v>
      </c>
      <c r="B411" t="s">
        <v>884</v>
      </c>
    </row>
    <row r="412" spans="1:2" x14ac:dyDescent="0.15">
      <c r="A412" t="s">
        <v>885</v>
      </c>
      <c r="B412" t="s">
        <v>886</v>
      </c>
    </row>
    <row r="413" spans="1:2" x14ac:dyDescent="0.15">
      <c r="A413" t="s">
        <v>887</v>
      </c>
      <c r="B413" t="s">
        <v>888</v>
      </c>
    </row>
    <row r="414" spans="1:2" x14ac:dyDescent="0.15">
      <c r="A414" t="s">
        <v>889</v>
      </c>
      <c r="B414" t="s">
        <v>890</v>
      </c>
    </row>
    <row r="415" spans="1:2" x14ac:dyDescent="0.15">
      <c r="A415" t="s">
        <v>891</v>
      </c>
      <c r="B415" t="s">
        <v>892</v>
      </c>
    </row>
    <row r="416" spans="1:2" x14ac:dyDescent="0.15">
      <c r="A416" t="s">
        <v>893</v>
      </c>
      <c r="B416" t="s">
        <v>894</v>
      </c>
    </row>
    <row r="417" spans="1:2" x14ac:dyDescent="0.15">
      <c r="A417" t="s">
        <v>895</v>
      </c>
      <c r="B417" t="s">
        <v>896</v>
      </c>
    </row>
    <row r="418" spans="1:2" x14ac:dyDescent="0.15">
      <c r="A418" t="s">
        <v>897</v>
      </c>
      <c r="B418" t="s">
        <v>898</v>
      </c>
    </row>
    <row r="419" spans="1:2" x14ac:dyDescent="0.15">
      <c r="A419" t="s">
        <v>899</v>
      </c>
      <c r="B419" t="s">
        <v>900</v>
      </c>
    </row>
    <row r="420" spans="1:2" x14ac:dyDescent="0.15">
      <c r="A420" t="s">
        <v>901</v>
      </c>
      <c r="B420" t="s">
        <v>902</v>
      </c>
    </row>
    <row r="421" spans="1:2" x14ac:dyDescent="0.15">
      <c r="A421" t="s">
        <v>903</v>
      </c>
      <c r="B421" t="s">
        <v>904</v>
      </c>
    </row>
    <row r="422" spans="1:2" x14ac:dyDescent="0.15">
      <c r="A422" t="s">
        <v>905</v>
      </c>
      <c r="B422" t="s">
        <v>906</v>
      </c>
    </row>
    <row r="423" spans="1:2" x14ac:dyDescent="0.15">
      <c r="A423" t="s">
        <v>907</v>
      </c>
      <c r="B423" t="s">
        <v>908</v>
      </c>
    </row>
    <row r="424" spans="1:2" x14ac:dyDescent="0.15">
      <c r="A424" t="s">
        <v>909</v>
      </c>
      <c r="B424" t="s">
        <v>910</v>
      </c>
    </row>
    <row r="425" spans="1:2" x14ac:dyDescent="0.15">
      <c r="A425" t="s">
        <v>911</v>
      </c>
      <c r="B425" t="s">
        <v>912</v>
      </c>
    </row>
    <row r="426" spans="1:2" x14ac:dyDescent="0.15">
      <c r="A426" t="s">
        <v>913</v>
      </c>
      <c r="B426" t="s">
        <v>914</v>
      </c>
    </row>
    <row r="427" spans="1:2" x14ac:dyDescent="0.15">
      <c r="A427" t="s">
        <v>915</v>
      </c>
      <c r="B427" t="s">
        <v>916</v>
      </c>
    </row>
    <row r="428" spans="1:2" x14ac:dyDescent="0.15">
      <c r="A428" t="s">
        <v>917</v>
      </c>
      <c r="B428" t="s">
        <v>918</v>
      </c>
    </row>
    <row r="429" spans="1:2" x14ac:dyDescent="0.15">
      <c r="A429" t="s">
        <v>919</v>
      </c>
      <c r="B429" t="s">
        <v>920</v>
      </c>
    </row>
    <row r="430" spans="1:2" x14ac:dyDescent="0.15">
      <c r="A430" t="s">
        <v>921</v>
      </c>
      <c r="B430" t="s">
        <v>922</v>
      </c>
    </row>
    <row r="431" spans="1:2" x14ac:dyDescent="0.15">
      <c r="A431" t="s">
        <v>923</v>
      </c>
      <c r="B431" t="s">
        <v>924</v>
      </c>
    </row>
    <row r="432" spans="1:2" x14ac:dyDescent="0.15">
      <c r="A432" t="s">
        <v>925</v>
      </c>
      <c r="B432" t="s">
        <v>926</v>
      </c>
    </row>
    <row r="433" spans="1:2" x14ac:dyDescent="0.15">
      <c r="A433" t="s">
        <v>927</v>
      </c>
      <c r="B433" t="s">
        <v>928</v>
      </c>
    </row>
    <row r="434" spans="1:2" x14ac:dyDescent="0.15">
      <c r="A434" t="s">
        <v>929</v>
      </c>
      <c r="B434" t="s">
        <v>930</v>
      </c>
    </row>
    <row r="435" spans="1:2" x14ac:dyDescent="0.15">
      <c r="A435" t="s">
        <v>931</v>
      </c>
      <c r="B435" t="s">
        <v>932</v>
      </c>
    </row>
    <row r="436" spans="1:2" x14ac:dyDescent="0.15">
      <c r="A436" t="s">
        <v>933</v>
      </c>
      <c r="B436" t="s">
        <v>934</v>
      </c>
    </row>
    <row r="437" spans="1:2" x14ac:dyDescent="0.15">
      <c r="A437" t="s">
        <v>935</v>
      </c>
      <c r="B437" t="s">
        <v>936</v>
      </c>
    </row>
    <row r="438" spans="1:2" x14ac:dyDescent="0.15">
      <c r="A438" t="s">
        <v>937</v>
      </c>
      <c r="B438" t="s">
        <v>938</v>
      </c>
    </row>
    <row r="439" spans="1:2" x14ac:dyDescent="0.15">
      <c r="A439" t="s">
        <v>939</v>
      </c>
      <c r="B439" t="s">
        <v>940</v>
      </c>
    </row>
    <row r="440" spans="1:2" x14ac:dyDescent="0.15">
      <c r="A440" t="s">
        <v>941</v>
      </c>
      <c r="B440" t="s">
        <v>942</v>
      </c>
    </row>
    <row r="441" spans="1:2" x14ac:dyDescent="0.15">
      <c r="A441" t="s">
        <v>943</v>
      </c>
      <c r="B441" t="s">
        <v>944</v>
      </c>
    </row>
    <row r="442" spans="1:2" x14ac:dyDescent="0.15">
      <c r="A442" t="s">
        <v>945</v>
      </c>
      <c r="B442" t="s">
        <v>946</v>
      </c>
    </row>
    <row r="443" spans="1:2" x14ac:dyDescent="0.15">
      <c r="A443" t="s">
        <v>947</v>
      </c>
      <c r="B443" t="s">
        <v>948</v>
      </c>
    </row>
    <row r="444" spans="1:2" x14ac:dyDescent="0.15">
      <c r="A444" t="s">
        <v>949</v>
      </c>
      <c r="B444" t="s">
        <v>950</v>
      </c>
    </row>
    <row r="445" spans="1:2" x14ac:dyDescent="0.15">
      <c r="A445" t="s">
        <v>951</v>
      </c>
      <c r="B445" t="s">
        <v>952</v>
      </c>
    </row>
    <row r="446" spans="1:2" x14ac:dyDescent="0.15">
      <c r="A446" t="s">
        <v>953</v>
      </c>
      <c r="B446" t="s">
        <v>954</v>
      </c>
    </row>
    <row r="447" spans="1:2" x14ac:dyDescent="0.15">
      <c r="A447" t="s">
        <v>955</v>
      </c>
      <c r="B447" t="s">
        <v>956</v>
      </c>
    </row>
    <row r="448" spans="1:2" x14ac:dyDescent="0.15">
      <c r="A448" t="s">
        <v>957</v>
      </c>
      <c r="B448" t="s">
        <v>958</v>
      </c>
    </row>
    <row r="449" spans="1:2" x14ac:dyDescent="0.15">
      <c r="A449" t="s">
        <v>959</v>
      </c>
      <c r="B449" t="s">
        <v>960</v>
      </c>
    </row>
    <row r="450" spans="1:2" x14ac:dyDescent="0.15">
      <c r="A450" t="s">
        <v>961</v>
      </c>
      <c r="B450" t="s">
        <v>962</v>
      </c>
    </row>
    <row r="451" spans="1:2" x14ac:dyDescent="0.15">
      <c r="A451" t="s">
        <v>963</v>
      </c>
      <c r="B451" t="s">
        <v>964</v>
      </c>
    </row>
    <row r="452" spans="1:2" x14ac:dyDescent="0.15">
      <c r="A452" t="s">
        <v>965</v>
      </c>
      <c r="B452" t="s">
        <v>966</v>
      </c>
    </row>
    <row r="453" spans="1:2" x14ac:dyDescent="0.15">
      <c r="A453" t="s">
        <v>967</v>
      </c>
      <c r="B453" t="s">
        <v>968</v>
      </c>
    </row>
    <row r="454" spans="1:2" x14ac:dyDescent="0.15">
      <c r="A454" t="s">
        <v>969</v>
      </c>
      <c r="B454" t="s">
        <v>970</v>
      </c>
    </row>
    <row r="455" spans="1:2" x14ac:dyDescent="0.15">
      <c r="A455" t="s">
        <v>971</v>
      </c>
      <c r="B455" t="s">
        <v>972</v>
      </c>
    </row>
    <row r="456" spans="1:2" x14ac:dyDescent="0.15">
      <c r="A456" t="s">
        <v>973</v>
      </c>
      <c r="B456" t="s">
        <v>974</v>
      </c>
    </row>
    <row r="457" spans="1:2" x14ac:dyDescent="0.15">
      <c r="A457" t="s">
        <v>975</v>
      </c>
      <c r="B457" t="s">
        <v>976</v>
      </c>
    </row>
    <row r="458" spans="1:2" x14ac:dyDescent="0.15">
      <c r="A458" t="s">
        <v>977</v>
      </c>
      <c r="B458" t="s">
        <v>978</v>
      </c>
    </row>
    <row r="459" spans="1:2" x14ac:dyDescent="0.15">
      <c r="A459" t="s">
        <v>979</v>
      </c>
      <c r="B459" t="s">
        <v>980</v>
      </c>
    </row>
    <row r="460" spans="1:2" x14ac:dyDescent="0.15">
      <c r="A460" t="s">
        <v>981</v>
      </c>
      <c r="B460" t="s">
        <v>982</v>
      </c>
    </row>
    <row r="461" spans="1:2" x14ac:dyDescent="0.15">
      <c r="A461" t="s">
        <v>983</v>
      </c>
      <c r="B461" t="s">
        <v>984</v>
      </c>
    </row>
    <row r="462" spans="1:2" x14ac:dyDescent="0.15">
      <c r="A462" t="s">
        <v>1010</v>
      </c>
      <c r="B462" s="79" t="s">
        <v>1013</v>
      </c>
    </row>
    <row r="463" spans="1:2" x14ac:dyDescent="0.15">
      <c r="A463" t="s">
        <v>1011</v>
      </c>
      <c r="B463" s="79" t="s">
        <v>1014</v>
      </c>
    </row>
    <row r="464" spans="1:2" x14ac:dyDescent="0.15">
      <c r="A464" t="s">
        <v>1012</v>
      </c>
      <c r="B464" s="79" t="s">
        <v>1015</v>
      </c>
    </row>
    <row r="465" spans="1:22" x14ac:dyDescent="0.15">
      <c r="A465" t="s">
        <v>988</v>
      </c>
      <c r="B465" t="s">
        <v>47</v>
      </c>
      <c r="C465" t="s">
        <v>45</v>
      </c>
      <c r="D465" t="s">
        <v>33</v>
      </c>
      <c r="E465" t="s">
        <v>9</v>
      </c>
      <c r="F465" t="s">
        <v>75</v>
      </c>
      <c r="G465" t="s">
        <v>7</v>
      </c>
      <c r="H465" t="s">
        <v>53</v>
      </c>
      <c r="I465" t="s">
        <v>35</v>
      </c>
      <c r="J465" t="s">
        <v>5</v>
      </c>
      <c r="K465" t="s">
        <v>51</v>
      </c>
      <c r="L465" t="s">
        <v>55</v>
      </c>
      <c r="M465" t="s">
        <v>3</v>
      </c>
      <c r="N465" t="s">
        <v>67</v>
      </c>
      <c r="O465" t="s">
        <v>41</v>
      </c>
      <c r="P465" t="s">
        <v>71</v>
      </c>
      <c r="Q465" t="s">
        <v>31</v>
      </c>
      <c r="R465" t="s">
        <v>61</v>
      </c>
      <c r="S465" t="s">
        <v>69</v>
      </c>
      <c r="T465" t="s">
        <v>21</v>
      </c>
      <c r="U465" t="s">
        <v>65</v>
      </c>
      <c r="V465" t="s">
        <v>43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L370"/>
  <sheetViews>
    <sheetView zoomScale="85" zoomScaleNormal="85" workbookViewId="0">
      <pane xSplit="2" ySplit="4" topLeftCell="X20" activePane="bottomRight" state="frozen"/>
      <selection pane="topRight" activeCell="C1" sqref="C1"/>
      <selection pane="bottomLeft" activeCell="A5" sqref="A5"/>
      <selection pane="bottomRight" activeCell="AK70" sqref="AK70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5" width="11.625" customWidth="1"/>
    <col min="28" max="28" width="1.625" customWidth="1"/>
    <col min="30" max="32" width="10.625" customWidth="1"/>
    <col min="33" max="33" width="11.625" customWidth="1"/>
    <col min="34" max="34" width="12.625" customWidth="1"/>
    <col min="35" max="35" width="10.625" customWidth="1"/>
    <col min="36" max="39" width="12.625" customWidth="1"/>
    <col min="40" max="45" width="11.625" customWidth="1"/>
    <col min="48" max="48" width="1.625" customWidth="1"/>
    <col min="51" max="51" width="1.625" customWidth="1"/>
    <col min="54" max="57" width="11.625" customWidth="1"/>
    <col min="58" max="58" width="1.625" customWidth="1"/>
    <col min="61" max="64" width="11.625" customWidth="1"/>
    <col min="65" max="65" width="1.625" customWidth="1"/>
  </cols>
  <sheetData>
    <row r="1" spans="1:64" x14ac:dyDescent="0.15">
      <c r="A1" s="105" t="s">
        <v>492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C1" s="102" t="str">
        <f>Summary!C2</f>
        <v>v20.0-rc1-trisoup-raht+18edges+flagCtx_test</v>
      </c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</row>
    <row r="2" spans="1:64" ht="30" customHeight="1" x14ac:dyDescent="0.1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438</v>
      </c>
      <c r="U2" s="104"/>
      <c r="V2" s="103" t="s">
        <v>143</v>
      </c>
      <c r="W2" s="103"/>
      <c r="X2" s="103"/>
      <c r="Y2" s="103"/>
      <c r="Z2" s="107" t="s">
        <v>155</v>
      </c>
      <c r="AA2" s="106" t="s">
        <v>158</v>
      </c>
      <c r="AC2" s="107" t="s">
        <v>112</v>
      </c>
      <c r="AD2" s="103" t="s">
        <v>115</v>
      </c>
      <c r="AE2" s="103"/>
      <c r="AF2" s="103"/>
      <c r="AG2" s="103"/>
      <c r="AH2" s="107" t="s">
        <v>128</v>
      </c>
      <c r="AI2" s="106" t="s">
        <v>22</v>
      </c>
      <c r="AJ2" s="104" t="s">
        <v>133</v>
      </c>
      <c r="AK2" s="104"/>
      <c r="AL2" s="104"/>
      <c r="AM2" s="104"/>
      <c r="AN2" s="103" t="s">
        <v>438</v>
      </c>
      <c r="AO2" s="103"/>
      <c r="AP2" s="104" t="s">
        <v>143</v>
      </c>
      <c r="AQ2" s="104"/>
      <c r="AR2" s="104"/>
      <c r="AS2" s="104"/>
      <c r="AT2" s="106" t="s">
        <v>155</v>
      </c>
      <c r="AU2" s="107" t="s">
        <v>158</v>
      </c>
      <c r="AW2" s="106" t="s">
        <v>195</v>
      </c>
      <c r="AX2" s="107" t="s">
        <v>195</v>
      </c>
      <c r="AZ2" s="103" t="s">
        <v>474</v>
      </c>
      <c r="BA2" s="103"/>
      <c r="BB2" s="104" t="s">
        <v>200</v>
      </c>
      <c r="BC2" s="104"/>
      <c r="BD2" s="104"/>
      <c r="BE2" s="104"/>
      <c r="BG2" s="103" t="s">
        <v>483</v>
      </c>
      <c r="BH2" s="103"/>
      <c r="BI2" s="104" t="s">
        <v>209</v>
      </c>
      <c r="BJ2" s="104"/>
      <c r="BK2" s="104"/>
      <c r="BL2" s="104"/>
    </row>
    <row r="3" spans="1:64" ht="27.75" thickBot="1" x14ac:dyDescent="0.2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439</v>
      </c>
      <c r="U3" s="11" t="s">
        <v>442</v>
      </c>
      <c r="V3" s="12" t="s">
        <v>144</v>
      </c>
      <c r="W3" s="12" t="s">
        <v>147</v>
      </c>
      <c r="X3" s="12" t="s">
        <v>150</v>
      </c>
      <c r="Y3" s="12" t="s">
        <v>125</v>
      </c>
      <c r="Z3" s="107"/>
      <c r="AA3" s="106"/>
      <c r="AC3" s="107"/>
      <c r="AD3" s="12" t="s">
        <v>116</v>
      </c>
      <c r="AE3" s="12" t="s">
        <v>119</v>
      </c>
      <c r="AF3" s="12" t="s">
        <v>122</v>
      </c>
      <c r="AG3" s="12" t="s">
        <v>125</v>
      </c>
      <c r="AH3" s="107"/>
      <c r="AI3" s="106"/>
      <c r="AJ3" s="11" t="s">
        <v>116</v>
      </c>
      <c r="AK3" s="11" t="s">
        <v>119</v>
      </c>
      <c r="AL3" s="11" t="s">
        <v>138</v>
      </c>
      <c r="AM3" s="11" t="s">
        <v>125</v>
      </c>
      <c r="AN3" s="12" t="s">
        <v>439</v>
      </c>
      <c r="AO3" s="12" t="s">
        <v>442</v>
      </c>
      <c r="AP3" s="11" t="s">
        <v>144</v>
      </c>
      <c r="AQ3" s="11" t="s">
        <v>147</v>
      </c>
      <c r="AR3" s="11" t="s">
        <v>150</v>
      </c>
      <c r="AS3" s="11" t="s">
        <v>125</v>
      </c>
      <c r="AT3" s="106"/>
      <c r="AU3" s="107"/>
      <c r="AW3" s="106"/>
      <c r="AX3" s="107"/>
      <c r="AZ3" s="12" t="s">
        <v>439</v>
      </c>
      <c r="BA3" s="12" t="s">
        <v>442</v>
      </c>
      <c r="BB3" s="11" t="s">
        <v>144</v>
      </c>
      <c r="BC3" s="11" t="s">
        <v>147</v>
      </c>
      <c r="BD3" s="11" t="s">
        <v>150</v>
      </c>
      <c r="BE3" s="11" t="s">
        <v>125</v>
      </c>
      <c r="BG3" s="12" t="s">
        <v>439</v>
      </c>
      <c r="BH3" s="12" t="s">
        <v>442</v>
      </c>
      <c r="BI3" s="11" t="s">
        <v>144</v>
      </c>
      <c r="BJ3" s="11" t="s">
        <v>147</v>
      </c>
      <c r="BK3" s="11" t="s">
        <v>150</v>
      </c>
      <c r="BL3" s="11" t="s">
        <v>125</v>
      </c>
    </row>
    <row r="4" spans="1:6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440</v>
      </c>
      <c r="U4" s="13" t="s">
        <v>443</v>
      </c>
      <c r="V4" s="14" t="s">
        <v>145</v>
      </c>
      <c r="W4" s="14" t="s">
        <v>148</v>
      </c>
      <c r="X4" s="14" t="s">
        <v>151</v>
      </c>
      <c r="Y4" s="14" t="s">
        <v>153</v>
      </c>
      <c r="Z4" s="13" t="s">
        <v>156</v>
      </c>
      <c r="AA4" s="14" t="s">
        <v>159</v>
      </c>
      <c r="AC4" s="13" t="s">
        <v>161</v>
      </c>
      <c r="AD4" s="14" t="s">
        <v>163</v>
      </c>
      <c r="AE4" s="14" t="s">
        <v>165</v>
      </c>
      <c r="AF4" s="14" t="s">
        <v>167</v>
      </c>
      <c r="AG4" s="14" t="s">
        <v>169</v>
      </c>
      <c r="AH4" s="13" t="s">
        <v>171</v>
      </c>
      <c r="AI4" s="14" t="s">
        <v>173</v>
      </c>
      <c r="AJ4" s="13" t="s">
        <v>175</v>
      </c>
      <c r="AK4" s="13" t="s">
        <v>177</v>
      </c>
      <c r="AL4" s="13" t="s">
        <v>179</v>
      </c>
      <c r="AM4" s="13" t="s">
        <v>181</v>
      </c>
      <c r="AN4" s="14" t="s">
        <v>462</v>
      </c>
      <c r="AO4" s="14" t="s">
        <v>464</v>
      </c>
      <c r="AP4" s="13" t="s">
        <v>183</v>
      </c>
      <c r="AQ4" s="13" t="s">
        <v>185</v>
      </c>
      <c r="AR4" s="13" t="s">
        <v>187</v>
      </c>
      <c r="AS4" s="13" t="s">
        <v>189</v>
      </c>
      <c r="AT4" s="14" t="s">
        <v>191</v>
      </c>
      <c r="AU4" s="13" t="s">
        <v>193</v>
      </c>
      <c r="AW4" s="14" t="s">
        <v>196</v>
      </c>
      <c r="AX4" s="13" t="s">
        <v>198</v>
      </c>
      <c r="AZ4" s="14" t="s">
        <v>475</v>
      </c>
      <c r="BA4" s="14" t="s">
        <v>477</v>
      </c>
      <c r="BB4" s="13" t="s">
        <v>201</v>
      </c>
      <c r="BC4" s="13" t="s">
        <v>203</v>
      </c>
      <c r="BD4" s="13" t="s">
        <v>205</v>
      </c>
      <c r="BE4" s="13" t="s">
        <v>207</v>
      </c>
      <c r="BG4" s="14" t="s">
        <v>484</v>
      </c>
      <c r="BH4" s="14" t="s">
        <v>486</v>
      </c>
      <c r="BI4" s="13" t="s">
        <v>210</v>
      </c>
      <c r="BJ4" s="13" t="s">
        <v>212</v>
      </c>
      <c r="BK4" s="13" t="s">
        <v>214</v>
      </c>
      <c r="BL4" s="13" t="s">
        <v>216</v>
      </c>
    </row>
    <row r="5" spans="1:6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>
        <f t="shared" ref="J5:J68" si="1">IF(ISBLANK(P5),"·",P5/D5)</f>
        <v>3.725020628853596E-2</v>
      </c>
      <c r="K5" s="19">
        <f t="shared" ref="K5:K68" si="2">IF(Q5="","·",Q5/D5)</f>
        <v>7.7415455882282568E-3</v>
      </c>
      <c r="L5" s="19">
        <f t="shared" ref="L5:L68" si="3">IF(ISBLANK(R5),"·",R5/D5)</f>
        <v>2.9218797107106648E-2</v>
      </c>
      <c r="M5" s="20"/>
      <c r="N5" s="19">
        <f t="shared" ref="N5:N68" si="4">IF(ISBLANK(P5),"·",P5/O5)</f>
        <v>4.2585551330798478E-2</v>
      </c>
      <c r="O5" s="21">
        <v>2558990</v>
      </c>
      <c r="P5" s="22">
        <v>108976</v>
      </c>
      <c r="Q5" s="22">
        <v>22648</v>
      </c>
      <c r="R5" s="22">
        <v>85480</v>
      </c>
      <c r="S5" s="23"/>
      <c r="T5" s="24">
        <v>64.553656099999998</v>
      </c>
      <c r="U5" s="24">
        <v>65.319606100000001</v>
      </c>
      <c r="V5" s="24">
        <v>33.206619199999999</v>
      </c>
      <c r="W5" s="24">
        <v>42.674645499999997</v>
      </c>
      <c r="X5" s="24">
        <v>45.968250699999999</v>
      </c>
      <c r="Y5" s="23"/>
      <c r="Z5" s="26">
        <v>3.9</v>
      </c>
      <c r="AA5" s="26">
        <v>3.1659999999999999</v>
      </c>
      <c r="AC5" s="18" t="str">
        <f t="shared" ref="AC5:AC68" si="5">IF(OR(ISBLANK(AJ5),ISBLANK(G5)),"·",AJ5*G5/F5/1000000)</f>
        <v>·</v>
      </c>
      <c r="AD5" s="19">
        <f t="shared" ref="AD5:AD68" si="6">IF(ISBLANK(AJ5),"·",AJ5/D5)</f>
        <v>3.7217391542135846E-2</v>
      </c>
      <c r="AE5" s="19">
        <f t="shared" ref="AE5:AE68" si="7">IF(AK5="","·",AK5/D5)</f>
        <v>7.7442801504282663E-3</v>
      </c>
      <c r="AF5" s="19">
        <f t="shared" ref="AF5:AF68" si="8">IF(ISBLANK(AL5),"·",AL5/D5)</f>
        <v>2.9218797107106648E-2</v>
      </c>
      <c r="AG5" s="20"/>
      <c r="AH5" s="19">
        <f t="shared" ref="AH5:AH68" si="9">IF(ISBLANK(AJ5),"·",AJ5/AI5)</f>
        <v>4.2548036530037241E-2</v>
      </c>
      <c r="AI5" s="21">
        <v>2558990</v>
      </c>
      <c r="AJ5" s="22">
        <v>108880</v>
      </c>
      <c r="AK5" s="22">
        <v>22656</v>
      </c>
      <c r="AL5" s="22">
        <v>85480</v>
      </c>
      <c r="AM5" s="23"/>
      <c r="AN5" s="24">
        <v>64.553656099999998</v>
      </c>
      <c r="AO5" s="24">
        <v>65.319606100000001</v>
      </c>
      <c r="AP5" s="24">
        <v>33.206619199999999</v>
      </c>
      <c r="AQ5" s="24">
        <v>42.674645499999997</v>
      </c>
      <c r="AR5" s="24">
        <v>45.968250699999999</v>
      </c>
      <c r="AS5" s="25"/>
      <c r="AT5" s="26">
        <v>3.7909999999999999</v>
      </c>
      <c r="AU5" s="26">
        <v>3.2309999999999999</v>
      </c>
      <c r="AW5" s="27">
        <f t="shared" ref="AW5:AW68" si="10">(AK5/AJ5) - (Q5/P5)</f>
        <v>2.5671615836034278E-4</v>
      </c>
      <c r="AX5" s="27" t="e">
        <f t="array" ref="AX5">AVERAGE(AK5:AK10/AJ5:AJ10) - AVERAGE(Q5:Q10/P5:P10)</f>
        <v>#DIV/0!</v>
      </c>
      <c r="AZ5" s="28">
        <f>IF( OR(ISBLANK(Q5:Q10),ISBLANK(AK5:AK10), ISBLANK(T5:T10),ISBLANK(AN5:AN10)), "·", bdRateExtend( Q5:Q10,T5:T10, AK5:AK10,AN5:AN10))</f>
        <v>9.3574281597559317E-3</v>
      </c>
      <c r="BA5" s="28">
        <f>IF( OR(ISBLANK(Q5:Q10),ISBLANK(AK5:AK10), ISBLANK(U5:U10),ISBLANK(AO5:AO10)), "·", bdRateExtend( Q5:Q10,U5:U10, AK5:AK10,AO5:AO10))</f>
        <v>7.6703948572318659E-3</v>
      </c>
      <c r="BB5" s="28">
        <f>IF( OR(ISBLANK(R5:R10),ISBLANK(AL5:AL10), ISBLANK(V5:V10),ISBLANK(AP5:AP10)), "·", bdRateExtend( R5:R10,V5:V10, AL5:AL10,AP5:AP10))</f>
        <v>0</v>
      </c>
      <c r="BC5" s="28">
        <f>IF( OR(ISBLANK(R5:R10),ISBLANK(AL5:AL10), ISBLANK(W5:W10),ISBLANK(AQ5:AQ10)), "·", bdRateExtend( R5:R10,W5:W10, AL5:AL10,AQ5:AQ10))</f>
        <v>0</v>
      </c>
      <c r="BD5" s="28">
        <f>IF( OR(ISBLANK(R5:R10),ISBLANK(AL5:AL10), ISBLANK(X5:X10),ISBLANK(AR5:AR10)), "·", bdRateExtend( R5:R10,X5:X10, AL5:AL10,AR5:AR10))</f>
        <v>0</v>
      </c>
      <c r="BE5" s="29"/>
      <c r="BG5" s="28">
        <f>IF( OR(ISBLANK(P5:P10),ISBLANK(AJ5:AJ10), ISBLANK(T5:T10),ISBLANK(AN5:AN10)), "·", bdRateExtend( P5:P10,T5:T10, AJ5:AJ10,AN5:AN10))</f>
        <v>-2.357077050376688E-4</v>
      </c>
      <c r="BH5" s="28">
        <f>IF( OR(ISBLANK(P5:P10),ISBLANK(AJ5:AJ10), ISBLANK(U5:U10),ISBLANK(AO5:AO10)), "·", bdRateExtend( P5:P10,U5:U10, AJ5:AJ10,AO5:AO10))</f>
        <v>-3.5116222503306371E-4</v>
      </c>
      <c r="BI5" s="28">
        <f>IF( OR(ISBLANK(P5:P10),ISBLANK(AJ5:AJ10), ISBLANK(V5:V10),ISBLANK(AP5:AP10)), "·", bdRateExtend( P5:P10,V5:V10, AJ5:AJ10,AP5:AP10))</f>
        <v>-6.8665934075062829E-5</v>
      </c>
      <c r="BJ5" s="28">
        <f>IF( OR(ISBLANK(P5:P10),ISBLANK(AJ5:AJ10), ISBLANK(W5:W10),ISBLANK(AQ5:AQ10)), "·", bdRateExtend( P5:P10,W5:W10, AJ5:AJ10,AQ5:AQ10))</f>
        <v>1.6592473992149692E-4</v>
      </c>
      <c r="BK5" s="28">
        <f>IF( OR(ISBLANK(P5:P10),ISBLANK(AJ5:AJ10), ISBLANK(X5:X10),ISBLANK(AR5:AR10)), "·", bdRateExtend( P5:P10,X5:X10, AJ5:AJ10,AR5:AR10))</f>
        <v>-7.5996627727503707E-5</v>
      </c>
      <c r="BL5" s="29"/>
    </row>
    <row r="6" spans="1:6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>
        <f t="shared" si="1"/>
        <v>8.4470626358308321E-2</v>
      </c>
      <c r="K6" s="34">
        <f t="shared" si="2"/>
        <v>2.2945711420283753E-2</v>
      </c>
      <c r="L6" s="34">
        <f t="shared" si="3"/>
        <v>6.1235051344823509E-2</v>
      </c>
      <c r="M6" s="35"/>
      <c r="N6" s="34">
        <f t="shared" si="4"/>
        <v>0.10388968321466092</v>
      </c>
      <c r="O6" s="36">
        <v>2378677</v>
      </c>
      <c r="P6" s="37">
        <v>247120</v>
      </c>
      <c r="Q6" s="37">
        <v>67128</v>
      </c>
      <c r="R6" s="37">
        <v>179144</v>
      </c>
      <c r="S6" s="38"/>
      <c r="T6" s="39">
        <v>69.936707900000002</v>
      </c>
      <c r="U6" s="39">
        <v>73.158202200000005</v>
      </c>
      <c r="V6" s="39">
        <v>36.270892199999999</v>
      </c>
      <c r="W6" s="39">
        <v>43.556286900000003</v>
      </c>
      <c r="X6" s="39">
        <v>47.6246285</v>
      </c>
      <c r="Y6" s="38"/>
      <c r="Z6" s="41">
        <v>3.899</v>
      </c>
      <c r="AA6" s="41">
        <v>3.2919999999999998</v>
      </c>
      <c r="AC6" s="33" t="str">
        <f t="shared" si="5"/>
        <v>·</v>
      </c>
      <c r="AD6" s="34">
        <f t="shared" si="6"/>
        <v>8.4418669676508129E-2</v>
      </c>
      <c r="AE6" s="34">
        <f t="shared" si="7"/>
        <v>2.3030482848484062E-2</v>
      </c>
      <c r="AF6" s="34">
        <f t="shared" si="8"/>
        <v>6.1235051344823509E-2</v>
      </c>
      <c r="AG6" s="35"/>
      <c r="AH6" s="34">
        <f t="shared" si="9"/>
        <v>0.10382578214696657</v>
      </c>
      <c r="AI6" s="36">
        <v>2378677</v>
      </c>
      <c r="AJ6" s="37">
        <v>246968</v>
      </c>
      <c r="AK6" s="37">
        <v>67376</v>
      </c>
      <c r="AL6" s="37">
        <v>179144</v>
      </c>
      <c r="AM6" s="38"/>
      <c r="AN6" s="39">
        <v>69.936707900000002</v>
      </c>
      <c r="AO6" s="39">
        <v>73.158202200000005</v>
      </c>
      <c r="AP6" s="39">
        <v>36.270892199999999</v>
      </c>
      <c r="AQ6" s="39">
        <v>43.556286900000003</v>
      </c>
      <c r="AR6" s="39">
        <v>47.6246285</v>
      </c>
      <c r="AS6" s="40"/>
      <c r="AT6" s="41">
        <v>3.98</v>
      </c>
      <c r="AU6" s="41">
        <v>3.4169999999999998</v>
      </c>
      <c r="AW6" s="42">
        <f t="shared" si="10"/>
        <v>1.1713642204485009E-3</v>
      </c>
      <c r="AX6" s="42"/>
      <c r="AZ6" s="43"/>
      <c r="BA6" s="43"/>
      <c r="BB6" s="43"/>
      <c r="BC6" s="43"/>
      <c r="BD6" s="43"/>
      <c r="BE6" s="44"/>
      <c r="BG6" s="43"/>
      <c r="BH6" s="43"/>
      <c r="BI6" s="43"/>
      <c r="BJ6" s="43"/>
      <c r="BK6" s="43"/>
      <c r="BL6" s="44"/>
    </row>
    <row r="7" spans="1:6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>
        <f t="shared" si="1"/>
        <v>0.22025531239980392</v>
      </c>
      <c r="K7" s="19">
        <f t="shared" si="2"/>
        <v>7.3275328711467455E-2</v>
      </c>
      <c r="L7" s="19">
        <f t="shared" si="3"/>
        <v>0.14669012009513541</v>
      </c>
      <c r="M7" s="20"/>
      <c r="N7" s="19">
        <f t="shared" si="4"/>
        <v>0.25962482609012733</v>
      </c>
      <c r="O7" s="21">
        <v>2481889</v>
      </c>
      <c r="P7" s="22">
        <v>644360</v>
      </c>
      <c r="Q7" s="22">
        <v>214368</v>
      </c>
      <c r="R7" s="22">
        <v>429144</v>
      </c>
      <c r="S7" s="23"/>
      <c r="T7" s="24">
        <v>74.791387799999995</v>
      </c>
      <c r="U7" s="24">
        <v>78.582488400000003</v>
      </c>
      <c r="V7" s="24">
        <v>39.363891500000001</v>
      </c>
      <c r="W7" s="24">
        <v>44.789835500000002</v>
      </c>
      <c r="X7" s="24">
        <v>49.174117099999997</v>
      </c>
      <c r="Y7" s="23"/>
      <c r="Z7" s="26">
        <v>5.21</v>
      </c>
      <c r="AA7" s="26">
        <v>4.3380000000000001</v>
      </c>
      <c r="AC7" s="18" t="str">
        <f t="shared" si="5"/>
        <v>·</v>
      </c>
      <c r="AD7" s="19">
        <f t="shared" si="6"/>
        <v>0.22040297875860448</v>
      </c>
      <c r="AE7" s="19">
        <f t="shared" si="7"/>
        <v>7.4590653129672252E-2</v>
      </c>
      <c r="AF7" s="19">
        <f t="shared" si="8"/>
        <v>0.14669012009513541</v>
      </c>
      <c r="AG7" s="20"/>
      <c r="AH7" s="19">
        <f t="shared" si="9"/>
        <v>0.25979888705739862</v>
      </c>
      <c r="AI7" s="21">
        <v>2481889</v>
      </c>
      <c r="AJ7" s="22">
        <v>644792</v>
      </c>
      <c r="AK7" s="22">
        <v>218216</v>
      </c>
      <c r="AL7" s="22">
        <v>429144</v>
      </c>
      <c r="AM7" s="23"/>
      <c r="AN7" s="24">
        <v>74.791387799999995</v>
      </c>
      <c r="AO7" s="24">
        <v>78.582488400000003</v>
      </c>
      <c r="AP7" s="24">
        <v>39.363891500000001</v>
      </c>
      <c r="AQ7" s="24">
        <v>44.789835500000002</v>
      </c>
      <c r="AR7" s="24">
        <v>49.174117099999997</v>
      </c>
      <c r="AS7" s="25"/>
      <c r="AT7" s="26">
        <v>5.1360000000000001</v>
      </c>
      <c r="AU7" s="26">
        <v>4.3369999999999997</v>
      </c>
      <c r="AW7" s="27">
        <f t="shared" si="10"/>
        <v>5.7449234603008104E-3</v>
      </c>
      <c r="AX7" s="27"/>
      <c r="AZ7" s="28"/>
      <c r="BA7" s="28"/>
      <c r="BB7" s="28"/>
      <c r="BC7" s="28"/>
      <c r="BD7" s="28"/>
      <c r="BE7" s="29"/>
      <c r="BG7" s="28"/>
      <c r="BH7" s="28"/>
      <c r="BI7" s="28"/>
      <c r="BJ7" s="28"/>
      <c r="BK7" s="28"/>
      <c r="BL7" s="29"/>
    </row>
    <row r="8" spans="1:6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>
        <f t="shared" si="1"/>
        <v>0.59737331627878043</v>
      </c>
      <c r="K8" s="34">
        <f t="shared" si="2"/>
        <v>0.22789567918663181</v>
      </c>
      <c r="L8" s="34">
        <f t="shared" si="3"/>
        <v>0.36918777349894755</v>
      </c>
      <c r="M8" s="35"/>
      <c r="N8" s="34">
        <f t="shared" si="4"/>
        <v>0.629148893046517</v>
      </c>
      <c r="O8" s="36">
        <v>2777759</v>
      </c>
      <c r="P8" s="37">
        <v>1747624</v>
      </c>
      <c r="Q8" s="37">
        <v>666712</v>
      </c>
      <c r="R8" s="37">
        <v>1080064</v>
      </c>
      <c r="S8" s="38"/>
      <c r="T8" s="39">
        <v>76.971451099999996</v>
      </c>
      <c r="U8" s="39">
        <v>80.705232499999994</v>
      </c>
      <c r="V8" s="39">
        <v>41.729102599999997</v>
      </c>
      <c r="W8" s="39">
        <v>46.257398500000001</v>
      </c>
      <c r="X8" s="39">
        <v>50.433714299999998</v>
      </c>
      <c r="Y8" s="38"/>
      <c r="Z8" s="41">
        <v>8.65</v>
      </c>
      <c r="AA8" s="41">
        <v>7.2910000000000004</v>
      </c>
      <c r="AC8" s="33" t="str">
        <f t="shared" si="5"/>
        <v>·</v>
      </c>
      <c r="AD8" s="34">
        <f t="shared" si="6"/>
        <v>0.59784366097718211</v>
      </c>
      <c r="AE8" s="34">
        <f t="shared" si="7"/>
        <v>0.23886127360867185</v>
      </c>
      <c r="AF8" s="34">
        <f t="shared" si="8"/>
        <v>0.36918777349894755</v>
      </c>
      <c r="AG8" s="35"/>
      <c r="AH8" s="34">
        <f t="shared" si="9"/>
        <v>0.62964425639517319</v>
      </c>
      <c r="AI8" s="36">
        <v>2777759</v>
      </c>
      <c r="AJ8" s="37">
        <v>1749000</v>
      </c>
      <c r="AK8" s="37">
        <v>698792</v>
      </c>
      <c r="AL8" s="37">
        <v>1080064</v>
      </c>
      <c r="AM8" s="38"/>
      <c r="AN8" s="39">
        <v>76.971451099999996</v>
      </c>
      <c r="AO8" s="39">
        <v>80.705232499999994</v>
      </c>
      <c r="AP8" s="39">
        <v>41.729102599999997</v>
      </c>
      <c r="AQ8" s="39">
        <v>46.257398500000001</v>
      </c>
      <c r="AR8" s="39">
        <v>50.433714299999998</v>
      </c>
      <c r="AS8" s="40"/>
      <c r="AT8" s="41">
        <v>8.5419999999999998</v>
      </c>
      <c r="AU8" s="41">
        <v>7.4480000000000004</v>
      </c>
      <c r="AW8" s="42">
        <f t="shared" si="10"/>
        <v>1.8041773105716141E-2</v>
      </c>
      <c r="AX8" s="42"/>
      <c r="AZ8" s="43"/>
      <c r="BA8" s="43"/>
      <c r="BB8" s="43"/>
      <c r="BC8" s="43"/>
      <c r="BD8" s="43"/>
      <c r="BE8" s="44"/>
      <c r="BG8" s="43"/>
      <c r="BH8" s="43"/>
      <c r="BI8" s="43"/>
      <c r="BJ8" s="43"/>
      <c r="BK8" s="43"/>
      <c r="BL8" s="44"/>
    </row>
    <row r="9" spans="1:64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4"/>
      <c r="X9" s="24"/>
      <c r="Y9" s="23"/>
      <c r="Z9" s="26"/>
      <c r="AA9" s="26"/>
      <c r="AC9" s="18" t="str">
        <f t="shared" si="5"/>
        <v>·</v>
      </c>
      <c r="AD9" s="19" t="str">
        <f t="shared" si="6"/>
        <v>·</v>
      </c>
      <c r="AE9" s="19" t="str">
        <f t="shared" si="7"/>
        <v>·</v>
      </c>
      <c r="AF9" s="19" t="str">
        <f t="shared" si="8"/>
        <v>·</v>
      </c>
      <c r="AG9" s="20"/>
      <c r="AH9" s="19" t="str">
        <f t="shared" si="9"/>
        <v>·</v>
      </c>
      <c r="AI9" s="21"/>
      <c r="AJ9" s="22"/>
      <c r="AK9" s="22"/>
      <c r="AL9" s="22"/>
      <c r="AM9" s="23"/>
      <c r="AN9" s="24"/>
      <c r="AO9" s="24"/>
      <c r="AP9" s="24"/>
      <c r="AQ9" s="24"/>
      <c r="AR9" s="24"/>
      <c r="AS9" s="25"/>
      <c r="AT9" s="26"/>
      <c r="AU9" s="26"/>
      <c r="AW9" s="27" t="e">
        <f t="shared" si="10"/>
        <v>#DIV/0!</v>
      </c>
      <c r="AX9" s="27"/>
      <c r="AZ9" s="28"/>
      <c r="BA9" s="28"/>
      <c r="BB9" s="28"/>
      <c r="BC9" s="28"/>
      <c r="BD9" s="28"/>
      <c r="BE9" s="29"/>
      <c r="BG9" s="28"/>
      <c r="BH9" s="28"/>
      <c r="BI9" s="28"/>
      <c r="BJ9" s="28"/>
      <c r="BK9" s="28"/>
      <c r="BL9" s="29"/>
    </row>
    <row r="10" spans="1:64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4"/>
      <c r="X10" s="54"/>
      <c r="Y10" s="53"/>
      <c r="Z10" s="56"/>
      <c r="AA10" s="56"/>
      <c r="AC10" s="48" t="str">
        <f t="shared" si="5"/>
        <v>·</v>
      </c>
      <c r="AD10" s="49" t="str">
        <f t="shared" si="6"/>
        <v>·</v>
      </c>
      <c r="AE10" s="49" t="str">
        <f t="shared" si="7"/>
        <v>·</v>
      </c>
      <c r="AF10" s="49" t="str">
        <f t="shared" si="8"/>
        <v>·</v>
      </c>
      <c r="AG10" s="50"/>
      <c r="AH10" s="49" t="str">
        <f t="shared" si="9"/>
        <v>·</v>
      </c>
      <c r="AI10" s="51"/>
      <c r="AJ10" s="52"/>
      <c r="AK10" s="52"/>
      <c r="AL10" s="52"/>
      <c r="AM10" s="53"/>
      <c r="AN10" s="54"/>
      <c r="AO10" s="54"/>
      <c r="AP10" s="54"/>
      <c r="AQ10" s="54"/>
      <c r="AR10" s="54"/>
      <c r="AS10" s="55"/>
      <c r="AT10" s="56"/>
      <c r="AU10" s="56"/>
      <c r="AW10" s="57" t="e">
        <f t="shared" si="10"/>
        <v>#DIV/0!</v>
      </c>
      <c r="AX10" s="57"/>
      <c r="AZ10" s="58"/>
      <c r="BA10" s="58"/>
      <c r="BB10" s="58"/>
      <c r="BC10" s="58"/>
      <c r="BD10" s="58"/>
      <c r="BE10" s="59"/>
      <c r="BG10" s="58"/>
      <c r="BH10" s="58"/>
      <c r="BI10" s="58"/>
      <c r="BJ10" s="58"/>
      <c r="BK10" s="58"/>
      <c r="BL10" s="59"/>
    </row>
    <row r="11" spans="1:64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>
        <f t="shared" si="1"/>
        <v>4.6221051096940018E-2</v>
      </c>
      <c r="K11" s="19">
        <f t="shared" si="2"/>
        <v>7.692194952247761E-3</v>
      </c>
      <c r="L11" s="19">
        <f t="shared" si="3"/>
        <v>3.8263501645737857E-2</v>
      </c>
      <c r="M11" s="20"/>
      <c r="N11" s="19">
        <f t="shared" si="4"/>
        <v>5.0746009531814705E-2</v>
      </c>
      <c r="O11" s="21">
        <v>2361565</v>
      </c>
      <c r="P11" s="22">
        <v>119840</v>
      </c>
      <c r="Q11" s="22">
        <v>19944</v>
      </c>
      <c r="R11" s="22">
        <v>99208</v>
      </c>
      <c r="S11" s="23"/>
      <c r="T11" s="24">
        <v>64.555706900000004</v>
      </c>
      <c r="U11" s="24">
        <v>65.065640099999996</v>
      </c>
      <c r="V11" s="24">
        <v>32.227706099999999</v>
      </c>
      <c r="W11" s="24">
        <v>43.4825272</v>
      </c>
      <c r="X11" s="24">
        <v>45.741549300000003</v>
      </c>
      <c r="Y11" s="23"/>
      <c r="Z11" s="26">
        <v>3.4649999999999999</v>
      </c>
      <c r="AA11" s="26">
        <v>2.9340000000000002</v>
      </c>
      <c r="AC11" s="18" t="str">
        <f t="shared" si="5"/>
        <v>·</v>
      </c>
      <c r="AD11" s="19">
        <f t="shared" si="6"/>
        <v>4.6224136614369721E-2</v>
      </c>
      <c r="AE11" s="19">
        <f t="shared" si="7"/>
        <v>7.7014515045368678E-3</v>
      </c>
      <c r="AF11" s="19">
        <f t="shared" si="8"/>
        <v>3.8263501645737857E-2</v>
      </c>
      <c r="AG11" s="20"/>
      <c r="AH11" s="19">
        <f t="shared" si="9"/>
        <v>5.07493971158956E-2</v>
      </c>
      <c r="AI11" s="21">
        <v>2361565</v>
      </c>
      <c r="AJ11" s="22">
        <v>119848</v>
      </c>
      <c r="AK11" s="22">
        <v>19968</v>
      </c>
      <c r="AL11" s="22">
        <v>99208</v>
      </c>
      <c r="AM11" s="23"/>
      <c r="AN11" s="24">
        <v>64.555706900000004</v>
      </c>
      <c r="AO11" s="24">
        <v>65.065640099999996</v>
      </c>
      <c r="AP11" s="24">
        <v>32.227706099999999</v>
      </c>
      <c r="AQ11" s="24">
        <v>43.4825272</v>
      </c>
      <c r="AR11" s="24">
        <v>45.741549300000003</v>
      </c>
      <c r="AS11" s="25"/>
      <c r="AT11" s="26">
        <v>3.387</v>
      </c>
      <c r="AU11" s="26">
        <v>3.012</v>
      </c>
      <c r="AW11" s="27">
        <f t="shared" si="10"/>
        <v>1.8914479034368159E-4</v>
      </c>
      <c r="AX11" s="27" t="e">
        <f t="array" ref="AX11">AVERAGE(AK11:AK16/AJ11:AJ16) - AVERAGE(Q11:Q16/P11:P16)</f>
        <v>#DIV/0!</v>
      </c>
      <c r="AZ11" s="28">
        <f>IF( OR(ISBLANK(Q11:Q16),ISBLANK(AK11:AK16), ISBLANK(T11:T16),ISBLANK(AN11:AN16)), "·", bdRateExtend( Q11:Q16,T11:T16, AK11:AK16,AN11:AN16))</f>
        <v>8.9472697236547827E-3</v>
      </c>
      <c r="BA11" s="28">
        <f>IF( OR(ISBLANK(Q11:Q16),ISBLANK(AK11:AK16), ISBLANK(U11:U16),ISBLANK(AO11:AO16)), "·", bdRateExtend( Q11:Q16,U11:U16, AK11:AK16,AO11:AO16))</f>
        <v>7.1920634985154219E-3</v>
      </c>
      <c r="BB11" s="28">
        <f>IF( OR(ISBLANK(R11:R16),ISBLANK(AL11:AL16), ISBLANK(V11:V16),ISBLANK(AP11:AP16)), "·", bdRateExtend( R11:R16,V11:V16, AL11:AL16,AP11:AP16))</f>
        <v>0</v>
      </c>
      <c r="BC11" s="28">
        <f>IF( OR(ISBLANK(R11:R16),ISBLANK(AL11:AL16), ISBLANK(W11:W16),ISBLANK(AQ11:AQ16)), "·", bdRateExtend( R11:R16,W11:W16, AL11:AL16,AQ11:AQ16))</f>
        <v>0</v>
      </c>
      <c r="BD11" s="28">
        <f>IF( OR(ISBLANK(R11:R16),ISBLANK(AL11:AL16), ISBLANK(X11:X16),ISBLANK(AR11:AR16)), "·", bdRateExtend( R11:R16,X11:X16, AL11:AL16,AR11:AR16))</f>
        <v>0</v>
      </c>
      <c r="BE11" s="29"/>
      <c r="BG11" s="28">
        <f>IF( OR(ISBLANK(P11:P16),ISBLANK(AJ11:AJ16), ISBLANK(T11:T16),ISBLANK(AN11:AN16)), "·", bdRateExtend( P11:P16,T11:T16, AJ11:AJ16,AN11:AN16))</f>
        <v>6.1881652583251068E-5</v>
      </c>
      <c r="BH11" s="28">
        <f>IF( OR(ISBLANK(P11:P16),ISBLANK(AJ11:AJ16), ISBLANK(U11:U16),ISBLANK(AO11:AO16)), "·", bdRateExtend( P11:P16,U11:U16, AJ11:AJ16,AO11:AO16))</f>
        <v>2.2100072798236781E-5</v>
      </c>
      <c r="BI11" s="28">
        <f>IF( OR(ISBLANK(P11:P16),ISBLANK(AJ11:AJ16), ISBLANK(V11:V16),ISBLANK(AP11:AP16)), "·", bdRateExtend( P11:P16,V11:V16, AJ11:AJ16,AP11:AP16))</f>
        <v>1.0474636283186456E-4</v>
      </c>
      <c r="BJ11" s="28">
        <f>IF( OR(ISBLANK(P11:P16),ISBLANK(AJ11:AJ16), ISBLANK(W11:W16),ISBLANK(AQ11:AQ16)), "·", bdRateExtend( P11:P16,W11:W16, AJ11:AJ16,AQ11:AQ16))</f>
        <v>1.9869925767390662E-4</v>
      </c>
      <c r="BK11" s="28">
        <f>IF( OR(ISBLANK(P11:P16),ISBLANK(AJ11:AJ16), ISBLANK(X11:X16),ISBLANK(AR11:AR16)), "·", bdRateExtend( P11:P16,X11:X16, AJ11:AJ16,AR11:AR16))</f>
        <v>1.191399751931943E-4</v>
      </c>
      <c r="BL11" s="29"/>
    </row>
    <row r="12" spans="1:64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>
        <f t="shared" si="1"/>
        <v>0.10111549168877311</v>
      </c>
      <c r="K12" s="34">
        <f t="shared" si="2"/>
        <v>2.2570559998272111E-2</v>
      </c>
      <c r="L12" s="34">
        <f t="shared" si="3"/>
        <v>7.8279577191546601E-2</v>
      </c>
      <c r="M12" s="35"/>
      <c r="N12" s="34">
        <f t="shared" si="4"/>
        <v>0.12077478511718243</v>
      </c>
      <c r="O12" s="36">
        <v>2170718</v>
      </c>
      <c r="P12" s="37">
        <v>262168</v>
      </c>
      <c r="Q12" s="37">
        <v>58520</v>
      </c>
      <c r="R12" s="37">
        <v>202960</v>
      </c>
      <c r="S12" s="38"/>
      <c r="T12" s="39">
        <v>69.728556600000005</v>
      </c>
      <c r="U12" s="39">
        <v>73.036275599999996</v>
      </c>
      <c r="V12" s="39">
        <v>35.846152199999999</v>
      </c>
      <c r="W12" s="39">
        <v>44.4473336</v>
      </c>
      <c r="X12" s="39">
        <v>47.590812999999997</v>
      </c>
      <c r="Y12" s="38"/>
      <c r="Z12" s="41">
        <v>3.4159999999999999</v>
      </c>
      <c r="AA12" s="41">
        <v>2.95</v>
      </c>
      <c r="AC12" s="33" t="str">
        <f t="shared" si="5"/>
        <v>·</v>
      </c>
      <c r="AD12" s="34">
        <f t="shared" si="6"/>
        <v>0.1010969785841949</v>
      </c>
      <c r="AE12" s="34">
        <f t="shared" si="7"/>
        <v>2.2604500689998835E-2</v>
      </c>
      <c r="AF12" s="34">
        <f t="shared" si="8"/>
        <v>7.8279577191546601E-2</v>
      </c>
      <c r="AG12" s="35"/>
      <c r="AH12" s="34">
        <f t="shared" si="9"/>
        <v>0.12075267261800013</v>
      </c>
      <c r="AI12" s="36">
        <v>2170718</v>
      </c>
      <c r="AJ12" s="37">
        <v>262120</v>
      </c>
      <c r="AK12" s="37">
        <v>58608</v>
      </c>
      <c r="AL12" s="37">
        <v>202960</v>
      </c>
      <c r="AM12" s="38"/>
      <c r="AN12" s="39">
        <v>69.728556600000005</v>
      </c>
      <c r="AO12" s="39">
        <v>73.036275599999996</v>
      </c>
      <c r="AP12" s="39">
        <v>35.846152199999999</v>
      </c>
      <c r="AQ12" s="39">
        <v>44.4473336</v>
      </c>
      <c r="AR12" s="39">
        <v>47.590812999999997</v>
      </c>
      <c r="AS12" s="40"/>
      <c r="AT12" s="41">
        <v>3.5910000000000002</v>
      </c>
      <c r="AU12" s="41">
        <v>2.84</v>
      </c>
      <c r="AW12" s="42">
        <f t="shared" si="10"/>
        <v>3.7659984397644952E-4</v>
      </c>
      <c r="AX12" s="42"/>
      <c r="AZ12" s="43"/>
      <c r="BA12" s="43"/>
      <c r="BB12" s="43"/>
      <c r="BC12" s="43"/>
      <c r="BD12" s="43"/>
      <c r="BE12" s="44"/>
      <c r="BG12" s="43"/>
      <c r="BH12" s="43"/>
      <c r="BI12" s="43"/>
      <c r="BJ12" s="43"/>
      <c r="BK12" s="43"/>
      <c r="BL12" s="44"/>
    </row>
    <row r="13" spans="1:64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>
        <f t="shared" si="1"/>
        <v>0.25434845828264729</v>
      </c>
      <c r="K13" s="19">
        <f t="shared" si="2"/>
        <v>7.3148361705951737E-2</v>
      </c>
      <c r="L13" s="19">
        <f t="shared" si="3"/>
        <v>0.18093474207774116</v>
      </c>
      <c r="M13" s="20"/>
      <c r="N13" s="19">
        <f t="shared" si="4"/>
        <v>0.29210054122385953</v>
      </c>
      <c r="O13" s="21">
        <v>2257661</v>
      </c>
      <c r="P13" s="22">
        <v>659464</v>
      </c>
      <c r="Q13" s="22">
        <v>189656</v>
      </c>
      <c r="R13" s="22">
        <v>469120</v>
      </c>
      <c r="S13" s="23"/>
      <c r="T13" s="24">
        <v>74.804639100000003</v>
      </c>
      <c r="U13" s="24">
        <v>78.233147500000001</v>
      </c>
      <c r="V13" s="24">
        <v>38.859093700000003</v>
      </c>
      <c r="W13" s="24">
        <v>45.732737999999998</v>
      </c>
      <c r="X13" s="24">
        <v>49.1174052</v>
      </c>
      <c r="Y13" s="23"/>
      <c r="Z13" s="26">
        <v>4.5759999999999996</v>
      </c>
      <c r="AA13" s="26">
        <v>3.8090000000000002</v>
      </c>
      <c r="AC13" s="18" t="str">
        <f t="shared" si="5"/>
        <v>·</v>
      </c>
      <c r="AD13" s="19">
        <f t="shared" si="6"/>
        <v>0.25444410932296807</v>
      </c>
      <c r="AE13" s="19">
        <f t="shared" si="7"/>
        <v>7.4401081782410852E-2</v>
      </c>
      <c r="AF13" s="19">
        <f t="shared" si="8"/>
        <v>0.18093474207774116</v>
      </c>
      <c r="AG13" s="20"/>
      <c r="AH13" s="19">
        <f t="shared" si="9"/>
        <v>0.2922103894251617</v>
      </c>
      <c r="AI13" s="21">
        <v>2257661</v>
      </c>
      <c r="AJ13" s="22">
        <v>659712</v>
      </c>
      <c r="AK13" s="22">
        <v>192904</v>
      </c>
      <c r="AL13" s="22">
        <v>469120</v>
      </c>
      <c r="AM13" s="23"/>
      <c r="AN13" s="24">
        <v>74.804639100000003</v>
      </c>
      <c r="AO13" s="24">
        <v>78.233147500000001</v>
      </c>
      <c r="AP13" s="24">
        <v>38.859093700000003</v>
      </c>
      <c r="AQ13" s="24">
        <v>45.732737999999998</v>
      </c>
      <c r="AR13" s="24">
        <v>49.1174052</v>
      </c>
      <c r="AS13" s="25"/>
      <c r="AT13" s="26">
        <v>4.45</v>
      </c>
      <c r="AU13" s="26">
        <v>3.9180000000000001</v>
      </c>
      <c r="AW13" s="27">
        <f t="shared" si="10"/>
        <v>4.8152487731231708E-3</v>
      </c>
      <c r="AX13" s="27"/>
      <c r="AZ13" s="28"/>
      <c r="BA13" s="28"/>
      <c r="BB13" s="28"/>
      <c r="BC13" s="28"/>
      <c r="BD13" s="28"/>
      <c r="BE13" s="29"/>
      <c r="BG13" s="28"/>
      <c r="BH13" s="28"/>
      <c r="BI13" s="28"/>
      <c r="BJ13" s="28"/>
      <c r="BK13" s="28"/>
      <c r="BL13" s="29"/>
    </row>
    <row r="14" spans="1:64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>
        <f t="shared" si="1"/>
        <v>0.64664114429499397</v>
      </c>
      <c r="K14" s="34">
        <f t="shared" si="2"/>
        <v>0.22473983302722428</v>
      </c>
      <c r="L14" s="34">
        <f t="shared" si="3"/>
        <v>0.42163595676881527</v>
      </c>
      <c r="M14" s="35"/>
      <c r="N14" s="34">
        <f t="shared" si="4"/>
        <v>0.67735458311550534</v>
      </c>
      <c r="O14" s="36">
        <v>2475194</v>
      </c>
      <c r="P14" s="37">
        <v>1676584</v>
      </c>
      <c r="Q14" s="37">
        <v>582696</v>
      </c>
      <c r="R14" s="37">
        <v>1093200</v>
      </c>
      <c r="S14" s="38"/>
      <c r="T14" s="39">
        <v>77.082859900000003</v>
      </c>
      <c r="U14" s="39">
        <v>80.631966199999994</v>
      </c>
      <c r="V14" s="39">
        <v>41.2034485</v>
      </c>
      <c r="W14" s="39">
        <v>47.113899000000004</v>
      </c>
      <c r="X14" s="39">
        <v>50.457027600000004</v>
      </c>
      <c r="Y14" s="38"/>
      <c r="Z14" s="41">
        <v>7.6369999999999996</v>
      </c>
      <c r="AA14" s="41">
        <v>6.4809999999999999</v>
      </c>
      <c r="AC14" s="33" t="str">
        <f t="shared" si="5"/>
        <v>·</v>
      </c>
      <c r="AD14" s="34">
        <f t="shared" si="6"/>
        <v>0.64704534707828498</v>
      </c>
      <c r="AE14" s="34">
        <f t="shared" si="7"/>
        <v>0.23741513862844121</v>
      </c>
      <c r="AF14" s="34">
        <f t="shared" si="8"/>
        <v>0.42163595676881527</v>
      </c>
      <c r="AG14" s="35"/>
      <c r="AH14" s="34">
        <f t="shared" si="9"/>
        <v>0.67777798427113189</v>
      </c>
      <c r="AI14" s="36">
        <v>2475194</v>
      </c>
      <c r="AJ14" s="37">
        <v>1677632</v>
      </c>
      <c r="AK14" s="37">
        <v>615560</v>
      </c>
      <c r="AL14" s="37">
        <v>1093200</v>
      </c>
      <c r="AM14" s="38"/>
      <c r="AN14" s="39">
        <v>77.082859900000003</v>
      </c>
      <c r="AO14" s="39">
        <v>80.631966199999994</v>
      </c>
      <c r="AP14" s="39">
        <v>41.2034485</v>
      </c>
      <c r="AQ14" s="39">
        <v>47.113899000000004</v>
      </c>
      <c r="AR14" s="39">
        <v>50.457027600000004</v>
      </c>
      <c r="AS14" s="40"/>
      <c r="AT14" s="41">
        <v>7.3390000000000004</v>
      </c>
      <c r="AU14" s="41">
        <v>6.4180000000000001</v>
      </c>
      <c r="AW14" s="42">
        <f t="shared" si="10"/>
        <v>1.9372405915488E-2</v>
      </c>
      <c r="AX14" s="42"/>
      <c r="AZ14" s="43"/>
      <c r="BA14" s="43"/>
      <c r="BB14" s="43"/>
      <c r="BC14" s="43"/>
      <c r="BD14" s="43"/>
      <c r="BE14" s="44"/>
      <c r="BG14" s="43"/>
      <c r="BH14" s="43"/>
      <c r="BI14" s="43"/>
      <c r="BJ14" s="43"/>
      <c r="BK14" s="43"/>
      <c r="BL14" s="44"/>
    </row>
    <row r="15" spans="1:64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4"/>
      <c r="X15" s="24"/>
      <c r="Y15" s="23"/>
      <c r="Z15" s="26"/>
      <c r="AA15" s="26"/>
      <c r="AC15" s="18" t="str">
        <f t="shared" si="5"/>
        <v>·</v>
      </c>
      <c r="AD15" s="19" t="str">
        <f t="shared" si="6"/>
        <v>·</v>
      </c>
      <c r="AE15" s="19" t="str">
        <f t="shared" si="7"/>
        <v>·</v>
      </c>
      <c r="AF15" s="19" t="str">
        <f t="shared" si="8"/>
        <v>·</v>
      </c>
      <c r="AG15" s="20"/>
      <c r="AH15" s="19" t="str">
        <f t="shared" si="9"/>
        <v>·</v>
      </c>
      <c r="AI15" s="21"/>
      <c r="AJ15" s="22"/>
      <c r="AK15" s="22"/>
      <c r="AL15" s="22"/>
      <c r="AM15" s="23"/>
      <c r="AN15" s="24"/>
      <c r="AO15" s="24"/>
      <c r="AP15" s="24"/>
      <c r="AQ15" s="24"/>
      <c r="AR15" s="24"/>
      <c r="AS15" s="25"/>
      <c r="AT15" s="26"/>
      <c r="AU15" s="26"/>
      <c r="AW15" s="27" t="e">
        <f t="shared" si="10"/>
        <v>#DIV/0!</v>
      </c>
      <c r="AX15" s="27"/>
      <c r="AZ15" s="28"/>
      <c r="BA15" s="28"/>
      <c r="BB15" s="28"/>
      <c r="BC15" s="28"/>
      <c r="BD15" s="28"/>
      <c r="BE15" s="29"/>
      <c r="BG15" s="28"/>
      <c r="BH15" s="28"/>
      <c r="BI15" s="28"/>
      <c r="BJ15" s="28"/>
      <c r="BK15" s="28"/>
      <c r="BL15" s="29"/>
    </row>
    <row r="16" spans="1:64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4"/>
      <c r="X16" s="54"/>
      <c r="Y16" s="53"/>
      <c r="Z16" s="56"/>
      <c r="AA16" s="56"/>
      <c r="AC16" s="48" t="str">
        <f t="shared" si="5"/>
        <v>·</v>
      </c>
      <c r="AD16" s="49" t="str">
        <f t="shared" si="6"/>
        <v>·</v>
      </c>
      <c r="AE16" s="49" t="str">
        <f t="shared" si="7"/>
        <v>·</v>
      </c>
      <c r="AF16" s="49" t="str">
        <f t="shared" si="8"/>
        <v>·</v>
      </c>
      <c r="AG16" s="50"/>
      <c r="AH16" s="49" t="str">
        <f t="shared" si="9"/>
        <v>·</v>
      </c>
      <c r="AI16" s="51"/>
      <c r="AJ16" s="52"/>
      <c r="AK16" s="52"/>
      <c r="AL16" s="52"/>
      <c r="AM16" s="53"/>
      <c r="AN16" s="54"/>
      <c r="AO16" s="54"/>
      <c r="AP16" s="54"/>
      <c r="AQ16" s="54"/>
      <c r="AR16" s="54"/>
      <c r="AS16" s="55"/>
      <c r="AT16" s="56"/>
      <c r="AU16" s="56"/>
      <c r="AW16" s="57" t="e">
        <f t="shared" si="10"/>
        <v>#DIV/0!</v>
      </c>
      <c r="AX16" s="57"/>
      <c r="AZ16" s="58"/>
      <c r="BA16" s="58"/>
      <c r="BB16" s="58"/>
      <c r="BC16" s="58"/>
      <c r="BD16" s="58"/>
      <c r="BE16" s="59"/>
      <c r="BG16" s="58"/>
      <c r="BH16" s="58"/>
      <c r="BI16" s="58"/>
      <c r="BJ16" s="58"/>
      <c r="BK16" s="58"/>
      <c r="BL16" s="59"/>
    </row>
    <row r="17" spans="1:64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>
        <f t="shared" si="1"/>
        <v>3.7006663375806763E-2</v>
      </c>
      <c r="K17" s="19">
        <f t="shared" si="2"/>
        <v>6.4760183713690267E-3</v>
      </c>
      <c r="L17" s="19">
        <f t="shared" si="3"/>
        <v>3.0327777032341931E-2</v>
      </c>
      <c r="M17" s="20"/>
      <c r="N17" s="19">
        <f t="shared" si="4"/>
        <v>4.2555119059887229E-2</v>
      </c>
      <c r="O17" s="21">
        <v>3532172</v>
      </c>
      <c r="P17" s="22">
        <v>150312</v>
      </c>
      <c r="Q17" s="22">
        <v>26304</v>
      </c>
      <c r="R17" s="22">
        <v>123184</v>
      </c>
      <c r="S17" s="23"/>
      <c r="T17" s="24">
        <v>60.379426000000002</v>
      </c>
      <c r="U17" s="24">
        <v>64.650964700000003</v>
      </c>
      <c r="V17" s="24">
        <v>28.5174904</v>
      </c>
      <c r="W17" s="24">
        <v>42.3791248</v>
      </c>
      <c r="X17" s="24">
        <v>44.266030200000003</v>
      </c>
      <c r="Y17" s="23"/>
      <c r="Z17" s="26">
        <v>4.9640000000000004</v>
      </c>
      <c r="AA17" s="26">
        <v>4.01</v>
      </c>
      <c r="AC17" s="18" t="str">
        <f t="shared" si="5"/>
        <v>·</v>
      </c>
      <c r="AD17" s="19">
        <f t="shared" si="6"/>
        <v>3.7030298479351909E-2</v>
      </c>
      <c r="AE17" s="19">
        <f t="shared" si="7"/>
        <v>6.4720791874448361E-3</v>
      </c>
      <c r="AF17" s="19">
        <f t="shared" si="8"/>
        <v>3.0327777032341931E-2</v>
      </c>
      <c r="AG17" s="20"/>
      <c r="AH17" s="19">
        <f t="shared" si="9"/>
        <v>4.2582297804297183E-2</v>
      </c>
      <c r="AI17" s="21">
        <v>3532172</v>
      </c>
      <c r="AJ17" s="22">
        <v>150408</v>
      </c>
      <c r="AK17" s="22">
        <v>26288</v>
      </c>
      <c r="AL17" s="22">
        <v>123184</v>
      </c>
      <c r="AM17" s="23"/>
      <c r="AN17" s="24">
        <v>60.379426000000002</v>
      </c>
      <c r="AO17" s="24">
        <v>64.650964700000003</v>
      </c>
      <c r="AP17" s="24">
        <v>28.5174904</v>
      </c>
      <c r="AQ17" s="24">
        <v>42.3791248</v>
      </c>
      <c r="AR17" s="24">
        <v>44.266030200000003</v>
      </c>
      <c r="AS17" s="25"/>
      <c r="AT17" s="26">
        <v>5.0720000000000001</v>
      </c>
      <c r="AU17" s="26">
        <v>3.996</v>
      </c>
      <c r="AW17" s="27">
        <f t="shared" si="10"/>
        <v>-2.180709589719998E-4</v>
      </c>
      <c r="AX17" s="27" t="e">
        <f t="array" ref="AX17">AVERAGE(AK17:AK22/AJ17:AJ22) - AVERAGE(Q17:Q22/P17:P22)</f>
        <v>#DIV/0!</v>
      </c>
      <c r="AZ17" s="28">
        <f>IF( OR(ISBLANK(Q17:Q22),ISBLANK(AK17:AK22), ISBLANK(T17:T22),ISBLANK(AN17:AN22)), "·", bdRateExtend( Q17:Q22,T17:T22, AK17:AK22,AN17:AN22))</f>
        <v>5.7049097625458955E-3</v>
      </c>
      <c r="BA17" s="28">
        <f>IF( OR(ISBLANK(Q17:Q22),ISBLANK(AK17:AK22), ISBLANK(U17:U22),ISBLANK(AO17:AO22)), "·", bdRateExtend( Q17:Q22,U17:U22, AK17:AK22,AO17:AO22))</f>
        <v>5.4202907101603692E-3</v>
      </c>
      <c r="BB17" s="28">
        <f>IF( OR(ISBLANK(R17:R22),ISBLANK(AL17:AL22), ISBLANK(V17:V22),ISBLANK(AP17:AP22)), "·", bdRateExtend( R17:R22,V17:V22, AL17:AL22,AP17:AP22))</f>
        <v>0</v>
      </c>
      <c r="BC17" s="28">
        <f>IF( OR(ISBLANK(R17:R22),ISBLANK(AL17:AL22), ISBLANK(W17:W22),ISBLANK(AQ17:AQ22)), "·", bdRateExtend( R17:R22,W17:W22, AL17:AL22,AQ17:AQ22))</f>
        <v>0</v>
      </c>
      <c r="BD17" s="28">
        <f>IF( OR(ISBLANK(R17:R22),ISBLANK(AL17:AL22), ISBLANK(X17:X22),ISBLANK(AR17:AR22)), "·", bdRateExtend( R17:R22,X17:X22, AL17:AL22,AR17:AR22))</f>
        <v>0</v>
      </c>
      <c r="BE17" s="29"/>
      <c r="BG17" s="28">
        <f>IF( OR(ISBLANK(P17:P22),ISBLANK(AJ17:AJ22), ISBLANK(T17:T22),ISBLANK(AN17:AN22)), "·", bdRateExtend( P17:P22,T17:T22, AJ17:AJ22,AN17:AN22))</f>
        <v>4.6435786880993923E-4</v>
      </c>
      <c r="BH17" s="28">
        <f>IF( OR(ISBLANK(P17:P22),ISBLANK(AJ17:AJ22), ISBLANK(U17:U22),ISBLANK(AO17:AO22)), "·", bdRateExtend( P17:P22,U17:U22, AJ17:AJ22,AO17:AO22))</f>
        <v>4.7379258940183355E-4</v>
      </c>
      <c r="BI17" s="28">
        <f>IF( OR(ISBLANK(P17:P22),ISBLANK(AJ17:AJ22), ISBLANK(V17:V22),ISBLANK(AP17:AP22)), "·", bdRateExtend( P17:P22,V17:V22, AJ17:AJ22,AP17:AP22))</f>
        <v>3.7984444438721177E-4</v>
      </c>
      <c r="BJ17" s="28">
        <f>IF( OR(ISBLANK(P17:P22),ISBLANK(AJ17:AJ22), ISBLANK(W17:W22),ISBLANK(AQ17:AQ22)), "·", bdRateExtend( P17:P22,W17:W22, AJ17:AJ22,AQ17:AQ22))</f>
        <v>3.9478713767060469E-4</v>
      </c>
      <c r="BK17" s="28">
        <f>IF( OR(ISBLANK(P17:P22),ISBLANK(AJ17:AJ22), ISBLANK(X17:X22),ISBLANK(AR17:AR22)), "·", bdRateExtend( P17:P22,X17:X22, AJ17:AJ22,AR17:AR22))</f>
        <v>4.0314006588948459E-4</v>
      </c>
      <c r="BL17" s="29"/>
    </row>
    <row r="18" spans="1:64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>
        <f t="shared" si="1"/>
        <v>0.12283360271606732</v>
      </c>
      <c r="K18" s="34">
        <f t="shared" si="2"/>
        <v>2.1533548921586852E-2</v>
      </c>
      <c r="L18" s="34">
        <f t="shared" si="3"/>
        <v>0.10109718582238465</v>
      </c>
      <c r="M18" s="35"/>
      <c r="N18" s="34">
        <f t="shared" si="4"/>
        <v>0.14462195440808251</v>
      </c>
      <c r="O18" s="36">
        <v>3449822</v>
      </c>
      <c r="P18" s="37">
        <v>498920</v>
      </c>
      <c r="Q18" s="37">
        <v>87464</v>
      </c>
      <c r="R18" s="37">
        <v>410632</v>
      </c>
      <c r="S18" s="38"/>
      <c r="T18" s="39">
        <v>67.356421699999999</v>
      </c>
      <c r="U18" s="39">
        <v>71.762189100000001</v>
      </c>
      <c r="V18" s="39">
        <v>30.601611599999998</v>
      </c>
      <c r="W18" s="39">
        <v>43.483237199999998</v>
      </c>
      <c r="X18" s="39">
        <v>45.348677100000003</v>
      </c>
      <c r="Y18" s="38"/>
      <c r="Z18" s="41">
        <v>5.3529999999999998</v>
      </c>
      <c r="AA18" s="41">
        <v>4.306</v>
      </c>
      <c r="AC18" s="33" t="str">
        <f t="shared" si="5"/>
        <v>·</v>
      </c>
      <c r="AD18" s="34">
        <f t="shared" si="6"/>
        <v>0.12290056884277856</v>
      </c>
      <c r="AE18" s="34">
        <f t="shared" si="7"/>
        <v>2.1504005042155425E-2</v>
      </c>
      <c r="AF18" s="34">
        <f t="shared" si="8"/>
        <v>0.10109718582238465</v>
      </c>
      <c r="AG18" s="35"/>
      <c r="AH18" s="34">
        <f t="shared" si="9"/>
        <v>0.14470079905571939</v>
      </c>
      <c r="AI18" s="36">
        <v>3449822</v>
      </c>
      <c r="AJ18" s="37">
        <v>499192</v>
      </c>
      <c r="AK18" s="37">
        <v>87344</v>
      </c>
      <c r="AL18" s="37">
        <v>410632</v>
      </c>
      <c r="AM18" s="38"/>
      <c r="AN18" s="39">
        <v>67.356421699999999</v>
      </c>
      <c r="AO18" s="39">
        <v>71.762189100000001</v>
      </c>
      <c r="AP18" s="39">
        <v>30.601611599999998</v>
      </c>
      <c r="AQ18" s="39">
        <v>43.483237199999998</v>
      </c>
      <c r="AR18" s="39">
        <v>45.348677100000003</v>
      </c>
      <c r="AS18" s="40"/>
      <c r="AT18" s="41">
        <v>5.3070000000000004</v>
      </c>
      <c r="AU18" s="41">
        <v>4.3220000000000001</v>
      </c>
      <c r="AW18" s="42">
        <f t="shared" si="10"/>
        <v>-3.359096543419926E-4</v>
      </c>
      <c r="AX18" s="42"/>
      <c r="AZ18" s="43"/>
      <c r="BA18" s="43"/>
      <c r="BB18" s="43"/>
      <c r="BC18" s="43"/>
      <c r="BD18" s="43"/>
      <c r="BE18" s="44"/>
      <c r="BG18" s="43"/>
      <c r="BH18" s="43"/>
      <c r="BI18" s="43"/>
      <c r="BJ18" s="43"/>
      <c r="BK18" s="43"/>
      <c r="BL18" s="44"/>
    </row>
    <row r="19" spans="1:64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>
        <f t="shared" si="1"/>
        <v>0.47706077791496532</v>
      </c>
      <c r="K19" s="19">
        <f t="shared" si="2"/>
        <v>8.138353987377378E-2</v>
      </c>
      <c r="L19" s="19">
        <f t="shared" si="3"/>
        <v>0.39547437006909575</v>
      </c>
      <c r="M19" s="20"/>
      <c r="N19" s="19">
        <f t="shared" si="4"/>
        <v>0.5230107238974947</v>
      </c>
      <c r="O19" s="21">
        <v>3704903</v>
      </c>
      <c r="P19" s="22">
        <v>1937704</v>
      </c>
      <c r="Q19" s="22">
        <v>330560</v>
      </c>
      <c r="R19" s="22">
        <v>1606320</v>
      </c>
      <c r="S19" s="23"/>
      <c r="T19" s="24">
        <v>73.415104400000004</v>
      </c>
      <c r="U19" s="24">
        <v>76.776845199999997</v>
      </c>
      <c r="V19" s="24">
        <v>33.409351700000002</v>
      </c>
      <c r="W19" s="24">
        <v>44.739324799999999</v>
      </c>
      <c r="X19" s="24">
        <v>46.518696300000002</v>
      </c>
      <c r="Y19" s="23"/>
      <c r="Z19" s="26">
        <v>7.4649999999999999</v>
      </c>
      <c r="AA19" s="26">
        <v>5.8070000000000004</v>
      </c>
      <c r="AC19" s="18" t="str">
        <f t="shared" si="5"/>
        <v>·</v>
      </c>
      <c r="AD19" s="19">
        <f t="shared" si="6"/>
        <v>0.47719077098446361</v>
      </c>
      <c r="AE19" s="19">
        <f t="shared" si="7"/>
        <v>8.2490450556471279E-2</v>
      </c>
      <c r="AF19" s="19">
        <f t="shared" si="8"/>
        <v>0.39547437006909575</v>
      </c>
      <c r="AG19" s="20"/>
      <c r="AH19" s="19">
        <f t="shared" si="9"/>
        <v>0.52315323775008415</v>
      </c>
      <c r="AI19" s="21">
        <v>3704903</v>
      </c>
      <c r="AJ19" s="22">
        <v>1938232</v>
      </c>
      <c r="AK19" s="22">
        <v>335056</v>
      </c>
      <c r="AL19" s="22">
        <v>1606320</v>
      </c>
      <c r="AM19" s="23"/>
      <c r="AN19" s="24">
        <v>73.415104400000004</v>
      </c>
      <c r="AO19" s="24">
        <v>76.776845199999997</v>
      </c>
      <c r="AP19" s="24">
        <v>33.409351700000002</v>
      </c>
      <c r="AQ19" s="24">
        <v>44.739324799999999</v>
      </c>
      <c r="AR19" s="24">
        <v>46.518696300000002</v>
      </c>
      <c r="AS19" s="25"/>
      <c r="AT19" s="26">
        <v>7.1059999999999999</v>
      </c>
      <c r="AU19" s="26">
        <v>5.7910000000000004</v>
      </c>
      <c r="AW19" s="27">
        <f t="shared" si="10"/>
        <v>2.2731677901559055E-3</v>
      </c>
      <c r="AX19" s="27"/>
      <c r="AZ19" s="28"/>
      <c r="BA19" s="28"/>
      <c r="BB19" s="28"/>
      <c r="BC19" s="28"/>
      <c r="BD19" s="28"/>
      <c r="BE19" s="29"/>
      <c r="BG19" s="28"/>
      <c r="BH19" s="28"/>
      <c r="BI19" s="28"/>
      <c r="BJ19" s="28"/>
      <c r="BK19" s="28"/>
      <c r="BL19" s="29"/>
    </row>
    <row r="20" spans="1:64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>
        <f t="shared" si="1"/>
        <v>1.4619138771294675</v>
      </c>
      <c r="K20" s="34">
        <f t="shared" si="2"/>
        <v>0.27737960561382952</v>
      </c>
      <c r="L20" s="34">
        <f t="shared" si="3"/>
        <v>1.1843314035435422</v>
      </c>
      <c r="M20" s="35"/>
      <c r="N20" s="34">
        <f t="shared" si="4"/>
        <v>1.5099116674354467</v>
      </c>
      <c r="O20" s="36">
        <v>3932638</v>
      </c>
      <c r="P20" s="37">
        <v>5937936</v>
      </c>
      <c r="Q20" s="37">
        <v>1126648</v>
      </c>
      <c r="R20" s="37">
        <v>4810464</v>
      </c>
      <c r="S20" s="38"/>
      <c r="T20" s="39">
        <v>76.425477099999995</v>
      </c>
      <c r="U20" s="39">
        <v>79.631892100000002</v>
      </c>
      <c r="V20" s="39">
        <v>36.559525600000001</v>
      </c>
      <c r="W20" s="39">
        <v>46.086562800000003</v>
      </c>
      <c r="X20" s="39">
        <v>47.698688300000001</v>
      </c>
      <c r="Y20" s="38"/>
      <c r="Z20" s="41">
        <v>11.994999999999999</v>
      </c>
      <c r="AA20" s="41">
        <v>9.6489999999999991</v>
      </c>
      <c r="AC20" s="33" t="str">
        <f t="shared" si="5"/>
        <v>·</v>
      </c>
      <c r="AD20" s="34">
        <f t="shared" si="6"/>
        <v>1.4621837112282745</v>
      </c>
      <c r="AE20" s="34">
        <f t="shared" si="7"/>
        <v>0.29067435135797209</v>
      </c>
      <c r="AF20" s="34">
        <f t="shared" si="8"/>
        <v>1.1843314035435422</v>
      </c>
      <c r="AG20" s="35"/>
      <c r="AH20" s="34">
        <f t="shared" si="9"/>
        <v>1.5101903607705565</v>
      </c>
      <c r="AI20" s="36">
        <v>3932638</v>
      </c>
      <c r="AJ20" s="37">
        <v>5939032</v>
      </c>
      <c r="AK20" s="37">
        <v>1180648</v>
      </c>
      <c r="AL20" s="37">
        <v>4810464</v>
      </c>
      <c r="AM20" s="38"/>
      <c r="AN20" s="39">
        <v>76.425477099999995</v>
      </c>
      <c r="AO20" s="39">
        <v>79.631892100000002</v>
      </c>
      <c r="AP20" s="39">
        <v>36.559525600000001</v>
      </c>
      <c r="AQ20" s="39">
        <v>46.086562800000003</v>
      </c>
      <c r="AR20" s="39">
        <v>47.698688300000001</v>
      </c>
      <c r="AS20" s="40"/>
      <c r="AT20" s="41">
        <v>11.244999999999999</v>
      </c>
      <c r="AU20" s="41">
        <v>9.2899999999999991</v>
      </c>
      <c r="AW20" s="42">
        <f t="shared" si="10"/>
        <v>9.057376338248907E-3</v>
      </c>
      <c r="AX20" s="42"/>
      <c r="AZ20" s="43"/>
      <c r="BA20" s="43"/>
      <c r="BB20" s="43"/>
      <c r="BC20" s="43"/>
      <c r="BD20" s="43"/>
      <c r="BE20" s="44"/>
      <c r="BG20" s="43"/>
      <c r="BH20" s="43"/>
      <c r="BI20" s="43"/>
      <c r="BJ20" s="43"/>
      <c r="BK20" s="43"/>
      <c r="BL20" s="44"/>
    </row>
    <row r="21" spans="1:64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4"/>
      <c r="X21" s="24"/>
      <c r="Y21" s="23"/>
      <c r="Z21" s="26"/>
      <c r="AA21" s="26"/>
      <c r="AC21" s="18" t="str">
        <f t="shared" si="5"/>
        <v>·</v>
      </c>
      <c r="AD21" s="19" t="str">
        <f t="shared" si="6"/>
        <v>·</v>
      </c>
      <c r="AE21" s="19" t="str">
        <f t="shared" si="7"/>
        <v>·</v>
      </c>
      <c r="AF21" s="19" t="str">
        <f t="shared" si="8"/>
        <v>·</v>
      </c>
      <c r="AG21" s="20"/>
      <c r="AH21" s="19" t="str">
        <f t="shared" si="9"/>
        <v>·</v>
      </c>
      <c r="AI21" s="21"/>
      <c r="AJ21" s="22"/>
      <c r="AK21" s="22"/>
      <c r="AL21" s="22"/>
      <c r="AM21" s="23"/>
      <c r="AN21" s="24"/>
      <c r="AO21" s="24"/>
      <c r="AP21" s="24"/>
      <c r="AQ21" s="24"/>
      <c r="AR21" s="24"/>
      <c r="AS21" s="25"/>
      <c r="AT21" s="26"/>
      <c r="AU21" s="26"/>
      <c r="AW21" s="27" t="e">
        <f t="shared" si="10"/>
        <v>#DIV/0!</v>
      </c>
      <c r="AX21" s="27"/>
      <c r="AZ21" s="28"/>
      <c r="BA21" s="28"/>
      <c r="BB21" s="28"/>
      <c r="BC21" s="28"/>
      <c r="BD21" s="28"/>
      <c r="BE21" s="29"/>
      <c r="BG21" s="28"/>
      <c r="BH21" s="28"/>
      <c r="BI21" s="28"/>
      <c r="BJ21" s="28"/>
      <c r="BK21" s="28"/>
      <c r="BL21" s="29"/>
    </row>
    <row r="22" spans="1:64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4"/>
      <c r="X22" s="54"/>
      <c r="Y22" s="53"/>
      <c r="Z22" s="56"/>
      <c r="AA22" s="56"/>
      <c r="AC22" s="48" t="str">
        <f t="shared" si="5"/>
        <v>·</v>
      </c>
      <c r="AD22" s="49" t="str">
        <f t="shared" si="6"/>
        <v>·</v>
      </c>
      <c r="AE22" s="49" t="str">
        <f t="shared" si="7"/>
        <v>·</v>
      </c>
      <c r="AF22" s="49" t="str">
        <f t="shared" si="8"/>
        <v>·</v>
      </c>
      <c r="AG22" s="50"/>
      <c r="AH22" s="49" t="str">
        <f t="shared" si="9"/>
        <v>·</v>
      </c>
      <c r="AI22" s="51"/>
      <c r="AJ22" s="52"/>
      <c r="AK22" s="52"/>
      <c r="AL22" s="52"/>
      <c r="AM22" s="53"/>
      <c r="AN22" s="54"/>
      <c r="AO22" s="54"/>
      <c r="AP22" s="54"/>
      <c r="AQ22" s="54"/>
      <c r="AR22" s="54"/>
      <c r="AS22" s="55"/>
      <c r="AT22" s="56"/>
      <c r="AU22" s="56"/>
      <c r="AW22" s="57" t="e">
        <f t="shared" si="10"/>
        <v>#DIV/0!</v>
      </c>
      <c r="AX22" s="57"/>
      <c r="AZ22" s="58"/>
      <c r="BA22" s="58"/>
      <c r="BB22" s="58"/>
      <c r="BC22" s="58"/>
      <c r="BD22" s="58"/>
      <c r="BE22" s="59"/>
      <c r="BG22" s="58"/>
      <c r="BH22" s="58"/>
      <c r="BI22" s="58"/>
      <c r="BJ22" s="58"/>
      <c r="BK22" s="58"/>
      <c r="BL22" s="59"/>
    </row>
    <row r="23" spans="1:64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>
        <f t="shared" si="1"/>
        <v>0.17472021035798621</v>
      </c>
      <c r="K23" s="19">
        <f t="shared" si="2"/>
        <v>6.937337843224557E-3</v>
      </c>
      <c r="L23" s="19">
        <f t="shared" si="3"/>
        <v>0.16726070730075551</v>
      </c>
      <c r="M23" s="20"/>
      <c r="N23" s="19">
        <f t="shared" si="4"/>
        <v>0.1877423427214524</v>
      </c>
      <c r="O23" s="21">
        <v>798456</v>
      </c>
      <c r="P23" s="22">
        <v>149904</v>
      </c>
      <c r="Q23" s="22">
        <v>5952</v>
      </c>
      <c r="R23" s="22">
        <v>143504</v>
      </c>
      <c r="S23" s="23"/>
      <c r="T23" s="24">
        <v>55.6445571</v>
      </c>
      <c r="U23" s="24">
        <v>56.0637027</v>
      </c>
      <c r="V23" s="24">
        <v>25.5643791</v>
      </c>
      <c r="W23" s="24">
        <v>32.726838299999997</v>
      </c>
      <c r="X23" s="24">
        <v>31.561361699999999</v>
      </c>
      <c r="Y23" s="23"/>
      <c r="Z23" s="26">
        <v>1.046</v>
      </c>
      <c r="AA23" s="26">
        <v>0.92100000000000004</v>
      </c>
      <c r="AC23" s="18" t="str">
        <f t="shared" si="5"/>
        <v>·</v>
      </c>
      <c r="AD23" s="19">
        <f t="shared" si="6"/>
        <v>0.17469223722152161</v>
      </c>
      <c r="AE23" s="19">
        <f t="shared" si="7"/>
        <v>6.9559866008676334E-3</v>
      </c>
      <c r="AF23" s="19">
        <f t="shared" si="8"/>
        <v>0.16726070730075551</v>
      </c>
      <c r="AG23" s="20"/>
      <c r="AH23" s="19">
        <f t="shared" si="9"/>
        <v>0.18771228470948931</v>
      </c>
      <c r="AI23" s="21">
        <v>798456</v>
      </c>
      <c r="AJ23" s="22">
        <v>149880</v>
      </c>
      <c r="AK23" s="22">
        <v>5968</v>
      </c>
      <c r="AL23" s="22">
        <v>143504</v>
      </c>
      <c r="AM23" s="23"/>
      <c r="AN23" s="24">
        <v>55.6445571</v>
      </c>
      <c r="AO23" s="24">
        <v>56.0637027</v>
      </c>
      <c r="AP23" s="24">
        <v>25.5643791</v>
      </c>
      <c r="AQ23" s="24">
        <v>32.726838299999997</v>
      </c>
      <c r="AR23" s="24">
        <v>31.561361699999999</v>
      </c>
      <c r="AS23" s="25"/>
      <c r="AT23" s="26">
        <v>1.125</v>
      </c>
      <c r="AU23" s="26">
        <v>0.96799999999999997</v>
      </c>
      <c r="AW23" s="27">
        <f t="shared" si="10"/>
        <v>1.1311002051721253E-4</v>
      </c>
      <c r="AX23" s="27" t="e">
        <f t="array" ref="AX23">AVERAGE(AK23:AK28/AJ23:AJ28) - AVERAGE(Q23:Q28/P23:P28)</f>
        <v>#DIV/0!</v>
      </c>
      <c r="AZ23" s="28">
        <f>IF( OR(ISBLANK(Q23:Q28),ISBLANK(AK23:AK28), ISBLANK(T23:T28),ISBLANK(AN23:AN28)), "·", bdRateExtend( Q23:Q28,T23:T28, AK23:AK28,AN23:AN28))</f>
        <v>9.8784891163181676E-3</v>
      </c>
      <c r="BA23" s="28">
        <f>IF( OR(ISBLANK(Q23:Q28),ISBLANK(AK23:AK28), ISBLANK(U23:U28),ISBLANK(AO23:AO28)), "·", bdRateExtend( Q23:Q28,U23:U28, AK23:AK28,AO23:AO28))</f>
        <v>1.1384153025918886E-2</v>
      </c>
      <c r="BB23" s="28">
        <f>IF( OR(ISBLANK(R23:R28),ISBLANK(AL23:AL28), ISBLANK(V23:V28),ISBLANK(AP23:AP28)), "·", bdRateExtend( R23:R28,V23:V28, AL23:AL28,AP23:AP28))</f>
        <v>0</v>
      </c>
      <c r="BC23" s="28">
        <f>IF( OR(ISBLANK(R23:R28),ISBLANK(AL23:AL28), ISBLANK(W23:W28),ISBLANK(AQ23:AQ28)), "·", bdRateExtend( R23:R28,W23:W28, AL23:AL28,AQ23:AQ28))</f>
        <v>0</v>
      </c>
      <c r="BD23" s="28">
        <f>IF( OR(ISBLANK(R23:R28),ISBLANK(AL23:AL28), ISBLANK(X23:X28),ISBLANK(AR23:AR28)), "·", bdRateExtend( R23:R28,X23:X28, AL23:AL28,AR23:AR28))</f>
        <v>0</v>
      </c>
      <c r="BE23" s="29"/>
      <c r="BG23" s="28">
        <f>IF( OR(ISBLANK(P23:P28),ISBLANK(AJ23:AJ28), ISBLANK(T23:T28),ISBLANK(AN23:AN28)), "·", bdRateExtend( P23:P28,T23:T28, AJ23:AJ28,AN23:AN28))</f>
        <v>-8.8204126540758487E-5</v>
      </c>
      <c r="BH23" s="28">
        <f>IF( OR(ISBLANK(P23:P28),ISBLANK(AJ23:AJ28), ISBLANK(U23:U28),ISBLANK(AO23:AO28)), "·", bdRateExtend( P23:P28,U23:U28, AJ23:AJ28,AO23:AO28))</f>
        <v>-7.7059457702421952E-5</v>
      </c>
      <c r="BI23" s="28">
        <f>IF( OR(ISBLANK(P23:P28),ISBLANK(AJ23:AJ28), ISBLANK(V23:V28),ISBLANK(AP23:AP28)), "·", bdRateExtend( P23:P28,V23:V28, AJ23:AJ28,AP23:AP28))</f>
        <v>-5.5839071541607943E-5</v>
      </c>
      <c r="BJ23" s="28">
        <f>IF( OR(ISBLANK(P23:P28),ISBLANK(AJ23:AJ28), ISBLANK(W23:W28),ISBLANK(AQ23:AQ28)), "·", bdRateExtend( P23:P28,W23:W28, AJ23:AJ28,AQ23:AQ28))</f>
        <v>-4.8258290594738185E-5</v>
      </c>
      <c r="BK23" s="28">
        <f>IF( OR(ISBLANK(P23:P28),ISBLANK(AJ23:AJ28), ISBLANK(X23:X28),ISBLANK(AR23:AR28)), "·", bdRateExtend( P23:P28,X23:X28, AJ23:AJ28,AR23:AR28))</f>
        <v>-5.4678888524284375E-5</v>
      </c>
      <c r="BL23" s="29"/>
    </row>
    <row r="24" spans="1:64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>
        <f t="shared" si="1"/>
        <v>0.47228911168974064</v>
      </c>
      <c r="K24" s="34">
        <f t="shared" si="2"/>
        <v>2.4485818785359794E-2</v>
      </c>
      <c r="L24" s="34">
        <f t="shared" si="3"/>
        <v>0.4472811276903747</v>
      </c>
      <c r="M24" s="35"/>
      <c r="N24" s="34">
        <f t="shared" si="4"/>
        <v>0.51573127520058648</v>
      </c>
      <c r="O24" s="36">
        <v>785696</v>
      </c>
      <c r="P24" s="37">
        <v>405208</v>
      </c>
      <c r="Q24" s="37">
        <v>21008</v>
      </c>
      <c r="R24" s="37">
        <v>383752</v>
      </c>
      <c r="S24" s="38"/>
      <c r="T24" s="39">
        <v>62.669087300000001</v>
      </c>
      <c r="U24" s="39">
        <v>63.466967099999998</v>
      </c>
      <c r="V24" s="39">
        <v>29.381278500000001</v>
      </c>
      <c r="W24" s="39">
        <v>35.896707499999998</v>
      </c>
      <c r="X24" s="39">
        <v>35.231554199999998</v>
      </c>
      <c r="Y24" s="38"/>
      <c r="Z24" s="41">
        <v>1.2809999999999999</v>
      </c>
      <c r="AA24" s="41">
        <v>1.03</v>
      </c>
      <c r="AC24" s="33" t="str">
        <f t="shared" si="5"/>
        <v>·</v>
      </c>
      <c r="AD24" s="34">
        <f t="shared" si="6"/>
        <v>0.47222384103798987</v>
      </c>
      <c r="AE24" s="34">
        <f t="shared" si="7"/>
        <v>2.4579062573575176E-2</v>
      </c>
      <c r="AF24" s="34">
        <f t="shared" si="8"/>
        <v>0.4472811276903747</v>
      </c>
      <c r="AG24" s="35"/>
      <c r="AH24" s="34">
        <f t="shared" si="9"/>
        <v>0.51566000081456442</v>
      </c>
      <c r="AI24" s="36">
        <v>785696</v>
      </c>
      <c r="AJ24" s="37">
        <v>405152</v>
      </c>
      <c r="AK24" s="37">
        <v>21088</v>
      </c>
      <c r="AL24" s="37">
        <v>383752</v>
      </c>
      <c r="AM24" s="38"/>
      <c r="AN24" s="39">
        <v>62.669087300000001</v>
      </c>
      <c r="AO24" s="39">
        <v>63.466967099999998</v>
      </c>
      <c r="AP24" s="39">
        <v>29.381278500000001</v>
      </c>
      <c r="AQ24" s="39">
        <v>35.896707499999998</v>
      </c>
      <c r="AR24" s="39">
        <v>35.231554199999998</v>
      </c>
      <c r="AS24" s="40"/>
      <c r="AT24" s="41">
        <v>1.2809999999999999</v>
      </c>
      <c r="AU24" s="41">
        <v>0.999</v>
      </c>
      <c r="AW24" s="42">
        <f t="shared" si="10"/>
        <v>2.0462275587770223E-4</v>
      </c>
      <c r="AX24" s="42"/>
      <c r="AZ24" s="43"/>
      <c r="BA24" s="43"/>
      <c r="BB24" s="43"/>
      <c r="BC24" s="43"/>
      <c r="BD24" s="43"/>
      <c r="BE24" s="44"/>
      <c r="BG24" s="43"/>
      <c r="BH24" s="43"/>
      <c r="BI24" s="43"/>
      <c r="BJ24" s="43"/>
      <c r="BK24" s="43"/>
      <c r="BL24" s="44"/>
    </row>
    <row r="25" spans="1:64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>
        <f t="shared" si="1"/>
        <v>1.1720744178673748</v>
      </c>
      <c r="K25" s="19">
        <f t="shared" si="2"/>
        <v>8.60453677651562E-2</v>
      </c>
      <c r="L25" s="19">
        <f t="shared" si="3"/>
        <v>1.0855068848882123</v>
      </c>
      <c r="M25" s="20"/>
      <c r="N25" s="19">
        <f t="shared" si="4"/>
        <v>1.2652876340027177</v>
      </c>
      <c r="O25" s="21">
        <v>794760</v>
      </c>
      <c r="P25" s="22">
        <v>1005600</v>
      </c>
      <c r="Q25" s="22">
        <v>73824</v>
      </c>
      <c r="R25" s="22">
        <v>931328</v>
      </c>
      <c r="S25" s="23"/>
      <c r="T25" s="24">
        <v>68.604806499999995</v>
      </c>
      <c r="U25" s="24">
        <v>70.4588593</v>
      </c>
      <c r="V25" s="24">
        <v>33.200805000000003</v>
      </c>
      <c r="W25" s="24">
        <v>39.401769199999997</v>
      </c>
      <c r="X25" s="24">
        <v>38.920159699999999</v>
      </c>
      <c r="Y25" s="23"/>
      <c r="Z25" s="26">
        <v>1.6080000000000001</v>
      </c>
      <c r="AA25" s="26">
        <v>1.2649999999999999</v>
      </c>
      <c r="AC25" s="18" t="str">
        <f t="shared" si="5"/>
        <v>·</v>
      </c>
      <c r="AD25" s="19">
        <f t="shared" si="6"/>
        <v>1.1721117153826608</v>
      </c>
      <c r="AE25" s="19">
        <f t="shared" si="7"/>
        <v>8.7658485301282341E-2</v>
      </c>
      <c r="AF25" s="19">
        <f t="shared" si="8"/>
        <v>1.0855068848882123</v>
      </c>
      <c r="AG25" s="20"/>
      <c r="AH25" s="19">
        <f t="shared" si="9"/>
        <v>1.2653278977301323</v>
      </c>
      <c r="AI25" s="21">
        <v>794760</v>
      </c>
      <c r="AJ25" s="22">
        <v>1005632</v>
      </c>
      <c r="AK25" s="22">
        <v>75208</v>
      </c>
      <c r="AL25" s="22">
        <v>931328</v>
      </c>
      <c r="AM25" s="23"/>
      <c r="AN25" s="24">
        <v>68.604806499999995</v>
      </c>
      <c r="AO25" s="24">
        <v>70.4588593</v>
      </c>
      <c r="AP25" s="24">
        <v>33.200805000000003</v>
      </c>
      <c r="AQ25" s="24">
        <v>39.401769199999997</v>
      </c>
      <c r="AR25" s="24">
        <v>38.920159699999999</v>
      </c>
      <c r="AS25" s="25"/>
      <c r="AT25" s="26">
        <v>1.5620000000000001</v>
      </c>
      <c r="AU25" s="26">
        <v>1.296</v>
      </c>
      <c r="AW25" s="27">
        <f t="shared" si="10"/>
        <v>1.373912910079933E-3</v>
      </c>
      <c r="AX25" s="27"/>
      <c r="AZ25" s="28"/>
      <c r="BA25" s="28"/>
      <c r="BB25" s="28"/>
      <c r="BC25" s="28"/>
      <c r="BD25" s="28"/>
      <c r="BE25" s="29"/>
      <c r="BG25" s="28"/>
      <c r="BH25" s="28"/>
      <c r="BI25" s="28"/>
      <c r="BJ25" s="28"/>
      <c r="BK25" s="28"/>
      <c r="BL25" s="29"/>
    </row>
    <row r="26" spans="1:64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>
        <f t="shared" si="1"/>
        <v>2.4899448229883236</v>
      </c>
      <c r="K26" s="34">
        <f t="shared" si="2"/>
        <v>0.26040192734910239</v>
      </c>
      <c r="L26" s="34">
        <f t="shared" si="3"/>
        <v>2.2290207304252152</v>
      </c>
      <c r="M26" s="35"/>
      <c r="N26" s="34">
        <f t="shared" si="4"/>
        <v>2.5184591371432075</v>
      </c>
      <c r="O26" s="36">
        <v>848252</v>
      </c>
      <c r="P26" s="37">
        <v>2136288</v>
      </c>
      <c r="Q26" s="37">
        <v>223416</v>
      </c>
      <c r="R26" s="37">
        <v>1912424</v>
      </c>
      <c r="S26" s="38"/>
      <c r="T26" s="39">
        <v>71.029979699999998</v>
      </c>
      <c r="U26" s="39">
        <v>73.9660966</v>
      </c>
      <c r="V26" s="39">
        <v>36.350391500000001</v>
      </c>
      <c r="W26" s="39">
        <v>42.516891000000001</v>
      </c>
      <c r="X26" s="39">
        <v>42.031444999999998</v>
      </c>
      <c r="Y26" s="38"/>
      <c r="Z26" s="41">
        <v>2.6709999999999998</v>
      </c>
      <c r="AA26" s="41">
        <v>2.2330000000000001</v>
      </c>
      <c r="AC26" s="33" t="str">
        <f t="shared" si="5"/>
        <v>·</v>
      </c>
      <c r="AD26" s="34">
        <f t="shared" si="6"/>
        <v>2.4901965812165052</v>
      </c>
      <c r="AE26" s="34">
        <f t="shared" si="7"/>
        <v>0.27614147879985917</v>
      </c>
      <c r="AF26" s="34">
        <f t="shared" si="8"/>
        <v>2.2290207304252152</v>
      </c>
      <c r="AG26" s="35"/>
      <c r="AH26" s="34">
        <f t="shared" si="9"/>
        <v>2.5187137784526294</v>
      </c>
      <c r="AI26" s="36">
        <v>848252</v>
      </c>
      <c r="AJ26" s="37">
        <v>2136504</v>
      </c>
      <c r="AK26" s="37">
        <v>236920</v>
      </c>
      <c r="AL26" s="37">
        <v>1912424</v>
      </c>
      <c r="AM26" s="38"/>
      <c r="AN26" s="39">
        <v>71.029979699999998</v>
      </c>
      <c r="AO26" s="39">
        <v>73.9660966</v>
      </c>
      <c r="AP26" s="39">
        <v>36.350391500000001</v>
      </c>
      <c r="AQ26" s="39">
        <v>42.516891000000001</v>
      </c>
      <c r="AR26" s="39">
        <v>42.031444999999998</v>
      </c>
      <c r="AS26" s="40"/>
      <c r="AT26" s="41">
        <v>2.577</v>
      </c>
      <c r="AU26" s="41">
        <v>2.1240000000000001</v>
      </c>
      <c r="AW26" s="42">
        <f t="shared" si="10"/>
        <v>6.3100328464505834E-3</v>
      </c>
      <c r="AX26" s="42"/>
      <c r="AZ26" s="43"/>
      <c r="BA26" s="43"/>
      <c r="BB26" s="43"/>
      <c r="BC26" s="43"/>
      <c r="BD26" s="43"/>
      <c r="BE26" s="44"/>
      <c r="BG26" s="43"/>
      <c r="BH26" s="43"/>
      <c r="BI26" s="43"/>
      <c r="BJ26" s="43"/>
      <c r="BK26" s="43"/>
      <c r="BL26" s="44"/>
    </row>
    <row r="27" spans="1:64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4"/>
      <c r="X27" s="24"/>
      <c r="Y27" s="23"/>
      <c r="Z27" s="26"/>
      <c r="AA27" s="26"/>
      <c r="AC27" s="18" t="str">
        <f t="shared" si="5"/>
        <v>·</v>
      </c>
      <c r="AD27" s="19" t="str">
        <f t="shared" si="6"/>
        <v>·</v>
      </c>
      <c r="AE27" s="19" t="str">
        <f t="shared" si="7"/>
        <v>·</v>
      </c>
      <c r="AF27" s="19" t="str">
        <f t="shared" si="8"/>
        <v>·</v>
      </c>
      <c r="AG27" s="20"/>
      <c r="AH27" s="19" t="str">
        <f t="shared" si="9"/>
        <v>·</v>
      </c>
      <c r="AI27" s="21"/>
      <c r="AJ27" s="22"/>
      <c r="AK27" s="22"/>
      <c r="AL27" s="22"/>
      <c r="AM27" s="23"/>
      <c r="AN27" s="24"/>
      <c r="AO27" s="24"/>
      <c r="AP27" s="24"/>
      <c r="AQ27" s="24"/>
      <c r="AR27" s="24"/>
      <c r="AS27" s="25"/>
      <c r="AT27" s="26"/>
      <c r="AU27" s="26"/>
      <c r="AW27" s="27" t="e">
        <f t="shared" si="10"/>
        <v>#DIV/0!</v>
      </c>
      <c r="AX27" s="27"/>
      <c r="AZ27" s="28"/>
      <c r="BA27" s="28"/>
      <c r="BB27" s="28"/>
      <c r="BC27" s="28"/>
      <c r="BD27" s="28"/>
      <c r="BE27" s="29"/>
      <c r="BG27" s="28"/>
      <c r="BH27" s="28"/>
      <c r="BI27" s="28"/>
      <c r="BJ27" s="28"/>
      <c r="BK27" s="28"/>
      <c r="BL27" s="29"/>
    </row>
    <row r="28" spans="1:64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4"/>
      <c r="X28" s="54"/>
      <c r="Y28" s="53"/>
      <c r="Z28" s="56"/>
      <c r="AA28" s="56"/>
      <c r="AC28" s="48" t="str">
        <f t="shared" si="5"/>
        <v>·</v>
      </c>
      <c r="AD28" s="49" t="str">
        <f t="shared" si="6"/>
        <v>·</v>
      </c>
      <c r="AE28" s="49" t="str">
        <f t="shared" si="7"/>
        <v>·</v>
      </c>
      <c r="AF28" s="49" t="str">
        <f t="shared" si="8"/>
        <v>·</v>
      </c>
      <c r="AG28" s="50"/>
      <c r="AH28" s="49" t="str">
        <f t="shared" si="9"/>
        <v>·</v>
      </c>
      <c r="AI28" s="51"/>
      <c r="AJ28" s="52"/>
      <c r="AK28" s="52"/>
      <c r="AL28" s="52"/>
      <c r="AM28" s="53"/>
      <c r="AN28" s="54"/>
      <c r="AO28" s="54"/>
      <c r="AP28" s="54"/>
      <c r="AQ28" s="54"/>
      <c r="AR28" s="54"/>
      <c r="AS28" s="55"/>
      <c r="AT28" s="56"/>
      <c r="AU28" s="56"/>
      <c r="AW28" s="57" t="e">
        <f t="shared" si="10"/>
        <v>#DIV/0!</v>
      </c>
      <c r="AX28" s="57"/>
      <c r="AZ28" s="58"/>
      <c r="BA28" s="58"/>
      <c r="BB28" s="58"/>
      <c r="BC28" s="58"/>
      <c r="BD28" s="58"/>
      <c r="BE28" s="59"/>
      <c r="BG28" s="58"/>
      <c r="BH28" s="58"/>
      <c r="BI28" s="58"/>
      <c r="BJ28" s="58"/>
      <c r="BK28" s="58"/>
      <c r="BL28" s="59"/>
    </row>
    <row r="29" spans="1:64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>
        <f t="shared" si="1"/>
        <v>3.8535425346305968E-2</v>
      </c>
      <c r="K29" s="19">
        <f t="shared" si="2"/>
        <v>7.1428127929863338E-3</v>
      </c>
      <c r="L29" s="19">
        <f t="shared" si="3"/>
        <v>3.0846222144954891E-2</v>
      </c>
      <c r="M29" s="20"/>
      <c r="N29" s="19">
        <f t="shared" si="4"/>
        <v>4.1532272095805817E-2</v>
      </c>
      <c r="O29" s="21">
        <v>747178</v>
      </c>
      <c r="P29" s="22">
        <v>31032</v>
      </c>
      <c r="Q29" s="22">
        <v>5752</v>
      </c>
      <c r="R29" s="22">
        <v>24840</v>
      </c>
      <c r="S29" s="23"/>
      <c r="T29" s="24">
        <v>55.289748799999998</v>
      </c>
      <c r="U29" s="24">
        <v>57.733209899999999</v>
      </c>
      <c r="V29" s="24">
        <v>31.202408999999999</v>
      </c>
      <c r="W29" s="24">
        <v>44.705795600000002</v>
      </c>
      <c r="X29" s="24">
        <v>43.283148699999998</v>
      </c>
      <c r="Y29" s="23"/>
      <c r="Z29" s="26">
        <v>1.0620000000000001</v>
      </c>
      <c r="AA29" s="26">
        <v>0.874</v>
      </c>
      <c r="AC29" s="18" t="str">
        <f t="shared" si="5"/>
        <v>·</v>
      </c>
      <c r="AD29" s="19">
        <f t="shared" si="6"/>
        <v>3.852549097524479E-2</v>
      </c>
      <c r="AE29" s="19">
        <f t="shared" si="7"/>
        <v>7.162681535108688E-3</v>
      </c>
      <c r="AF29" s="19">
        <f t="shared" si="8"/>
        <v>3.0846222144954891E-2</v>
      </c>
      <c r="AG29" s="20"/>
      <c r="AH29" s="19">
        <f t="shared" si="9"/>
        <v>4.152156514244263E-2</v>
      </c>
      <c r="AI29" s="21">
        <v>747178</v>
      </c>
      <c r="AJ29" s="22">
        <v>31024</v>
      </c>
      <c r="AK29" s="22">
        <v>5768</v>
      </c>
      <c r="AL29" s="22">
        <v>24840</v>
      </c>
      <c r="AM29" s="23"/>
      <c r="AN29" s="24">
        <v>55.289748799999998</v>
      </c>
      <c r="AO29" s="24">
        <v>57.733209899999999</v>
      </c>
      <c r="AP29" s="24">
        <v>31.202408999999999</v>
      </c>
      <c r="AQ29" s="24">
        <v>44.705795600000002</v>
      </c>
      <c r="AR29" s="24">
        <v>43.283148699999998</v>
      </c>
      <c r="AS29" s="25"/>
      <c r="AT29" s="26">
        <v>1.0620000000000001</v>
      </c>
      <c r="AU29" s="26">
        <v>0.92100000000000004</v>
      </c>
      <c r="AW29" s="27">
        <f t="shared" si="10"/>
        <v>5.6352683104340939E-4</v>
      </c>
      <c r="AX29" s="27" t="e">
        <f t="array" ref="AX29">AVERAGE(AK29:AK34/AJ29:AJ34) - AVERAGE(Q29:Q34/P29:P34)</f>
        <v>#DIV/0!</v>
      </c>
      <c r="AZ29" s="28">
        <f>IF( OR(ISBLANK(Q29:Q34),ISBLANK(AK29:AK34), ISBLANK(T29:T34),ISBLANK(AN29:AN34)), "·", bdRateExtend( Q29:Q34,T29:T34, AK29:AK34,AN29:AN34))</f>
        <v>9.205060140275334E-3</v>
      </c>
      <c r="BA29" s="28">
        <f>IF( OR(ISBLANK(Q29:Q34),ISBLANK(AK29:AK34), ISBLANK(U29:U34),ISBLANK(AO29:AO34)), "·", bdRateExtend( Q29:Q34,U29:U34, AK29:AK34,AO29:AO34))</f>
        <v>9.7728230662765814E-3</v>
      </c>
      <c r="BB29" s="28">
        <f>IF( OR(ISBLANK(R29:R34),ISBLANK(AL29:AL34), ISBLANK(V29:V34),ISBLANK(AP29:AP34)), "·", bdRateExtend( R29:R34,V29:V34, AL29:AL34,AP29:AP34))</f>
        <v>0</v>
      </c>
      <c r="BC29" s="28">
        <f>IF( OR(ISBLANK(R29:R34),ISBLANK(AL29:AL34), ISBLANK(W29:W34),ISBLANK(AQ29:AQ34)), "·", bdRateExtend( R29:R34,W29:W34, AL29:AL34,AQ29:AQ34))</f>
        <v>0</v>
      </c>
      <c r="BD29" s="28">
        <f>IF( OR(ISBLANK(R29:R34),ISBLANK(AL29:AL34), ISBLANK(X29:X34),ISBLANK(AR29:AR34)), "·", bdRateExtend( R29:R34,X29:X34, AL29:AL34,AR29:AR34))</f>
        <v>0</v>
      </c>
      <c r="BE29" s="29"/>
      <c r="BG29" s="28">
        <f>IF( OR(ISBLANK(P29:P34),ISBLANK(AJ29:AJ34), ISBLANK(T29:T34),ISBLANK(AN29:AN34)), "·", bdRateExtend( P29:P34,T29:T34, AJ29:AJ34,AN29:AN34))</f>
        <v>-2.7979947962586404E-4</v>
      </c>
      <c r="BH29" s="28">
        <f>IF( OR(ISBLANK(P29:P34),ISBLANK(AJ29:AJ34), ISBLANK(U29:U34),ISBLANK(AO29:AO34)), "·", bdRateExtend( P29:P34,U29:U34, AJ29:AJ34,AO29:AO34))</f>
        <v>-2.5867127396006495E-4</v>
      </c>
      <c r="BI29" s="28">
        <f>IF( OR(ISBLANK(P29:P34),ISBLANK(AJ29:AJ34), ISBLANK(V29:V34),ISBLANK(AP29:AP34)), "·", bdRateExtend( P29:P34,V29:V34, AJ29:AJ34,AP29:AP34))</f>
        <v>-1.0991188053766088E-4</v>
      </c>
      <c r="BJ29" s="28">
        <f>IF( OR(ISBLANK(P29:P34),ISBLANK(AJ29:AJ34), ISBLANK(W29:W34),ISBLANK(AQ29:AQ34)), "·", bdRateExtend( P29:P34,W29:W34, AJ29:AJ34,AQ29:AQ34))</f>
        <v>-1.7518706358909952E-4</v>
      </c>
      <c r="BK29" s="28">
        <f>IF( OR(ISBLANK(P29:P34),ISBLANK(AJ29:AJ34), ISBLANK(X29:X34),ISBLANK(AR29:AR34)), "·", bdRateExtend( P29:P34,X29:X34, AJ29:AJ34,AR29:AR34))</f>
        <v>-2.1407276450302604E-4</v>
      </c>
      <c r="BL29" s="29"/>
    </row>
    <row r="30" spans="1:64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>
        <f t="shared" si="1"/>
        <v>0.11101659660865408</v>
      </c>
      <c r="K30" s="34">
        <f t="shared" si="2"/>
        <v>2.3315968880582651E-2</v>
      </c>
      <c r="L30" s="34">
        <f t="shared" si="3"/>
        <v>8.7154237319706687E-2</v>
      </c>
      <c r="M30" s="35"/>
      <c r="N30" s="34">
        <f t="shared" si="4"/>
        <v>0.12531310755481045</v>
      </c>
      <c r="O30" s="36">
        <v>713413</v>
      </c>
      <c r="P30" s="37">
        <v>89400</v>
      </c>
      <c r="Q30" s="37">
        <v>18776</v>
      </c>
      <c r="R30" s="37">
        <v>70184</v>
      </c>
      <c r="S30" s="38"/>
      <c r="T30" s="39">
        <v>63.177750000000003</v>
      </c>
      <c r="U30" s="39">
        <v>65.228434300000004</v>
      </c>
      <c r="V30" s="39">
        <v>34.333899799999998</v>
      </c>
      <c r="W30" s="39">
        <v>47.167225000000002</v>
      </c>
      <c r="X30" s="39">
        <v>46.607648500000003</v>
      </c>
      <c r="Y30" s="38"/>
      <c r="Z30" s="41">
        <v>1.093</v>
      </c>
      <c r="AA30" s="41">
        <v>0.96799999999999997</v>
      </c>
      <c r="AC30" s="33" t="str">
        <f t="shared" si="5"/>
        <v>·</v>
      </c>
      <c r="AD30" s="34">
        <f t="shared" si="6"/>
        <v>0.11095699038228701</v>
      </c>
      <c r="AE30" s="34">
        <f t="shared" si="7"/>
        <v>2.3405378220133246E-2</v>
      </c>
      <c r="AF30" s="34">
        <f t="shared" si="8"/>
        <v>8.7154237319706687E-2</v>
      </c>
      <c r="AG30" s="35"/>
      <c r="AH30" s="34">
        <f t="shared" si="9"/>
        <v>0.12524582534941192</v>
      </c>
      <c r="AI30" s="36">
        <v>713413</v>
      </c>
      <c r="AJ30" s="37">
        <v>89352</v>
      </c>
      <c r="AK30" s="37">
        <v>18848</v>
      </c>
      <c r="AL30" s="37">
        <v>70184</v>
      </c>
      <c r="AM30" s="38"/>
      <c r="AN30" s="39">
        <v>63.177750000000003</v>
      </c>
      <c r="AO30" s="39">
        <v>65.228434300000004</v>
      </c>
      <c r="AP30" s="39">
        <v>34.333899799999998</v>
      </c>
      <c r="AQ30" s="39">
        <v>47.167225000000002</v>
      </c>
      <c r="AR30" s="39">
        <v>46.607648500000003</v>
      </c>
      <c r="AS30" s="40"/>
      <c r="AT30" s="41">
        <v>1.202</v>
      </c>
      <c r="AU30" s="41">
        <v>0.93600000000000005</v>
      </c>
      <c r="AW30" s="42">
        <f t="shared" si="10"/>
        <v>9.1862603887438166E-4</v>
      </c>
      <c r="AX30" s="42"/>
      <c r="AZ30" s="43"/>
      <c r="BA30" s="43"/>
      <c r="BB30" s="43"/>
      <c r="BC30" s="43"/>
      <c r="BD30" s="43"/>
      <c r="BE30" s="44"/>
      <c r="BG30" s="43"/>
      <c r="BH30" s="43"/>
      <c r="BI30" s="43"/>
      <c r="BJ30" s="43"/>
      <c r="BK30" s="43"/>
      <c r="BL30" s="44"/>
    </row>
    <row r="31" spans="1:64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>
        <f t="shared" si="1"/>
        <v>0.30963447723476784</v>
      </c>
      <c r="K31" s="19">
        <f t="shared" si="2"/>
        <v>7.9941883929292121E-2</v>
      </c>
      <c r="L31" s="19">
        <f t="shared" si="3"/>
        <v>0.22914620289711096</v>
      </c>
      <c r="M31" s="20"/>
      <c r="N31" s="19">
        <f t="shared" si="4"/>
        <v>0.33914248679645115</v>
      </c>
      <c r="O31" s="21">
        <v>735219</v>
      </c>
      <c r="P31" s="22">
        <v>249344</v>
      </c>
      <c r="Q31" s="22">
        <v>64376</v>
      </c>
      <c r="R31" s="22">
        <v>184528</v>
      </c>
      <c r="S31" s="23"/>
      <c r="T31" s="24">
        <v>68.458337499999999</v>
      </c>
      <c r="U31" s="24">
        <v>71.271203799999995</v>
      </c>
      <c r="V31" s="24">
        <v>38.118692699999997</v>
      </c>
      <c r="W31" s="24">
        <v>49.045690299999997</v>
      </c>
      <c r="X31" s="24">
        <v>49.286591299999998</v>
      </c>
      <c r="Y31" s="23"/>
      <c r="Z31" s="26">
        <v>1.514</v>
      </c>
      <c r="AA31" s="26">
        <v>1.1870000000000001</v>
      </c>
      <c r="AC31" s="18" t="str">
        <f t="shared" si="5"/>
        <v>·</v>
      </c>
      <c r="AD31" s="19">
        <f t="shared" si="6"/>
        <v>0.30968414909007369</v>
      </c>
      <c r="AE31" s="19">
        <f t="shared" si="7"/>
        <v>8.1273089651489841E-2</v>
      </c>
      <c r="AF31" s="19">
        <f t="shared" si="8"/>
        <v>0.22914620289711096</v>
      </c>
      <c r="AG31" s="20"/>
      <c r="AH31" s="19">
        <f t="shared" si="9"/>
        <v>0.33919689235452294</v>
      </c>
      <c r="AI31" s="21">
        <v>735219</v>
      </c>
      <c r="AJ31" s="22">
        <v>249384</v>
      </c>
      <c r="AK31" s="22">
        <v>65448</v>
      </c>
      <c r="AL31" s="22">
        <v>184528</v>
      </c>
      <c r="AM31" s="23"/>
      <c r="AN31" s="24">
        <v>68.458337499999999</v>
      </c>
      <c r="AO31" s="24">
        <v>71.271203799999995</v>
      </c>
      <c r="AP31" s="24">
        <v>38.118692699999997</v>
      </c>
      <c r="AQ31" s="24">
        <v>49.045690299999997</v>
      </c>
      <c r="AR31" s="24">
        <v>49.286591299999998</v>
      </c>
      <c r="AS31" s="25"/>
      <c r="AT31" s="26">
        <v>1.39</v>
      </c>
      <c r="AU31" s="26">
        <v>1.1399999999999999</v>
      </c>
      <c r="AW31" s="27">
        <f t="shared" si="10"/>
        <v>4.2571806582342719E-3</v>
      </c>
      <c r="AX31" s="27"/>
      <c r="AZ31" s="28"/>
      <c r="BA31" s="28"/>
      <c r="BB31" s="28"/>
      <c r="BC31" s="28"/>
      <c r="BD31" s="28"/>
      <c r="BE31" s="29"/>
      <c r="BG31" s="28"/>
      <c r="BH31" s="28"/>
      <c r="BI31" s="28"/>
      <c r="BJ31" s="28"/>
      <c r="BK31" s="28"/>
      <c r="BL31" s="29"/>
    </row>
    <row r="32" spans="1:64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>
        <f t="shared" si="1"/>
        <v>0.77399678374736891</v>
      </c>
      <c r="K32" s="34">
        <f t="shared" si="2"/>
        <v>0.24760426432877802</v>
      </c>
      <c r="L32" s="34">
        <f t="shared" si="3"/>
        <v>0.5258461290102262</v>
      </c>
      <c r="M32" s="35"/>
      <c r="N32" s="34">
        <f t="shared" si="4"/>
        <v>0.78736950611919032</v>
      </c>
      <c r="O32" s="36">
        <v>791608</v>
      </c>
      <c r="P32" s="37">
        <v>623288</v>
      </c>
      <c r="Q32" s="37">
        <v>199392</v>
      </c>
      <c r="R32" s="37">
        <v>423456</v>
      </c>
      <c r="S32" s="38"/>
      <c r="T32" s="39">
        <v>71.086933299999998</v>
      </c>
      <c r="U32" s="39">
        <v>74.126947000000001</v>
      </c>
      <c r="V32" s="39">
        <v>41.5832519</v>
      </c>
      <c r="W32" s="39">
        <v>50.7763578</v>
      </c>
      <c r="X32" s="39">
        <v>51.090319299999997</v>
      </c>
      <c r="Y32" s="38"/>
      <c r="Z32" s="41">
        <v>2.4990000000000001</v>
      </c>
      <c r="AA32" s="41">
        <v>2.14</v>
      </c>
      <c r="AC32" s="33" t="str">
        <f t="shared" si="5"/>
        <v>·</v>
      </c>
      <c r="AD32" s="34">
        <f t="shared" si="6"/>
        <v>0.77432461799238783</v>
      </c>
      <c r="AE32" s="34">
        <f t="shared" si="7"/>
        <v>0.26207864296491307</v>
      </c>
      <c r="AF32" s="34">
        <f t="shared" si="8"/>
        <v>0.5258461290102262</v>
      </c>
      <c r="AG32" s="35"/>
      <c r="AH32" s="34">
        <f t="shared" si="9"/>
        <v>0.7877030045173874</v>
      </c>
      <c r="AI32" s="36">
        <v>791608</v>
      </c>
      <c r="AJ32" s="37">
        <v>623552</v>
      </c>
      <c r="AK32" s="37">
        <v>211048</v>
      </c>
      <c r="AL32" s="37">
        <v>423456</v>
      </c>
      <c r="AM32" s="38"/>
      <c r="AN32" s="39">
        <v>71.086933299999998</v>
      </c>
      <c r="AO32" s="39">
        <v>74.126947000000001</v>
      </c>
      <c r="AP32" s="39">
        <v>41.5832519</v>
      </c>
      <c r="AQ32" s="39">
        <v>50.7763578</v>
      </c>
      <c r="AR32" s="39">
        <v>51.090319299999997</v>
      </c>
      <c r="AS32" s="40"/>
      <c r="AT32" s="41">
        <v>2.4209999999999998</v>
      </c>
      <c r="AU32" s="41">
        <v>2.077</v>
      </c>
      <c r="AW32" s="42">
        <f t="shared" si="10"/>
        <v>1.8557466709083759E-2</v>
      </c>
      <c r="AX32" s="42"/>
      <c r="AZ32" s="43"/>
      <c r="BA32" s="43"/>
      <c r="BB32" s="43"/>
      <c r="BC32" s="43"/>
      <c r="BD32" s="43"/>
      <c r="BE32" s="44"/>
      <c r="BG32" s="43"/>
      <c r="BH32" s="43"/>
      <c r="BI32" s="43"/>
      <c r="BJ32" s="43"/>
      <c r="BK32" s="43"/>
      <c r="BL32" s="44"/>
    </row>
    <row r="33" spans="1:64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4"/>
      <c r="X33" s="24"/>
      <c r="Y33" s="23"/>
      <c r="Z33" s="26"/>
      <c r="AA33" s="26"/>
      <c r="AC33" s="18" t="str">
        <f t="shared" si="5"/>
        <v>·</v>
      </c>
      <c r="AD33" s="19" t="str">
        <f t="shared" si="6"/>
        <v>·</v>
      </c>
      <c r="AE33" s="19" t="str">
        <f t="shared" si="7"/>
        <v>·</v>
      </c>
      <c r="AF33" s="19" t="str">
        <f t="shared" si="8"/>
        <v>·</v>
      </c>
      <c r="AG33" s="20"/>
      <c r="AH33" s="19" t="str">
        <f t="shared" si="9"/>
        <v>·</v>
      </c>
      <c r="AI33" s="21"/>
      <c r="AJ33" s="22"/>
      <c r="AK33" s="22"/>
      <c r="AL33" s="22"/>
      <c r="AM33" s="23"/>
      <c r="AN33" s="24"/>
      <c r="AO33" s="24"/>
      <c r="AP33" s="24"/>
      <c r="AQ33" s="24"/>
      <c r="AR33" s="24"/>
      <c r="AS33" s="25"/>
      <c r="AT33" s="26"/>
      <c r="AU33" s="26"/>
      <c r="AW33" s="27" t="e">
        <f t="shared" si="10"/>
        <v>#DIV/0!</v>
      </c>
      <c r="AX33" s="27"/>
      <c r="AZ33" s="28"/>
      <c r="BA33" s="28"/>
      <c r="BB33" s="28"/>
      <c r="BC33" s="28"/>
      <c r="BD33" s="28"/>
      <c r="BE33" s="29"/>
      <c r="BG33" s="28"/>
      <c r="BH33" s="28"/>
      <c r="BI33" s="28"/>
      <c r="BJ33" s="28"/>
      <c r="BK33" s="28"/>
      <c r="BL33" s="29"/>
    </row>
    <row r="34" spans="1:64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4"/>
      <c r="X34" s="54"/>
      <c r="Y34" s="53"/>
      <c r="Z34" s="56"/>
      <c r="AA34" s="56"/>
      <c r="AC34" s="48" t="str">
        <f t="shared" si="5"/>
        <v>·</v>
      </c>
      <c r="AD34" s="49" t="str">
        <f t="shared" si="6"/>
        <v>·</v>
      </c>
      <c r="AE34" s="49" t="str">
        <f t="shared" si="7"/>
        <v>·</v>
      </c>
      <c r="AF34" s="49" t="str">
        <f t="shared" si="8"/>
        <v>·</v>
      </c>
      <c r="AG34" s="50"/>
      <c r="AH34" s="49" t="str">
        <f t="shared" si="9"/>
        <v>·</v>
      </c>
      <c r="AI34" s="51"/>
      <c r="AJ34" s="52"/>
      <c r="AK34" s="52"/>
      <c r="AL34" s="52"/>
      <c r="AM34" s="53"/>
      <c r="AN34" s="54"/>
      <c r="AO34" s="54"/>
      <c r="AP34" s="54"/>
      <c r="AQ34" s="54"/>
      <c r="AR34" s="54"/>
      <c r="AS34" s="55"/>
      <c r="AT34" s="56"/>
      <c r="AU34" s="56"/>
      <c r="AW34" s="57" t="e">
        <f t="shared" si="10"/>
        <v>#DIV/0!</v>
      </c>
      <c r="AX34" s="57"/>
      <c r="AZ34" s="58"/>
      <c r="BA34" s="58"/>
      <c r="BB34" s="58"/>
      <c r="BC34" s="58"/>
      <c r="BD34" s="58"/>
      <c r="BE34" s="59"/>
      <c r="BG34" s="58"/>
      <c r="BH34" s="58"/>
      <c r="BI34" s="58"/>
      <c r="BJ34" s="58"/>
      <c r="BK34" s="58"/>
      <c r="BL34" s="59"/>
    </row>
    <row r="35" spans="1:64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>
        <f t="shared" si="1"/>
        <v>6.1890542691107733E-2</v>
      </c>
      <c r="K35" s="19">
        <f t="shared" si="2"/>
        <v>5.4665716943075524E-3</v>
      </c>
      <c r="L35" s="19">
        <f t="shared" si="3"/>
        <v>5.5976415419488446E-2</v>
      </c>
      <c r="M35" s="20"/>
      <c r="N35" s="19">
        <f t="shared" si="4"/>
        <v>8.2931406763075505E-2</v>
      </c>
      <c r="O35" s="21">
        <v>747027</v>
      </c>
      <c r="P35" s="22">
        <v>61952</v>
      </c>
      <c r="Q35" s="22">
        <v>5472</v>
      </c>
      <c r="R35" s="22">
        <v>56032</v>
      </c>
      <c r="S35" s="23"/>
      <c r="T35" s="24">
        <v>55.7712225</v>
      </c>
      <c r="U35" s="24">
        <v>57.162020499999997</v>
      </c>
      <c r="V35" s="24">
        <v>26.0704052</v>
      </c>
      <c r="W35" s="24">
        <v>34.747233399999999</v>
      </c>
      <c r="X35" s="24">
        <v>32.313972999999997</v>
      </c>
      <c r="Y35" s="23"/>
      <c r="Z35" s="26">
        <v>1.139</v>
      </c>
      <c r="AA35" s="26">
        <v>0.90600000000000003</v>
      </c>
      <c r="AC35" s="18" t="str">
        <f t="shared" si="5"/>
        <v>·</v>
      </c>
      <c r="AD35" s="19">
        <f t="shared" si="6"/>
        <v>6.1882550627227161E-2</v>
      </c>
      <c r="AE35" s="19">
        <f t="shared" si="7"/>
        <v>5.4825558220686858E-3</v>
      </c>
      <c r="AF35" s="19">
        <f t="shared" si="8"/>
        <v>5.5976415419488446E-2</v>
      </c>
      <c r="AG35" s="20"/>
      <c r="AH35" s="19">
        <f t="shared" si="9"/>
        <v>8.2920697645466626E-2</v>
      </c>
      <c r="AI35" s="21">
        <v>747027</v>
      </c>
      <c r="AJ35" s="22">
        <v>61944</v>
      </c>
      <c r="AK35" s="22">
        <v>5488</v>
      </c>
      <c r="AL35" s="22">
        <v>56032</v>
      </c>
      <c r="AM35" s="23"/>
      <c r="AN35" s="24">
        <v>55.7712225</v>
      </c>
      <c r="AO35" s="24">
        <v>57.162020499999997</v>
      </c>
      <c r="AP35" s="24">
        <v>26.0704052</v>
      </c>
      <c r="AQ35" s="24">
        <v>34.747233399999999</v>
      </c>
      <c r="AR35" s="24">
        <v>32.313972999999997</v>
      </c>
      <c r="AS35" s="25"/>
      <c r="AT35" s="26">
        <v>1.1559999999999999</v>
      </c>
      <c r="AU35" s="26">
        <v>0.85899999999999999</v>
      </c>
      <c r="AW35" s="27">
        <f t="shared" si="10"/>
        <v>2.6970508152925066E-4</v>
      </c>
      <c r="AX35" s="27" t="e">
        <f t="array" ref="AX35">AVERAGE(AK35:AK40/AJ35:AJ40) - AVERAGE(Q35:Q40/P35:P40)</f>
        <v>#DIV/0!</v>
      </c>
      <c r="AZ35" s="28">
        <f>IF( OR(ISBLANK(Q35:Q40),ISBLANK(AK35:AK40), ISBLANK(T35:T40),ISBLANK(AN35:AN40)), "·", bdRateExtend( Q35:Q40,T35:T40, AK35:AK40,AN35:AN40))</f>
        <v>1.2320308747597375E-2</v>
      </c>
      <c r="BA35" s="28">
        <f>IF( OR(ISBLANK(Q35:Q40),ISBLANK(AK35:AK40), ISBLANK(U35:U40),ISBLANK(AO35:AO40)), "·", bdRateExtend( Q35:Q40,U35:U40, AK35:AK40,AO35:AO40))</f>
        <v>1.3307689549509005E-2</v>
      </c>
      <c r="BB35" s="28">
        <f>IF( OR(ISBLANK(R35:R40),ISBLANK(AL35:AL40), ISBLANK(V35:V40),ISBLANK(AP35:AP40)), "·", bdRateExtend( R35:R40,V35:V40, AL35:AL40,AP35:AP40))</f>
        <v>0</v>
      </c>
      <c r="BC35" s="28">
        <f>IF( OR(ISBLANK(R35:R40),ISBLANK(AL35:AL40), ISBLANK(W35:W40),ISBLANK(AQ35:AQ40)), "·", bdRateExtend( R35:R40,W35:W40, AL35:AL40,AQ35:AQ40))</f>
        <v>0</v>
      </c>
      <c r="BD35" s="28">
        <f>IF( OR(ISBLANK(R35:R40),ISBLANK(AL35:AL40), ISBLANK(X35:X40),ISBLANK(AR35:AR40)), "·", bdRateExtend( R35:R40,X35:X40, AL35:AL40,AR35:AR40))</f>
        <v>0</v>
      </c>
      <c r="BE35" s="29"/>
      <c r="BG35" s="28">
        <f>IF( OR(ISBLANK(P35:P40),ISBLANK(AJ35:AJ40), ISBLANK(T35:T40),ISBLANK(AN35:AN40)), "·", bdRateExtend( P35:P40,T35:T40, AJ35:AJ40,AN35:AN40))</f>
        <v>1.1537090047863963E-4</v>
      </c>
      <c r="BH35" s="28">
        <f>IF( OR(ISBLANK(P35:P40),ISBLANK(AJ35:AJ40), ISBLANK(U35:U40),ISBLANK(AO35:AO40)), "·", bdRateExtend( P35:P40,U35:U40, AJ35:AJ40,AO35:AO40))</f>
        <v>1.2558093020875738E-4</v>
      </c>
      <c r="BI35" s="28">
        <f>IF( OR(ISBLANK(P35:P40),ISBLANK(AJ35:AJ40), ISBLANK(V35:V40),ISBLANK(AP35:AP40)), "·", bdRateExtend( P35:P40,V35:V40, AJ35:AJ40,AP35:AP40))</f>
        <v>1.3500955450318486E-4</v>
      </c>
      <c r="BJ35" s="28">
        <f>IF( OR(ISBLANK(P35:P40),ISBLANK(AJ35:AJ40), ISBLANK(W35:W40),ISBLANK(AQ35:AQ40)), "·", bdRateExtend( P35:P40,W35:W40, AJ35:AJ40,AQ35:AQ40))</f>
        <v>1.368812577269285E-4</v>
      </c>
      <c r="BK35" s="28">
        <f>IF( OR(ISBLANK(P35:P40),ISBLANK(AJ35:AJ40), ISBLANK(X35:X40),ISBLANK(AR35:AR40)), "·", bdRateExtend( P35:P40,X35:X40, AJ35:AJ40,AR35:AR40))</f>
        <v>1.3626150195489295E-4</v>
      </c>
      <c r="BL35" s="29"/>
    </row>
    <row r="36" spans="1:64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>
        <f t="shared" si="1"/>
        <v>0.16813703991936008</v>
      </c>
      <c r="K36" s="34">
        <f t="shared" si="2"/>
        <v>1.8141985008886176E-2</v>
      </c>
      <c r="L36" s="34">
        <f t="shared" si="3"/>
        <v>0.14954749933316216</v>
      </c>
      <c r="M36" s="35"/>
      <c r="N36" s="34">
        <f t="shared" si="4"/>
        <v>0.23157202434269092</v>
      </c>
      <c r="O36" s="36">
        <v>726789</v>
      </c>
      <c r="P36" s="37">
        <v>168304</v>
      </c>
      <c r="Q36" s="37">
        <v>18160</v>
      </c>
      <c r="R36" s="37">
        <v>149696</v>
      </c>
      <c r="S36" s="38"/>
      <c r="T36" s="39">
        <v>62.500404699999997</v>
      </c>
      <c r="U36" s="39">
        <v>64.232491400000001</v>
      </c>
      <c r="V36" s="39">
        <v>30.320138499999999</v>
      </c>
      <c r="W36" s="39">
        <v>39.027258199999999</v>
      </c>
      <c r="X36" s="39">
        <v>37.091278299999999</v>
      </c>
      <c r="Y36" s="38"/>
      <c r="Z36" s="41">
        <v>1.171</v>
      </c>
      <c r="AA36" s="41">
        <v>1.0309999999999999</v>
      </c>
      <c r="AC36" s="33" t="str">
        <f t="shared" si="5"/>
        <v>·</v>
      </c>
      <c r="AD36" s="34">
        <f t="shared" si="6"/>
        <v>0.16816101611100179</v>
      </c>
      <c r="AE36" s="34">
        <f t="shared" si="7"/>
        <v>1.8245881839333542E-2</v>
      </c>
      <c r="AF36" s="34">
        <f t="shared" si="8"/>
        <v>0.14954749933316216</v>
      </c>
      <c r="AG36" s="35"/>
      <c r="AH36" s="34">
        <f t="shared" si="9"/>
        <v>0.23160504630642456</v>
      </c>
      <c r="AI36" s="36">
        <v>726789</v>
      </c>
      <c r="AJ36" s="37">
        <v>168328</v>
      </c>
      <c r="AK36" s="37">
        <v>18264</v>
      </c>
      <c r="AL36" s="37">
        <v>149696</v>
      </c>
      <c r="AM36" s="38"/>
      <c r="AN36" s="39">
        <v>62.500404699999997</v>
      </c>
      <c r="AO36" s="39">
        <v>64.232491400000001</v>
      </c>
      <c r="AP36" s="39">
        <v>30.320138499999999</v>
      </c>
      <c r="AQ36" s="39">
        <v>39.027258199999999</v>
      </c>
      <c r="AR36" s="39">
        <v>37.091278299999999</v>
      </c>
      <c r="AS36" s="40"/>
      <c r="AT36" s="41">
        <v>1.202</v>
      </c>
      <c r="AU36" s="41">
        <v>0.95199999999999996</v>
      </c>
      <c r="AW36" s="42">
        <f t="shared" si="10"/>
        <v>6.0245710890735604E-4</v>
      </c>
      <c r="AX36" s="42"/>
      <c r="AZ36" s="43"/>
      <c r="BA36" s="43"/>
      <c r="BB36" s="43"/>
      <c r="BC36" s="43"/>
      <c r="BD36" s="43"/>
      <c r="BE36" s="44"/>
      <c r="BG36" s="43"/>
      <c r="BH36" s="43"/>
      <c r="BI36" s="43"/>
      <c r="BJ36" s="43"/>
      <c r="BK36" s="43"/>
      <c r="BL36" s="44"/>
    </row>
    <row r="37" spans="1:64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>
        <f t="shared" si="1"/>
        <v>0.40960126594291868</v>
      </c>
      <c r="K37" s="19">
        <f t="shared" si="2"/>
        <v>6.3177264975878958E-2</v>
      </c>
      <c r="L37" s="19">
        <f t="shared" si="3"/>
        <v>0.34597644538972799</v>
      </c>
      <c r="M37" s="20"/>
      <c r="N37" s="19">
        <f t="shared" si="4"/>
        <v>0.53400851531597704</v>
      </c>
      <c r="O37" s="21">
        <v>767793</v>
      </c>
      <c r="P37" s="22">
        <v>410008</v>
      </c>
      <c r="Q37" s="22">
        <v>63240</v>
      </c>
      <c r="R37" s="22">
        <v>346320</v>
      </c>
      <c r="S37" s="23"/>
      <c r="T37" s="24">
        <v>67.685976199999999</v>
      </c>
      <c r="U37" s="24">
        <v>71.006012600000005</v>
      </c>
      <c r="V37" s="24">
        <v>33.888105799999998</v>
      </c>
      <c r="W37" s="24">
        <v>43.398568400000002</v>
      </c>
      <c r="X37" s="24">
        <v>41.647070599999999</v>
      </c>
      <c r="Y37" s="23"/>
      <c r="Z37" s="26">
        <v>1.593</v>
      </c>
      <c r="AA37" s="26">
        <v>1.155</v>
      </c>
      <c r="AC37" s="18" t="str">
        <f t="shared" si="5"/>
        <v>·</v>
      </c>
      <c r="AD37" s="19">
        <f t="shared" si="6"/>
        <v>0.40968917864560489</v>
      </c>
      <c r="AE37" s="19">
        <f t="shared" si="7"/>
        <v>6.4591860282739236E-2</v>
      </c>
      <c r="AF37" s="19">
        <f t="shared" si="8"/>
        <v>0.34597644538972799</v>
      </c>
      <c r="AG37" s="20"/>
      <c r="AH37" s="19">
        <f t="shared" si="9"/>
        <v>0.53412312954142593</v>
      </c>
      <c r="AI37" s="21">
        <v>767793</v>
      </c>
      <c r="AJ37" s="22">
        <v>410096</v>
      </c>
      <c r="AK37" s="22">
        <v>64656</v>
      </c>
      <c r="AL37" s="22">
        <v>346320</v>
      </c>
      <c r="AM37" s="23"/>
      <c r="AN37" s="24">
        <v>67.685976199999999</v>
      </c>
      <c r="AO37" s="24">
        <v>71.006012600000005</v>
      </c>
      <c r="AP37" s="24">
        <v>33.888105799999998</v>
      </c>
      <c r="AQ37" s="24">
        <v>43.398568400000002</v>
      </c>
      <c r="AR37" s="24">
        <v>41.647070599999999</v>
      </c>
      <c r="AS37" s="25"/>
      <c r="AT37" s="26">
        <v>1.5620000000000001</v>
      </c>
      <c r="AU37" s="26">
        <v>1.2030000000000001</v>
      </c>
      <c r="AW37" s="27">
        <f t="shared" si="10"/>
        <v>3.4197524516899891E-3</v>
      </c>
      <c r="AX37" s="27"/>
      <c r="AZ37" s="28"/>
      <c r="BA37" s="28"/>
      <c r="BB37" s="28"/>
      <c r="BC37" s="28"/>
      <c r="BD37" s="28"/>
      <c r="BE37" s="29"/>
      <c r="BG37" s="28"/>
      <c r="BH37" s="28"/>
      <c r="BI37" s="28"/>
      <c r="BJ37" s="28"/>
      <c r="BK37" s="28"/>
      <c r="BL37" s="29"/>
    </row>
    <row r="38" spans="1:64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>
        <f t="shared" si="1"/>
        <v>0.96522553104766962</v>
      </c>
      <c r="K38" s="34">
        <f t="shared" si="2"/>
        <v>0.20140000979027825</v>
      </c>
      <c r="L38" s="34">
        <f t="shared" si="3"/>
        <v>0.76337796568007965</v>
      </c>
      <c r="M38" s="35"/>
      <c r="N38" s="34">
        <f t="shared" si="4"/>
        <v>1.1134795255590539</v>
      </c>
      <c r="O38" s="36">
        <v>867716</v>
      </c>
      <c r="P38" s="37">
        <v>966184</v>
      </c>
      <c r="Q38" s="37">
        <v>201600</v>
      </c>
      <c r="R38" s="37">
        <v>764136</v>
      </c>
      <c r="S38" s="38"/>
      <c r="T38" s="39">
        <v>70.039026800000002</v>
      </c>
      <c r="U38" s="39">
        <v>73.995464799999993</v>
      </c>
      <c r="V38" s="39">
        <v>36.864893700000003</v>
      </c>
      <c r="W38" s="39">
        <v>46.162604899999998</v>
      </c>
      <c r="X38" s="39">
        <v>44.833169400000003</v>
      </c>
      <c r="Y38" s="38"/>
      <c r="Z38" s="41">
        <v>2.64</v>
      </c>
      <c r="AA38" s="41">
        <v>2.1709999999999998</v>
      </c>
      <c r="AC38" s="33" t="str">
        <f t="shared" si="5"/>
        <v>·</v>
      </c>
      <c r="AD38" s="34">
        <f t="shared" si="6"/>
        <v>0.96546529296408667</v>
      </c>
      <c r="AE38" s="34">
        <f t="shared" si="7"/>
        <v>0.21534616126186695</v>
      </c>
      <c r="AF38" s="34">
        <f t="shared" si="8"/>
        <v>0.76337796568007965</v>
      </c>
      <c r="AG38" s="35"/>
      <c r="AH38" s="34">
        <f t="shared" si="9"/>
        <v>1.113756113751504</v>
      </c>
      <c r="AI38" s="36">
        <v>867716</v>
      </c>
      <c r="AJ38" s="37">
        <v>966424</v>
      </c>
      <c r="AK38" s="37">
        <v>215560</v>
      </c>
      <c r="AL38" s="37">
        <v>764136</v>
      </c>
      <c r="AM38" s="38"/>
      <c r="AN38" s="39">
        <v>70.039026800000002</v>
      </c>
      <c r="AO38" s="39">
        <v>73.995464799999993</v>
      </c>
      <c r="AP38" s="39">
        <v>36.864893700000003</v>
      </c>
      <c r="AQ38" s="39">
        <v>46.162604899999998</v>
      </c>
      <c r="AR38" s="39">
        <v>44.833169400000003</v>
      </c>
      <c r="AS38" s="40"/>
      <c r="AT38" s="41">
        <v>2.8119999999999998</v>
      </c>
      <c r="AU38" s="41">
        <v>2.2330000000000001</v>
      </c>
      <c r="AW38" s="42">
        <f t="shared" si="10"/>
        <v>1.4393188271435792E-2</v>
      </c>
      <c r="AX38" s="42"/>
      <c r="AZ38" s="43"/>
      <c r="BA38" s="43"/>
      <c r="BB38" s="43"/>
      <c r="BC38" s="43"/>
      <c r="BD38" s="43"/>
      <c r="BE38" s="44"/>
      <c r="BG38" s="43"/>
      <c r="BH38" s="43"/>
      <c r="BI38" s="43"/>
      <c r="BJ38" s="43"/>
      <c r="BK38" s="43"/>
      <c r="BL38" s="44"/>
    </row>
    <row r="39" spans="1:64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4"/>
      <c r="X39" s="24"/>
      <c r="Y39" s="23"/>
      <c r="Z39" s="26"/>
      <c r="AA39" s="26"/>
      <c r="AC39" s="18" t="str">
        <f t="shared" si="5"/>
        <v>·</v>
      </c>
      <c r="AD39" s="19" t="str">
        <f t="shared" si="6"/>
        <v>·</v>
      </c>
      <c r="AE39" s="19" t="str">
        <f t="shared" si="7"/>
        <v>·</v>
      </c>
      <c r="AF39" s="19" t="str">
        <f t="shared" si="8"/>
        <v>·</v>
      </c>
      <c r="AG39" s="20"/>
      <c r="AH39" s="19" t="str">
        <f t="shared" si="9"/>
        <v>·</v>
      </c>
      <c r="AI39" s="21"/>
      <c r="AJ39" s="22"/>
      <c r="AK39" s="22"/>
      <c r="AL39" s="22"/>
      <c r="AM39" s="23"/>
      <c r="AN39" s="24"/>
      <c r="AO39" s="24"/>
      <c r="AP39" s="24"/>
      <c r="AQ39" s="24"/>
      <c r="AR39" s="24"/>
      <c r="AS39" s="25"/>
      <c r="AT39" s="26"/>
      <c r="AU39" s="26"/>
      <c r="AW39" s="27" t="e">
        <f t="shared" si="10"/>
        <v>#DIV/0!</v>
      </c>
      <c r="AX39" s="27"/>
      <c r="AZ39" s="28"/>
      <c r="BA39" s="28"/>
      <c r="BB39" s="28"/>
      <c r="BC39" s="28"/>
      <c r="BD39" s="28"/>
      <c r="BE39" s="29"/>
      <c r="BG39" s="28"/>
      <c r="BH39" s="28"/>
      <c r="BI39" s="28"/>
      <c r="BJ39" s="28"/>
      <c r="BK39" s="28"/>
      <c r="BL39" s="29"/>
    </row>
    <row r="40" spans="1:64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4"/>
      <c r="X40" s="54"/>
      <c r="Y40" s="53"/>
      <c r="Z40" s="56"/>
      <c r="AA40" s="56"/>
      <c r="AC40" s="48" t="str">
        <f t="shared" si="5"/>
        <v>·</v>
      </c>
      <c r="AD40" s="49" t="str">
        <f t="shared" si="6"/>
        <v>·</v>
      </c>
      <c r="AE40" s="49" t="str">
        <f t="shared" si="7"/>
        <v>·</v>
      </c>
      <c r="AF40" s="49" t="str">
        <f t="shared" si="8"/>
        <v>·</v>
      </c>
      <c r="AG40" s="50"/>
      <c r="AH40" s="49" t="str">
        <f t="shared" si="9"/>
        <v>·</v>
      </c>
      <c r="AI40" s="51"/>
      <c r="AJ40" s="52"/>
      <c r="AK40" s="52"/>
      <c r="AL40" s="52"/>
      <c r="AM40" s="53"/>
      <c r="AN40" s="54"/>
      <c r="AO40" s="54"/>
      <c r="AP40" s="54"/>
      <c r="AQ40" s="54"/>
      <c r="AR40" s="54"/>
      <c r="AS40" s="55"/>
      <c r="AT40" s="56"/>
      <c r="AU40" s="56"/>
      <c r="AW40" s="57" t="e">
        <f t="shared" si="10"/>
        <v>#DIV/0!</v>
      </c>
      <c r="AX40" s="57"/>
      <c r="AZ40" s="58"/>
      <c r="BA40" s="58"/>
      <c r="BB40" s="58"/>
      <c r="BC40" s="58"/>
      <c r="BD40" s="58"/>
      <c r="BE40" s="59"/>
      <c r="BG40" s="58"/>
      <c r="BH40" s="58"/>
      <c r="BI40" s="58"/>
      <c r="BJ40" s="58"/>
      <c r="BK40" s="58"/>
      <c r="BL40" s="59"/>
    </row>
    <row r="41" spans="1:64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>
        <f t="shared" si="1"/>
        <v>9.2069194434142673E-2</v>
      </c>
      <c r="K41" s="19">
        <f t="shared" si="2"/>
        <v>7.3064085491315062E-3</v>
      </c>
      <c r="L41" s="19">
        <f t="shared" si="3"/>
        <v>8.4171515829012097E-2</v>
      </c>
      <c r="M41" s="20"/>
      <c r="N41" s="19">
        <f t="shared" si="4"/>
        <v>0.10232309808994929</v>
      </c>
      <c r="O41" s="21">
        <v>681762</v>
      </c>
      <c r="P41" s="22">
        <v>69760</v>
      </c>
      <c r="Q41" s="22">
        <v>5536</v>
      </c>
      <c r="R41" s="22">
        <v>63776</v>
      </c>
      <c r="S41" s="23"/>
      <c r="T41" s="24">
        <v>54.167279200000003</v>
      </c>
      <c r="U41" s="24">
        <v>55.859701999999999</v>
      </c>
      <c r="V41" s="24">
        <v>30.375178399999999</v>
      </c>
      <c r="W41" s="24">
        <v>39.3476122</v>
      </c>
      <c r="X41" s="24">
        <v>30.823781700000001</v>
      </c>
      <c r="Y41" s="23"/>
      <c r="Z41" s="26">
        <v>1.046</v>
      </c>
      <c r="AA41" s="26">
        <v>0.84299999999999997</v>
      </c>
      <c r="AC41" s="18" t="str">
        <f t="shared" si="5"/>
        <v>·</v>
      </c>
      <c r="AD41" s="19">
        <f t="shared" si="6"/>
        <v>9.2058636040285552E-2</v>
      </c>
      <c r="AE41" s="19">
        <f t="shared" si="7"/>
        <v>7.3275253368457593E-3</v>
      </c>
      <c r="AF41" s="19">
        <f t="shared" si="8"/>
        <v>8.4171515829012097E-2</v>
      </c>
      <c r="AG41" s="20"/>
      <c r="AH41" s="19">
        <f t="shared" si="9"/>
        <v>0.10231136378970961</v>
      </c>
      <c r="AI41" s="21">
        <v>681762</v>
      </c>
      <c r="AJ41" s="22">
        <v>69752</v>
      </c>
      <c r="AK41" s="22">
        <v>5552</v>
      </c>
      <c r="AL41" s="22">
        <v>63776</v>
      </c>
      <c r="AM41" s="23"/>
      <c r="AN41" s="24">
        <v>54.167279200000003</v>
      </c>
      <c r="AO41" s="24">
        <v>55.859701999999999</v>
      </c>
      <c r="AP41" s="24">
        <v>30.375178399999999</v>
      </c>
      <c r="AQ41" s="24">
        <v>39.3476122</v>
      </c>
      <c r="AR41" s="24">
        <v>30.823781700000001</v>
      </c>
      <c r="AS41" s="25"/>
      <c r="AT41" s="26">
        <v>0.92100000000000004</v>
      </c>
      <c r="AU41" s="26">
        <v>0.85799999999999998</v>
      </c>
      <c r="AW41" s="27">
        <f t="shared" si="10"/>
        <v>2.3848581238274102E-4</v>
      </c>
      <c r="AX41" s="27" t="e">
        <f t="array" ref="AX41">AVERAGE(AK41:AK46/AJ41:AJ46) - AVERAGE(Q41:Q46/P41:P46)</f>
        <v>#DIV/0!</v>
      </c>
      <c r="AZ41" s="28">
        <f>IF( OR(ISBLANK(Q41:Q46),ISBLANK(AK41:AK46), ISBLANK(T41:T46),ISBLANK(AN41:AN46)), "·", bdRateExtend( Q41:Q46,T41:T46, AK41:AK46,AN41:AN46))</f>
        <v>9.6867403818441389E-3</v>
      </c>
      <c r="BA41" s="28">
        <f>IF( OR(ISBLANK(Q41:Q46),ISBLANK(AK41:AK46), ISBLANK(U41:U46),ISBLANK(AO41:AO46)), "·", bdRateExtend( Q41:Q46,U41:U46, AK41:AK46,AO41:AO46))</f>
        <v>1.0146479502982197E-2</v>
      </c>
      <c r="BB41" s="28">
        <f>IF( OR(ISBLANK(R41:R46),ISBLANK(AL41:AL46), ISBLANK(V41:V46),ISBLANK(AP41:AP46)), "·", bdRateExtend( R41:R46,V41:V46, AL41:AL46,AP41:AP46))</f>
        <v>0</v>
      </c>
      <c r="BC41" s="28">
        <f>IF( OR(ISBLANK(R41:R46),ISBLANK(AL41:AL46), ISBLANK(W41:W46),ISBLANK(AQ41:AQ46)), "·", bdRateExtend( R41:R46,W41:W46, AL41:AL46,AQ41:AQ46))</f>
        <v>0</v>
      </c>
      <c r="BD41" s="28">
        <f>IF( OR(ISBLANK(R41:R46),ISBLANK(AL41:AL46), ISBLANK(X41:X46),ISBLANK(AR41:AR46)), "·", bdRateExtend( R41:R46,X41:X46, AL41:AL46,AR41:AR46))</f>
        <v>0</v>
      </c>
      <c r="BE41" s="29"/>
      <c r="BG41" s="28">
        <f>IF( OR(ISBLANK(P41:P46),ISBLANK(AJ41:AJ46), ISBLANK(T41:T46),ISBLANK(AN41:AN46)), "·", bdRateExtend( P41:P46,T41:T46, AJ41:AJ46,AN41:AN46))</f>
        <v>9.6999356419269489E-5</v>
      </c>
      <c r="BH41" s="28">
        <f>IF( OR(ISBLANK(P41:P46),ISBLANK(AJ41:AJ46), ISBLANK(U41:U46),ISBLANK(AO41:AO46)), "·", bdRateExtend( P41:P46,U41:U46, AJ41:AJ46,AO41:AO46))</f>
        <v>9.9750617542637698E-5</v>
      </c>
      <c r="BI41" s="28">
        <f>IF( OR(ISBLANK(P41:P46),ISBLANK(AJ41:AJ46), ISBLANK(V41:V46),ISBLANK(AP41:AP46)), "·", bdRateExtend( P41:P46,V41:V46, AJ41:AJ46,AP41:AP46))</f>
        <v>1.2483773601701387E-4</v>
      </c>
      <c r="BJ41" s="28">
        <f>IF( OR(ISBLANK(P41:P46),ISBLANK(AJ41:AJ46), ISBLANK(W41:W46),ISBLANK(AQ41:AQ46)), "·", bdRateExtend( P41:P46,W41:W46, AJ41:AJ46,AQ41:AQ46))</f>
        <v>1.3061889578125374E-4</v>
      </c>
      <c r="BK41" s="28">
        <f>IF( OR(ISBLANK(P41:P46),ISBLANK(AJ41:AJ46), ISBLANK(X41:X46),ISBLANK(AR41:AR46)), "·", bdRateExtend( P41:P46,X41:X46, AJ41:AJ46,AR41:AR46))</f>
        <v>1.1814848792379706E-4</v>
      </c>
      <c r="BL41" s="29"/>
    </row>
    <row r="42" spans="1:64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>
        <f t="shared" si="1"/>
        <v>0.22899044597335852</v>
      </c>
      <c r="K42" s="34">
        <f t="shared" si="2"/>
        <v>2.5224002924675099E-2</v>
      </c>
      <c r="L42" s="34">
        <f t="shared" si="3"/>
        <v>0.20317517299268437</v>
      </c>
      <c r="M42" s="35"/>
      <c r="N42" s="34">
        <f t="shared" si="4"/>
        <v>0.25710809701420656</v>
      </c>
      <c r="O42" s="36">
        <v>674829</v>
      </c>
      <c r="P42" s="37">
        <v>173504</v>
      </c>
      <c r="Q42" s="37">
        <v>19112</v>
      </c>
      <c r="R42" s="37">
        <v>153944</v>
      </c>
      <c r="S42" s="38"/>
      <c r="T42" s="39">
        <v>61.528513199999999</v>
      </c>
      <c r="U42" s="39">
        <v>63.620031500000003</v>
      </c>
      <c r="V42" s="39">
        <v>33.995055700000002</v>
      </c>
      <c r="W42" s="39">
        <v>41.308801199999998</v>
      </c>
      <c r="X42" s="39">
        <v>35.199165399999998</v>
      </c>
      <c r="Y42" s="38"/>
      <c r="Z42" s="41">
        <v>1.1080000000000001</v>
      </c>
      <c r="AA42" s="41">
        <v>0.85799999999999998</v>
      </c>
      <c r="AC42" s="33" t="str">
        <f t="shared" si="5"/>
        <v>·</v>
      </c>
      <c r="AD42" s="34">
        <f t="shared" si="6"/>
        <v>0.22901156276107279</v>
      </c>
      <c r="AE42" s="34">
        <f t="shared" si="7"/>
        <v>2.5350703650960617E-2</v>
      </c>
      <c r="AF42" s="34">
        <f t="shared" si="8"/>
        <v>0.20317517299268437</v>
      </c>
      <c r="AG42" s="35"/>
      <c r="AH42" s="34">
        <f t="shared" si="9"/>
        <v>0.25713180672437019</v>
      </c>
      <c r="AI42" s="36">
        <v>674829</v>
      </c>
      <c r="AJ42" s="37">
        <v>173520</v>
      </c>
      <c r="AK42" s="37">
        <v>19208</v>
      </c>
      <c r="AL42" s="37">
        <v>153944</v>
      </c>
      <c r="AM42" s="38"/>
      <c r="AN42" s="39">
        <v>61.528513199999999</v>
      </c>
      <c r="AO42" s="39">
        <v>63.620031500000003</v>
      </c>
      <c r="AP42" s="39">
        <v>33.995055700000002</v>
      </c>
      <c r="AQ42" s="39">
        <v>41.308801199999998</v>
      </c>
      <c r="AR42" s="39">
        <v>35.199165399999998</v>
      </c>
      <c r="AS42" s="40"/>
      <c r="AT42" s="41">
        <v>1.093</v>
      </c>
      <c r="AU42" s="41">
        <v>0.90500000000000003</v>
      </c>
      <c r="AW42" s="42">
        <f t="shared" si="10"/>
        <v>5.4309330751090013E-4</v>
      </c>
      <c r="AX42" s="42"/>
      <c r="AZ42" s="43"/>
      <c r="BA42" s="43"/>
      <c r="BB42" s="43"/>
      <c r="BC42" s="43"/>
      <c r="BD42" s="43"/>
      <c r="BE42" s="44"/>
      <c r="BG42" s="43"/>
      <c r="BH42" s="43"/>
      <c r="BI42" s="43"/>
      <c r="BJ42" s="43"/>
      <c r="BK42" s="43"/>
      <c r="BL42" s="44"/>
    </row>
    <row r="43" spans="1:64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>
        <f t="shared" si="1"/>
        <v>0.58138739934881101</v>
      </c>
      <c r="K43" s="19">
        <f t="shared" si="2"/>
        <v>8.9640763847003591E-2</v>
      </c>
      <c r="L43" s="19">
        <f t="shared" si="3"/>
        <v>0.4911553654458084</v>
      </c>
      <c r="M43" s="20"/>
      <c r="N43" s="19">
        <f t="shared" si="4"/>
        <v>0.63194801096016184</v>
      </c>
      <c r="O43" s="21">
        <v>697070</v>
      </c>
      <c r="P43" s="22">
        <v>440512</v>
      </c>
      <c r="Q43" s="22">
        <v>67920</v>
      </c>
      <c r="R43" s="22">
        <v>372144</v>
      </c>
      <c r="S43" s="23"/>
      <c r="T43" s="24">
        <v>67.916162999999997</v>
      </c>
      <c r="U43" s="24">
        <v>70.312938099999997</v>
      </c>
      <c r="V43" s="24">
        <v>37.655261400000001</v>
      </c>
      <c r="W43" s="24">
        <v>43.198679499999997</v>
      </c>
      <c r="X43" s="24">
        <v>39.205252399999999</v>
      </c>
      <c r="Y43" s="23"/>
      <c r="Z43" s="26">
        <v>1.421</v>
      </c>
      <c r="AA43" s="26">
        <v>1.1399999999999999</v>
      </c>
      <c r="AC43" s="18" t="str">
        <f t="shared" si="5"/>
        <v>·</v>
      </c>
      <c r="AD43" s="19">
        <f t="shared" si="6"/>
        <v>0.58151410007509663</v>
      </c>
      <c r="AE43" s="19">
        <f t="shared" si="7"/>
        <v>9.0960563079144394E-2</v>
      </c>
      <c r="AF43" s="19">
        <f t="shared" si="8"/>
        <v>0.4911553654458084</v>
      </c>
      <c r="AG43" s="20"/>
      <c r="AH43" s="19">
        <f t="shared" si="9"/>
        <v>0.63208573027099146</v>
      </c>
      <c r="AI43" s="21">
        <v>697070</v>
      </c>
      <c r="AJ43" s="22">
        <v>440608</v>
      </c>
      <c r="AK43" s="22">
        <v>68920</v>
      </c>
      <c r="AL43" s="22">
        <v>372144</v>
      </c>
      <c r="AM43" s="23"/>
      <c r="AN43" s="24">
        <v>67.916162999999997</v>
      </c>
      <c r="AO43" s="24">
        <v>70.312938099999997</v>
      </c>
      <c r="AP43" s="24">
        <v>37.655261400000001</v>
      </c>
      <c r="AQ43" s="24">
        <v>43.198679499999997</v>
      </c>
      <c r="AR43" s="24">
        <v>39.205252399999999</v>
      </c>
      <c r="AS43" s="25"/>
      <c r="AT43" s="26">
        <v>1.5309999999999999</v>
      </c>
      <c r="AU43" s="26">
        <v>1.1399999999999999</v>
      </c>
      <c r="AW43" s="27">
        <f t="shared" si="10"/>
        <v>2.2359973370623398E-3</v>
      </c>
      <c r="AX43" s="27"/>
      <c r="AZ43" s="28"/>
      <c r="BA43" s="28"/>
      <c r="BB43" s="28"/>
      <c r="BC43" s="28"/>
      <c r="BD43" s="28"/>
      <c r="BE43" s="29"/>
      <c r="BG43" s="28"/>
      <c r="BH43" s="28"/>
      <c r="BI43" s="28"/>
      <c r="BJ43" s="28"/>
      <c r="BK43" s="28"/>
      <c r="BL43" s="29"/>
    </row>
    <row r="44" spans="1:64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>
        <f t="shared" si="1"/>
        <v>1.3930533687215501</v>
      </c>
      <c r="K44" s="34">
        <f t="shared" si="2"/>
        <v>0.28034647369442162</v>
      </c>
      <c r="L44" s="34">
        <f t="shared" si="3"/>
        <v>1.1121156249711295</v>
      </c>
      <c r="M44" s="35"/>
      <c r="N44" s="34">
        <f t="shared" si="4"/>
        <v>1.3995181591930956</v>
      </c>
      <c r="O44" s="36">
        <v>754191</v>
      </c>
      <c r="P44" s="37">
        <v>1055504</v>
      </c>
      <c r="Q44" s="37">
        <v>212416</v>
      </c>
      <c r="R44" s="37">
        <v>842640</v>
      </c>
      <c r="S44" s="38"/>
      <c r="T44" s="39">
        <v>70.785361600000002</v>
      </c>
      <c r="U44" s="39">
        <v>73.698572999999996</v>
      </c>
      <c r="V44" s="39">
        <v>40.829461100000003</v>
      </c>
      <c r="W44" s="39">
        <v>45.2463731</v>
      </c>
      <c r="X44" s="39">
        <v>42.529779099999999</v>
      </c>
      <c r="Y44" s="38"/>
      <c r="Z44" s="41">
        <v>2.4990000000000001</v>
      </c>
      <c r="AA44" s="41">
        <v>2.0150000000000001</v>
      </c>
      <c r="AC44" s="33" t="str">
        <f t="shared" si="5"/>
        <v>·</v>
      </c>
      <c r="AD44" s="34">
        <f t="shared" si="6"/>
        <v>1.3933595621434067</v>
      </c>
      <c r="AE44" s="34">
        <f t="shared" si="7"/>
        <v>0.29524436742682703</v>
      </c>
      <c r="AF44" s="34">
        <f t="shared" si="8"/>
        <v>1.1121156249711295</v>
      </c>
      <c r="AG44" s="35"/>
      <c r="AH44" s="34">
        <f t="shared" si="9"/>
        <v>1.3998257735772504</v>
      </c>
      <c r="AI44" s="36">
        <v>754191</v>
      </c>
      <c r="AJ44" s="37">
        <v>1055736</v>
      </c>
      <c r="AK44" s="37">
        <v>223704</v>
      </c>
      <c r="AL44" s="37">
        <v>842640</v>
      </c>
      <c r="AM44" s="38"/>
      <c r="AN44" s="39">
        <v>70.785361600000002</v>
      </c>
      <c r="AO44" s="39">
        <v>73.698572999999996</v>
      </c>
      <c r="AP44" s="39">
        <v>40.829461100000003</v>
      </c>
      <c r="AQ44" s="39">
        <v>45.2463731</v>
      </c>
      <c r="AR44" s="39">
        <v>42.529779099999999</v>
      </c>
      <c r="AS44" s="40"/>
      <c r="AT44" s="41">
        <v>2.3109999999999999</v>
      </c>
      <c r="AU44" s="41">
        <v>1.984</v>
      </c>
      <c r="AW44" s="42">
        <f t="shared" si="10"/>
        <v>1.0647842754973658E-2</v>
      </c>
      <c r="AX44" s="42"/>
      <c r="AZ44" s="43"/>
      <c r="BA44" s="43"/>
      <c r="BB44" s="43"/>
      <c r="BC44" s="43"/>
      <c r="BD44" s="43"/>
      <c r="BE44" s="44"/>
      <c r="BG44" s="43"/>
      <c r="BH44" s="43"/>
      <c r="BI44" s="43"/>
      <c r="BJ44" s="43"/>
      <c r="BK44" s="43"/>
      <c r="BL44" s="44"/>
    </row>
    <row r="45" spans="1:64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4"/>
      <c r="X45" s="24"/>
      <c r="Y45" s="23"/>
      <c r="Z45" s="26"/>
      <c r="AA45" s="26"/>
      <c r="AC45" s="18" t="str">
        <f t="shared" si="5"/>
        <v>·</v>
      </c>
      <c r="AD45" s="19" t="str">
        <f t="shared" si="6"/>
        <v>·</v>
      </c>
      <c r="AE45" s="19" t="str">
        <f t="shared" si="7"/>
        <v>·</v>
      </c>
      <c r="AF45" s="19" t="str">
        <f t="shared" si="8"/>
        <v>·</v>
      </c>
      <c r="AG45" s="20"/>
      <c r="AH45" s="19" t="str">
        <f t="shared" si="9"/>
        <v>·</v>
      </c>
      <c r="AI45" s="21"/>
      <c r="AJ45" s="22"/>
      <c r="AK45" s="22"/>
      <c r="AL45" s="22"/>
      <c r="AM45" s="23"/>
      <c r="AN45" s="24"/>
      <c r="AO45" s="24"/>
      <c r="AP45" s="24"/>
      <c r="AQ45" s="24"/>
      <c r="AR45" s="24"/>
      <c r="AS45" s="25"/>
      <c r="AT45" s="26"/>
      <c r="AU45" s="26"/>
      <c r="AW45" s="27" t="e">
        <f t="shared" si="10"/>
        <v>#DIV/0!</v>
      </c>
      <c r="AX45" s="27"/>
      <c r="AZ45" s="28"/>
      <c r="BA45" s="28"/>
      <c r="BB45" s="28"/>
      <c r="BC45" s="28"/>
      <c r="BD45" s="28"/>
      <c r="BE45" s="29"/>
      <c r="BG45" s="28"/>
      <c r="BH45" s="28"/>
      <c r="BI45" s="28"/>
      <c r="BJ45" s="28"/>
      <c r="BK45" s="28"/>
      <c r="BL45" s="29"/>
    </row>
    <row r="46" spans="1:64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4"/>
      <c r="X46" s="54"/>
      <c r="Y46" s="53"/>
      <c r="Z46" s="56"/>
      <c r="AA46" s="56"/>
      <c r="AC46" s="48" t="str">
        <f t="shared" si="5"/>
        <v>·</v>
      </c>
      <c r="AD46" s="49" t="str">
        <f t="shared" si="6"/>
        <v>·</v>
      </c>
      <c r="AE46" s="49" t="str">
        <f t="shared" si="7"/>
        <v>·</v>
      </c>
      <c r="AF46" s="49" t="str">
        <f t="shared" si="8"/>
        <v>·</v>
      </c>
      <c r="AG46" s="50"/>
      <c r="AH46" s="49" t="str">
        <f t="shared" si="9"/>
        <v>·</v>
      </c>
      <c r="AI46" s="51"/>
      <c r="AJ46" s="52"/>
      <c r="AK46" s="52"/>
      <c r="AL46" s="52"/>
      <c r="AM46" s="53"/>
      <c r="AN46" s="54"/>
      <c r="AO46" s="54"/>
      <c r="AP46" s="54"/>
      <c r="AQ46" s="54"/>
      <c r="AR46" s="54"/>
      <c r="AS46" s="55"/>
      <c r="AT46" s="56"/>
      <c r="AU46" s="56"/>
      <c r="AW46" s="57" t="e">
        <f t="shared" si="10"/>
        <v>#DIV/0!</v>
      </c>
      <c r="AX46" s="57"/>
      <c r="AZ46" s="58"/>
      <c r="BA46" s="58"/>
      <c r="BB46" s="58"/>
      <c r="BC46" s="58"/>
      <c r="BD46" s="58"/>
      <c r="BE46" s="59"/>
      <c r="BG46" s="58"/>
      <c r="BH46" s="58"/>
      <c r="BI46" s="58"/>
      <c r="BJ46" s="58"/>
      <c r="BK46" s="58"/>
      <c r="BL46" s="59"/>
    </row>
    <row r="47" spans="1:64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>
        <f t="shared" si="1"/>
        <v>6.8526872410110823E-2</v>
      </c>
      <c r="K47" s="19">
        <f t="shared" si="2"/>
        <v>7.2353917165783209E-3</v>
      </c>
      <c r="L47" s="19">
        <f t="shared" si="3"/>
        <v>6.0887474049459593E-2</v>
      </c>
      <c r="M47" s="20"/>
      <c r="N47" s="19">
        <f t="shared" si="4"/>
        <v>7.2604377548211113E-2</v>
      </c>
      <c r="O47" s="21">
        <v>1027927</v>
      </c>
      <c r="P47" s="22">
        <v>74632</v>
      </c>
      <c r="Q47" s="22">
        <v>7880</v>
      </c>
      <c r="R47" s="22">
        <v>66312</v>
      </c>
      <c r="S47" s="23"/>
      <c r="T47" s="24">
        <v>55.215634399999999</v>
      </c>
      <c r="U47" s="24">
        <v>56.773492599999997</v>
      </c>
      <c r="V47" s="24">
        <v>28.022342399999999</v>
      </c>
      <c r="W47" s="24">
        <v>44.4311212</v>
      </c>
      <c r="X47" s="24">
        <v>44.916148900000003</v>
      </c>
      <c r="Y47" s="23"/>
      <c r="Z47" s="26">
        <v>1.5620000000000001</v>
      </c>
      <c r="AA47" s="26">
        <v>1.3109999999999999</v>
      </c>
      <c r="AC47" s="18" t="str">
        <f t="shared" si="5"/>
        <v>·</v>
      </c>
      <c r="AD47" s="19">
        <f t="shared" si="6"/>
        <v>6.8548909136151151E-2</v>
      </c>
      <c r="AE47" s="19">
        <f t="shared" si="7"/>
        <v>7.272119593312221E-3</v>
      </c>
      <c r="AF47" s="19">
        <f t="shared" si="8"/>
        <v>6.0887474049459593E-2</v>
      </c>
      <c r="AG47" s="20"/>
      <c r="AH47" s="19">
        <f t="shared" si="9"/>
        <v>7.2627725509690863E-2</v>
      </c>
      <c r="AI47" s="21">
        <v>1027927</v>
      </c>
      <c r="AJ47" s="22">
        <v>74656</v>
      </c>
      <c r="AK47" s="22">
        <v>7920</v>
      </c>
      <c r="AL47" s="22">
        <v>66312</v>
      </c>
      <c r="AM47" s="23"/>
      <c r="AN47" s="24">
        <v>55.215634399999999</v>
      </c>
      <c r="AO47" s="24">
        <v>56.773492599999997</v>
      </c>
      <c r="AP47" s="24">
        <v>28.022342399999999</v>
      </c>
      <c r="AQ47" s="24">
        <v>44.4311212</v>
      </c>
      <c r="AR47" s="24">
        <v>44.916148900000003</v>
      </c>
      <c r="AS47" s="25"/>
      <c r="AT47" s="26">
        <v>1.577</v>
      </c>
      <c r="AU47" s="26">
        <v>1.2490000000000001</v>
      </c>
      <c r="AW47" s="27">
        <f t="shared" si="10"/>
        <v>5.0184802750637136E-4</v>
      </c>
      <c r="AX47" s="27" t="e">
        <f t="array" ref="AX47">AVERAGE(AK47:AK52/AJ47:AJ52) - AVERAGE(Q47:Q52/P47:P52)</f>
        <v>#DIV/0!</v>
      </c>
      <c r="AZ47" s="28">
        <f>IF( OR(ISBLANK(Q47:Q52),ISBLANK(AK47:AK52), ISBLANK(T47:T52),ISBLANK(AN47:AN52)), "·", bdRateExtend( Q47:Q52,T47:T52, AK47:AK52,AN47:AN52))</f>
        <v>1.2452127293862247E-2</v>
      </c>
      <c r="BA47" s="28">
        <f>IF( OR(ISBLANK(Q47:Q52),ISBLANK(AK47:AK52), ISBLANK(U47:U52),ISBLANK(AO47:AO52)), "·", bdRateExtend( Q47:Q52,U47:U52, AK47:AK52,AO47:AO52))</f>
        <v>1.3801817349166301E-2</v>
      </c>
      <c r="BB47" s="28">
        <f>IF( OR(ISBLANK(R47:R52),ISBLANK(AL47:AL52), ISBLANK(V47:V52),ISBLANK(AP47:AP52)), "·", bdRateExtend( R47:R52,V47:V52, AL47:AL52,AP47:AP52))</f>
        <v>0</v>
      </c>
      <c r="BC47" s="28">
        <f>IF( OR(ISBLANK(R47:R52),ISBLANK(AL47:AL52), ISBLANK(W47:W52),ISBLANK(AQ47:AQ52)), "·", bdRateExtend( R47:R52,W47:W52, AL47:AL52,AQ47:AQ52))</f>
        <v>0</v>
      </c>
      <c r="BD47" s="28">
        <f>IF( OR(ISBLANK(R47:R52),ISBLANK(AL47:AL52), ISBLANK(X47:X52),ISBLANK(AR47:AR52)), "·", bdRateExtend( R47:R52,X47:X52, AL47:AL52,AR47:AR52))</f>
        <v>0</v>
      </c>
      <c r="BE47" s="29"/>
      <c r="BG47" s="28">
        <f>IF( OR(ISBLANK(P47:P52),ISBLANK(AJ47:AJ52), ISBLANK(T47:T52),ISBLANK(AN47:AN52)), "·", bdRateExtend( P47:P52,T47:T52, AJ47:AJ52,AN47:AN52))</f>
        <v>7.4861286364358293E-5</v>
      </c>
      <c r="BH47" s="28">
        <f>IF( OR(ISBLANK(P47:P52),ISBLANK(AJ47:AJ52), ISBLANK(U47:U52),ISBLANK(AO47:AO52)), "·", bdRateExtend( P47:P52,U47:U52, AJ47:AJ52,AO47:AO52))</f>
        <v>7.1590242219254918E-5</v>
      </c>
      <c r="BI47" s="28">
        <f>IF( OR(ISBLANK(P47:P52),ISBLANK(AJ47:AJ52), ISBLANK(V47:V52),ISBLANK(AP47:AP52)), "·", bdRateExtend( P47:P52,V47:V52, AJ47:AJ52,AP47:AP52))</f>
        <v>8.6117618903758242E-5</v>
      </c>
      <c r="BJ47" s="28">
        <f>IF( OR(ISBLANK(P47:P52),ISBLANK(AJ47:AJ52), ISBLANK(W47:W52),ISBLANK(AQ47:AQ52)), "·", bdRateExtend( P47:P52,W47:W52, AJ47:AJ52,AQ47:AQ52))</f>
        <v>8.9821214624752344E-5</v>
      </c>
      <c r="BK47" s="28">
        <f>IF( OR(ISBLANK(P47:P52),ISBLANK(AJ47:AJ52), ISBLANK(X47:X52),ISBLANK(AR47:AR52)), "·", bdRateExtend( P47:P52,X47:X52, AJ47:AJ52,AR47:AR52))</f>
        <v>9.0131708015972478E-5</v>
      </c>
      <c r="BL47" s="29"/>
    </row>
    <row r="48" spans="1:64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>
        <f t="shared" si="1"/>
        <v>0.18232452568242691</v>
      </c>
      <c r="K48" s="34">
        <f t="shared" si="2"/>
        <v>2.451953050755171E-2</v>
      </c>
      <c r="L48" s="34">
        <f t="shared" si="3"/>
        <v>0.15740098853080228</v>
      </c>
      <c r="M48" s="35"/>
      <c r="N48" s="34">
        <f t="shared" si="4"/>
        <v>0.20286508830037861</v>
      </c>
      <c r="O48" s="36">
        <v>978818</v>
      </c>
      <c r="P48" s="37">
        <v>198568</v>
      </c>
      <c r="Q48" s="37">
        <v>26704</v>
      </c>
      <c r="R48" s="37">
        <v>171424</v>
      </c>
      <c r="S48" s="38"/>
      <c r="T48" s="39">
        <v>63.325067900000001</v>
      </c>
      <c r="U48" s="39">
        <v>64.334055399999997</v>
      </c>
      <c r="V48" s="39">
        <v>31.981434199999999</v>
      </c>
      <c r="W48" s="39">
        <v>46.191587400000003</v>
      </c>
      <c r="X48" s="39">
        <v>46.8616034</v>
      </c>
      <c r="Y48" s="38"/>
      <c r="Z48" s="41">
        <v>1.546</v>
      </c>
      <c r="AA48" s="41">
        <v>1.39</v>
      </c>
      <c r="AC48" s="33" t="str">
        <f t="shared" si="5"/>
        <v>·</v>
      </c>
      <c r="AD48" s="34">
        <f t="shared" si="6"/>
        <v>0.18231718010708012</v>
      </c>
      <c r="AE48" s="34">
        <f t="shared" si="7"/>
        <v>2.4710515466567991E-2</v>
      </c>
      <c r="AF48" s="34">
        <f t="shared" si="8"/>
        <v>0.15740098853080228</v>
      </c>
      <c r="AG48" s="35"/>
      <c r="AH48" s="34">
        <f t="shared" si="9"/>
        <v>0.20285691517728527</v>
      </c>
      <c r="AI48" s="36">
        <v>978818</v>
      </c>
      <c r="AJ48" s="37">
        <v>198560</v>
      </c>
      <c r="AK48" s="37">
        <v>26912</v>
      </c>
      <c r="AL48" s="37">
        <v>171424</v>
      </c>
      <c r="AM48" s="38"/>
      <c r="AN48" s="39">
        <v>63.325067900000001</v>
      </c>
      <c r="AO48" s="39">
        <v>64.334055399999997</v>
      </c>
      <c r="AP48" s="39">
        <v>31.981434199999999</v>
      </c>
      <c r="AQ48" s="39">
        <v>46.191587400000003</v>
      </c>
      <c r="AR48" s="39">
        <v>46.8616034</v>
      </c>
      <c r="AS48" s="40"/>
      <c r="AT48" s="41">
        <v>1.593</v>
      </c>
      <c r="AU48" s="41">
        <v>1.296</v>
      </c>
      <c r="AW48" s="42">
        <f t="shared" si="10"/>
        <v>1.0529606324555518E-3</v>
      </c>
      <c r="AX48" s="42"/>
      <c r="AZ48" s="43"/>
      <c r="BA48" s="43"/>
      <c r="BB48" s="43"/>
      <c r="BC48" s="43"/>
      <c r="BD48" s="43"/>
      <c r="BE48" s="44"/>
      <c r="BG48" s="43"/>
      <c r="BH48" s="43"/>
      <c r="BI48" s="43"/>
      <c r="BJ48" s="43"/>
      <c r="BK48" s="43"/>
      <c r="BL48" s="44"/>
    </row>
    <row r="49" spans="1:64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>
        <f t="shared" si="1"/>
        <v>0.48114987636478496</v>
      </c>
      <c r="K49" s="19">
        <f t="shared" si="2"/>
        <v>8.6854082900326965E-2</v>
      </c>
      <c r="L49" s="19">
        <f t="shared" si="3"/>
        <v>0.39389178682038506</v>
      </c>
      <c r="M49" s="20"/>
      <c r="N49" s="19">
        <f t="shared" si="4"/>
        <v>0.52465240336528207</v>
      </c>
      <c r="O49" s="21">
        <v>998787</v>
      </c>
      <c r="P49" s="22">
        <v>524016</v>
      </c>
      <c r="Q49" s="22">
        <v>94592</v>
      </c>
      <c r="R49" s="22">
        <v>428984</v>
      </c>
      <c r="S49" s="23"/>
      <c r="T49" s="24">
        <v>68.544061400000004</v>
      </c>
      <c r="U49" s="24">
        <v>71.031361399999994</v>
      </c>
      <c r="V49" s="24">
        <v>36.070827600000001</v>
      </c>
      <c r="W49" s="24">
        <v>48.112387699999999</v>
      </c>
      <c r="X49" s="24">
        <v>48.786230699999997</v>
      </c>
      <c r="Y49" s="23"/>
      <c r="Z49" s="26">
        <v>2.1240000000000001</v>
      </c>
      <c r="AA49" s="26">
        <v>1.702</v>
      </c>
      <c r="AC49" s="18" t="str">
        <f t="shared" si="5"/>
        <v>·</v>
      </c>
      <c r="AD49" s="19">
        <f t="shared" si="6"/>
        <v>0.48119394981686564</v>
      </c>
      <c r="AE49" s="19">
        <f t="shared" si="7"/>
        <v>8.8712513463062317E-2</v>
      </c>
      <c r="AF49" s="19">
        <f t="shared" si="8"/>
        <v>0.39389178682038506</v>
      </c>
      <c r="AG49" s="20"/>
      <c r="AH49" s="19">
        <f t="shared" si="9"/>
        <v>0.52470046165999362</v>
      </c>
      <c r="AI49" s="21">
        <v>998787</v>
      </c>
      <c r="AJ49" s="22">
        <v>524064</v>
      </c>
      <c r="AK49" s="22">
        <v>96616</v>
      </c>
      <c r="AL49" s="22">
        <v>428984</v>
      </c>
      <c r="AM49" s="23"/>
      <c r="AN49" s="24">
        <v>68.544061400000004</v>
      </c>
      <c r="AO49" s="24">
        <v>71.031361399999994</v>
      </c>
      <c r="AP49" s="24">
        <v>36.070827600000001</v>
      </c>
      <c r="AQ49" s="24">
        <v>48.112387699999999</v>
      </c>
      <c r="AR49" s="24">
        <v>48.786230699999997</v>
      </c>
      <c r="AS49" s="25"/>
      <c r="AT49" s="26">
        <v>1.9830000000000001</v>
      </c>
      <c r="AU49" s="26">
        <v>1.671</v>
      </c>
      <c r="AW49" s="27">
        <f t="shared" si="10"/>
        <v>3.8455901350578914E-3</v>
      </c>
      <c r="AX49" s="27"/>
      <c r="AZ49" s="28"/>
      <c r="BA49" s="28"/>
      <c r="BB49" s="28"/>
      <c r="BC49" s="28"/>
      <c r="BD49" s="28"/>
      <c r="BE49" s="29"/>
      <c r="BG49" s="28"/>
      <c r="BH49" s="28"/>
      <c r="BI49" s="28"/>
      <c r="BJ49" s="28"/>
      <c r="BK49" s="28"/>
      <c r="BL49" s="29"/>
    </row>
    <row r="50" spans="1:64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>
        <f t="shared" si="1"/>
        <v>1.1219925607685675</v>
      </c>
      <c r="K50" s="34">
        <f t="shared" si="2"/>
        <v>0.26108378455060227</v>
      </c>
      <c r="L50" s="34">
        <f t="shared" si="3"/>
        <v>0.86050476957389233</v>
      </c>
      <c r="M50" s="35"/>
      <c r="N50" s="34">
        <f t="shared" si="4"/>
        <v>1.1381616756037292</v>
      </c>
      <c r="O50" s="36">
        <v>1073619</v>
      </c>
      <c r="P50" s="37">
        <v>1221952</v>
      </c>
      <c r="Q50" s="37">
        <v>284344</v>
      </c>
      <c r="R50" s="37">
        <v>937168</v>
      </c>
      <c r="S50" s="38"/>
      <c r="T50" s="39">
        <v>71.013650200000001</v>
      </c>
      <c r="U50" s="39">
        <v>74.127468199999996</v>
      </c>
      <c r="V50" s="39">
        <v>39.6186474</v>
      </c>
      <c r="W50" s="39">
        <v>49.995641499999998</v>
      </c>
      <c r="X50" s="39">
        <v>50.686168600000002</v>
      </c>
      <c r="Y50" s="38"/>
      <c r="Z50" s="41">
        <v>3.593</v>
      </c>
      <c r="AA50" s="41">
        <v>2.9060000000000001</v>
      </c>
      <c r="AC50" s="33" t="str">
        <f t="shared" si="5"/>
        <v>·</v>
      </c>
      <c r="AD50" s="34">
        <f t="shared" si="6"/>
        <v>1.1222716926317451</v>
      </c>
      <c r="AE50" s="34">
        <f t="shared" si="7"/>
        <v>0.27678862464201798</v>
      </c>
      <c r="AF50" s="34">
        <f t="shared" si="8"/>
        <v>0.86050476957389233</v>
      </c>
      <c r="AG50" s="35"/>
      <c r="AH50" s="34">
        <f t="shared" si="9"/>
        <v>1.1384448300560999</v>
      </c>
      <c r="AI50" s="36">
        <v>1073619</v>
      </c>
      <c r="AJ50" s="37">
        <v>1222256</v>
      </c>
      <c r="AK50" s="37">
        <v>301448</v>
      </c>
      <c r="AL50" s="37">
        <v>937168</v>
      </c>
      <c r="AM50" s="38"/>
      <c r="AN50" s="39">
        <v>71.013650200000001</v>
      </c>
      <c r="AO50" s="39">
        <v>74.127468199999996</v>
      </c>
      <c r="AP50" s="39">
        <v>39.6186474</v>
      </c>
      <c r="AQ50" s="39">
        <v>49.995641499999998</v>
      </c>
      <c r="AR50" s="39">
        <v>50.686168600000002</v>
      </c>
      <c r="AS50" s="40"/>
      <c r="AT50" s="41">
        <v>3.359</v>
      </c>
      <c r="AU50" s="41">
        <v>2.7959999999999998</v>
      </c>
      <c r="AW50" s="42">
        <f t="shared" si="10"/>
        <v>1.3935918704795519E-2</v>
      </c>
      <c r="AX50" s="42"/>
      <c r="AZ50" s="43"/>
      <c r="BA50" s="43"/>
      <c r="BB50" s="43"/>
      <c r="BC50" s="43"/>
      <c r="BD50" s="43"/>
      <c r="BE50" s="44"/>
      <c r="BG50" s="43"/>
      <c r="BH50" s="43"/>
      <c r="BI50" s="43"/>
      <c r="BJ50" s="43"/>
      <c r="BK50" s="43"/>
      <c r="BL50" s="44"/>
    </row>
    <row r="51" spans="1:64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4"/>
      <c r="X51" s="24"/>
      <c r="Y51" s="23"/>
      <c r="Z51" s="26"/>
      <c r="AA51" s="26"/>
      <c r="AC51" s="18" t="str">
        <f t="shared" si="5"/>
        <v>·</v>
      </c>
      <c r="AD51" s="19" t="str">
        <f t="shared" si="6"/>
        <v>·</v>
      </c>
      <c r="AE51" s="19" t="str">
        <f t="shared" si="7"/>
        <v>·</v>
      </c>
      <c r="AF51" s="19" t="str">
        <f t="shared" si="8"/>
        <v>·</v>
      </c>
      <c r="AG51" s="20"/>
      <c r="AH51" s="19" t="str">
        <f t="shared" si="9"/>
        <v>·</v>
      </c>
      <c r="AI51" s="21"/>
      <c r="AJ51" s="22"/>
      <c r="AK51" s="22"/>
      <c r="AL51" s="22"/>
      <c r="AM51" s="23"/>
      <c r="AN51" s="24"/>
      <c r="AO51" s="24"/>
      <c r="AP51" s="24"/>
      <c r="AQ51" s="24"/>
      <c r="AR51" s="24"/>
      <c r="AS51" s="25"/>
      <c r="AT51" s="26"/>
      <c r="AU51" s="26"/>
      <c r="AW51" s="27" t="e">
        <f t="shared" si="10"/>
        <v>#DIV/0!</v>
      </c>
      <c r="AX51" s="27"/>
      <c r="AZ51" s="28"/>
      <c r="BA51" s="28"/>
      <c r="BB51" s="28"/>
      <c r="BC51" s="28"/>
      <c r="BD51" s="28"/>
      <c r="BE51" s="29"/>
      <c r="BG51" s="28"/>
      <c r="BH51" s="28"/>
      <c r="BI51" s="28"/>
      <c r="BJ51" s="28"/>
      <c r="BK51" s="28"/>
      <c r="BL51" s="29"/>
    </row>
    <row r="52" spans="1:64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4"/>
      <c r="X52" s="54"/>
      <c r="Y52" s="53"/>
      <c r="Z52" s="56"/>
      <c r="AA52" s="56"/>
      <c r="AC52" s="48" t="str">
        <f t="shared" si="5"/>
        <v>·</v>
      </c>
      <c r="AD52" s="49" t="str">
        <f t="shared" si="6"/>
        <v>·</v>
      </c>
      <c r="AE52" s="49" t="str">
        <f t="shared" si="7"/>
        <v>·</v>
      </c>
      <c r="AF52" s="49" t="str">
        <f t="shared" si="8"/>
        <v>·</v>
      </c>
      <c r="AG52" s="50"/>
      <c r="AH52" s="49" t="str">
        <f t="shared" si="9"/>
        <v>·</v>
      </c>
      <c r="AI52" s="51"/>
      <c r="AJ52" s="52"/>
      <c r="AK52" s="52"/>
      <c r="AL52" s="52"/>
      <c r="AM52" s="53"/>
      <c r="AN52" s="54"/>
      <c r="AO52" s="54"/>
      <c r="AP52" s="54"/>
      <c r="AQ52" s="54"/>
      <c r="AR52" s="54"/>
      <c r="AS52" s="55"/>
      <c r="AT52" s="56"/>
      <c r="AU52" s="56"/>
      <c r="AW52" s="57" t="e">
        <f t="shared" si="10"/>
        <v>#DIV/0!</v>
      </c>
      <c r="AX52" s="57"/>
      <c r="AZ52" s="58"/>
      <c r="BA52" s="58"/>
      <c r="BB52" s="58"/>
      <c r="BC52" s="58"/>
      <c r="BD52" s="58"/>
      <c r="BE52" s="59"/>
      <c r="BG52" s="58"/>
      <c r="BH52" s="58"/>
      <c r="BI52" s="58"/>
      <c r="BJ52" s="58"/>
      <c r="BK52" s="58"/>
      <c r="BL52" s="59"/>
    </row>
    <row r="53" spans="1:64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>
        <f t="shared" si="1"/>
        <v>3.8200570887303269E-2</v>
      </c>
      <c r="K53" s="19">
        <f t="shared" si="2"/>
        <v>2.1953763559372122E-3</v>
      </c>
      <c r="L53" s="19">
        <f t="shared" si="3"/>
        <v>3.5859517636967431E-2</v>
      </c>
      <c r="M53" s="20"/>
      <c r="N53" s="19">
        <f t="shared" si="4"/>
        <v>0.12837012369376508</v>
      </c>
      <c r="O53" s="21">
        <v>931494</v>
      </c>
      <c r="P53" s="22">
        <v>119576</v>
      </c>
      <c r="Q53" s="22">
        <v>6872</v>
      </c>
      <c r="R53" s="22">
        <v>112248</v>
      </c>
      <c r="S53" s="23"/>
      <c r="T53" s="24">
        <v>61.373746500000003</v>
      </c>
      <c r="U53" s="24">
        <v>62.324563300000001</v>
      </c>
      <c r="V53" s="24">
        <v>26.852784400000001</v>
      </c>
      <c r="W53" s="24">
        <v>34.6089883</v>
      </c>
      <c r="X53" s="24">
        <v>34.735602</v>
      </c>
      <c r="Y53" s="23"/>
      <c r="Z53" s="26">
        <v>1.296</v>
      </c>
      <c r="AA53" s="26">
        <v>1.155</v>
      </c>
      <c r="AC53" s="18" t="str">
        <f t="shared" si="5"/>
        <v>·</v>
      </c>
      <c r="AD53" s="19">
        <f t="shared" si="6"/>
        <v>3.8195459417324371E-2</v>
      </c>
      <c r="AE53" s="19">
        <f t="shared" si="7"/>
        <v>2.1928206209477622E-3</v>
      </c>
      <c r="AF53" s="19">
        <f t="shared" si="8"/>
        <v>3.5859517636967431E-2</v>
      </c>
      <c r="AG53" s="20"/>
      <c r="AH53" s="19">
        <f t="shared" si="9"/>
        <v>0.12835294698623931</v>
      </c>
      <c r="AI53" s="21">
        <v>931494</v>
      </c>
      <c r="AJ53" s="22">
        <v>119560</v>
      </c>
      <c r="AK53" s="22">
        <v>6864</v>
      </c>
      <c r="AL53" s="22">
        <v>112248</v>
      </c>
      <c r="AM53" s="23"/>
      <c r="AN53" s="24">
        <v>61.373746500000003</v>
      </c>
      <c r="AO53" s="24">
        <v>62.324563300000001</v>
      </c>
      <c r="AP53" s="24">
        <v>26.852784400000001</v>
      </c>
      <c r="AQ53" s="24">
        <v>34.6089883</v>
      </c>
      <c r="AR53" s="24">
        <v>34.735602</v>
      </c>
      <c r="AS53" s="25"/>
      <c r="AT53" s="26">
        <v>1.3109999999999999</v>
      </c>
      <c r="AU53" s="26">
        <v>1.109</v>
      </c>
      <c r="AW53" s="27">
        <f t="shared" si="10"/>
        <v>-5.9221180814118812E-5</v>
      </c>
      <c r="AX53" s="27" t="e">
        <f t="array" ref="AX53">AVERAGE(AK53:AK58/AJ53:AJ58) - AVERAGE(Q53:Q58/P53:P58)</f>
        <v>#DIV/0!</v>
      </c>
      <c r="AZ53" s="28">
        <f>IF( OR(ISBLANK(Q53:Q58),ISBLANK(AK53:AK58), ISBLANK(T53:T58),ISBLANK(AN53:AN58)), "·", bdRateExtend( Q53:Q58,T53:T58, AK53:AK58,AN53:AN58))</f>
        <v>6.362628630908862E-3</v>
      </c>
      <c r="BA53" s="28">
        <f>IF( OR(ISBLANK(Q53:Q58),ISBLANK(AK53:AK58), ISBLANK(U53:U58),ISBLANK(AO53:AO58)), "·", bdRateExtend( Q53:Q58,U53:U58, AK53:AK58,AO53:AO58))</f>
        <v>7.361752177565295E-3</v>
      </c>
      <c r="BB53" s="28">
        <f>IF( OR(ISBLANK(R53:R58),ISBLANK(AL53:AL58), ISBLANK(V53:V58),ISBLANK(AP53:AP58)), "·", bdRateExtend( R53:R58,V53:V58, AL53:AL58,AP53:AP58))</f>
        <v>0</v>
      </c>
      <c r="BC53" s="28">
        <f>IF( OR(ISBLANK(R53:R58),ISBLANK(AL53:AL58), ISBLANK(W53:W58),ISBLANK(AQ53:AQ58)), "·", bdRateExtend( R53:R58,W53:W58, AL53:AL58,AQ53:AQ58))</f>
        <v>0</v>
      </c>
      <c r="BD53" s="28">
        <f>IF( OR(ISBLANK(R53:R58),ISBLANK(AL53:AL58), ISBLANK(X53:X58),ISBLANK(AR53:AR58)), "·", bdRateExtend( R53:R58,X53:X58, AL53:AL58,AR53:AR58))</f>
        <v>0</v>
      </c>
      <c r="BE53" s="29"/>
      <c r="BG53" s="28">
        <f>IF( OR(ISBLANK(P53:P58),ISBLANK(AJ53:AJ58), ISBLANK(T53:T58),ISBLANK(AN53:AN58)), "·", bdRateExtend( P53:P58,T53:T58, AJ53:AJ58,AN53:AN58))</f>
        <v>-3.5390339448437835E-5</v>
      </c>
      <c r="BH53" s="28">
        <f>IF( OR(ISBLANK(P53:P58),ISBLANK(AJ53:AJ58), ISBLANK(U53:U58),ISBLANK(AO53:AO58)), "·", bdRateExtend( P53:P58,U53:U58, AJ53:AJ58,AO53:AO58))</f>
        <v>-3.3044615105115582E-5</v>
      </c>
      <c r="BI53" s="28">
        <f>IF( OR(ISBLANK(P53:P58),ISBLANK(AJ53:AJ58), ISBLANK(V53:V58),ISBLANK(AP53:AP58)), "·", bdRateExtend( P53:P58,V53:V58, AJ53:AJ58,AP53:AP58))</f>
        <v>-1.6398420430996374E-5</v>
      </c>
      <c r="BJ53" s="28">
        <f>IF( OR(ISBLANK(P53:P58),ISBLANK(AJ53:AJ58), ISBLANK(W53:W58),ISBLANK(AQ53:AQ58)), "·", bdRateExtend( P53:P58,W53:W58, AJ53:AJ58,AQ53:AQ58))</f>
        <v>-4.6321084424816306E-6</v>
      </c>
      <c r="BK53" s="28">
        <f>IF( OR(ISBLANK(P53:P58),ISBLANK(AJ53:AJ58), ISBLANK(X53:X58),ISBLANK(AR53:AR58)), "·", bdRateExtend( P53:P58,X53:X58, AJ53:AJ58,AR53:AR58))</f>
        <v>-3.6582404306928495E-6</v>
      </c>
      <c r="BL53" s="29"/>
    </row>
    <row r="54" spans="1:64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>
        <f t="shared" si="1"/>
        <v>0.10798235903923532</v>
      </c>
      <c r="K54" s="34">
        <f t="shared" si="2"/>
        <v>7.5726427737391839E-3</v>
      </c>
      <c r="L54" s="34">
        <f t="shared" si="3"/>
        <v>0.10026403937109751</v>
      </c>
      <c r="M54" s="35"/>
      <c r="N54" s="34">
        <f t="shared" si="4"/>
        <v>0.37911931993436232</v>
      </c>
      <c r="O54" s="36">
        <v>891561</v>
      </c>
      <c r="P54" s="37">
        <v>338008</v>
      </c>
      <c r="Q54" s="37">
        <v>23704</v>
      </c>
      <c r="R54" s="37">
        <v>313848</v>
      </c>
      <c r="S54" s="38"/>
      <c r="T54" s="39">
        <v>68.096070800000007</v>
      </c>
      <c r="U54" s="39">
        <v>70.033604499999996</v>
      </c>
      <c r="V54" s="39">
        <v>30.2348924</v>
      </c>
      <c r="W54" s="39">
        <v>37.782975999999998</v>
      </c>
      <c r="X54" s="39">
        <v>37.853010500000003</v>
      </c>
      <c r="Y54" s="38"/>
      <c r="Z54" s="41">
        <v>1.5149999999999999</v>
      </c>
      <c r="AA54" s="41">
        <v>1.2030000000000001</v>
      </c>
      <c r="AC54" s="33" t="str">
        <f t="shared" si="5"/>
        <v>·</v>
      </c>
      <c r="AD54" s="34">
        <f t="shared" si="6"/>
        <v>0.10797980330424588</v>
      </c>
      <c r="AE54" s="34">
        <f t="shared" si="7"/>
        <v>7.6058673286020289E-3</v>
      </c>
      <c r="AF54" s="34">
        <f t="shared" si="8"/>
        <v>0.10026403937109751</v>
      </c>
      <c r="AG54" s="35"/>
      <c r="AH54" s="34">
        <f t="shared" si="9"/>
        <v>0.37911034690840001</v>
      </c>
      <c r="AI54" s="36">
        <v>891561</v>
      </c>
      <c r="AJ54" s="37">
        <v>338000</v>
      </c>
      <c r="AK54" s="37">
        <v>23808</v>
      </c>
      <c r="AL54" s="37">
        <v>313848</v>
      </c>
      <c r="AM54" s="38"/>
      <c r="AN54" s="39">
        <v>68.096070800000007</v>
      </c>
      <c r="AO54" s="39">
        <v>70.033604499999996</v>
      </c>
      <c r="AP54" s="39">
        <v>30.2348924</v>
      </c>
      <c r="AQ54" s="39">
        <v>37.782975999999998</v>
      </c>
      <c r="AR54" s="39">
        <v>37.853010500000003</v>
      </c>
      <c r="AS54" s="40"/>
      <c r="AT54" s="41">
        <v>1.546</v>
      </c>
      <c r="AU54" s="41">
        <v>1.155</v>
      </c>
      <c r="AW54" s="42">
        <f t="shared" si="10"/>
        <v>3.0935215426433627E-4</v>
      </c>
      <c r="AX54" s="42"/>
      <c r="AZ54" s="43"/>
      <c r="BA54" s="43"/>
      <c r="BB54" s="43"/>
      <c r="BC54" s="43"/>
      <c r="BD54" s="43"/>
      <c r="BE54" s="44"/>
      <c r="BG54" s="43"/>
      <c r="BH54" s="43"/>
      <c r="BI54" s="43"/>
      <c r="BJ54" s="43"/>
      <c r="BK54" s="43"/>
      <c r="BL54" s="44"/>
    </row>
    <row r="55" spans="1:64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>
        <f t="shared" si="1"/>
        <v>0.27190464552754362</v>
      </c>
      <c r="K55" s="19">
        <f t="shared" si="2"/>
        <v>2.6837773124210318E-2</v>
      </c>
      <c r="L55" s="19">
        <f t="shared" si="3"/>
        <v>0.24492119550893468</v>
      </c>
      <c r="M55" s="20"/>
      <c r="N55" s="19">
        <f t="shared" si="4"/>
        <v>0.92274433828176916</v>
      </c>
      <c r="O55" s="21">
        <v>922379</v>
      </c>
      <c r="P55" s="22">
        <v>851120</v>
      </c>
      <c r="Q55" s="22">
        <v>84008</v>
      </c>
      <c r="R55" s="22">
        <v>766656</v>
      </c>
      <c r="S55" s="23"/>
      <c r="T55" s="24">
        <v>73.398408799999999</v>
      </c>
      <c r="U55" s="24">
        <v>75.143603499999998</v>
      </c>
      <c r="V55" s="24">
        <v>33.565472900000003</v>
      </c>
      <c r="W55" s="24">
        <v>41.269367099999997</v>
      </c>
      <c r="X55" s="24">
        <v>41.354917399999998</v>
      </c>
      <c r="Y55" s="23"/>
      <c r="Z55" s="26">
        <v>1.968</v>
      </c>
      <c r="AA55" s="26">
        <v>1.6559999999999999</v>
      </c>
      <c r="AC55" s="18" t="str">
        <f t="shared" si="5"/>
        <v>·</v>
      </c>
      <c r="AD55" s="19">
        <f t="shared" si="6"/>
        <v>0.27190975699752251</v>
      </c>
      <c r="AE55" s="19">
        <f t="shared" si="7"/>
        <v>2.7285026747363997E-2</v>
      </c>
      <c r="AF55" s="19">
        <f t="shared" si="8"/>
        <v>0.24492119550893468</v>
      </c>
      <c r="AG55" s="20"/>
      <c r="AH55" s="19">
        <f t="shared" si="9"/>
        <v>0.92276168473046327</v>
      </c>
      <c r="AI55" s="21">
        <v>922379</v>
      </c>
      <c r="AJ55" s="22">
        <v>851136</v>
      </c>
      <c r="AK55" s="22">
        <v>85408</v>
      </c>
      <c r="AL55" s="22">
        <v>766656</v>
      </c>
      <c r="AM55" s="23"/>
      <c r="AN55" s="24">
        <v>73.398408799999999</v>
      </c>
      <c r="AO55" s="24">
        <v>75.143603499999998</v>
      </c>
      <c r="AP55" s="24">
        <v>33.565472900000003</v>
      </c>
      <c r="AQ55" s="24">
        <v>41.269367099999997</v>
      </c>
      <c r="AR55" s="24">
        <v>41.354917399999998</v>
      </c>
      <c r="AS55" s="25"/>
      <c r="AT55" s="26">
        <v>1.796</v>
      </c>
      <c r="AU55" s="26">
        <v>1.546</v>
      </c>
      <c r="AW55" s="27">
        <f t="shared" si="10"/>
        <v>1.6430050589215373E-3</v>
      </c>
      <c r="AX55" s="27"/>
      <c r="AZ55" s="28"/>
      <c r="BA55" s="28"/>
      <c r="BB55" s="28"/>
      <c r="BC55" s="28"/>
      <c r="BD55" s="28"/>
      <c r="BE55" s="29"/>
      <c r="BG55" s="28"/>
      <c r="BH55" s="28"/>
      <c r="BI55" s="28"/>
      <c r="BJ55" s="28"/>
      <c r="BK55" s="28"/>
      <c r="BL55" s="29"/>
    </row>
    <row r="56" spans="1:64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>
        <f t="shared" si="1"/>
        <v>0.56224891900396623</v>
      </c>
      <c r="K56" s="34">
        <f t="shared" si="2"/>
        <v>8.1292818544413087E-2</v>
      </c>
      <c r="L56" s="34">
        <f t="shared" si="3"/>
        <v>0.48081042356515447</v>
      </c>
      <c r="M56" s="35"/>
      <c r="N56" s="34">
        <f t="shared" si="4"/>
        <v>1.7820358602366111</v>
      </c>
      <c r="O56" s="36">
        <v>987612</v>
      </c>
      <c r="P56" s="37">
        <v>1759960</v>
      </c>
      <c r="Q56" s="37">
        <v>254464</v>
      </c>
      <c r="R56" s="37">
        <v>1505040</v>
      </c>
      <c r="S56" s="38"/>
      <c r="T56" s="39">
        <v>74.497849799999997</v>
      </c>
      <c r="U56" s="39">
        <v>77.029704199999998</v>
      </c>
      <c r="V56" s="39">
        <v>35.360334899999998</v>
      </c>
      <c r="W56" s="39">
        <v>44.089222999999997</v>
      </c>
      <c r="X56" s="39">
        <v>44.235774900000003</v>
      </c>
      <c r="Y56" s="38"/>
      <c r="Z56" s="41">
        <v>3.3580000000000001</v>
      </c>
      <c r="AA56" s="41">
        <v>2.8580000000000001</v>
      </c>
      <c r="AC56" s="33" t="str">
        <f t="shared" si="5"/>
        <v>·</v>
      </c>
      <c r="AD56" s="34">
        <f t="shared" si="6"/>
        <v>0.56232559105364965</v>
      </c>
      <c r="AE56" s="34">
        <f t="shared" si="7"/>
        <v>8.5911031670348526E-2</v>
      </c>
      <c r="AF56" s="34">
        <f t="shared" si="8"/>
        <v>0.48081042356515447</v>
      </c>
      <c r="AG56" s="35"/>
      <c r="AH56" s="34">
        <f t="shared" si="9"/>
        <v>1.7822788706496073</v>
      </c>
      <c r="AI56" s="36">
        <v>987612</v>
      </c>
      <c r="AJ56" s="37">
        <v>1760200</v>
      </c>
      <c r="AK56" s="37">
        <v>268920</v>
      </c>
      <c r="AL56" s="37">
        <v>1505040</v>
      </c>
      <c r="AM56" s="38"/>
      <c r="AN56" s="39">
        <v>74.497849799999997</v>
      </c>
      <c r="AO56" s="39">
        <v>77.029704199999998</v>
      </c>
      <c r="AP56" s="39">
        <v>35.360334899999998</v>
      </c>
      <c r="AQ56" s="39">
        <v>44.089222999999997</v>
      </c>
      <c r="AR56" s="39">
        <v>44.235774900000003</v>
      </c>
      <c r="AS56" s="40"/>
      <c r="AT56" s="41">
        <v>3.14</v>
      </c>
      <c r="AU56" s="41">
        <v>2.4990000000000001</v>
      </c>
      <c r="AW56" s="42">
        <f t="shared" si="10"/>
        <v>8.1929891915636655E-3</v>
      </c>
      <c r="AX56" s="42"/>
      <c r="AZ56" s="43"/>
      <c r="BA56" s="43"/>
      <c r="BB56" s="43"/>
      <c r="BC56" s="43"/>
      <c r="BD56" s="43"/>
      <c r="BE56" s="44"/>
      <c r="BG56" s="43"/>
      <c r="BH56" s="43"/>
      <c r="BI56" s="43"/>
      <c r="BJ56" s="43"/>
      <c r="BK56" s="43"/>
      <c r="BL56" s="44"/>
    </row>
    <row r="57" spans="1:64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4"/>
      <c r="X57" s="24"/>
      <c r="Y57" s="23"/>
      <c r="Z57" s="26"/>
      <c r="AA57" s="26"/>
      <c r="AC57" s="18" t="str">
        <f t="shared" si="5"/>
        <v>·</v>
      </c>
      <c r="AD57" s="19" t="str">
        <f t="shared" si="6"/>
        <v>·</v>
      </c>
      <c r="AE57" s="19" t="str">
        <f t="shared" si="7"/>
        <v>·</v>
      </c>
      <c r="AF57" s="19" t="str">
        <f t="shared" si="8"/>
        <v>·</v>
      </c>
      <c r="AG57" s="20"/>
      <c r="AH57" s="19" t="str">
        <f t="shared" si="9"/>
        <v>·</v>
      </c>
      <c r="AI57" s="21"/>
      <c r="AJ57" s="22"/>
      <c r="AK57" s="22"/>
      <c r="AL57" s="22"/>
      <c r="AM57" s="23"/>
      <c r="AN57" s="24"/>
      <c r="AO57" s="24"/>
      <c r="AP57" s="24"/>
      <c r="AQ57" s="24"/>
      <c r="AR57" s="24"/>
      <c r="AS57" s="25"/>
      <c r="AT57" s="26"/>
      <c r="AU57" s="26"/>
      <c r="AW57" s="27" t="e">
        <f t="shared" si="10"/>
        <v>#DIV/0!</v>
      </c>
      <c r="AX57" s="27"/>
      <c r="AZ57" s="28"/>
      <c r="BA57" s="28"/>
      <c r="BB57" s="28"/>
      <c r="BC57" s="28"/>
      <c r="BD57" s="28"/>
      <c r="BE57" s="29"/>
      <c r="BG57" s="28"/>
      <c r="BH57" s="28"/>
      <c r="BI57" s="28"/>
      <c r="BJ57" s="28"/>
      <c r="BK57" s="28"/>
      <c r="BL57" s="29"/>
    </row>
    <row r="58" spans="1:64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4"/>
      <c r="X58" s="54"/>
      <c r="Y58" s="53"/>
      <c r="Z58" s="56"/>
      <c r="AA58" s="56"/>
      <c r="AC58" s="48" t="str">
        <f t="shared" si="5"/>
        <v>·</v>
      </c>
      <c r="AD58" s="49" t="str">
        <f t="shared" si="6"/>
        <v>·</v>
      </c>
      <c r="AE58" s="49" t="str">
        <f t="shared" si="7"/>
        <v>·</v>
      </c>
      <c r="AF58" s="49" t="str">
        <f t="shared" si="8"/>
        <v>·</v>
      </c>
      <c r="AG58" s="50"/>
      <c r="AH58" s="49" t="str">
        <f t="shared" si="9"/>
        <v>·</v>
      </c>
      <c r="AI58" s="51"/>
      <c r="AJ58" s="52"/>
      <c r="AK58" s="52"/>
      <c r="AL58" s="52"/>
      <c r="AM58" s="53"/>
      <c r="AN58" s="54"/>
      <c r="AO58" s="54"/>
      <c r="AP58" s="54"/>
      <c r="AQ58" s="54"/>
      <c r="AR58" s="54"/>
      <c r="AS58" s="55"/>
      <c r="AT58" s="56"/>
      <c r="AU58" s="56"/>
      <c r="AW58" s="57" t="e">
        <f t="shared" si="10"/>
        <v>#DIV/0!</v>
      </c>
      <c r="AX58" s="57"/>
      <c r="AZ58" s="58"/>
      <c r="BA58" s="58"/>
      <c r="BB58" s="58"/>
      <c r="BC58" s="58"/>
      <c r="BD58" s="58"/>
      <c r="BE58" s="59"/>
      <c r="BG58" s="58"/>
      <c r="BH58" s="58"/>
      <c r="BI58" s="58"/>
      <c r="BJ58" s="58"/>
      <c r="BK58" s="58"/>
      <c r="BL58" s="59"/>
    </row>
    <row r="59" spans="1:64" x14ac:dyDescent="0.15">
      <c r="A59" s="15" t="s">
        <v>258</v>
      </c>
      <c r="B59" s="15" t="s">
        <v>1040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>
        <f t="shared" si="1"/>
        <v>2.5123923408677432E-2</v>
      </c>
      <c r="K59" s="19">
        <f t="shared" si="2"/>
        <v>7.855520263606525E-3</v>
      </c>
      <c r="L59" s="19">
        <f t="shared" si="3"/>
        <v>1.7078313296126489E-2</v>
      </c>
      <c r="M59" s="20"/>
      <c r="N59" s="19">
        <f t="shared" si="4"/>
        <v>3.7991078849670304E-2</v>
      </c>
      <c r="O59" s="21">
        <v>2310016</v>
      </c>
      <c r="P59" s="22">
        <v>87760</v>
      </c>
      <c r="Q59" s="22">
        <v>27440</v>
      </c>
      <c r="R59" s="22">
        <v>59656</v>
      </c>
      <c r="S59" s="23"/>
      <c r="T59" s="24">
        <v>64.278808400000003</v>
      </c>
      <c r="U59" s="24">
        <v>64.676648499999999</v>
      </c>
      <c r="V59" s="24">
        <v>34.424011200000002</v>
      </c>
      <c r="W59" s="24">
        <v>46.074849700000001</v>
      </c>
      <c r="X59" s="24">
        <v>46.184782499999997</v>
      </c>
      <c r="Y59" s="23"/>
      <c r="Z59" s="26">
        <v>4.5119999999999996</v>
      </c>
      <c r="AA59" s="26">
        <v>2.6840000000000002</v>
      </c>
      <c r="AC59" s="18" t="str">
        <f t="shared" si="5"/>
        <v>·</v>
      </c>
      <c r="AD59" s="19">
        <f t="shared" si="6"/>
        <v>2.5133084365253064E-2</v>
      </c>
      <c r="AE59" s="19">
        <f t="shared" si="7"/>
        <v>7.8738421767577949E-3</v>
      </c>
      <c r="AF59" s="19">
        <f t="shared" si="8"/>
        <v>1.7078313296126489E-2</v>
      </c>
      <c r="AG59" s="20"/>
      <c r="AH59" s="19">
        <f t="shared" si="9"/>
        <v>3.8004931567573556E-2</v>
      </c>
      <c r="AI59" s="21">
        <v>2310016</v>
      </c>
      <c r="AJ59" s="22">
        <v>87792</v>
      </c>
      <c r="AK59" s="22">
        <v>27504</v>
      </c>
      <c r="AL59" s="22">
        <v>59656</v>
      </c>
      <c r="AM59" s="23"/>
      <c r="AN59" s="24">
        <v>64.278808400000003</v>
      </c>
      <c r="AO59" s="24">
        <v>64.676648499999999</v>
      </c>
      <c r="AP59" s="24">
        <v>34.424011200000002</v>
      </c>
      <c r="AQ59" s="24">
        <v>46.074849700000001</v>
      </c>
      <c r="AR59" s="24">
        <v>46.184782499999997</v>
      </c>
      <c r="AS59" s="25"/>
      <c r="AT59" s="26">
        <v>4.4820000000000002</v>
      </c>
      <c r="AU59" s="26">
        <v>2.81</v>
      </c>
      <c r="AW59" s="27">
        <f t="shared" si="10"/>
        <v>6.1502791299694604E-4</v>
      </c>
      <c r="AX59" s="27" t="e">
        <f t="array" ref="AX59">AVERAGE(AK59:AK64/AJ59:AJ64) - AVERAGE(Q59:Q64/P59:P64)</f>
        <v>#DIV/0!</v>
      </c>
      <c r="AZ59" s="28">
        <f>IF( OR(ISBLANK(Q59:Q64),ISBLANK(AK59:AK64), ISBLANK(T59:T64),ISBLANK(AN59:AN64)), "·", bdRateExtend( Q59:Q64,T59:T64, AK59:AK64,AN59:AN64))</f>
        <v>2.9646222572528025E-3</v>
      </c>
      <c r="BA59" s="28">
        <f>IF( OR(ISBLANK(Q59:Q64),ISBLANK(AK59:AK64), ISBLANK(U59:U64),ISBLANK(AO59:AO64)), "·", bdRateExtend( Q59:Q64,U59:U64, AK59:AK64,AO59:AO64))</f>
        <v>6.3582847002934262E-3</v>
      </c>
      <c r="BB59" s="28">
        <f>IF( OR(ISBLANK(R59:R64),ISBLANK(AL59:AL64), ISBLANK(V59:V64),ISBLANK(AP59:AP64)), "·", bdRateExtend( R59:R64,V59:V64, AL59:AL64,AP59:AP64))</f>
        <v>0</v>
      </c>
      <c r="BC59" s="28">
        <f>IF( OR(ISBLANK(R59:R64),ISBLANK(AL59:AL64), ISBLANK(W59:W64),ISBLANK(AQ59:AQ64)), "·", bdRateExtend( R59:R64,W59:W64, AL59:AL64,AQ59:AQ64))</f>
        <v>0</v>
      </c>
      <c r="BD59" s="28">
        <f>IF( OR(ISBLANK(R59:R64),ISBLANK(AL59:AL64), ISBLANK(X59:X64),ISBLANK(AR59:AR64)), "·", bdRateExtend( R59:R64,X59:X64, AL59:AL64,AR59:AR64))</f>
        <v>0</v>
      </c>
      <c r="BE59" s="29"/>
      <c r="BG59" s="28">
        <f>IF( OR(ISBLANK(P59:P64),ISBLANK(AJ59:AJ64), ISBLANK(T59:T64),ISBLANK(AN59:AN64)), "·", bdRateExtend( P59:P64,T59:T64, AJ59:AJ64,AN59:AN64))</f>
        <v>3.3732611095427245E-4</v>
      </c>
      <c r="BH59" s="28">
        <f>IF( OR(ISBLANK(P59:P64),ISBLANK(AJ59:AJ64), ISBLANK(U59:U64),ISBLANK(AO59:AO64)), "·", bdRateExtend( P59:P64,U59:U64, AJ59:AJ64,AO59:AO64))</f>
        <v>3.9545900893211972E-4</v>
      </c>
      <c r="BI59" s="28">
        <f>IF( OR(ISBLANK(P59:P64),ISBLANK(AJ59:AJ64), ISBLANK(V59:V64),ISBLANK(AP59:AP64)), "·", bdRateExtend( P59:P64,V59:V64, AJ59:AJ64,AP59:AP64))</f>
        <v>4.8013907699773206E-4</v>
      </c>
      <c r="BJ59" s="28">
        <f>IF( OR(ISBLANK(P59:P64),ISBLANK(AJ59:AJ64), ISBLANK(W59:W64),ISBLANK(AQ59:AQ64)), "·", bdRateExtend( P59:P64,W59:W64, AJ59:AJ64,AQ59:AQ64))</f>
        <v>4.4031577089165275E-4</v>
      </c>
      <c r="BK59" s="28">
        <f>IF( OR(ISBLANK(P59:P64),ISBLANK(AJ59:AJ64), ISBLANK(X59:X64),ISBLANK(AR59:AR64)), "·", bdRateExtend( P59:P64,X59:X64, AJ59:AJ64,AR59:AR64))</f>
        <v>4.2895833710554498E-4</v>
      </c>
      <c r="BL59" s="29"/>
    </row>
    <row r="60" spans="1:64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>
        <f t="shared" si="1"/>
        <v>7.2731124493105662E-2</v>
      </c>
      <c r="K60" s="34">
        <f t="shared" si="2"/>
        <v>2.4040640293608657E-2</v>
      </c>
      <c r="L60" s="34">
        <f t="shared" si="3"/>
        <v>4.8500394350552589E-2</v>
      </c>
      <c r="M60" s="35"/>
      <c r="N60" s="34">
        <f t="shared" si="4"/>
        <v>7.3623543212710071E-2</v>
      </c>
      <c r="O60" s="36">
        <v>3450744</v>
      </c>
      <c r="P60" s="37">
        <v>254056</v>
      </c>
      <c r="Q60" s="37">
        <v>83976</v>
      </c>
      <c r="R60" s="37">
        <v>169416</v>
      </c>
      <c r="S60" s="38"/>
      <c r="T60" s="39">
        <v>70.303257599999995</v>
      </c>
      <c r="U60" s="39">
        <v>71.453574099999997</v>
      </c>
      <c r="V60" s="39">
        <v>37.9453611</v>
      </c>
      <c r="W60" s="39">
        <v>48.420141000000001</v>
      </c>
      <c r="X60" s="39">
        <v>48.880134300000002</v>
      </c>
      <c r="Y60" s="38"/>
      <c r="Z60" s="41">
        <v>5.4809999999999999</v>
      </c>
      <c r="AA60" s="41">
        <v>4.6210000000000004</v>
      </c>
      <c r="AC60" s="33" t="str">
        <f t="shared" si="5"/>
        <v>·</v>
      </c>
      <c r="AD60" s="34">
        <f t="shared" si="6"/>
        <v>7.2754026884544756E-2</v>
      </c>
      <c r="AE60" s="34">
        <f t="shared" si="7"/>
        <v>2.4097896272206373E-2</v>
      </c>
      <c r="AF60" s="34">
        <f t="shared" si="8"/>
        <v>4.8500394350552589E-2</v>
      </c>
      <c r="AG60" s="35"/>
      <c r="AH60" s="34">
        <f t="shared" si="9"/>
        <v>7.3646726618955216E-2</v>
      </c>
      <c r="AI60" s="36">
        <v>3450744</v>
      </c>
      <c r="AJ60" s="37">
        <v>254136</v>
      </c>
      <c r="AK60" s="37">
        <v>84176</v>
      </c>
      <c r="AL60" s="37">
        <v>169416</v>
      </c>
      <c r="AM60" s="38"/>
      <c r="AN60" s="39">
        <v>70.303257599999995</v>
      </c>
      <c r="AO60" s="39">
        <v>71.453574099999997</v>
      </c>
      <c r="AP60" s="39">
        <v>37.9453611</v>
      </c>
      <c r="AQ60" s="39">
        <v>48.420141000000001</v>
      </c>
      <c r="AR60" s="39">
        <v>48.880134300000002</v>
      </c>
      <c r="AS60" s="40"/>
      <c r="AT60" s="41">
        <v>5.4809999999999999</v>
      </c>
      <c r="AU60" s="41">
        <v>4.5119999999999996</v>
      </c>
      <c r="AW60" s="42">
        <f t="shared" si="10"/>
        <v>6.8292841691647288E-4</v>
      </c>
      <c r="AX60" s="42"/>
      <c r="AZ60" s="43"/>
      <c r="BA60" s="43"/>
      <c r="BB60" s="43"/>
      <c r="BC60" s="43"/>
      <c r="BD60" s="43"/>
      <c r="BE60" s="44"/>
      <c r="BG60" s="43"/>
      <c r="BH60" s="43"/>
      <c r="BI60" s="43"/>
      <c r="BJ60" s="43"/>
      <c r="BK60" s="43"/>
      <c r="BL60" s="44"/>
    </row>
    <row r="61" spans="1:64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>
        <f t="shared" si="1"/>
        <v>0.17876232613864249</v>
      </c>
      <c r="K61" s="19">
        <f t="shared" si="2"/>
        <v>7.6842103756421615E-2</v>
      </c>
      <c r="L61" s="19">
        <f t="shared" si="3"/>
        <v>0.10173013253327647</v>
      </c>
      <c r="M61" s="20"/>
      <c r="N61" s="19">
        <f t="shared" si="4"/>
        <v>0.21091485880507521</v>
      </c>
      <c r="O61" s="21">
        <v>2960588</v>
      </c>
      <c r="P61" s="22">
        <v>624432</v>
      </c>
      <c r="Q61" s="22">
        <v>268416</v>
      </c>
      <c r="R61" s="22">
        <v>355352</v>
      </c>
      <c r="S61" s="23"/>
      <c r="T61" s="24">
        <v>73.091376800000006</v>
      </c>
      <c r="U61" s="24">
        <v>75.492138199999999</v>
      </c>
      <c r="V61" s="24">
        <v>39.876223099999997</v>
      </c>
      <c r="W61" s="24">
        <v>49.568649200000003</v>
      </c>
      <c r="X61" s="24">
        <v>50.156902500000001</v>
      </c>
      <c r="Y61" s="23"/>
      <c r="Z61" s="26">
        <v>6.8710000000000004</v>
      </c>
      <c r="AA61" s="26">
        <v>4.9800000000000004</v>
      </c>
      <c r="AC61" s="18" t="str">
        <f t="shared" si="5"/>
        <v>·</v>
      </c>
      <c r="AD61" s="19">
        <f t="shared" si="6"/>
        <v>0.17889286976984528</v>
      </c>
      <c r="AE61" s="19">
        <f t="shared" si="7"/>
        <v>7.820937652533505E-2</v>
      </c>
      <c r="AF61" s="19">
        <f t="shared" si="8"/>
        <v>0.10173013253327647</v>
      </c>
      <c r="AG61" s="20"/>
      <c r="AH61" s="19">
        <f t="shared" si="9"/>
        <v>0.21106888226257756</v>
      </c>
      <c r="AI61" s="21">
        <v>2960588</v>
      </c>
      <c r="AJ61" s="22">
        <v>624888</v>
      </c>
      <c r="AK61" s="22">
        <v>273192</v>
      </c>
      <c r="AL61" s="22">
        <v>355352</v>
      </c>
      <c r="AM61" s="23"/>
      <c r="AN61" s="24">
        <v>73.091376800000006</v>
      </c>
      <c r="AO61" s="24">
        <v>75.492138199999999</v>
      </c>
      <c r="AP61" s="24">
        <v>39.876223099999997</v>
      </c>
      <c r="AQ61" s="24">
        <v>49.568649200000003</v>
      </c>
      <c r="AR61" s="24">
        <v>50.156902500000001</v>
      </c>
      <c r="AS61" s="25"/>
      <c r="AT61" s="26">
        <v>6.9969999999999999</v>
      </c>
      <c r="AU61" s="26">
        <v>4.8559999999999999</v>
      </c>
      <c r="AW61" s="27">
        <f t="shared" si="10"/>
        <v>7.3292902863656417E-3</v>
      </c>
      <c r="AX61" s="27"/>
      <c r="AZ61" s="28"/>
      <c r="BA61" s="28"/>
      <c r="BB61" s="28"/>
      <c r="BC61" s="28"/>
      <c r="BD61" s="28"/>
      <c r="BE61" s="29"/>
      <c r="BG61" s="28"/>
      <c r="BH61" s="28"/>
      <c r="BI61" s="28"/>
      <c r="BJ61" s="28"/>
      <c r="BK61" s="28"/>
      <c r="BL61" s="29"/>
    </row>
    <row r="62" spans="1:64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>
        <f t="shared" si="1"/>
        <v>0.46207635943585684</v>
      </c>
      <c r="K62" s="34">
        <f t="shared" si="2"/>
        <v>0.23002703913589276</v>
      </c>
      <c r="L62" s="34">
        <f t="shared" si="3"/>
        <v>0.23185923045101967</v>
      </c>
      <c r="M62" s="35"/>
      <c r="N62" s="34">
        <f t="shared" si="4"/>
        <v>0.57051925540307824</v>
      </c>
      <c r="O62" s="36">
        <v>2829128</v>
      </c>
      <c r="P62" s="37">
        <v>1614072</v>
      </c>
      <c r="Q62" s="37">
        <v>803504</v>
      </c>
      <c r="R62" s="37">
        <v>809904</v>
      </c>
      <c r="S62" s="38"/>
      <c r="T62" s="39">
        <v>73.359102899999996</v>
      </c>
      <c r="U62" s="39">
        <v>76.659602100000001</v>
      </c>
      <c r="V62" s="39">
        <v>42.071944799999997</v>
      </c>
      <c r="W62" s="39">
        <v>50.555151199999997</v>
      </c>
      <c r="X62" s="39">
        <v>51.160566099999997</v>
      </c>
      <c r="Y62" s="38"/>
      <c r="Z62" s="41">
        <v>12.089</v>
      </c>
      <c r="AA62" s="41">
        <v>7.8079999999999998</v>
      </c>
      <c r="AC62" s="33" t="str">
        <f t="shared" si="5"/>
        <v>·</v>
      </c>
      <c r="AD62" s="34">
        <f t="shared" si="6"/>
        <v>0.46242676602487487</v>
      </c>
      <c r="AE62" s="34">
        <f t="shared" si="7"/>
        <v>0.24727483012866849</v>
      </c>
      <c r="AF62" s="34">
        <f t="shared" si="8"/>
        <v>0.23185923045101967</v>
      </c>
      <c r="AG62" s="35"/>
      <c r="AH62" s="34">
        <f t="shared" si="9"/>
        <v>0.57095189754581621</v>
      </c>
      <c r="AI62" s="36">
        <v>2829128</v>
      </c>
      <c r="AJ62" s="37">
        <v>1615296</v>
      </c>
      <c r="AK62" s="37">
        <v>863752</v>
      </c>
      <c r="AL62" s="37">
        <v>809904</v>
      </c>
      <c r="AM62" s="38"/>
      <c r="AN62" s="39">
        <v>73.359102899999996</v>
      </c>
      <c r="AO62" s="39">
        <v>76.659602100000001</v>
      </c>
      <c r="AP62" s="39">
        <v>42.071944799999997</v>
      </c>
      <c r="AQ62" s="39">
        <v>50.555151199999997</v>
      </c>
      <c r="AR62" s="39">
        <v>51.160566099999997</v>
      </c>
      <c r="AS62" s="40"/>
      <c r="AT62" s="41">
        <v>11.605</v>
      </c>
      <c r="AU62" s="41">
        <v>7.2949999999999999</v>
      </c>
      <c r="AW62" s="42">
        <f t="shared" si="10"/>
        <v>3.6921207273012124E-2</v>
      </c>
      <c r="AX62" s="42"/>
      <c r="AZ62" s="43"/>
      <c r="BA62" s="43"/>
      <c r="BB62" s="43"/>
      <c r="BC62" s="43"/>
      <c r="BD62" s="43"/>
      <c r="BE62" s="44"/>
      <c r="BG62" s="43"/>
      <c r="BH62" s="43"/>
      <c r="BI62" s="43"/>
      <c r="BJ62" s="43"/>
      <c r="BK62" s="43"/>
      <c r="BL62" s="44"/>
    </row>
    <row r="63" spans="1:64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4"/>
      <c r="X63" s="24"/>
      <c r="Y63" s="23"/>
      <c r="Z63" s="26"/>
      <c r="AA63" s="26"/>
      <c r="AC63" s="18" t="str">
        <f t="shared" si="5"/>
        <v>·</v>
      </c>
      <c r="AD63" s="19" t="str">
        <f t="shared" si="6"/>
        <v>·</v>
      </c>
      <c r="AE63" s="19" t="str">
        <f t="shared" si="7"/>
        <v>·</v>
      </c>
      <c r="AF63" s="19" t="str">
        <f t="shared" si="8"/>
        <v>·</v>
      </c>
      <c r="AG63" s="20"/>
      <c r="AH63" s="19" t="str">
        <f t="shared" si="9"/>
        <v>·</v>
      </c>
      <c r="AI63" s="21"/>
      <c r="AJ63" s="22"/>
      <c r="AK63" s="22"/>
      <c r="AL63" s="22"/>
      <c r="AM63" s="23"/>
      <c r="AN63" s="24"/>
      <c r="AO63" s="24"/>
      <c r="AP63" s="24"/>
      <c r="AQ63" s="24"/>
      <c r="AR63" s="24"/>
      <c r="AS63" s="25"/>
      <c r="AT63" s="26"/>
      <c r="AU63" s="26"/>
      <c r="AW63" s="27" t="e">
        <f t="shared" si="10"/>
        <v>#DIV/0!</v>
      </c>
      <c r="AX63" s="27"/>
      <c r="AZ63" s="28"/>
      <c r="BA63" s="28"/>
      <c r="BB63" s="28"/>
      <c r="BC63" s="28"/>
      <c r="BD63" s="28"/>
      <c r="BE63" s="29"/>
      <c r="BG63" s="28"/>
      <c r="BH63" s="28"/>
      <c r="BI63" s="28"/>
      <c r="BJ63" s="28"/>
      <c r="BK63" s="28"/>
      <c r="BL63" s="29"/>
    </row>
    <row r="64" spans="1:64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4"/>
      <c r="X64" s="54"/>
      <c r="Y64" s="53"/>
      <c r="Z64" s="56"/>
      <c r="AA64" s="56"/>
      <c r="AC64" s="48" t="str">
        <f t="shared" si="5"/>
        <v>·</v>
      </c>
      <c r="AD64" s="49" t="str">
        <f t="shared" si="6"/>
        <v>·</v>
      </c>
      <c r="AE64" s="49" t="str">
        <f t="shared" si="7"/>
        <v>·</v>
      </c>
      <c r="AF64" s="49" t="str">
        <f t="shared" si="8"/>
        <v>·</v>
      </c>
      <c r="AG64" s="50"/>
      <c r="AH64" s="49" t="str">
        <f t="shared" si="9"/>
        <v>·</v>
      </c>
      <c r="AI64" s="51"/>
      <c r="AJ64" s="52"/>
      <c r="AK64" s="52"/>
      <c r="AL64" s="52"/>
      <c r="AM64" s="53"/>
      <c r="AN64" s="54"/>
      <c r="AO64" s="54"/>
      <c r="AP64" s="54"/>
      <c r="AQ64" s="54"/>
      <c r="AR64" s="54"/>
      <c r="AS64" s="55"/>
      <c r="AT64" s="56"/>
      <c r="AU64" s="56"/>
      <c r="AW64" s="57" t="e">
        <f t="shared" si="10"/>
        <v>#DIV/0!</v>
      </c>
      <c r="AX64" s="57"/>
      <c r="AZ64" s="58"/>
      <c r="BA64" s="58"/>
      <c r="BB64" s="58"/>
      <c r="BC64" s="58"/>
      <c r="BD64" s="58"/>
      <c r="BE64" s="59"/>
      <c r="BG64" s="58"/>
      <c r="BH64" s="58"/>
      <c r="BI64" s="58"/>
      <c r="BJ64" s="58"/>
      <c r="BK64" s="58"/>
      <c r="BL64" s="59"/>
    </row>
    <row r="65" spans="1:64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>
        <f t="shared" si="1"/>
        <v>0.19222535140672334</v>
      </c>
      <c r="K65" s="19">
        <f t="shared" si="2"/>
        <v>2.0199425469194936E-2</v>
      </c>
      <c r="L65" s="19">
        <f t="shared" si="3"/>
        <v>0.17168509195938814</v>
      </c>
      <c r="M65" s="20"/>
      <c r="N65" s="19">
        <f t="shared" si="4"/>
        <v>0.26127729586753212</v>
      </c>
      <c r="O65" s="21">
        <v>1174262</v>
      </c>
      <c r="P65" s="22">
        <v>306808</v>
      </c>
      <c r="Q65" s="22">
        <v>32240</v>
      </c>
      <c r="R65" s="22">
        <v>274024</v>
      </c>
      <c r="S65" s="23"/>
      <c r="T65" s="24">
        <v>58.671061399999999</v>
      </c>
      <c r="U65" s="24">
        <v>61.544482799999997</v>
      </c>
      <c r="V65" s="24">
        <v>22.848789100000001</v>
      </c>
      <c r="W65" s="24">
        <v>38.0890986</v>
      </c>
      <c r="X65" s="24">
        <v>37.125543499999999</v>
      </c>
      <c r="Y65" s="23"/>
      <c r="Z65" s="26">
        <v>3.6549999999999998</v>
      </c>
      <c r="AA65" s="26">
        <v>1.421</v>
      </c>
      <c r="AC65" s="18" t="str">
        <f t="shared" si="5"/>
        <v>·</v>
      </c>
      <c r="AD65" s="19">
        <f t="shared" si="6"/>
        <v>0.19227547405056747</v>
      </c>
      <c r="AE65" s="19">
        <f t="shared" si="7"/>
        <v>2.0309695285652081E-2</v>
      </c>
      <c r="AF65" s="19">
        <f t="shared" si="8"/>
        <v>0.17168509195938814</v>
      </c>
      <c r="AG65" s="20"/>
      <c r="AH65" s="19">
        <f t="shared" si="9"/>
        <v>0.26134542376403219</v>
      </c>
      <c r="AI65" s="21">
        <v>1174262</v>
      </c>
      <c r="AJ65" s="22">
        <v>306888</v>
      </c>
      <c r="AK65" s="22">
        <v>32416</v>
      </c>
      <c r="AL65" s="22">
        <v>274024</v>
      </c>
      <c r="AM65" s="23"/>
      <c r="AN65" s="24">
        <v>58.671061399999999</v>
      </c>
      <c r="AO65" s="24">
        <v>61.544482799999997</v>
      </c>
      <c r="AP65" s="24">
        <v>22.848789100000001</v>
      </c>
      <c r="AQ65" s="24">
        <v>38.0890986</v>
      </c>
      <c r="AR65" s="24">
        <v>37.125543499999999</v>
      </c>
      <c r="AS65" s="25"/>
      <c r="AT65" s="26">
        <v>3.718</v>
      </c>
      <c r="AU65" s="26">
        <v>1.3740000000000001</v>
      </c>
      <c r="AW65" s="27">
        <f t="shared" si="10"/>
        <v>5.4610620012920941E-4</v>
      </c>
      <c r="AX65" s="27" t="e">
        <f t="array" ref="AX65">AVERAGE(AK65:AK70/AJ65:AJ70) - AVERAGE(Q65:Q70/P65:P70)</f>
        <v>#DIV/0!</v>
      </c>
      <c r="AZ65" s="28">
        <f>IF( OR(ISBLANK(Q65:Q70),ISBLANK(AK65:AK70), ISBLANK(T65:T70),ISBLANK(AN65:AN70)), "·", bdRateExtend( Q65:Q70,T65:T70, AK65:AK70,AN65:AN70))</f>
        <v>1.1008544366988948E-2</v>
      </c>
      <c r="BA65" s="28">
        <f>IF( OR(ISBLANK(Q65:Q70),ISBLANK(AK65:AK70), ISBLANK(U65:U70),ISBLANK(AO65:AO70)), "·", bdRateExtend( Q65:Q70,U65:U70, AK65:AK70,AO65:AO70))</f>
        <v>1.0497644430166764E-2</v>
      </c>
      <c r="BB65" s="28">
        <f>IF( OR(ISBLANK(R65:R70),ISBLANK(AL65:AL70), ISBLANK(V65:V70),ISBLANK(AP65:AP70)), "·", bdRateExtend( R65:R70,V65:V70, AL65:AL70,AP65:AP70))</f>
        <v>0</v>
      </c>
      <c r="BC65" s="28">
        <f>IF( OR(ISBLANK(R65:R70),ISBLANK(AL65:AL70), ISBLANK(W65:W70),ISBLANK(AQ65:AQ70)), "·", bdRateExtend( R65:R70,W65:W70, AL65:AL70,AQ65:AQ70))</f>
        <v>0</v>
      </c>
      <c r="BD65" s="28">
        <f>IF( OR(ISBLANK(R65:R70),ISBLANK(AL65:AL70), ISBLANK(X65:X70),ISBLANK(AR65:AR70)), "·", bdRateExtend( R65:R70,X65:X70, AL65:AL70,AR65:AR70))</f>
        <v>0</v>
      </c>
      <c r="BE65" s="29"/>
      <c r="BG65" s="28">
        <f>IF( OR(ISBLANK(P65:P70),ISBLANK(AJ65:AJ70), ISBLANK(T65:T70),ISBLANK(AN65:AN70)), "·", bdRateExtend( P65:P70,T65:T70, AJ65:AJ70,AN65:AN70))</f>
        <v>1.421566024430998E-4</v>
      </c>
      <c r="BH65" s="28">
        <f>IF( OR(ISBLANK(P65:P70),ISBLANK(AJ65:AJ70), ISBLANK(U65:U70),ISBLANK(AO65:AO70)), "·", bdRateExtend( P65:P70,U65:U70, AJ65:AJ70,AO65:AO70))</f>
        <v>1.4731864716810428E-4</v>
      </c>
      <c r="BI65" s="28">
        <f>IF( OR(ISBLANK(P65:P70),ISBLANK(AJ65:AJ70), ISBLANK(V65:V70),ISBLANK(AP65:AP70)), "·", bdRateExtend( P65:P70,V65:V70, AJ65:AJ70,AP65:AP70))</f>
        <v>1.3836739029970957E-4</v>
      </c>
      <c r="BJ65" s="28">
        <f>IF( OR(ISBLANK(P65:P70),ISBLANK(AJ65:AJ70), ISBLANK(W65:W70),ISBLANK(AQ65:AQ70)), "·", bdRateExtend( P65:P70,W65:W70, AJ65:AJ70,AQ65:AQ70))</f>
        <v>1.2268001942650208E-4</v>
      </c>
      <c r="BK65" s="28">
        <f>IF( OR(ISBLANK(P65:P70),ISBLANK(AJ65:AJ70), ISBLANK(X65:X70),ISBLANK(AR65:AR70)), "·", bdRateExtend( P65:P70,X65:X70, AJ65:AJ70,AR65:AR70))</f>
        <v>1.2451683857328533E-4</v>
      </c>
      <c r="BL65" s="29"/>
    </row>
    <row r="66" spans="1:64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>
        <f t="shared" si="1"/>
        <v>0.5285583161297801</v>
      </c>
      <c r="K66" s="34">
        <f t="shared" si="2"/>
        <v>7.9218838595688831E-2</v>
      </c>
      <c r="L66" s="34">
        <f t="shared" si="3"/>
        <v>0.44899864355595098</v>
      </c>
      <c r="M66" s="35"/>
      <c r="N66" s="34">
        <f t="shared" si="4"/>
        <v>0.66024338151449391</v>
      </c>
      <c r="O66" s="36">
        <v>1277747</v>
      </c>
      <c r="P66" s="37">
        <v>843624</v>
      </c>
      <c r="Q66" s="37">
        <v>126440</v>
      </c>
      <c r="R66" s="37">
        <v>716640</v>
      </c>
      <c r="S66" s="38"/>
      <c r="T66" s="39">
        <v>64.071536100000003</v>
      </c>
      <c r="U66" s="39">
        <v>67.809738100000004</v>
      </c>
      <c r="V66" s="39">
        <v>26.251206700000001</v>
      </c>
      <c r="W66" s="39">
        <v>39.752618200000001</v>
      </c>
      <c r="X66" s="39">
        <v>38.453042400000001</v>
      </c>
      <c r="Y66" s="38"/>
      <c r="Z66" s="41">
        <v>4.4820000000000002</v>
      </c>
      <c r="AA66" s="41">
        <v>1.8109999999999999</v>
      </c>
      <c r="AC66" s="33" t="str">
        <f t="shared" si="5"/>
        <v>·</v>
      </c>
      <c r="AD66" s="34">
        <f t="shared" si="6"/>
        <v>0.52861846330239304</v>
      </c>
      <c r="AE66" s="34">
        <f t="shared" si="7"/>
        <v>8.0100997127345974E-2</v>
      </c>
      <c r="AF66" s="34">
        <f t="shared" si="8"/>
        <v>0.44899864355595098</v>
      </c>
      <c r="AG66" s="35"/>
      <c r="AH66" s="34">
        <f t="shared" si="9"/>
        <v>0.66031851375898354</v>
      </c>
      <c r="AI66" s="36">
        <v>1277747</v>
      </c>
      <c r="AJ66" s="37">
        <v>843720</v>
      </c>
      <c r="AK66" s="37">
        <v>127848</v>
      </c>
      <c r="AL66" s="37">
        <v>716640</v>
      </c>
      <c r="AM66" s="38"/>
      <c r="AN66" s="39">
        <v>64.071536100000003</v>
      </c>
      <c r="AO66" s="39">
        <v>67.809738100000004</v>
      </c>
      <c r="AP66" s="39">
        <v>26.251206700000001</v>
      </c>
      <c r="AQ66" s="39">
        <v>39.752618200000001</v>
      </c>
      <c r="AR66" s="39">
        <v>38.453042400000001</v>
      </c>
      <c r="AS66" s="40"/>
      <c r="AT66" s="41">
        <v>4.2789999999999999</v>
      </c>
      <c r="AU66" s="41">
        <v>1.8260000000000001</v>
      </c>
      <c r="AW66" s="42">
        <f t="shared" si="10"/>
        <v>1.6517467751603621E-3</v>
      </c>
      <c r="AX66" s="42"/>
      <c r="AZ66" s="43"/>
      <c r="BA66" s="43"/>
      <c r="BB66" s="43"/>
      <c r="BC66" s="43"/>
      <c r="BD66" s="43"/>
      <c r="BE66" s="44"/>
      <c r="BG66" s="43"/>
      <c r="BH66" s="43"/>
      <c r="BI66" s="43"/>
      <c r="BJ66" s="43"/>
      <c r="BK66" s="43"/>
      <c r="BL66" s="44"/>
    </row>
    <row r="67" spans="1:64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>
        <f t="shared" si="1"/>
        <v>1.4440834917939833</v>
      </c>
      <c r="K67" s="19">
        <f t="shared" si="2"/>
        <v>0.33674397040257881</v>
      </c>
      <c r="L67" s="19">
        <f t="shared" si="3"/>
        <v>1.1069986874132642</v>
      </c>
      <c r="M67" s="20"/>
      <c r="N67" s="19">
        <f t="shared" si="4"/>
        <v>1.4268071716733388</v>
      </c>
      <c r="O67" s="21">
        <v>1615411</v>
      </c>
      <c r="P67" s="22">
        <v>2304880</v>
      </c>
      <c r="Q67" s="22">
        <v>537472</v>
      </c>
      <c r="R67" s="22">
        <v>1766864</v>
      </c>
      <c r="S67" s="23"/>
      <c r="T67" s="24">
        <v>68.140869600000002</v>
      </c>
      <c r="U67" s="24">
        <v>71.694531100000006</v>
      </c>
      <c r="V67" s="24">
        <v>29.198854600000001</v>
      </c>
      <c r="W67" s="24">
        <v>42.207480799999999</v>
      </c>
      <c r="X67" s="24">
        <v>40.301549000000001</v>
      </c>
      <c r="Y67" s="23"/>
      <c r="Z67" s="26">
        <v>8.1219999999999999</v>
      </c>
      <c r="AA67" s="26">
        <v>3.0139999999999998</v>
      </c>
      <c r="AC67" s="18" t="str">
        <f t="shared" si="5"/>
        <v>·</v>
      </c>
      <c r="AD67" s="19">
        <f t="shared" si="6"/>
        <v>1.4442138106679783</v>
      </c>
      <c r="AE67" s="19">
        <f t="shared" si="7"/>
        <v>0.3436057603448438</v>
      </c>
      <c r="AF67" s="19">
        <f t="shared" si="8"/>
        <v>1.1069986874132642</v>
      </c>
      <c r="AG67" s="20"/>
      <c r="AH67" s="19">
        <f t="shared" si="9"/>
        <v>1.4269359314750241</v>
      </c>
      <c r="AI67" s="21">
        <v>1615411</v>
      </c>
      <c r="AJ67" s="22">
        <v>2305088</v>
      </c>
      <c r="AK67" s="22">
        <v>548424</v>
      </c>
      <c r="AL67" s="22">
        <v>1766864</v>
      </c>
      <c r="AM67" s="23"/>
      <c r="AN67" s="24">
        <v>68.140869600000002</v>
      </c>
      <c r="AO67" s="24">
        <v>71.694531100000006</v>
      </c>
      <c r="AP67" s="24">
        <v>29.198854600000001</v>
      </c>
      <c r="AQ67" s="24">
        <v>42.207480799999999</v>
      </c>
      <c r="AR67" s="24">
        <v>40.301549000000001</v>
      </c>
      <c r="AS67" s="25"/>
      <c r="AT67" s="26">
        <v>7.6859999999999999</v>
      </c>
      <c r="AU67" s="26">
        <v>2.9359999999999999</v>
      </c>
      <c r="AW67" s="27">
        <f t="shared" si="10"/>
        <v>4.7301867641365292E-3</v>
      </c>
      <c r="AX67" s="27"/>
      <c r="AZ67" s="28"/>
      <c r="BA67" s="28"/>
      <c r="BB67" s="28"/>
      <c r="BC67" s="28"/>
      <c r="BD67" s="28"/>
      <c r="BE67" s="29"/>
      <c r="BG67" s="28"/>
      <c r="BH67" s="28"/>
      <c r="BI67" s="28"/>
      <c r="BJ67" s="28"/>
      <c r="BK67" s="28"/>
      <c r="BL67" s="29"/>
    </row>
    <row r="68" spans="1:64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9"/>
      <c r="X68" s="39"/>
      <c r="Y68" s="38"/>
      <c r="Z68" s="41"/>
      <c r="AA68" s="41"/>
      <c r="AC68" s="33" t="str">
        <f t="shared" si="5"/>
        <v>·</v>
      </c>
      <c r="AD68" s="34" t="str">
        <f t="shared" si="6"/>
        <v>·</v>
      </c>
      <c r="AE68" s="34" t="str">
        <f t="shared" si="7"/>
        <v>·</v>
      </c>
      <c r="AF68" s="34" t="str">
        <f t="shared" si="8"/>
        <v>·</v>
      </c>
      <c r="AG68" s="35"/>
      <c r="AH68" s="34" t="str">
        <f t="shared" si="9"/>
        <v>·</v>
      </c>
      <c r="AI68" s="36"/>
      <c r="AJ68" s="37"/>
      <c r="AK68" s="37"/>
      <c r="AL68" s="37"/>
      <c r="AM68" s="38"/>
      <c r="AN68" s="39"/>
      <c r="AO68" s="39"/>
      <c r="AP68" s="39"/>
      <c r="AQ68" s="39"/>
      <c r="AR68" s="39"/>
      <c r="AS68" s="40"/>
      <c r="AT68" s="41"/>
      <c r="AU68" s="41"/>
      <c r="AW68" s="42" t="e">
        <f t="shared" si="10"/>
        <v>#DIV/0!</v>
      </c>
      <c r="AX68" s="42"/>
      <c r="AZ68" s="43"/>
      <c r="BA68" s="43"/>
      <c r="BB68" s="43"/>
      <c r="BC68" s="43"/>
      <c r="BD68" s="43"/>
      <c r="BE68" s="44"/>
      <c r="BG68" s="43"/>
      <c r="BH68" s="43"/>
      <c r="BI68" s="43"/>
      <c r="BJ68" s="43"/>
      <c r="BK68" s="43"/>
      <c r="BL68" s="44"/>
    </row>
    <row r="69" spans="1:64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4"/>
      <c r="X69" s="24"/>
      <c r="Y69" s="23"/>
      <c r="Z69" s="26"/>
      <c r="AA69" s="26"/>
      <c r="AC69" s="18" t="str">
        <f t="shared" ref="AC69:AC132" si="16">IF(OR(ISBLANK(AJ69),ISBLANK(G69)),"·",AJ69*G69/F69/1000000)</f>
        <v>·</v>
      </c>
      <c r="AD69" s="19" t="str">
        <f t="shared" ref="AD69:AD132" si="17">IF(ISBLANK(AJ69),"·",AJ69/D69)</f>
        <v>·</v>
      </c>
      <c r="AE69" s="19" t="str">
        <f t="shared" ref="AE69:AE132" si="18">IF(AK69="","·",AK69/D69)</f>
        <v>·</v>
      </c>
      <c r="AF69" s="19" t="str">
        <f t="shared" ref="AF69:AF132" si="19">IF(ISBLANK(AL69),"·",AL69/D69)</f>
        <v>·</v>
      </c>
      <c r="AG69" s="20"/>
      <c r="AH69" s="19" t="str">
        <f t="shared" ref="AH69:AH132" si="20">IF(ISBLANK(AJ69),"·",AJ69/AI69)</f>
        <v>·</v>
      </c>
      <c r="AI69" s="21"/>
      <c r="AJ69" s="22"/>
      <c r="AK69" s="22"/>
      <c r="AL69" s="22"/>
      <c r="AM69" s="23"/>
      <c r="AN69" s="24"/>
      <c r="AO69" s="24"/>
      <c r="AP69" s="24"/>
      <c r="AQ69" s="24"/>
      <c r="AR69" s="24"/>
      <c r="AS69" s="25"/>
      <c r="AT69" s="26"/>
      <c r="AU69" s="26"/>
      <c r="AW69" s="27" t="e">
        <f t="shared" ref="AW69:AW132" si="21">(AK69/AJ69) - (Q69/P69)</f>
        <v>#DIV/0!</v>
      </c>
      <c r="AX69" s="27"/>
      <c r="AZ69" s="28"/>
      <c r="BA69" s="28"/>
      <c r="BB69" s="28"/>
      <c r="BC69" s="28"/>
      <c r="BD69" s="28"/>
      <c r="BE69" s="29"/>
      <c r="BG69" s="28"/>
      <c r="BH69" s="28"/>
      <c r="BI69" s="28"/>
      <c r="BJ69" s="28"/>
      <c r="BK69" s="28"/>
      <c r="BL69" s="29"/>
    </row>
    <row r="70" spans="1:64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4"/>
      <c r="X70" s="54"/>
      <c r="Y70" s="53"/>
      <c r="Z70" s="56"/>
      <c r="AA70" s="56"/>
      <c r="AC70" s="48" t="str">
        <f t="shared" si="16"/>
        <v>·</v>
      </c>
      <c r="AD70" s="49" t="str">
        <f t="shared" si="17"/>
        <v>·</v>
      </c>
      <c r="AE70" s="49" t="str">
        <f t="shared" si="18"/>
        <v>·</v>
      </c>
      <c r="AF70" s="49" t="str">
        <f t="shared" si="19"/>
        <v>·</v>
      </c>
      <c r="AG70" s="50"/>
      <c r="AH70" s="49" t="str">
        <f t="shared" si="20"/>
        <v>·</v>
      </c>
      <c r="AI70" s="51"/>
      <c r="AJ70" s="52"/>
      <c r="AK70" s="52"/>
      <c r="AL70" s="52"/>
      <c r="AM70" s="53"/>
      <c r="AN70" s="54"/>
      <c r="AO70" s="54"/>
      <c r="AP70" s="54"/>
      <c r="AQ70" s="54"/>
      <c r="AR70" s="54"/>
      <c r="AS70" s="55"/>
      <c r="AT70" s="56"/>
      <c r="AU70" s="56"/>
      <c r="AW70" s="57" t="e">
        <f t="shared" si="21"/>
        <v>#DIV/0!</v>
      </c>
      <c r="AX70" s="57"/>
      <c r="AZ70" s="58"/>
      <c r="BA70" s="58"/>
      <c r="BB70" s="58"/>
      <c r="BC70" s="58"/>
      <c r="BD70" s="58"/>
      <c r="BE70" s="59"/>
      <c r="BG70" s="58"/>
      <c r="BH70" s="58"/>
      <c r="BI70" s="58"/>
      <c r="BJ70" s="58"/>
      <c r="BK70" s="58"/>
      <c r="BL70" s="59"/>
    </row>
    <row r="71" spans="1:64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>
        <f t="shared" si="12"/>
        <v>9.2017404814613582E-2</v>
      </c>
      <c r="K71" s="19">
        <f t="shared" si="13"/>
        <v>9.0221242315792309E-3</v>
      </c>
      <c r="L71" s="19">
        <f t="shared" si="14"/>
        <v>8.2871345370615676E-2</v>
      </c>
      <c r="M71" s="20"/>
      <c r="N71" s="19">
        <f t="shared" si="15"/>
        <v>0.10829475918262084</v>
      </c>
      <c r="O71" s="21">
        <v>7568972</v>
      </c>
      <c r="P71" s="22">
        <v>819680</v>
      </c>
      <c r="Q71" s="22">
        <v>80368</v>
      </c>
      <c r="R71" s="22">
        <v>738208</v>
      </c>
      <c r="S71" s="23"/>
      <c r="T71" s="24">
        <v>63.9047907</v>
      </c>
      <c r="U71" s="24">
        <v>70.585697199999998</v>
      </c>
      <c r="V71" s="24">
        <v>23.848378499999999</v>
      </c>
      <c r="W71" s="24">
        <v>39.036888500000003</v>
      </c>
      <c r="X71" s="24">
        <v>40.386623100000001</v>
      </c>
      <c r="Y71" s="23"/>
      <c r="Z71" s="26">
        <v>11.805</v>
      </c>
      <c r="AA71" s="26">
        <v>9.4610000000000003</v>
      </c>
      <c r="AC71" s="18" t="str">
        <f t="shared" si="16"/>
        <v>·</v>
      </c>
      <c r="AD71" s="19">
        <f t="shared" si="17"/>
        <v>9.2030876033354733E-2</v>
      </c>
      <c r="AE71" s="19">
        <f t="shared" si="18"/>
        <v>9.0688244565485833E-3</v>
      </c>
      <c r="AF71" s="19">
        <f t="shared" si="19"/>
        <v>8.2871345370615676E-2</v>
      </c>
      <c r="AG71" s="20"/>
      <c r="AH71" s="19">
        <f t="shared" si="20"/>
        <v>0.10831061338316485</v>
      </c>
      <c r="AI71" s="21">
        <v>7568972</v>
      </c>
      <c r="AJ71" s="22">
        <v>819800</v>
      </c>
      <c r="AK71" s="22">
        <v>80784</v>
      </c>
      <c r="AL71" s="22">
        <v>738208</v>
      </c>
      <c r="AM71" s="23"/>
      <c r="AN71" s="24">
        <v>63.9047907</v>
      </c>
      <c r="AO71" s="24">
        <v>70.585697199999998</v>
      </c>
      <c r="AP71" s="24">
        <v>23.848378499999999</v>
      </c>
      <c r="AQ71" s="24">
        <v>39.036888500000003</v>
      </c>
      <c r="AR71" s="24">
        <v>40.386623100000001</v>
      </c>
      <c r="AS71" s="25"/>
      <c r="AT71" s="26">
        <v>11.772</v>
      </c>
      <c r="AU71" s="26">
        <v>9.2739999999999991</v>
      </c>
      <c r="AW71" s="27">
        <f t="shared" si="21"/>
        <v>4.9308884819627974E-4</v>
      </c>
      <c r="AX71" s="27" t="e">
        <f t="array" ref="AX71">AVERAGE(AK71:AK76/AJ71:AJ76) - AVERAGE(Q71:Q76/P71:P76)</f>
        <v>#DIV/0!</v>
      </c>
      <c r="AZ71" s="28">
        <f>IF( OR(ISBLANK(Q71:Q76),ISBLANK(AK71:AK76), ISBLANK(T71:T76),ISBLANK(AN71:AN76)), "·", bdRateExtend( Q71:Q76,T71:T76, AK71:AK76,AN71:AN76))</f>
        <v>8.9169923932068684E-3</v>
      </c>
      <c r="BA71" s="28">
        <f>IF( OR(ISBLANK(Q71:Q76),ISBLANK(AK71:AK76), ISBLANK(U71:U76),ISBLANK(AO71:AO76)), "·", bdRateExtend( Q71:Q76,U71:U76, AK71:AK76,AO71:AO76))</f>
        <v>8.8674412086053866E-3</v>
      </c>
      <c r="BB71" s="28">
        <f>IF( OR(ISBLANK(R71:R76),ISBLANK(AL71:AL76), ISBLANK(V71:V76),ISBLANK(AP71:AP76)), "·", bdRateExtend( R71:R76,V71:V76, AL71:AL76,AP71:AP76))</f>
        <v>0</v>
      </c>
      <c r="BC71" s="28">
        <f>IF( OR(ISBLANK(R71:R76),ISBLANK(AL71:AL76), ISBLANK(W71:W76),ISBLANK(AQ71:AQ76)), "·", bdRateExtend( R71:R76,W71:W76, AL71:AL76,AQ71:AQ76))</f>
        <v>0</v>
      </c>
      <c r="BD71" s="28">
        <f>IF( OR(ISBLANK(R71:R76),ISBLANK(AL71:AL76), ISBLANK(X71:X76),ISBLANK(AR71:AR76)), "·", bdRateExtend( R71:R76,X71:X76, AL71:AL76,AR71:AR76))</f>
        <v>0</v>
      </c>
      <c r="BE71" s="29"/>
      <c r="BG71" s="28">
        <f>IF( OR(ISBLANK(P71:P76),ISBLANK(AJ71:AJ76), ISBLANK(T71:T76),ISBLANK(AN71:AN76)), "·", bdRateExtend( P71:P76,T71:T76, AJ71:AJ76,AN71:AN76))</f>
        <v>1.6073998941479317E-4</v>
      </c>
      <c r="BH71" s="28">
        <f>IF( OR(ISBLANK(P71:P76),ISBLANK(AJ71:AJ76), ISBLANK(U71:U76),ISBLANK(AO71:AO76)), "·", bdRateExtend( P71:P76,U71:U76, AJ71:AJ76,AO71:AO76))</f>
        <v>1.6389519275916697E-4</v>
      </c>
      <c r="BI71" s="28">
        <f>IF( OR(ISBLANK(P71:P76),ISBLANK(AJ71:AJ76), ISBLANK(V71:V76),ISBLANK(AP71:AP76)), "·", bdRateExtend( P71:P76,V71:V76, AJ71:AJ76,AP71:AP76))</f>
        <v>1.5272342062466748E-4</v>
      </c>
      <c r="BJ71" s="28">
        <f>IF( OR(ISBLANK(P71:P76),ISBLANK(AJ71:AJ76), ISBLANK(W71:W76),ISBLANK(AQ71:AQ76)), "·", bdRateExtend( P71:P76,W71:W76, AJ71:AJ76,AQ71:AQ76))</f>
        <v>1.4477411011948327E-4</v>
      </c>
      <c r="BK71" s="28">
        <f>IF( OR(ISBLANK(P71:P76),ISBLANK(AJ71:AJ76), ISBLANK(X71:X76),ISBLANK(AR71:AR76)), "·", bdRateExtend( P71:P76,X71:X76, AJ71:AJ76,AR71:AR76))</f>
        <v>1.4331048912796795E-4</v>
      </c>
      <c r="BL71" s="29"/>
    </row>
    <row r="72" spans="1:64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>
        <f t="shared" si="12"/>
        <v>0.28134819957161522</v>
      </c>
      <c r="K72" s="34">
        <f t="shared" si="13"/>
        <v>3.2606635922351898E-2</v>
      </c>
      <c r="L72" s="34">
        <f t="shared" si="14"/>
        <v>0.24861762843684468</v>
      </c>
      <c r="M72" s="35"/>
      <c r="N72" s="34">
        <f t="shared" si="15"/>
        <v>0.34955650876424155</v>
      </c>
      <c r="O72" s="36">
        <v>7169702</v>
      </c>
      <c r="P72" s="37">
        <v>2506216</v>
      </c>
      <c r="Q72" s="37">
        <v>290456</v>
      </c>
      <c r="R72" s="37">
        <v>2214656</v>
      </c>
      <c r="S72" s="38"/>
      <c r="T72" s="39">
        <v>69.551420500000006</v>
      </c>
      <c r="U72" s="39">
        <v>75.8867288</v>
      </c>
      <c r="V72" s="39">
        <v>26.174687899999999</v>
      </c>
      <c r="W72" s="39">
        <v>40.621276700000003</v>
      </c>
      <c r="X72" s="39">
        <v>41.787168100000002</v>
      </c>
      <c r="Y72" s="38"/>
      <c r="Z72" s="41">
        <v>13.226000000000001</v>
      </c>
      <c r="AA72" s="41">
        <v>10.244</v>
      </c>
      <c r="AC72" s="33" t="str">
        <f t="shared" si="16"/>
        <v>·</v>
      </c>
      <c r="AD72" s="34">
        <f t="shared" si="17"/>
        <v>0.28140567677157752</v>
      </c>
      <c r="AE72" s="34">
        <f t="shared" si="18"/>
        <v>3.2862589078433924E-2</v>
      </c>
      <c r="AF72" s="34">
        <f t="shared" si="19"/>
        <v>0.24861762843684468</v>
      </c>
      <c r="AG72" s="35"/>
      <c r="AH72" s="34">
        <f t="shared" si="20"/>
        <v>0.3496279203793965</v>
      </c>
      <c r="AI72" s="36">
        <v>7169702</v>
      </c>
      <c r="AJ72" s="37">
        <v>2506728</v>
      </c>
      <c r="AK72" s="37">
        <v>292736</v>
      </c>
      <c r="AL72" s="37">
        <v>2214656</v>
      </c>
      <c r="AM72" s="38"/>
      <c r="AN72" s="39">
        <v>69.551420500000006</v>
      </c>
      <c r="AO72" s="39">
        <v>75.8867288</v>
      </c>
      <c r="AP72" s="39">
        <v>26.174687899999999</v>
      </c>
      <c r="AQ72" s="39">
        <v>40.621276700000003</v>
      </c>
      <c r="AR72" s="39">
        <v>41.787168100000002</v>
      </c>
      <c r="AS72" s="40"/>
      <c r="AT72" s="41">
        <v>12.741</v>
      </c>
      <c r="AU72" s="41">
        <v>9.8829999999999991</v>
      </c>
      <c r="AW72" s="42">
        <f t="shared" si="21"/>
        <v>8.8588077718569636E-4</v>
      </c>
      <c r="AX72" s="42"/>
      <c r="AZ72" s="43"/>
      <c r="BA72" s="43"/>
      <c r="BB72" s="43"/>
      <c r="BC72" s="43"/>
      <c r="BD72" s="43"/>
      <c r="BE72" s="44"/>
      <c r="BG72" s="43"/>
      <c r="BH72" s="43"/>
      <c r="BI72" s="43"/>
      <c r="BJ72" s="43"/>
      <c r="BK72" s="43"/>
      <c r="BL72" s="44"/>
    </row>
    <row r="73" spans="1:64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>
        <f t="shared" si="12"/>
        <v>0.83217106651638773</v>
      </c>
      <c r="K73" s="19">
        <f t="shared" si="13"/>
        <v>0.14725479014086404</v>
      </c>
      <c r="L73" s="19">
        <f t="shared" si="14"/>
        <v>0.68479234116310506</v>
      </c>
      <c r="M73" s="20"/>
      <c r="N73" s="19">
        <f t="shared" si="15"/>
        <v>1.0668467368468317</v>
      </c>
      <c r="O73" s="21">
        <v>6948402</v>
      </c>
      <c r="P73" s="22">
        <v>7412880</v>
      </c>
      <c r="Q73" s="22">
        <v>1311728</v>
      </c>
      <c r="R73" s="22">
        <v>6100048</v>
      </c>
      <c r="S73" s="23"/>
      <c r="T73" s="24">
        <v>75.282660300000003</v>
      </c>
      <c r="U73" s="24">
        <v>78.806474300000005</v>
      </c>
      <c r="V73" s="24">
        <v>28.563997199999999</v>
      </c>
      <c r="W73" s="24">
        <v>42.301371699999997</v>
      </c>
      <c r="X73" s="24">
        <v>43.242584899999997</v>
      </c>
      <c r="Y73" s="23"/>
      <c r="Z73" s="26">
        <v>20.04</v>
      </c>
      <c r="AA73" s="26">
        <v>12.195</v>
      </c>
      <c r="AC73" s="18" t="str">
        <f t="shared" si="16"/>
        <v>·</v>
      </c>
      <c r="AD73" s="19">
        <f t="shared" si="17"/>
        <v>0.8322545880725829</v>
      </c>
      <c r="AE73" s="19">
        <f t="shared" si="18"/>
        <v>0.14880667453984561</v>
      </c>
      <c r="AF73" s="19">
        <f t="shared" si="19"/>
        <v>0.68479234116310506</v>
      </c>
      <c r="AG73" s="20"/>
      <c r="AH73" s="19">
        <f t="shared" si="20"/>
        <v>1.066953811826086</v>
      </c>
      <c r="AI73" s="21">
        <v>6948402</v>
      </c>
      <c r="AJ73" s="22">
        <v>7413624</v>
      </c>
      <c r="AK73" s="22">
        <v>1325552</v>
      </c>
      <c r="AL73" s="22">
        <v>6100048</v>
      </c>
      <c r="AM73" s="23"/>
      <c r="AN73" s="24">
        <v>75.282660300000003</v>
      </c>
      <c r="AO73" s="24">
        <v>78.806474300000005</v>
      </c>
      <c r="AP73" s="24">
        <v>28.563997199999999</v>
      </c>
      <c r="AQ73" s="24">
        <v>42.301371699999997</v>
      </c>
      <c r="AR73" s="24">
        <v>43.242584899999997</v>
      </c>
      <c r="AS73" s="25"/>
      <c r="AT73" s="26">
        <v>19.495999999999999</v>
      </c>
      <c r="AU73" s="26">
        <v>11.837</v>
      </c>
      <c r="AW73" s="27">
        <f t="shared" si="21"/>
        <v>1.8469168796113045E-3</v>
      </c>
      <c r="AX73" s="27"/>
      <c r="AZ73" s="28"/>
      <c r="BA73" s="28"/>
      <c r="BB73" s="28"/>
      <c r="BC73" s="28"/>
      <c r="BD73" s="28"/>
      <c r="BE73" s="29"/>
      <c r="BG73" s="28"/>
      <c r="BH73" s="28"/>
      <c r="BI73" s="28"/>
      <c r="BJ73" s="28"/>
      <c r="BK73" s="28"/>
      <c r="BL73" s="29"/>
    </row>
    <row r="74" spans="1:64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>
        <f t="shared" si="12"/>
        <v>2.1688231094267096</v>
      </c>
      <c r="K74" s="34">
        <f t="shared" si="13"/>
        <v>0.60188866486751058</v>
      </c>
      <c r="L74" s="34">
        <f t="shared" si="14"/>
        <v>1.5668105093467806</v>
      </c>
      <c r="M74" s="35"/>
      <c r="N74" s="34">
        <f t="shared" si="15"/>
        <v>2.3999001263947677</v>
      </c>
      <c r="O74" s="36">
        <v>8050175</v>
      </c>
      <c r="P74" s="37">
        <v>19319616</v>
      </c>
      <c r="Q74" s="37">
        <v>5361552</v>
      </c>
      <c r="R74" s="37">
        <v>13956960</v>
      </c>
      <c r="S74" s="38"/>
      <c r="T74" s="39">
        <v>77.465557200000006</v>
      </c>
      <c r="U74" s="39">
        <v>80.776850100000004</v>
      </c>
      <c r="V74" s="39">
        <v>30.070159799999999</v>
      </c>
      <c r="W74" s="39">
        <v>43.854728700000003</v>
      </c>
      <c r="X74" s="39">
        <v>44.706952700000002</v>
      </c>
      <c r="Y74" s="38"/>
      <c r="Z74" s="41">
        <v>41.350999999999999</v>
      </c>
      <c r="AA74" s="41">
        <v>21.509</v>
      </c>
      <c r="AC74" s="33" t="str">
        <f t="shared" si="16"/>
        <v>·</v>
      </c>
      <c r="AD74" s="34">
        <f t="shared" si="17"/>
        <v>2.1690242796265777</v>
      </c>
      <c r="AE74" s="34">
        <f t="shared" si="18"/>
        <v>0.61618611835812787</v>
      </c>
      <c r="AF74" s="34">
        <f t="shared" si="19"/>
        <v>1.5668105093467806</v>
      </c>
      <c r="AG74" s="35"/>
      <c r="AH74" s="34">
        <f t="shared" si="20"/>
        <v>2.4001227302512058</v>
      </c>
      <c r="AI74" s="36">
        <v>8050175</v>
      </c>
      <c r="AJ74" s="37">
        <v>19321408</v>
      </c>
      <c r="AK74" s="37">
        <v>5488912</v>
      </c>
      <c r="AL74" s="37">
        <v>13956960</v>
      </c>
      <c r="AM74" s="38"/>
      <c r="AN74" s="39">
        <v>77.465557200000006</v>
      </c>
      <c r="AO74" s="39">
        <v>80.776850100000004</v>
      </c>
      <c r="AP74" s="39">
        <v>30.070159799999999</v>
      </c>
      <c r="AQ74" s="39">
        <v>43.854728700000003</v>
      </c>
      <c r="AR74" s="39">
        <v>44.706952700000002</v>
      </c>
      <c r="AS74" s="40"/>
      <c r="AT74" s="41">
        <v>39.473999999999997</v>
      </c>
      <c r="AU74" s="41">
        <v>20.257999999999999</v>
      </c>
      <c r="AW74" s="42">
        <f t="shared" si="21"/>
        <v>6.5659131436797691E-3</v>
      </c>
      <c r="AX74" s="42"/>
      <c r="AZ74" s="43"/>
      <c r="BA74" s="43"/>
      <c r="BB74" s="43"/>
      <c r="BC74" s="43"/>
      <c r="BD74" s="43"/>
      <c r="BE74" s="44"/>
      <c r="BG74" s="43"/>
      <c r="BH74" s="43"/>
      <c r="BI74" s="43"/>
      <c r="BJ74" s="43"/>
      <c r="BK74" s="43"/>
      <c r="BL74" s="44"/>
    </row>
    <row r="75" spans="1:64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4"/>
      <c r="X75" s="24"/>
      <c r="Y75" s="23"/>
      <c r="Z75" s="26"/>
      <c r="AA75" s="26"/>
      <c r="AC75" s="18" t="str">
        <f t="shared" si="16"/>
        <v>·</v>
      </c>
      <c r="AD75" s="19" t="str">
        <f t="shared" si="17"/>
        <v>·</v>
      </c>
      <c r="AE75" s="19" t="str">
        <f t="shared" si="18"/>
        <v>·</v>
      </c>
      <c r="AF75" s="19" t="str">
        <f t="shared" si="19"/>
        <v>·</v>
      </c>
      <c r="AG75" s="20"/>
      <c r="AH75" s="19" t="str">
        <f t="shared" si="20"/>
        <v>·</v>
      </c>
      <c r="AI75" s="21"/>
      <c r="AJ75" s="22"/>
      <c r="AK75" s="22"/>
      <c r="AL75" s="22"/>
      <c r="AM75" s="23"/>
      <c r="AN75" s="24"/>
      <c r="AO75" s="24"/>
      <c r="AP75" s="24"/>
      <c r="AQ75" s="24"/>
      <c r="AR75" s="24"/>
      <c r="AS75" s="25"/>
      <c r="AT75" s="26"/>
      <c r="AU75" s="26"/>
      <c r="AW75" s="27" t="e">
        <f t="shared" si="21"/>
        <v>#DIV/0!</v>
      </c>
      <c r="AX75" s="27"/>
      <c r="AZ75" s="28"/>
      <c r="BA75" s="28"/>
      <c r="BB75" s="28"/>
      <c r="BC75" s="28"/>
      <c r="BD75" s="28"/>
      <c r="BE75" s="29"/>
      <c r="BG75" s="28"/>
      <c r="BH75" s="28"/>
      <c r="BI75" s="28"/>
      <c r="BJ75" s="28"/>
      <c r="BK75" s="28"/>
      <c r="BL75" s="29"/>
    </row>
    <row r="76" spans="1:64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4"/>
      <c r="X76" s="54"/>
      <c r="Y76" s="53"/>
      <c r="Z76" s="56"/>
      <c r="AA76" s="56"/>
      <c r="AC76" s="48" t="str">
        <f t="shared" si="16"/>
        <v>·</v>
      </c>
      <c r="AD76" s="49" t="str">
        <f t="shared" si="17"/>
        <v>·</v>
      </c>
      <c r="AE76" s="49" t="str">
        <f t="shared" si="18"/>
        <v>·</v>
      </c>
      <c r="AF76" s="49" t="str">
        <f t="shared" si="19"/>
        <v>·</v>
      </c>
      <c r="AG76" s="50"/>
      <c r="AH76" s="49" t="str">
        <f t="shared" si="20"/>
        <v>·</v>
      </c>
      <c r="AI76" s="51"/>
      <c r="AJ76" s="52"/>
      <c r="AK76" s="52"/>
      <c r="AL76" s="52"/>
      <c r="AM76" s="53"/>
      <c r="AN76" s="54"/>
      <c r="AO76" s="54"/>
      <c r="AP76" s="54"/>
      <c r="AQ76" s="54"/>
      <c r="AR76" s="54"/>
      <c r="AS76" s="55"/>
      <c r="AT76" s="56"/>
      <c r="AU76" s="56"/>
      <c r="AW76" s="57" t="e">
        <f t="shared" si="21"/>
        <v>#DIV/0!</v>
      </c>
      <c r="AX76" s="57"/>
      <c r="AZ76" s="58"/>
      <c r="BA76" s="58"/>
      <c r="BB76" s="58"/>
      <c r="BC76" s="58"/>
      <c r="BD76" s="58"/>
      <c r="BE76" s="59"/>
      <c r="BG76" s="58"/>
      <c r="BH76" s="58"/>
      <c r="BI76" s="58"/>
      <c r="BJ76" s="58"/>
      <c r="BK76" s="58"/>
      <c r="BL76" s="59"/>
    </row>
    <row r="77" spans="1:64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>
        <f t="shared" si="12"/>
        <v>2.3346506525638289E-2</v>
      </c>
      <c r="K77" s="19">
        <f t="shared" si="13"/>
        <v>5.0272726802081443E-3</v>
      </c>
      <c r="L77" s="19">
        <f t="shared" si="14"/>
        <v>1.8234775989240556E-2</v>
      </c>
      <c r="M77" s="20"/>
      <c r="N77" s="19">
        <f t="shared" si="15"/>
        <v>4.3930276339675924E-2</v>
      </c>
      <c r="O77" s="21">
        <v>10470592</v>
      </c>
      <c r="P77" s="22">
        <v>459976</v>
      </c>
      <c r="Q77" s="22">
        <v>99048</v>
      </c>
      <c r="R77" s="22">
        <v>359264</v>
      </c>
      <c r="S77" s="23"/>
      <c r="T77" s="24">
        <v>68.032191900000001</v>
      </c>
      <c r="U77" s="24">
        <v>71.018393599999996</v>
      </c>
      <c r="V77" s="24">
        <v>28.971665000000002</v>
      </c>
      <c r="W77" s="24">
        <v>42.466366299999997</v>
      </c>
      <c r="X77" s="24">
        <v>44.330679199999999</v>
      </c>
      <c r="Y77" s="23"/>
      <c r="Z77" s="26">
        <v>17.05</v>
      </c>
      <c r="AA77" s="26">
        <v>12.343999999999999</v>
      </c>
      <c r="AC77" s="18" t="str">
        <f t="shared" si="16"/>
        <v>·</v>
      </c>
      <c r="AD77" s="19">
        <f t="shared" si="17"/>
        <v>2.3365184705372525E-2</v>
      </c>
      <c r="AE77" s="19">
        <f t="shared" si="18"/>
        <v>5.0187456851120797E-3</v>
      </c>
      <c r="AF77" s="19">
        <f t="shared" si="19"/>
        <v>1.8234775989240556E-2</v>
      </c>
      <c r="AG77" s="20"/>
      <c r="AH77" s="19">
        <f t="shared" si="20"/>
        <v>4.3965422394454869E-2</v>
      </c>
      <c r="AI77" s="21">
        <v>10470592</v>
      </c>
      <c r="AJ77" s="22">
        <v>460344</v>
      </c>
      <c r="AK77" s="22">
        <v>98880</v>
      </c>
      <c r="AL77" s="22">
        <v>359264</v>
      </c>
      <c r="AM77" s="23"/>
      <c r="AN77" s="24">
        <v>68.032191900000001</v>
      </c>
      <c r="AO77" s="24">
        <v>71.018393599999996</v>
      </c>
      <c r="AP77" s="24">
        <v>28.971665000000002</v>
      </c>
      <c r="AQ77" s="24">
        <v>42.466366299999997</v>
      </c>
      <c r="AR77" s="24">
        <v>44.330679199999999</v>
      </c>
      <c r="AS77" s="25"/>
      <c r="AT77" s="26">
        <v>16.61</v>
      </c>
      <c r="AU77" s="26">
        <v>11.785</v>
      </c>
      <c r="AW77" s="27">
        <f t="shared" si="21"/>
        <v>-5.3708212639480557E-4</v>
      </c>
      <c r="AX77" s="27" t="e">
        <f t="array" ref="AX77">AVERAGE(AK77:AK82/AJ77:AJ82) - AVERAGE(Q77:Q82/P77:P82)</f>
        <v>#DIV/0!</v>
      </c>
      <c r="AZ77" s="28">
        <f>IF( OR(ISBLANK(Q77:Q82),ISBLANK(AK77:AK82), ISBLANK(T77:T82),ISBLANK(AN77:AN82)), "·", bdRateExtend( Q77:Q82,T77:T82, AK77:AK82,AN77:AN82))</f>
        <v>3.5447192612199085E-3</v>
      </c>
      <c r="BA77" s="28">
        <f>IF( OR(ISBLANK(Q77:Q82),ISBLANK(AK77:AK82), ISBLANK(U77:U82),ISBLANK(AO77:AO82)), "·", bdRateExtend( Q77:Q82,U77:U82, AK77:AK82,AO77:AO82))</f>
        <v>4.693828878390649E-3</v>
      </c>
      <c r="BB77" s="28">
        <f>IF( OR(ISBLANK(R77:R82),ISBLANK(AL77:AL82), ISBLANK(V77:V82),ISBLANK(AP77:AP82)), "·", bdRateExtend( R77:R82,V77:V82, AL77:AL82,AP77:AP82))</f>
        <v>0</v>
      </c>
      <c r="BC77" s="28">
        <f>IF( OR(ISBLANK(R77:R82),ISBLANK(AL77:AL82), ISBLANK(W77:W82),ISBLANK(AQ77:AQ82)), "·", bdRateExtend( R77:R82,W77:W82, AL77:AL82,AQ77:AQ82))</f>
        <v>0</v>
      </c>
      <c r="BD77" s="28">
        <f>IF( OR(ISBLANK(R77:R82),ISBLANK(AL77:AL82), ISBLANK(X77:X82),ISBLANK(AR77:AR82)), "·", bdRateExtend( R77:R82,X77:X82, AL77:AL82,AR77:AR82))</f>
        <v>0</v>
      </c>
      <c r="BE77" s="29"/>
      <c r="BG77" s="28">
        <f>IF( OR(ISBLANK(P77:P82),ISBLANK(AJ77:AJ82), ISBLANK(T77:T82),ISBLANK(AN77:AN82)), "·", bdRateExtend( P77:P82,T77:T82, AJ77:AJ82,AN77:AN82))</f>
        <v>4.189284780535818E-4</v>
      </c>
      <c r="BH77" s="28">
        <f>IF( OR(ISBLANK(P77:P82),ISBLANK(AJ77:AJ82), ISBLANK(U77:U82),ISBLANK(AO77:AO82)), "·", bdRateExtend( P77:P82,U77:U82, AJ77:AJ82,AO77:AO82))</f>
        <v>4.1246742219658294E-4</v>
      </c>
      <c r="BI77" s="28">
        <f>IF( OR(ISBLANK(P77:P82),ISBLANK(AJ77:AJ82), ISBLANK(V77:V82),ISBLANK(AP77:AP82)), "·", bdRateExtend( P77:P82,V77:V82, AJ77:AJ82,AP77:AP82))</f>
        <v>3.492214411386918E-4</v>
      </c>
      <c r="BJ77" s="28">
        <f>IF( OR(ISBLANK(P77:P82),ISBLANK(AJ77:AJ82), ISBLANK(W77:W82),ISBLANK(AQ77:AQ82)), "·", bdRateExtend( P77:P82,W77:W82, AJ77:AJ82,AQ77:AQ82))</f>
        <v>3.4432221886504522E-4</v>
      </c>
      <c r="BK77" s="28">
        <f>IF( OR(ISBLANK(P77:P82),ISBLANK(AJ77:AJ82), ISBLANK(X77:X82),ISBLANK(AR77:AR82)), "·", bdRateExtend( P77:P82,X77:X82, AJ77:AJ82,AR77:AR82))</f>
        <v>3.5251047254791779E-4</v>
      </c>
      <c r="BL77" s="29"/>
    </row>
    <row r="78" spans="1:64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>
        <f t="shared" si="12"/>
        <v>8.2413813650846143E-2</v>
      </c>
      <c r="K78" s="34">
        <f t="shared" si="13"/>
        <v>1.7035718059779718E-2</v>
      </c>
      <c r="L78" s="34">
        <f t="shared" si="14"/>
        <v>6.5293637734876842E-2</v>
      </c>
      <c r="M78" s="35"/>
      <c r="N78" s="34">
        <f t="shared" si="15"/>
        <v>0.14676148709475656</v>
      </c>
      <c r="O78" s="36">
        <v>11063720</v>
      </c>
      <c r="P78" s="37">
        <v>1623728</v>
      </c>
      <c r="Q78" s="37">
        <v>335640</v>
      </c>
      <c r="R78" s="37">
        <v>1286424</v>
      </c>
      <c r="S78" s="38"/>
      <c r="T78" s="39">
        <v>74.053016499999998</v>
      </c>
      <c r="U78" s="39">
        <v>76.914632699999999</v>
      </c>
      <c r="V78" s="39">
        <v>30.7897173</v>
      </c>
      <c r="W78" s="39">
        <v>43.434107599999997</v>
      </c>
      <c r="X78" s="39">
        <v>45.283923799999997</v>
      </c>
      <c r="Y78" s="38"/>
      <c r="Z78" s="41">
        <v>19.297999999999998</v>
      </c>
      <c r="AA78" s="41">
        <v>14.173</v>
      </c>
      <c r="AC78" s="33" t="str">
        <f t="shared" si="16"/>
        <v>·</v>
      </c>
      <c r="AD78" s="34">
        <f t="shared" si="17"/>
        <v>8.2442643015218559E-2</v>
      </c>
      <c r="AE78" s="34">
        <f t="shared" si="18"/>
        <v>1.7008106837563892E-2</v>
      </c>
      <c r="AF78" s="34">
        <f t="shared" si="19"/>
        <v>6.5293637734876842E-2</v>
      </c>
      <c r="AG78" s="35"/>
      <c r="AH78" s="34">
        <f t="shared" si="20"/>
        <v>0.14681282606573556</v>
      </c>
      <c r="AI78" s="36">
        <v>11063720</v>
      </c>
      <c r="AJ78" s="37">
        <v>1624296</v>
      </c>
      <c r="AK78" s="37">
        <v>335096</v>
      </c>
      <c r="AL78" s="37">
        <v>1286424</v>
      </c>
      <c r="AM78" s="38"/>
      <c r="AN78" s="39">
        <v>74.053016499999998</v>
      </c>
      <c r="AO78" s="39">
        <v>76.914632699999999</v>
      </c>
      <c r="AP78" s="39">
        <v>30.7897173</v>
      </c>
      <c r="AQ78" s="39">
        <v>43.434107599999997</v>
      </c>
      <c r="AR78" s="39">
        <v>45.283923799999997</v>
      </c>
      <c r="AS78" s="40"/>
      <c r="AT78" s="41">
        <v>18.753</v>
      </c>
      <c r="AU78" s="41">
        <v>13.737</v>
      </c>
      <c r="AW78" s="42">
        <f t="shared" si="21"/>
        <v>-4.0719856168147661E-4</v>
      </c>
      <c r="AX78" s="42"/>
      <c r="AZ78" s="43"/>
      <c r="BA78" s="43"/>
      <c r="BB78" s="43"/>
      <c r="BC78" s="43"/>
      <c r="BD78" s="43"/>
      <c r="BE78" s="44"/>
      <c r="BG78" s="43"/>
      <c r="BH78" s="43"/>
      <c r="BI78" s="43"/>
      <c r="BJ78" s="43"/>
      <c r="BK78" s="43"/>
      <c r="BL78" s="44"/>
    </row>
    <row r="79" spans="1:64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>
        <f t="shared" si="12"/>
        <v>0.29395150799400716</v>
      </c>
      <c r="K79" s="19">
        <f t="shared" si="13"/>
        <v>6.589093343898686E-2</v>
      </c>
      <c r="L79" s="19">
        <f t="shared" si="14"/>
        <v>0.22797611669883069</v>
      </c>
      <c r="M79" s="20"/>
      <c r="N79" s="19">
        <f t="shared" si="15"/>
        <v>0.50419674101808976</v>
      </c>
      <c r="O79" s="21">
        <v>11486532</v>
      </c>
      <c r="P79" s="22">
        <v>5791472</v>
      </c>
      <c r="Q79" s="22">
        <v>1298192</v>
      </c>
      <c r="R79" s="22">
        <v>4491616</v>
      </c>
      <c r="S79" s="23"/>
      <c r="T79" s="24">
        <v>78.334226000000001</v>
      </c>
      <c r="U79" s="24">
        <v>80.942864999999998</v>
      </c>
      <c r="V79" s="24">
        <v>32.886068999999999</v>
      </c>
      <c r="W79" s="24">
        <v>44.4760864</v>
      </c>
      <c r="X79" s="24">
        <v>46.241186599999999</v>
      </c>
      <c r="Y79" s="23"/>
      <c r="Z79" s="26">
        <v>26.689</v>
      </c>
      <c r="AA79" s="26">
        <v>18.298999999999999</v>
      </c>
      <c r="AC79" s="18" t="str">
        <f t="shared" si="16"/>
        <v>·</v>
      </c>
      <c r="AD79" s="19">
        <f t="shared" si="17"/>
        <v>0.29403596585019676</v>
      </c>
      <c r="AE79" s="19">
        <f t="shared" si="18"/>
        <v>6.676921393388148E-2</v>
      </c>
      <c r="AF79" s="19">
        <f t="shared" si="19"/>
        <v>0.22797611669883069</v>
      </c>
      <c r="AG79" s="20"/>
      <c r="AH79" s="19">
        <f t="shared" si="20"/>
        <v>0.50434160632643521</v>
      </c>
      <c r="AI79" s="21">
        <v>11486532</v>
      </c>
      <c r="AJ79" s="22">
        <v>5793136</v>
      </c>
      <c r="AK79" s="22">
        <v>1315496</v>
      </c>
      <c r="AL79" s="22">
        <v>4491616</v>
      </c>
      <c r="AM79" s="23"/>
      <c r="AN79" s="24">
        <v>78.334226000000001</v>
      </c>
      <c r="AO79" s="24">
        <v>80.942864999999998</v>
      </c>
      <c r="AP79" s="24">
        <v>32.886068999999999</v>
      </c>
      <c r="AQ79" s="24">
        <v>44.4760864</v>
      </c>
      <c r="AR79" s="24">
        <v>46.241186599999999</v>
      </c>
      <c r="AS79" s="25"/>
      <c r="AT79" s="26">
        <v>26.033000000000001</v>
      </c>
      <c r="AU79" s="26">
        <v>17.876999999999999</v>
      </c>
      <c r="AW79" s="27">
        <f t="shared" si="21"/>
        <v>2.922597494707968E-3</v>
      </c>
      <c r="AX79" s="27"/>
      <c r="AZ79" s="28"/>
      <c r="BA79" s="28"/>
      <c r="BB79" s="28"/>
      <c r="BC79" s="28"/>
      <c r="BD79" s="28"/>
      <c r="BE79" s="29"/>
      <c r="BG79" s="28"/>
      <c r="BH79" s="28"/>
      <c r="BI79" s="28"/>
      <c r="BJ79" s="28"/>
      <c r="BK79" s="28"/>
      <c r="BL79" s="29"/>
    </row>
    <row r="80" spans="1:64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>
        <f t="shared" si="12"/>
        <v>0.88268001831679754</v>
      </c>
      <c r="K80" s="34">
        <f t="shared" si="13"/>
        <v>0.23762461467372012</v>
      </c>
      <c r="L80" s="34">
        <f t="shared" si="14"/>
        <v>0.64497500626074311</v>
      </c>
      <c r="M80" s="35"/>
      <c r="N80" s="34">
        <f t="shared" si="15"/>
        <v>1.4521340149551429</v>
      </c>
      <c r="O80" s="36">
        <v>11975947</v>
      </c>
      <c r="P80" s="37">
        <v>17390680</v>
      </c>
      <c r="Q80" s="37">
        <v>4681712</v>
      </c>
      <c r="R80" s="37">
        <v>12707384</v>
      </c>
      <c r="S80" s="38"/>
      <c r="T80" s="39">
        <v>79.953439399999993</v>
      </c>
      <c r="U80" s="39">
        <v>83.018344799999994</v>
      </c>
      <c r="V80" s="39">
        <v>34.920436299999999</v>
      </c>
      <c r="W80" s="39">
        <v>45.698978400000001</v>
      </c>
      <c r="X80" s="39">
        <v>47.285995499999999</v>
      </c>
      <c r="Y80" s="38"/>
      <c r="Z80" s="41">
        <v>51.048000000000002</v>
      </c>
      <c r="AA80" s="41">
        <v>32.158000000000001</v>
      </c>
      <c r="AC80" s="33" t="str">
        <f t="shared" si="16"/>
        <v>·</v>
      </c>
      <c r="AD80" s="34">
        <f t="shared" si="17"/>
        <v>0.88280832929062403</v>
      </c>
      <c r="AE80" s="34">
        <f t="shared" si="18"/>
        <v>0.25024659765282281</v>
      </c>
      <c r="AF80" s="34">
        <f t="shared" si="19"/>
        <v>0.64497500626074311</v>
      </c>
      <c r="AG80" s="35"/>
      <c r="AH80" s="34">
        <f t="shared" si="20"/>
        <v>1.4523451047336799</v>
      </c>
      <c r="AI80" s="36">
        <v>11975947</v>
      </c>
      <c r="AJ80" s="37">
        <v>17393208</v>
      </c>
      <c r="AK80" s="37">
        <v>4930392</v>
      </c>
      <c r="AL80" s="37">
        <v>12707384</v>
      </c>
      <c r="AM80" s="38"/>
      <c r="AN80" s="39">
        <v>79.953439399999993</v>
      </c>
      <c r="AO80" s="39">
        <v>83.018344799999994</v>
      </c>
      <c r="AP80" s="39">
        <v>34.920436299999999</v>
      </c>
      <c r="AQ80" s="39">
        <v>45.698978400000001</v>
      </c>
      <c r="AR80" s="39">
        <v>47.285995499999999</v>
      </c>
      <c r="AS80" s="40"/>
      <c r="AT80" s="41">
        <v>46.8</v>
      </c>
      <c r="AU80" s="41">
        <v>29.405999999999999</v>
      </c>
      <c r="AW80" s="42">
        <f t="shared" si="21"/>
        <v>1.4258407184669086E-2</v>
      </c>
      <c r="AX80" s="42"/>
      <c r="AZ80" s="43"/>
      <c r="BA80" s="43"/>
      <c r="BB80" s="43"/>
      <c r="BC80" s="43"/>
      <c r="BD80" s="43"/>
      <c r="BE80" s="44"/>
      <c r="BG80" s="43"/>
      <c r="BH80" s="43"/>
      <c r="BI80" s="43"/>
      <c r="BJ80" s="43"/>
      <c r="BK80" s="43"/>
      <c r="BL80" s="44"/>
    </row>
    <row r="81" spans="1:64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4"/>
      <c r="X81" s="24"/>
      <c r="Y81" s="23"/>
      <c r="Z81" s="26"/>
      <c r="AA81" s="26"/>
      <c r="AC81" s="18" t="str">
        <f t="shared" si="16"/>
        <v>·</v>
      </c>
      <c r="AD81" s="19" t="str">
        <f t="shared" si="17"/>
        <v>·</v>
      </c>
      <c r="AE81" s="19" t="str">
        <f t="shared" si="18"/>
        <v>·</v>
      </c>
      <c r="AF81" s="19" t="str">
        <f t="shared" si="19"/>
        <v>·</v>
      </c>
      <c r="AG81" s="20"/>
      <c r="AH81" s="19" t="str">
        <f t="shared" si="20"/>
        <v>·</v>
      </c>
      <c r="AI81" s="21"/>
      <c r="AJ81" s="22"/>
      <c r="AK81" s="22"/>
      <c r="AL81" s="22"/>
      <c r="AM81" s="23"/>
      <c r="AN81" s="24"/>
      <c r="AO81" s="24"/>
      <c r="AP81" s="24"/>
      <c r="AQ81" s="24"/>
      <c r="AR81" s="24"/>
      <c r="AS81" s="25"/>
      <c r="AT81" s="26"/>
      <c r="AU81" s="26"/>
      <c r="AW81" s="27" t="e">
        <f t="shared" si="21"/>
        <v>#DIV/0!</v>
      </c>
      <c r="AX81" s="27"/>
      <c r="AZ81" s="28"/>
      <c r="BA81" s="28"/>
      <c r="BB81" s="28"/>
      <c r="BC81" s="28"/>
      <c r="BD81" s="28"/>
      <c r="BE81" s="29"/>
      <c r="BG81" s="28"/>
      <c r="BH81" s="28"/>
      <c r="BI81" s="28"/>
      <c r="BJ81" s="28"/>
      <c r="BK81" s="28"/>
      <c r="BL81" s="29"/>
    </row>
    <row r="82" spans="1:64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4"/>
      <c r="X82" s="54"/>
      <c r="Y82" s="53"/>
      <c r="Z82" s="56"/>
      <c r="AA82" s="56"/>
      <c r="AC82" s="48" t="str">
        <f t="shared" si="16"/>
        <v>·</v>
      </c>
      <c r="AD82" s="49" t="str">
        <f t="shared" si="17"/>
        <v>·</v>
      </c>
      <c r="AE82" s="49" t="str">
        <f t="shared" si="18"/>
        <v>·</v>
      </c>
      <c r="AF82" s="49" t="str">
        <f t="shared" si="19"/>
        <v>·</v>
      </c>
      <c r="AG82" s="50"/>
      <c r="AH82" s="49" t="str">
        <f t="shared" si="20"/>
        <v>·</v>
      </c>
      <c r="AI82" s="51"/>
      <c r="AJ82" s="52"/>
      <c r="AK82" s="52"/>
      <c r="AL82" s="52"/>
      <c r="AM82" s="53"/>
      <c r="AN82" s="54"/>
      <c r="AO82" s="54"/>
      <c r="AP82" s="54"/>
      <c r="AQ82" s="54"/>
      <c r="AR82" s="54"/>
      <c r="AS82" s="55"/>
      <c r="AT82" s="56"/>
      <c r="AU82" s="56"/>
      <c r="AW82" s="57" t="e">
        <f t="shared" si="21"/>
        <v>#DIV/0!</v>
      </c>
      <c r="AX82" s="57"/>
      <c r="AZ82" s="58"/>
      <c r="BA82" s="58"/>
      <c r="BB82" s="58"/>
      <c r="BC82" s="58"/>
      <c r="BD82" s="58"/>
      <c r="BE82" s="59"/>
      <c r="BG82" s="58"/>
      <c r="BH82" s="58"/>
      <c r="BI82" s="58"/>
      <c r="BJ82" s="58"/>
      <c r="BK82" s="58"/>
      <c r="BL82" s="59"/>
    </row>
    <row r="83" spans="1:64" x14ac:dyDescent="0.15">
      <c r="A83" s="15"/>
      <c r="B83" s="15" t="s">
        <v>1043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>
        <f t="shared" si="12"/>
        <v>4.9778501825136108E-2</v>
      </c>
      <c r="K83" s="19">
        <f t="shared" si="13"/>
        <v>1.5122358685105157E-2</v>
      </c>
      <c r="L83" s="19">
        <f t="shared" si="14"/>
        <v>3.4439224060531494E-2</v>
      </c>
      <c r="M83" s="20"/>
      <c r="N83" s="19">
        <f t="shared" si="15"/>
        <v>6.0756819405223997E-2</v>
      </c>
      <c r="O83" s="21">
        <v>2961182</v>
      </c>
      <c r="P83" s="22">
        <v>179912</v>
      </c>
      <c r="Q83" s="22">
        <v>54656</v>
      </c>
      <c r="R83" s="22">
        <v>124472</v>
      </c>
      <c r="S83" s="23"/>
      <c r="T83" s="24">
        <v>60.201499699999999</v>
      </c>
      <c r="U83" s="24">
        <v>64.254783799999998</v>
      </c>
      <c r="V83" s="24">
        <v>28.187215500000001</v>
      </c>
      <c r="W83" s="24">
        <v>43.164291499999997</v>
      </c>
      <c r="X83" s="24">
        <v>46.655758599999999</v>
      </c>
      <c r="Y83" s="23"/>
      <c r="Z83" s="26">
        <v>6.6349999999999998</v>
      </c>
      <c r="AA83" s="26">
        <v>3.7469999999999999</v>
      </c>
      <c r="AC83" s="18" t="str">
        <f t="shared" si="16"/>
        <v>·</v>
      </c>
      <c r="AD83" s="19">
        <f t="shared" si="17"/>
        <v>4.980506334507482E-2</v>
      </c>
      <c r="AE83" s="19">
        <f t="shared" si="18"/>
        <v>1.5193189404941715E-2</v>
      </c>
      <c r="AF83" s="19">
        <f t="shared" si="19"/>
        <v>3.4439224060531494E-2</v>
      </c>
      <c r="AG83" s="20"/>
      <c r="AH83" s="19">
        <f t="shared" si="20"/>
        <v>6.0789238891766871E-2</v>
      </c>
      <c r="AI83" s="21">
        <v>2961182</v>
      </c>
      <c r="AJ83" s="22">
        <v>180008</v>
      </c>
      <c r="AK83" s="22">
        <v>54912</v>
      </c>
      <c r="AL83" s="22">
        <v>124472</v>
      </c>
      <c r="AM83" s="23"/>
      <c r="AN83" s="24">
        <v>60.201499699999999</v>
      </c>
      <c r="AO83" s="24">
        <v>64.254783799999998</v>
      </c>
      <c r="AP83" s="24">
        <v>28.187215500000001</v>
      </c>
      <c r="AQ83" s="24">
        <v>43.164291499999997</v>
      </c>
      <c r="AR83" s="24">
        <v>46.655758599999999</v>
      </c>
      <c r="AS83" s="25"/>
      <c r="AT83" s="26">
        <v>6.3550000000000004</v>
      </c>
      <c r="AU83" s="26">
        <v>3.6360000000000001</v>
      </c>
      <c r="AW83" s="27">
        <f t="shared" si="21"/>
        <v>1.2601433009467033E-3</v>
      </c>
      <c r="AX83" s="27" t="e">
        <f t="array" ref="AX83">AVERAGE(AK83:AK88/AJ83:AJ88) - AVERAGE(Q83:Q88/P83:P88)</f>
        <v>#DIV/0!</v>
      </c>
      <c r="AZ83" s="28">
        <f>IF( OR(ISBLANK(Q83:Q88),ISBLANK(AK83:AK88), ISBLANK(T83:T88),ISBLANK(AN83:AN88)), "·", bdRateExtend( Q83:Q88,T83:T88, AK83:AK88,AN83:AN88))</f>
        <v>9.9815690605384866E-3</v>
      </c>
      <c r="BA83" s="28">
        <f>IF( OR(ISBLANK(Q83:Q88),ISBLANK(AK83:AK88), ISBLANK(U83:U88),ISBLANK(AO83:AO88)), "·", bdRateExtend( Q83:Q88,U83:U88, AK83:AK88,AO83:AO88))</f>
        <v>8.4969904289124987E-3</v>
      </c>
      <c r="BB83" s="28">
        <f>IF( OR(ISBLANK(R83:R88),ISBLANK(AL83:AL88), ISBLANK(V83:V88),ISBLANK(AP83:AP88)), "·", bdRateExtend( R83:R88,V83:V88, AL83:AL88,AP83:AP88))</f>
        <v>0</v>
      </c>
      <c r="BC83" s="28">
        <f>IF( OR(ISBLANK(R83:R88),ISBLANK(AL83:AL88), ISBLANK(W83:W88),ISBLANK(AQ83:AQ88)), "·", bdRateExtend( R83:R88,W83:W88, AL83:AL88,AQ83:AQ88))</f>
        <v>0</v>
      </c>
      <c r="BD83" s="28">
        <f>IF( OR(ISBLANK(R83:R88),ISBLANK(AL83:AL88), ISBLANK(X83:X88),ISBLANK(AR83:AR88)), "·", bdRateExtend( R83:R88,X83:X88, AL83:AL88,AR83:AR88))</f>
        <v>0</v>
      </c>
      <c r="BE83" s="29"/>
      <c r="BG83" s="28">
        <f>IF( OR(ISBLANK(P83:P88),ISBLANK(AJ83:AJ88), ISBLANK(T83:T88),ISBLANK(AN83:AN88)), "·", bdRateExtend( P83:P88,T83:T88, AJ83:AJ88,AN83:AN88))</f>
        <v>3.311962356864484E-4</v>
      </c>
      <c r="BH83" s="28">
        <f>IF( OR(ISBLANK(P83:P88),ISBLANK(AJ83:AJ88), ISBLANK(U83:U88),ISBLANK(AO83:AO88)), "·", bdRateExtend( P83:P88,U83:U88, AJ83:AJ88,AO83:AO88))</f>
        <v>3.8702115749500443E-4</v>
      </c>
      <c r="BI83" s="28">
        <f>IF( OR(ISBLANK(P83:P88),ISBLANK(AJ83:AJ88), ISBLANK(V83:V88),ISBLANK(AP83:AP88)), "·", bdRateExtend( P83:P88,V83:V88, AJ83:AJ88,AP83:AP88))</f>
        <v>3.0692686324584884E-4</v>
      </c>
      <c r="BJ83" s="28">
        <f>IF( OR(ISBLANK(P83:P88),ISBLANK(AJ83:AJ88), ISBLANK(W83:W88),ISBLANK(AQ83:AQ88)), "·", bdRateExtend( P83:P88,W83:W88, AJ83:AJ88,AQ83:AQ88))</f>
        <v>3.0630738454728856E-4</v>
      </c>
      <c r="BK83" s="28">
        <f>IF( OR(ISBLANK(P83:P88),ISBLANK(AJ83:AJ88), ISBLANK(X83:X88),ISBLANK(AR83:AR88)), "·", bdRateExtend( P83:P88,X83:X88, AJ83:AJ88,AR83:AR88))</f>
        <v>2.8942598458692181E-4</v>
      </c>
      <c r="BL83" s="29"/>
    </row>
    <row r="84" spans="1:64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>
        <f t="shared" si="12"/>
        <v>0.15798792059544287</v>
      </c>
      <c r="K84" s="34">
        <f t="shared" si="13"/>
        <v>4.9061340786790954E-2</v>
      </c>
      <c r="L84" s="34">
        <f t="shared" si="14"/>
        <v>0.10870966072915246</v>
      </c>
      <c r="M84" s="35"/>
      <c r="N84" s="34">
        <f t="shared" si="15"/>
        <v>0.1839991905437986</v>
      </c>
      <c r="O84" s="36">
        <v>3103318</v>
      </c>
      <c r="P84" s="37">
        <v>571008</v>
      </c>
      <c r="Q84" s="37">
        <v>177320</v>
      </c>
      <c r="R84" s="37">
        <v>392904</v>
      </c>
      <c r="S84" s="38"/>
      <c r="T84" s="39">
        <v>65.771084700000003</v>
      </c>
      <c r="U84" s="39">
        <v>70.603299800000002</v>
      </c>
      <c r="V84" s="39">
        <v>30.143104600000001</v>
      </c>
      <c r="W84" s="39">
        <v>44.291519999999998</v>
      </c>
      <c r="X84" s="39">
        <v>47.237123099999998</v>
      </c>
      <c r="Y84" s="38"/>
      <c r="Z84" s="41">
        <v>7.7910000000000004</v>
      </c>
      <c r="AA84" s="41">
        <v>4.37</v>
      </c>
      <c r="AC84" s="33" t="str">
        <f t="shared" si="16"/>
        <v>·</v>
      </c>
      <c r="AD84" s="34">
        <f t="shared" si="17"/>
        <v>0.15803218979534073</v>
      </c>
      <c r="AE84" s="34">
        <f t="shared" si="18"/>
        <v>4.9574863505606005E-2</v>
      </c>
      <c r="AF84" s="34">
        <f t="shared" si="19"/>
        <v>0.10870966072915246</v>
      </c>
      <c r="AG84" s="35"/>
      <c r="AH84" s="34">
        <f t="shared" si="20"/>
        <v>0.18405074826363266</v>
      </c>
      <c r="AI84" s="36">
        <v>3103318</v>
      </c>
      <c r="AJ84" s="37">
        <v>571168</v>
      </c>
      <c r="AK84" s="37">
        <v>179176</v>
      </c>
      <c r="AL84" s="37">
        <v>392904</v>
      </c>
      <c r="AM84" s="38"/>
      <c r="AN84" s="39">
        <v>65.771084700000003</v>
      </c>
      <c r="AO84" s="39">
        <v>70.603299800000002</v>
      </c>
      <c r="AP84" s="39">
        <v>30.143104600000001</v>
      </c>
      <c r="AQ84" s="39">
        <v>44.291519999999998</v>
      </c>
      <c r="AR84" s="39">
        <v>47.237123099999998</v>
      </c>
      <c r="AS84" s="40"/>
      <c r="AT84" s="41">
        <v>7.4640000000000004</v>
      </c>
      <c r="AU84" s="41">
        <v>4.2309999999999999</v>
      </c>
      <c r="AW84" s="42">
        <f t="shared" si="21"/>
        <v>3.1624913002472055E-3</v>
      </c>
      <c r="AX84" s="42"/>
      <c r="AZ84" s="43"/>
      <c r="BA84" s="43"/>
      <c r="BB84" s="43"/>
      <c r="BC84" s="43"/>
      <c r="BD84" s="43"/>
      <c r="BE84" s="44"/>
      <c r="BG84" s="43"/>
      <c r="BH84" s="43"/>
      <c r="BI84" s="43"/>
      <c r="BJ84" s="43"/>
      <c r="BK84" s="43"/>
      <c r="BL84" s="44"/>
    </row>
    <row r="85" spans="1:64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>
        <f t="shared" si="12"/>
        <v>0.60041209091454906</v>
      </c>
      <c r="K85" s="19">
        <f t="shared" si="13"/>
        <v>0.19814008490279175</v>
      </c>
      <c r="L85" s="19">
        <f t="shared" si="14"/>
        <v>0.40205508693225789</v>
      </c>
      <c r="M85" s="20"/>
      <c r="N85" s="19">
        <f t="shared" si="15"/>
        <v>0.50434366691991839</v>
      </c>
      <c r="O85" s="21">
        <v>4302701</v>
      </c>
      <c r="P85" s="22">
        <v>2170040</v>
      </c>
      <c r="Q85" s="22">
        <v>716128</v>
      </c>
      <c r="R85" s="22">
        <v>1453128</v>
      </c>
      <c r="S85" s="23"/>
      <c r="T85" s="24">
        <v>69.856580500000007</v>
      </c>
      <c r="U85" s="24">
        <v>72.8184495</v>
      </c>
      <c r="V85" s="24">
        <v>32.493205000000003</v>
      </c>
      <c r="W85" s="24">
        <v>45.6620572</v>
      </c>
      <c r="X85" s="24">
        <v>48.196544299999999</v>
      </c>
      <c r="Y85" s="23"/>
      <c r="Z85" s="26">
        <v>12.526</v>
      </c>
      <c r="AA85" s="26">
        <v>7.3230000000000004</v>
      </c>
      <c r="AC85" s="18" t="str">
        <f t="shared" si="16"/>
        <v>·</v>
      </c>
      <c r="AD85" s="19">
        <f t="shared" si="17"/>
        <v>0.60055817927421196</v>
      </c>
      <c r="AE85" s="19">
        <f t="shared" si="18"/>
        <v>0.20157316135486994</v>
      </c>
      <c r="AF85" s="19">
        <f t="shared" si="19"/>
        <v>0.40205508693225789</v>
      </c>
      <c r="AG85" s="20"/>
      <c r="AH85" s="19">
        <f t="shared" si="20"/>
        <v>0.50446638053631898</v>
      </c>
      <c r="AI85" s="21">
        <v>4302701</v>
      </c>
      <c r="AJ85" s="22">
        <v>2170568</v>
      </c>
      <c r="AK85" s="22">
        <v>728536</v>
      </c>
      <c r="AL85" s="22">
        <v>1453128</v>
      </c>
      <c r="AM85" s="23"/>
      <c r="AN85" s="24">
        <v>69.856580500000007</v>
      </c>
      <c r="AO85" s="24">
        <v>72.8184495</v>
      </c>
      <c r="AP85" s="24">
        <v>32.493205000000003</v>
      </c>
      <c r="AQ85" s="24">
        <v>45.6620572</v>
      </c>
      <c r="AR85" s="24">
        <v>48.196544299999999</v>
      </c>
      <c r="AS85" s="25"/>
      <c r="AT85" s="26">
        <v>12.151</v>
      </c>
      <c r="AU85" s="26">
        <v>7.3860000000000001</v>
      </c>
      <c r="AW85" s="27">
        <f t="shared" si="21"/>
        <v>5.6362004779211272E-3</v>
      </c>
      <c r="AX85" s="27"/>
      <c r="AZ85" s="28"/>
      <c r="BA85" s="28"/>
      <c r="BB85" s="28"/>
      <c r="BC85" s="28"/>
      <c r="BD85" s="28"/>
      <c r="BE85" s="29"/>
      <c r="BG85" s="28"/>
      <c r="BH85" s="28"/>
      <c r="BI85" s="28"/>
      <c r="BJ85" s="28"/>
      <c r="BK85" s="28"/>
      <c r="BL85" s="29"/>
    </row>
    <row r="86" spans="1:64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9"/>
      <c r="X86" s="39"/>
      <c r="Y86" s="38"/>
      <c r="Z86" s="41"/>
      <c r="AA86" s="41"/>
      <c r="AC86" s="33" t="str">
        <f t="shared" si="16"/>
        <v>·</v>
      </c>
      <c r="AD86" s="34" t="str">
        <f t="shared" si="17"/>
        <v>·</v>
      </c>
      <c r="AE86" s="34" t="str">
        <f t="shared" si="18"/>
        <v>·</v>
      </c>
      <c r="AF86" s="34" t="str">
        <f t="shared" si="19"/>
        <v>·</v>
      </c>
      <c r="AG86" s="35"/>
      <c r="AH86" s="34" t="str">
        <f t="shared" si="20"/>
        <v>·</v>
      </c>
      <c r="AI86" s="36"/>
      <c r="AJ86" s="37"/>
      <c r="AK86" s="37"/>
      <c r="AL86" s="37"/>
      <c r="AM86" s="38"/>
      <c r="AN86" s="39"/>
      <c r="AO86" s="39"/>
      <c r="AP86" s="39"/>
      <c r="AQ86" s="39"/>
      <c r="AR86" s="39"/>
      <c r="AS86" s="40"/>
      <c r="AT86" s="41"/>
      <c r="AU86" s="41"/>
      <c r="AW86" s="42" t="e">
        <f t="shared" si="21"/>
        <v>#DIV/0!</v>
      </c>
      <c r="AX86" s="42"/>
      <c r="AZ86" s="43"/>
      <c r="BA86" s="43"/>
      <c r="BB86" s="43"/>
      <c r="BC86" s="43"/>
      <c r="BD86" s="43"/>
      <c r="BE86" s="44"/>
      <c r="BG86" s="43"/>
      <c r="BH86" s="43"/>
      <c r="BI86" s="43"/>
      <c r="BJ86" s="43"/>
      <c r="BK86" s="43"/>
      <c r="BL86" s="44"/>
    </row>
    <row r="87" spans="1:64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4"/>
      <c r="X87" s="24"/>
      <c r="Y87" s="23"/>
      <c r="Z87" s="26"/>
      <c r="AA87" s="26"/>
      <c r="AC87" s="18" t="str">
        <f t="shared" si="16"/>
        <v>·</v>
      </c>
      <c r="AD87" s="19" t="str">
        <f t="shared" si="17"/>
        <v>·</v>
      </c>
      <c r="AE87" s="19" t="str">
        <f t="shared" si="18"/>
        <v>·</v>
      </c>
      <c r="AF87" s="19" t="str">
        <f t="shared" si="19"/>
        <v>·</v>
      </c>
      <c r="AG87" s="20"/>
      <c r="AH87" s="19" t="str">
        <f t="shared" si="20"/>
        <v>·</v>
      </c>
      <c r="AI87" s="21"/>
      <c r="AJ87" s="22"/>
      <c r="AK87" s="22"/>
      <c r="AL87" s="22"/>
      <c r="AM87" s="23"/>
      <c r="AN87" s="24"/>
      <c r="AO87" s="24"/>
      <c r="AP87" s="24"/>
      <c r="AQ87" s="24"/>
      <c r="AR87" s="24"/>
      <c r="AS87" s="25"/>
      <c r="AT87" s="26"/>
      <c r="AU87" s="26"/>
      <c r="AW87" s="27" t="e">
        <f t="shared" si="21"/>
        <v>#DIV/0!</v>
      </c>
      <c r="AX87" s="27"/>
      <c r="AZ87" s="28"/>
      <c r="BA87" s="28"/>
      <c r="BB87" s="28"/>
      <c r="BC87" s="28"/>
      <c r="BD87" s="28"/>
      <c r="BE87" s="29"/>
      <c r="BG87" s="28"/>
      <c r="BH87" s="28"/>
      <c r="BI87" s="28"/>
      <c r="BJ87" s="28"/>
      <c r="BK87" s="28"/>
      <c r="BL87" s="29"/>
    </row>
    <row r="88" spans="1:64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4"/>
      <c r="X88" s="54"/>
      <c r="Y88" s="53"/>
      <c r="Z88" s="56"/>
      <c r="AA88" s="56"/>
      <c r="AC88" s="48" t="str">
        <f t="shared" si="16"/>
        <v>·</v>
      </c>
      <c r="AD88" s="49" t="str">
        <f t="shared" si="17"/>
        <v>·</v>
      </c>
      <c r="AE88" s="49" t="str">
        <f t="shared" si="18"/>
        <v>·</v>
      </c>
      <c r="AF88" s="49" t="str">
        <f t="shared" si="19"/>
        <v>·</v>
      </c>
      <c r="AG88" s="50"/>
      <c r="AH88" s="49" t="str">
        <f t="shared" si="20"/>
        <v>·</v>
      </c>
      <c r="AI88" s="51"/>
      <c r="AJ88" s="52"/>
      <c r="AK88" s="52"/>
      <c r="AL88" s="52"/>
      <c r="AM88" s="53"/>
      <c r="AN88" s="54"/>
      <c r="AO88" s="54"/>
      <c r="AP88" s="54"/>
      <c r="AQ88" s="54"/>
      <c r="AR88" s="54"/>
      <c r="AS88" s="55"/>
      <c r="AT88" s="56"/>
      <c r="AU88" s="56"/>
      <c r="AW88" s="57" t="e">
        <f t="shared" si="21"/>
        <v>#DIV/0!</v>
      </c>
      <c r="AX88" s="57"/>
      <c r="AZ88" s="58"/>
      <c r="BA88" s="58"/>
      <c r="BB88" s="58"/>
      <c r="BC88" s="58"/>
      <c r="BD88" s="58"/>
      <c r="BE88" s="59"/>
      <c r="BG88" s="58"/>
      <c r="BH88" s="58"/>
      <c r="BI88" s="58"/>
      <c r="BJ88" s="58"/>
      <c r="BK88" s="58"/>
      <c r="BL88" s="59"/>
    </row>
    <row r="89" spans="1:64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>
        <f t="shared" si="12"/>
        <v>8.646158281113929E-2</v>
      </c>
      <c r="K89" s="19">
        <f t="shared" si="13"/>
        <v>2.6546378628254895E-2</v>
      </c>
      <c r="L89" s="19">
        <f t="shared" si="14"/>
        <v>5.9798399196289632E-2</v>
      </c>
      <c r="M89" s="20"/>
      <c r="N89" s="19">
        <f t="shared" si="15"/>
        <v>0.10429782124339744</v>
      </c>
      <c r="O89" s="21">
        <v>11525840</v>
      </c>
      <c r="P89" s="22">
        <v>1202120</v>
      </c>
      <c r="Q89" s="22">
        <v>369088</v>
      </c>
      <c r="R89" s="22">
        <v>831408</v>
      </c>
      <c r="S89" s="23"/>
      <c r="T89" s="24">
        <v>67.660789300000005</v>
      </c>
      <c r="U89" s="24">
        <v>71.061954600000007</v>
      </c>
      <c r="V89" s="24">
        <v>26.274219800000001</v>
      </c>
      <c r="W89" s="24">
        <v>39.718314599999999</v>
      </c>
      <c r="X89" s="24">
        <v>44.105291399999999</v>
      </c>
      <c r="Y89" s="23"/>
      <c r="Z89" s="26">
        <v>40.505000000000003</v>
      </c>
      <c r="AA89" s="26">
        <v>15.05</v>
      </c>
      <c r="AC89" s="18" t="str">
        <f t="shared" si="16"/>
        <v>·</v>
      </c>
      <c r="AD89" s="19">
        <f t="shared" si="17"/>
        <v>8.6494955664452075E-2</v>
      </c>
      <c r="AE89" s="19">
        <f t="shared" si="18"/>
        <v>2.6724175381248886E-2</v>
      </c>
      <c r="AF89" s="19">
        <f t="shared" si="19"/>
        <v>5.9798399196289632E-2</v>
      </c>
      <c r="AG89" s="20"/>
      <c r="AH89" s="19">
        <f t="shared" si="20"/>
        <v>0.10433807861292539</v>
      </c>
      <c r="AI89" s="21">
        <v>11525840</v>
      </c>
      <c r="AJ89" s="22">
        <v>1202584</v>
      </c>
      <c r="AK89" s="22">
        <v>371560</v>
      </c>
      <c r="AL89" s="22">
        <v>831408</v>
      </c>
      <c r="AM89" s="23"/>
      <c r="AN89" s="24">
        <v>67.660789300000005</v>
      </c>
      <c r="AO89" s="24">
        <v>71.061954600000007</v>
      </c>
      <c r="AP89" s="24">
        <v>26.274219800000001</v>
      </c>
      <c r="AQ89" s="24">
        <v>39.718314599999999</v>
      </c>
      <c r="AR89" s="24">
        <v>44.105291399999999</v>
      </c>
      <c r="AS89" s="25"/>
      <c r="AT89" s="26">
        <v>39.234999999999999</v>
      </c>
      <c r="AU89" s="26">
        <v>14.861000000000001</v>
      </c>
      <c r="AW89" s="27">
        <f t="shared" si="21"/>
        <v>1.9371101368438892E-3</v>
      </c>
      <c r="AX89" s="27" t="e">
        <f t="array" ref="AX89">AVERAGE(AK89:AK94/AJ89:AJ94) - AVERAGE(Q89:Q94/P89:P94)</f>
        <v>#DIV/0!</v>
      </c>
      <c r="AZ89" s="28">
        <f>IF( OR(ISBLANK(Q89:Q94),ISBLANK(AK89:AK94), ISBLANK(T89:T94),ISBLANK(AN89:AN94)), "·", bdRateExtend( Q89:Q94,T89:T94, AK89:AK94,AN89:AN94))</f>
        <v>1.0729280310459277E-2</v>
      </c>
      <c r="BA89" s="28">
        <f>IF( OR(ISBLANK(Q89:Q94),ISBLANK(AK89:AK94), ISBLANK(U89:U94),ISBLANK(AO89:AO94)), "·", bdRateExtend( Q89:Q94,U89:U94, AK89:AK94,AO89:AO94))</f>
        <v>1.0215081722396047E-2</v>
      </c>
      <c r="BB89" s="28">
        <f>IF( OR(ISBLANK(R89:R94),ISBLANK(AL89:AL94), ISBLANK(V89:V94),ISBLANK(AP89:AP94)), "·", bdRateExtend( R89:R94,V89:V94, AL89:AL94,AP89:AP94))</f>
        <v>0</v>
      </c>
      <c r="BC89" s="28">
        <f>IF( OR(ISBLANK(R89:R94),ISBLANK(AL89:AL94), ISBLANK(W89:W94),ISBLANK(AQ89:AQ94)), "·", bdRateExtend( R89:R94,W89:W94, AL89:AL94,AQ89:AQ94))</f>
        <v>0</v>
      </c>
      <c r="BD89" s="28">
        <f>IF( OR(ISBLANK(R89:R94),ISBLANK(AL89:AL94), ISBLANK(X89:X94),ISBLANK(AR89:AR94)), "·", bdRateExtend( R89:R94,X89:X94, AL89:AL94,AR89:AR94))</f>
        <v>0</v>
      </c>
      <c r="BE89" s="29"/>
      <c r="BG89" s="28">
        <f>IF( OR(ISBLANK(P89:P94),ISBLANK(AJ89:AJ94), ISBLANK(T89:T94),ISBLANK(AN89:AN94)), "·", bdRateExtend( P89:P94,T89:T94, AJ89:AJ94,AN89:AN94))</f>
        <v>2.8435336356436025E-4</v>
      </c>
      <c r="BH89" s="28">
        <f>IF( OR(ISBLANK(P89:P94),ISBLANK(AJ89:AJ94), ISBLANK(U89:U94),ISBLANK(AO89:AO94)), "·", bdRateExtend( P89:P94,U89:U94, AJ89:AJ94,AO89:AO94))</f>
        <v>2.9081466323122029E-4</v>
      </c>
      <c r="BI89" s="28">
        <f>IF( OR(ISBLANK(P89:P94),ISBLANK(AJ89:AJ94), ISBLANK(V89:V94),ISBLANK(AP89:AP94)), "·", bdRateExtend( P89:P94,V89:V94, AJ89:AJ94,AP89:AP94))</f>
        <v>2.5921957773866744E-4</v>
      </c>
      <c r="BJ89" s="28">
        <f>IF( OR(ISBLANK(P89:P94),ISBLANK(AJ89:AJ94), ISBLANK(W89:W94),ISBLANK(AQ89:AQ94)), "·", bdRateExtend( P89:P94,W89:W94, AJ89:AJ94,AQ89:AQ94))</f>
        <v>2.5405558186331056E-4</v>
      </c>
      <c r="BK89" s="28">
        <f>IF( OR(ISBLANK(P89:P94),ISBLANK(AJ89:AJ94), ISBLANK(X89:X94),ISBLANK(AR89:AR94)), "·", bdRateExtend( P89:P94,X89:X94, AJ89:AJ94,AR89:AR94))</f>
        <v>2.5889541905788072E-4</v>
      </c>
      <c r="BL89" s="29"/>
    </row>
    <row r="90" spans="1:64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>
        <f t="shared" si="12"/>
        <v>0.32129772066288842</v>
      </c>
      <c r="K90" s="34">
        <f t="shared" si="13"/>
        <v>9.2943396476114382E-2</v>
      </c>
      <c r="L90" s="34">
        <f t="shared" si="14"/>
        <v>0.22823751920017929</v>
      </c>
      <c r="M90" s="35"/>
      <c r="N90" s="34">
        <f t="shared" si="15"/>
        <v>0.35220340396873445</v>
      </c>
      <c r="O90" s="36">
        <v>12683489</v>
      </c>
      <c r="P90" s="37">
        <v>4467168</v>
      </c>
      <c r="Q90" s="37">
        <v>1292240</v>
      </c>
      <c r="R90" s="37">
        <v>3173304</v>
      </c>
      <c r="S90" s="38"/>
      <c r="T90" s="39">
        <v>71.286233999999993</v>
      </c>
      <c r="U90" s="39">
        <v>75.979500999999999</v>
      </c>
      <c r="V90" s="39">
        <v>28.3686516</v>
      </c>
      <c r="W90" s="39">
        <v>41.289508699999999</v>
      </c>
      <c r="X90" s="39">
        <v>45.516131799999997</v>
      </c>
      <c r="Y90" s="38"/>
      <c r="Z90" s="41">
        <v>50.831000000000003</v>
      </c>
      <c r="AA90" s="41">
        <v>19.233000000000001</v>
      </c>
      <c r="AC90" s="33" t="str">
        <f t="shared" si="16"/>
        <v>·</v>
      </c>
      <c r="AD90" s="34">
        <f t="shared" si="17"/>
        <v>0.32138057740214776</v>
      </c>
      <c r="AE90" s="34">
        <f t="shared" si="18"/>
        <v>9.3978530322833445E-2</v>
      </c>
      <c r="AF90" s="34">
        <f t="shared" si="19"/>
        <v>0.22823751920017929</v>
      </c>
      <c r="AG90" s="35"/>
      <c r="AH90" s="34">
        <f t="shared" si="20"/>
        <v>0.35229423071206983</v>
      </c>
      <c r="AI90" s="36">
        <v>12683489</v>
      </c>
      <c r="AJ90" s="37">
        <v>4468320</v>
      </c>
      <c r="AK90" s="37">
        <v>1306632</v>
      </c>
      <c r="AL90" s="37">
        <v>3173304</v>
      </c>
      <c r="AM90" s="38"/>
      <c r="AN90" s="39">
        <v>71.286233999999993</v>
      </c>
      <c r="AO90" s="39">
        <v>75.979500999999999</v>
      </c>
      <c r="AP90" s="39">
        <v>28.3686516</v>
      </c>
      <c r="AQ90" s="39">
        <v>41.289508699999999</v>
      </c>
      <c r="AR90" s="39">
        <v>45.516131799999997</v>
      </c>
      <c r="AS90" s="40"/>
      <c r="AT90" s="41">
        <v>48.97</v>
      </c>
      <c r="AU90" s="41">
        <v>18.503</v>
      </c>
      <c r="AW90" s="42">
        <f t="shared" si="21"/>
        <v>3.1463179015788767E-3</v>
      </c>
      <c r="AX90" s="42"/>
      <c r="AZ90" s="43"/>
      <c r="BA90" s="43"/>
      <c r="BB90" s="43"/>
      <c r="BC90" s="43"/>
      <c r="BD90" s="43"/>
      <c r="BE90" s="44"/>
      <c r="BG90" s="43"/>
      <c r="BH90" s="43"/>
      <c r="BI90" s="43"/>
      <c r="BJ90" s="43"/>
      <c r="BK90" s="43"/>
      <c r="BL90" s="44"/>
    </row>
    <row r="91" spans="1:64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>
        <f t="shared" si="12"/>
        <v>1.0880263668556931</v>
      </c>
      <c r="K91" s="19">
        <f t="shared" si="13"/>
        <v>0.37286165600125898</v>
      </c>
      <c r="L91" s="19">
        <f t="shared" si="14"/>
        <v>0.71505365980806579</v>
      </c>
      <c r="M91" s="20"/>
      <c r="N91" s="19">
        <f t="shared" si="15"/>
        <v>1.0400336223218556</v>
      </c>
      <c r="O91" s="21">
        <v>14545099</v>
      </c>
      <c r="P91" s="22">
        <v>15127392</v>
      </c>
      <c r="Q91" s="22">
        <v>5184088</v>
      </c>
      <c r="R91" s="22">
        <v>9941760</v>
      </c>
      <c r="S91" s="23"/>
      <c r="T91" s="24">
        <v>73.348554699999994</v>
      </c>
      <c r="U91" s="24">
        <v>78.352076499999995</v>
      </c>
      <c r="V91" s="24">
        <v>30.693555400000001</v>
      </c>
      <c r="W91" s="24">
        <v>43.288253400000002</v>
      </c>
      <c r="X91" s="24">
        <v>47.095767700000003</v>
      </c>
      <c r="Y91" s="23"/>
      <c r="Z91" s="26">
        <v>97.081000000000003</v>
      </c>
      <c r="AA91" s="26">
        <v>31.079000000000001</v>
      </c>
      <c r="AC91" s="18" t="str">
        <f t="shared" si="16"/>
        <v>·</v>
      </c>
      <c r="AD91" s="19">
        <f t="shared" si="17"/>
        <v>1.0882018620325966</v>
      </c>
      <c r="AE91" s="19">
        <f t="shared" si="18"/>
        <v>0.38130498788939432</v>
      </c>
      <c r="AF91" s="19">
        <f t="shared" si="19"/>
        <v>0.71505365980806579</v>
      </c>
      <c r="AG91" s="20"/>
      <c r="AH91" s="19">
        <f t="shared" si="20"/>
        <v>1.040201376422395</v>
      </c>
      <c r="AI91" s="21">
        <v>14545099</v>
      </c>
      <c r="AJ91" s="22">
        <v>15129832</v>
      </c>
      <c r="AK91" s="22">
        <v>5301480</v>
      </c>
      <c r="AL91" s="22">
        <v>9941760</v>
      </c>
      <c r="AM91" s="23"/>
      <c r="AN91" s="24">
        <v>73.348554699999994</v>
      </c>
      <c r="AO91" s="24">
        <v>78.352076499999995</v>
      </c>
      <c r="AP91" s="24">
        <v>30.693555400000001</v>
      </c>
      <c r="AQ91" s="24">
        <v>43.288253400000002</v>
      </c>
      <c r="AR91" s="24">
        <v>47.095767700000003</v>
      </c>
      <c r="AS91" s="25"/>
      <c r="AT91" s="26">
        <v>94.441000000000003</v>
      </c>
      <c r="AU91" s="26">
        <v>29.126999999999999</v>
      </c>
      <c r="AW91" s="27">
        <f t="shared" si="21"/>
        <v>7.7037090146098719E-3</v>
      </c>
      <c r="AX91" s="27"/>
      <c r="AZ91" s="28"/>
      <c r="BA91" s="28"/>
      <c r="BB91" s="28"/>
      <c r="BC91" s="28"/>
      <c r="BD91" s="28"/>
      <c r="BE91" s="29"/>
      <c r="BG91" s="28"/>
      <c r="BH91" s="28"/>
      <c r="BI91" s="28"/>
      <c r="BJ91" s="28"/>
      <c r="BK91" s="28"/>
      <c r="BL91" s="29"/>
    </row>
    <row r="92" spans="1:64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9"/>
      <c r="X92" s="39"/>
      <c r="Y92" s="38"/>
      <c r="Z92" s="41"/>
      <c r="AA92" s="41"/>
      <c r="AC92" s="33" t="str">
        <f t="shared" si="16"/>
        <v>·</v>
      </c>
      <c r="AD92" s="34" t="str">
        <f t="shared" si="17"/>
        <v>·</v>
      </c>
      <c r="AE92" s="34" t="str">
        <f t="shared" si="18"/>
        <v>·</v>
      </c>
      <c r="AF92" s="34" t="str">
        <f t="shared" si="19"/>
        <v>·</v>
      </c>
      <c r="AG92" s="35"/>
      <c r="AH92" s="34" t="str">
        <f t="shared" si="20"/>
        <v>·</v>
      </c>
      <c r="AI92" s="36"/>
      <c r="AJ92" s="37"/>
      <c r="AK92" s="37"/>
      <c r="AL92" s="37"/>
      <c r="AM92" s="38"/>
      <c r="AN92" s="39"/>
      <c r="AO92" s="39"/>
      <c r="AP92" s="39"/>
      <c r="AQ92" s="39"/>
      <c r="AR92" s="39"/>
      <c r="AS92" s="40"/>
      <c r="AT92" s="41"/>
      <c r="AU92" s="41"/>
      <c r="AW92" s="42" t="e">
        <f t="shared" si="21"/>
        <v>#DIV/0!</v>
      </c>
      <c r="AX92" s="42"/>
      <c r="AZ92" s="43"/>
      <c r="BA92" s="43"/>
      <c r="BB92" s="43"/>
      <c r="BC92" s="43"/>
      <c r="BD92" s="43"/>
      <c r="BE92" s="44"/>
      <c r="BG92" s="43"/>
      <c r="BH92" s="43"/>
      <c r="BI92" s="43"/>
      <c r="BJ92" s="43"/>
      <c r="BK92" s="43"/>
      <c r="BL92" s="44"/>
    </row>
    <row r="93" spans="1:64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4"/>
      <c r="X93" s="24"/>
      <c r="Y93" s="23"/>
      <c r="Z93" s="26"/>
      <c r="AA93" s="26"/>
      <c r="AC93" s="18" t="str">
        <f t="shared" si="16"/>
        <v>·</v>
      </c>
      <c r="AD93" s="19" t="str">
        <f t="shared" si="17"/>
        <v>·</v>
      </c>
      <c r="AE93" s="19" t="str">
        <f t="shared" si="18"/>
        <v>·</v>
      </c>
      <c r="AF93" s="19" t="str">
        <f t="shared" si="19"/>
        <v>·</v>
      </c>
      <c r="AG93" s="20"/>
      <c r="AH93" s="19" t="str">
        <f t="shared" si="20"/>
        <v>·</v>
      </c>
      <c r="AI93" s="21"/>
      <c r="AJ93" s="22"/>
      <c r="AK93" s="22"/>
      <c r="AL93" s="22"/>
      <c r="AM93" s="23"/>
      <c r="AN93" s="24"/>
      <c r="AO93" s="24"/>
      <c r="AP93" s="24"/>
      <c r="AQ93" s="24"/>
      <c r="AR93" s="24"/>
      <c r="AS93" s="25"/>
      <c r="AT93" s="26"/>
      <c r="AU93" s="26"/>
      <c r="AW93" s="27" t="e">
        <f t="shared" si="21"/>
        <v>#DIV/0!</v>
      </c>
      <c r="AX93" s="27"/>
      <c r="AZ93" s="28"/>
      <c r="BA93" s="28"/>
      <c r="BB93" s="28"/>
      <c r="BC93" s="28"/>
      <c r="BD93" s="28"/>
      <c r="BE93" s="29"/>
      <c r="BG93" s="28"/>
      <c r="BH93" s="28"/>
      <c r="BI93" s="28"/>
      <c r="BJ93" s="28"/>
      <c r="BK93" s="28"/>
      <c r="BL93" s="29"/>
    </row>
    <row r="94" spans="1:64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4"/>
      <c r="X94" s="54"/>
      <c r="Y94" s="53"/>
      <c r="Z94" s="56"/>
      <c r="AA94" s="56"/>
      <c r="AC94" s="48" t="str">
        <f t="shared" si="16"/>
        <v>·</v>
      </c>
      <c r="AD94" s="49" t="str">
        <f t="shared" si="17"/>
        <v>·</v>
      </c>
      <c r="AE94" s="49" t="str">
        <f t="shared" si="18"/>
        <v>·</v>
      </c>
      <c r="AF94" s="49" t="str">
        <f t="shared" si="19"/>
        <v>·</v>
      </c>
      <c r="AG94" s="50"/>
      <c r="AH94" s="49" t="str">
        <f t="shared" si="20"/>
        <v>·</v>
      </c>
      <c r="AI94" s="51"/>
      <c r="AJ94" s="52"/>
      <c r="AK94" s="52"/>
      <c r="AL94" s="52"/>
      <c r="AM94" s="53"/>
      <c r="AN94" s="54"/>
      <c r="AO94" s="54"/>
      <c r="AP94" s="54"/>
      <c r="AQ94" s="54"/>
      <c r="AR94" s="54"/>
      <c r="AS94" s="55"/>
      <c r="AT94" s="56"/>
      <c r="AU94" s="56"/>
      <c r="AW94" s="57" t="e">
        <f t="shared" si="21"/>
        <v>#DIV/0!</v>
      </c>
      <c r="AX94" s="57"/>
      <c r="AZ94" s="58"/>
      <c r="BA94" s="58"/>
      <c r="BB94" s="58"/>
      <c r="BC94" s="58"/>
      <c r="BD94" s="58"/>
      <c r="BE94" s="59"/>
      <c r="BG94" s="58"/>
      <c r="BH94" s="58"/>
      <c r="BI94" s="58"/>
      <c r="BJ94" s="58"/>
      <c r="BK94" s="58"/>
      <c r="BL94" s="59"/>
    </row>
    <row r="95" spans="1:64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>
        <f t="shared" si="12"/>
        <v>5.476716139949616E-2</v>
      </c>
      <c r="K95" s="19">
        <f t="shared" si="13"/>
        <v>9.4110950359319774E-3</v>
      </c>
      <c r="L95" s="19">
        <f t="shared" si="14"/>
        <v>4.5194375039314297E-2</v>
      </c>
      <c r="M95" s="20"/>
      <c r="N95" s="19">
        <f t="shared" si="15"/>
        <v>9.0850495183642854E-2</v>
      </c>
      <c r="O95" s="21">
        <v>2922956</v>
      </c>
      <c r="P95" s="22">
        <v>265552</v>
      </c>
      <c r="Q95" s="22">
        <v>45632</v>
      </c>
      <c r="R95" s="22">
        <v>219136</v>
      </c>
      <c r="S95" s="23"/>
      <c r="T95" s="24">
        <v>61.520561899999997</v>
      </c>
      <c r="U95" s="24">
        <v>65.029272800000001</v>
      </c>
      <c r="V95" s="24">
        <v>26.048649699999999</v>
      </c>
      <c r="W95" s="24">
        <v>39.060267799999998</v>
      </c>
      <c r="X95" s="24">
        <v>41.064883700000003</v>
      </c>
      <c r="Y95" s="23"/>
      <c r="Z95" s="26">
        <v>6.23</v>
      </c>
      <c r="AA95" s="26">
        <v>3.6040000000000001</v>
      </c>
      <c r="AC95" s="18" t="str">
        <f t="shared" si="16"/>
        <v>·</v>
      </c>
      <c r="AD95" s="19">
        <f t="shared" si="17"/>
        <v>5.4796859805991034E-2</v>
      </c>
      <c r="AE95" s="19">
        <f t="shared" si="18"/>
        <v>9.3780968064932271E-3</v>
      </c>
      <c r="AF95" s="19">
        <f t="shared" si="19"/>
        <v>4.5194375039314297E-2</v>
      </c>
      <c r="AG95" s="20"/>
      <c r="AH95" s="19">
        <f t="shared" si="20"/>
        <v>9.0899760379560962E-2</v>
      </c>
      <c r="AI95" s="21">
        <v>2922956</v>
      </c>
      <c r="AJ95" s="22">
        <v>265696</v>
      </c>
      <c r="AK95" s="22">
        <v>45472</v>
      </c>
      <c r="AL95" s="22">
        <v>219136</v>
      </c>
      <c r="AM95" s="23"/>
      <c r="AN95" s="24">
        <v>61.520561899999997</v>
      </c>
      <c r="AO95" s="24">
        <v>65.029272800000001</v>
      </c>
      <c r="AP95" s="24">
        <v>26.048649699999999</v>
      </c>
      <c r="AQ95" s="24">
        <v>39.060267799999998</v>
      </c>
      <c r="AR95" s="24">
        <v>41.064883700000003</v>
      </c>
      <c r="AS95" s="25"/>
      <c r="AT95" s="26">
        <v>5.9630000000000001</v>
      </c>
      <c r="AU95" s="26">
        <v>3.3079999999999998</v>
      </c>
      <c r="AW95" s="27">
        <f t="shared" si="21"/>
        <v>-6.9532365146604547E-4</v>
      </c>
      <c r="AX95" s="27" t="e">
        <f t="array" ref="AX95">AVERAGE(AK95:AK100/AJ95:AJ100) - AVERAGE(Q95:Q100/P95:P100)</f>
        <v>#DIV/0!</v>
      </c>
      <c r="AZ95" s="28">
        <f>IF( OR(ISBLANK(Q95:Q100),ISBLANK(AK95:AK100), ISBLANK(T95:T100),ISBLANK(AN95:AN100)), "·", bdRateExtend( Q95:Q100,T95:T100, AK95:AK100,AN95:AN100))</f>
        <v>4.6846332220074061E-5</v>
      </c>
      <c r="BA95" s="28">
        <f>IF( OR(ISBLANK(Q95:Q100),ISBLANK(AK95:AK100), ISBLANK(U95:U100),ISBLANK(AO95:AO100)), "·", bdRateExtend( Q95:Q100,U95:U100, AK95:AK100,AO95:AO100))</f>
        <v>3.4382819016287591E-4</v>
      </c>
      <c r="BB95" s="28">
        <f>IF( OR(ISBLANK(R95:R100),ISBLANK(AL95:AL100), ISBLANK(V95:V100),ISBLANK(AP95:AP100)), "·", bdRateExtend( R95:R100,V95:V100, AL95:AL100,AP95:AP100))</f>
        <v>0</v>
      </c>
      <c r="BC95" s="28">
        <f>IF( OR(ISBLANK(R95:R100),ISBLANK(AL95:AL100), ISBLANK(W95:W100),ISBLANK(AQ95:AQ100)), "·", bdRateExtend( R95:R100,W95:W100, AL95:AL100,AQ95:AQ100))</f>
        <v>0</v>
      </c>
      <c r="BD95" s="28">
        <f>IF( OR(ISBLANK(R95:R100),ISBLANK(AL95:AL100), ISBLANK(X95:X100),ISBLANK(AR95:AR100)), "·", bdRateExtend( R95:R100,X95:X100, AL95:AL100,AR95:AR100))</f>
        <v>0</v>
      </c>
      <c r="BE95" s="29"/>
      <c r="BG95" s="28">
        <f>IF( OR(ISBLANK(P95:P100),ISBLANK(AJ95:AJ100), ISBLANK(T95:T100),ISBLANK(AN95:AN100)), "·", bdRateExtend( P95:P100,T95:T100, AJ95:AJ100,AN95:AN100))</f>
        <v>4.4088533651631678E-4</v>
      </c>
      <c r="BH95" s="28">
        <f>IF( OR(ISBLANK(P95:P100),ISBLANK(AJ95:AJ100), ISBLANK(U95:U100),ISBLANK(AO95:AO100)), "·", bdRateExtend( P95:P100,U95:U100, AJ95:AJ100,AO95:AO100))</f>
        <v>4.3597232542413877E-4</v>
      </c>
      <c r="BI95" s="28">
        <f>IF( OR(ISBLANK(P95:P100),ISBLANK(AJ95:AJ100), ISBLANK(V95:V100),ISBLANK(AP95:AP100)), "·", bdRateExtend( P95:P100,V95:V100, AJ95:AJ100,AP95:AP100))</f>
        <v>4.1530326208705226E-4</v>
      </c>
      <c r="BJ95" s="28">
        <f>IF( OR(ISBLANK(P95:P100),ISBLANK(AJ95:AJ100), ISBLANK(W95:W100),ISBLANK(AQ95:AQ100)), "·", bdRateExtend( P95:P100,W95:W100, AJ95:AJ100,AQ95:AQ100))</f>
        <v>4.0199523839756779E-4</v>
      </c>
      <c r="BK95" s="28">
        <f>IF( OR(ISBLANK(P95:P100),ISBLANK(AJ95:AJ100), ISBLANK(X95:X100),ISBLANK(AR95:AR100)), "·", bdRateExtend( P95:P100,X95:X100, AJ95:AJ100,AR95:AR100))</f>
        <v>3.9584084839794365E-4</v>
      </c>
      <c r="BL95" s="29"/>
    </row>
    <row r="96" spans="1:64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>
        <f t="shared" si="12"/>
        <v>0.18472573830960382</v>
      </c>
      <c r="K96" s="34">
        <f t="shared" si="13"/>
        <v>3.4168016672355424E-2</v>
      </c>
      <c r="L96" s="34">
        <f t="shared" si="14"/>
        <v>0.15039603031299853</v>
      </c>
      <c r="M96" s="35"/>
      <c r="N96" s="34">
        <f t="shared" si="15"/>
        <v>0.26427313881444603</v>
      </c>
      <c r="O96" s="36">
        <v>3389251</v>
      </c>
      <c r="P96" s="37">
        <v>895688</v>
      </c>
      <c r="Q96" s="37">
        <v>165672</v>
      </c>
      <c r="R96" s="37">
        <v>729232</v>
      </c>
      <c r="S96" s="38"/>
      <c r="T96" s="39">
        <v>66.8257124</v>
      </c>
      <c r="U96" s="39">
        <v>69.786220400000005</v>
      </c>
      <c r="V96" s="39">
        <v>28.3175922</v>
      </c>
      <c r="W96" s="39">
        <v>40.281699099999997</v>
      </c>
      <c r="X96" s="39">
        <v>41.864276799999999</v>
      </c>
      <c r="Y96" s="38"/>
      <c r="Z96" s="41">
        <v>8.3239999999999998</v>
      </c>
      <c r="AA96" s="41">
        <v>4.5419999999999998</v>
      </c>
      <c r="AC96" s="33" t="str">
        <f t="shared" si="16"/>
        <v>·</v>
      </c>
      <c r="AD96" s="34">
        <f t="shared" si="17"/>
        <v>0.18480163423731297</v>
      </c>
      <c r="AE96" s="34">
        <f t="shared" si="18"/>
        <v>3.4192765344434488E-2</v>
      </c>
      <c r="AF96" s="34">
        <f t="shared" si="19"/>
        <v>0.15039603031299853</v>
      </c>
      <c r="AG96" s="35"/>
      <c r="AH96" s="34">
        <f t="shared" si="20"/>
        <v>0.26438171737649407</v>
      </c>
      <c r="AI96" s="36">
        <v>3389251</v>
      </c>
      <c r="AJ96" s="37">
        <v>896056</v>
      </c>
      <c r="AK96" s="37">
        <v>165792</v>
      </c>
      <c r="AL96" s="37">
        <v>729232</v>
      </c>
      <c r="AM96" s="38"/>
      <c r="AN96" s="39">
        <v>66.8257124</v>
      </c>
      <c r="AO96" s="39">
        <v>69.786220400000005</v>
      </c>
      <c r="AP96" s="39">
        <v>28.3175922</v>
      </c>
      <c r="AQ96" s="39">
        <v>40.281699099999997</v>
      </c>
      <c r="AR96" s="39">
        <v>41.864276799999999</v>
      </c>
      <c r="AS96" s="40"/>
      <c r="AT96" s="41">
        <v>7.9969999999999999</v>
      </c>
      <c r="AU96" s="41">
        <v>4.45</v>
      </c>
      <c r="AW96" s="42">
        <f t="shared" si="21"/>
        <v>5.7956691055710552E-5</v>
      </c>
      <c r="AX96" s="42"/>
      <c r="AZ96" s="43"/>
      <c r="BA96" s="43"/>
      <c r="BB96" s="43"/>
      <c r="BC96" s="43"/>
      <c r="BD96" s="43"/>
      <c r="BE96" s="44"/>
      <c r="BG96" s="43"/>
      <c r="BH96" s="43"/>
      <c r="BI96" s="43"/>
      <c r="BJ96" s="43"/>
      <c r="BK96" s="43"/>
      <c r="BL96" s="44"/>
    </row>
    <row r="97" spans="1:64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>
        <f t="shared" si="12"/>
        <v>0.6051248312707721</v>
      </c>
      <c r="K97" s="19">
        <f t="shared" si="13"/>
        <v>0.15639840824790746</v>
      </c>
      <c r="L97" s="19">
        <f t="shared" si="14"/>
        <v>0.44856473169861477</v>
      </c>
      <c r="M97" s="20"/>
      <c r="N97" s="19">
        <f t="shared" si="15"/>
        <v>0.77885367320751386</v>
      </c>
      <c r="O97" s="21">
        <v>3767198</v>
      </c>
      <c r="P97" s="22">
        <v>2934096</v>
      </c>
      <c r="Q97" s="22">
        <v>758336</v>
      </c>
      <c r="R97" s="22">
        <v>2174976</v>
      </c>
      <c r="S97" s="23"/>
      <c r="T97" s="24">
        <v>69.440650500000004</v>
      </c>
      <c r="U97" s="24">
        <v>72.322246100000001</v>
      </c>
      <c r="V97" s="24">
        <v>30.0337435</v>
      </c>
      <c r="W97" s="24">
        <v>41.453780299999998</v>
      </c>
      <c r="X97" s="24">
        <v>42.722261699999997</v>
      </c>
      <c r="Y97" s="23"/>
      <c r="Z97" s="26">
        <v>14.135999999999999</v>
      </c>
      <c r="AA97" s="26">
        <v>6.1980000000000004</v>
      </c>
      <c r="AC97" s="18" t="str">
        <f t="shared" si="16"/>
        <v>·</v>
      </c>
      <c r="AD97" s="19">
        <f t="shared" si="17"/>
        <v>0.60525352436558322</v>
      </c>
      <c r="AE97" s="19">
        <f t="shared" si="18"/>
        <v>0.15880727899693631</v>
      </c>
      <c r="AF97" s="19">
        <f t="shared" si="19"/>
        <v>0.44856473169861477</v>
      </c>
      <c r="AG97" s="20"/>
      <c r="AH97" s="19">
        <f t="shared" si="20"/>
        <v>0.77901931355877763</v>
      </c>
      <c r="AI97" s="21">
        <v>3767198</v>
      </c>
      <c r="AJ97" s="22">
        <v>2934720</v>
      </c>
      <c r="AK97" s="22">
        <v>770016</v>
      </c>
      <c r="AL97" s="22">
        <v>2174976</v>
      </c>
      <c r="AM97" s="23"/>
      <c r="AN97" s="24">
        <v>69.440650500000004</v>
      </c>
      <c r="AO97" s="24">
        <v>72.322246100000001</v>
      </c>
      <c r="AP97" s="24">
        <v>30.0337435</v>
      </c>
      <c r="AQ97" s="24">
        <v>41.453780299999998</v>
      </c>
      <c r="AR97" s="24">
        <v>42.722261699999997</v>
      </c>
      <c r="AS97" s="25"/>
      <c r="AT97" s="26">
        <v>13.244999999999999</v>
      </c>
      <c r="AU97" s="26">
        <v>6.1680000000000001</v>
      </c>
      <c r="AW97" s="27">
        <f t="shared" si="21"/>
        <v>3.924982002671995E-3</v>
      </c>
      <c r="AX97" s="27"/>
      <c r="AZ97" s="28"/>
      <c r="BA97" s="28"/>
      <c r="BB97" s="28"/>
      <c r="BC97" s="28"/>
      <c r="BD97" s="28"/>
      <c r="BE97" s="29"/>
      <c r="BG97" s="28"/>
      <c r="BH97" s="28"/>
      <c r="BI97" s="28"/>
      <c r="BJ97" s="28"/>
      <c r="BK97" s="28"/>
      <c r="BL97" s="29"/>
    </row>
    <row r="98" spans="1:64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9"/>
      <c r="X98" s="39"/>
      <c r="Y98" s="38"/>
      <c r="Z98" s="41"/>
      <c r="AA98" s="41"/>
      <c r="AC98" s="33" t="str">
        <f t="shared" si="16"/>
        <v>·</v>
      </c>
      <c r="AD98" s="34" t="str">
        <f t="shared" si="17"/>
        <v>·</v>
      </c>
      <c r="AE98" s="34" t="str">
        <f t="shared" si="18"/>
        <v>·</v>
      </c>
      <c r="AF98" s="34" t="str">
        <f t="shared" si="19"/>
        <v>·</v>
      </c>
      <c r="AG98" s="35"/>
      <c r="AH98" s="34" t="str">
        <f t="shared" si="20"/>
        <v>·</v>
      </c>
      <c r="AI98" s="36"/>
      <c r="AJ98" s="37"/>
      <c r="AK98" s="37"/>
      <c r="AL98" s="37"/>
      <c r="AM98" s="38"/>
      <c r="AN98" s="39"/>
      <c r="AO98" s="39"/>
      <c r="AP98" s="39"/>
      <c r="AQ98" s="39"/>
      <c r="AR98" s="39"/>
      <c r="AS98" s="40"/>
      <c r="AT98" s="41"/>
      <c r="AU98" s="41"/>
      <c r="AW98" s="42" t="e">
        <f t="shared" si="21"/>
        <v>#DIV/0!</v>
      </c>
      <c r="AX98" s="42"/>
      <c r="AZ98" s="43"/>
      <c r="BA98" s="43"/>
      <c r="BB98" s="43"/>
      <c r="BC98" s="43"/>
      <c r="BD98" s="43"/>
      <c r="BE98" s="44"/>
      <c r="BG98" s="43"/>
      <c r="BH98" s="43"/>
      <c r="BI98" s="43"/>
      <c r="BJ98" s="43"/>
      <c r="BK98" s="43"/>
      <c r="BL98" s="44"/>
    </row>
    <row r="99" spans="1:64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4"/>
      <c r="X99" s="24"/>
      <c r="Y99" s="23"/>
      <c r="Z99" s="26"/>
      <c r="AA99" s="26"/>
      <c r="AC99" s="18" t="str">
        <f t="shared" si="16"/>
        <v>·</v>
      </c>
      <c r="AD99" s="19" t="str">
        <f t="shared" si="17"/>
        <v>·</v>
      </c>
      <c r="AE99" s="19" t="str">
        <f t="shared" si="18"/>
        <v>·</v>
      </c>
      <c r="AF99" s="19" t="str">
        <f t="shared" si="19"/>
        <v>·</v>
      </c>
      <c r="AG99" s="20"/>
      <c r="AH99" s="19" t="str">
        <f t="shared" si="20"/>
        <v>·</v>
      </c>
      <c r="AI99" s="21"/>
      <c r="AJ99" s="22"/>
      <c r="AK99" s="22"/>
      <c r="AL99" s="22"/>
      <c r="AM99" s="23"/>
      <c r="AN99" s="24"/>
      <c r="AO99" s="24"/>
      <c r="AP99" s="24"/>
      <c r="AQ99" s="24"/>
      <c r="AR99" s="24"/>
      <c r="AS99" s="25"/>
      <c r="AT99" s="26"/>
      <c r="AU99" s="26"/>
      <c r="AW99" s="27" t="e">
        <f t="shared" si="21"/>
        <v>#DIV/0!</v>
      </c>
      <c r="AX99" s="27"/>
      <c r="AZ99" s="28"/>
      <c r="BA99" s="28"/>
      <c r="BB99" s="28"/>
      <c r="BC99" s="28"/>
      <c r="BD99" s="28"/>
      <c r="BE99" s="29"/>
      <c r="BG99" s="28"/>
      <c r="BH99" s="28"/>
      <c r="BI99" s="28"/>
      <c r="BJ99" s="28"/>
      <c r="BK99" s="28"/>
      <c r="BL99" s="29"/>
    </row>
    <row r="100" spans="1:64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4"/>
      <c r="X100" s="54"/>
      <c r="Y100" s="53"/>
      <c r="Z100" s="56"/>
      <c r="AA100" s="56"/>
      <c r="AC100" s="48" t="str">
        <f t="shared" si="16"/>
        <v>·</v>
      </c>
      <c r="AD100" s="49" t="str">
        <f t="shared" si="17"/>
        <v>·</v>
      </c>
      <c r="AE100" s="49" t="str">
        <f t="shared" si="18"/>
        <v>·</v>
      </c>
      <c r="AF100" s="49" t="str">
        <f t="shared" si="19"/>
        <v>·</v>
      </c>
      <c r="AG100" s="50"/>
      <c r="AH100" s="49" t="str">
        <f t="shared" si="20"/>
        <v>·</v>
      </c>
      <c r="AI100" s="51"/>
      <c r="AJ100" s="52"/>
      <c r="AK100" s="52"/>
      <c r="AL100" s="52"/>
      <c r="AM100" s="53"/>
      <c r="AN100" s="54"/>
      <c r="AO100" s="54"/>
      <c r="AP100" s="54"/>
      <c r="AQ100" s="54"/>
      <c r="AR100" s="54"/>
      <c r="AS100" s="55"/>
      <c r="AT100" s="56"/>
      <c r="AU100" s="56"/>
      <c r="AW100" s="57" t="e">
        <f t="shared" si="21"/>
        <v>#DIV/0!</v>
      </c>
      <c r="AX100" s="57"/>
      <c r="AZ100" s="58"/>
      <c r="BA100" s="58"/>
      <c r="BB100" s="58"/>
      <c r="BC100" s="58"/>
      <c r="BD100" s="58"/>
      <c r="BE100" s="59"/>
      <c r="BG100" s="58"/>
      <c r="BH100" s="58"/>
      <c r="BI100" s="58"/>
      <c r="BJ100" s="58"/>
      <c r="BK100" s="58"/>
      <c r="BL100" s="59"/>
    </row>
    <row r="101" spans="1:64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>
        <f t="shared" si="12"/>
        <v>2.1095986225847761E-2</v>
      </c>
      <c r="K101" s="19">
        <f t="shared" si="13"/>
        <v>1.1130246202213502E-3</v>
      </c>
      <c r="L101" s="19">
        <f t="shared" si="14"/>
        <v>1.9952606388711283E-2</v>
      </c>
      <c r="M101" s="20"/>
      <c r="N101" s="19">
        <f t="shared" si="15"/>
        <v>0.11981235647218295</v>
      </c>
      <c r="O101" s="21">
        <v>12668276</v>
      </c>
      <c r="P101" s="22">
        <v>1517816</v>
      </c>
      <c r="Q101" s="22">
        <v>80080</v>
      </c>
      <c r="R101" s="22">
        <v>1435552</v>
      </c>
      <c r="S101" s="23"/>
      <c r="T101" s="24">
        <v>67.580679799999999</v>
      </c>
      <c r="U101" s="24">
        <v>73.013187099999996</v>
      </c>
      <c r="V101" s="24">
        <v>23.5097743</v>
      </c>
      <c r="W101" s="24">
        <v>37.414649799999999</v>
      </c>
      <c r="X101" s="24">
        <v>38.348139799999998</v>
      </c>
      <c r="Y101" s="23"/>
      <c r="Z101" s="26">
        <v>16.701000000000001</v>
      </c>
      <c r="AA101" s="26">
        <v>12.853</v>
      </c>
      <c r="AC101" s="18" t="str">
        <f t="shared" si="16"/>
        <v>·</v>
      </c>
      <c r="AD101" s="19">
        <f t="shared" si="17"/>
        <v>2.1105215101320126E-2</v>
      </c>
      <c r="AE101" s="19">
        <f t="shared" si="18"/>
        <v>1.0904527922588193E-3</v>
      </c>
      <c r="AF101" s="19">
        <f t="shared" si="19"/>
        <v>1.9952606388711283E-2</v>
      </c>
      <c r="AG101" s="20"/>
      <c r="AH101" s="19">
        <f t="shared" si="20"/>
        <v>0.11986477086542793</v>
      </c>
      <c r="AI101" s="21">
        <v>12668276</v>
      </c>
      <c r="AJ101" s="22">
        <v>1518480</v>
      </c>
      <c r="AK101" s="22">
        <v>78456</v>
      </c>
      <c r="AL101" s="22">
        <v>1435552</v>
      </c>
      <c r="AM101" s="23"/>
      <c r="AN101" s="24">
        <v>67.580679799999999</v>
      </c>
      <c r="AO101" s="24">
        <v>73.013187099999996</v>
      </c>
      <c r="AP101" s="24">
        <v>23.5097743</v>
      </c>
      <c r="AQ101" s="24">
        <v>37.414649799999999</v>
      </c>
      <c r="AR101" s="24">
        <v>38.348139799999998</v>
      </c>
      <c r="AS101" s="25"/>
      <c r="AT101" s="26">
        <v>16.152000000000001</v>
      </c>
      <c r="AU101" s="26">
        <v>12.384</v>
      </c>
      <c r="AW101" s="27">
        <f t="shared" si="21"/>
        <v>-1.0925614115294066E-3</v>
      </c>
      <c r="AX101" s="27" t="e">
        <f t="array" ref="AX101">AVERAGE(AK101:AK106/AJ101:AJ106) - AVERAGE(Q101:Q106/P101:P106)</f>
        <v>#DIV/0!</v>
      </c>
      <c r="AZ101" s="28">
        <f>IF( OR(ISBLANK(Q101:Q106),ISBLANK(AK101:AK106), ISBLANK(T101:T106),ISBLANK(AN101:AN106)), "·", bdRateExtend( Q101:Q106,T101:T106, AK101:AK106,AN101:AN106))</f>
        <v>-1.9032961191915665E-2</v>
      </c>
      <c r="BA101" s="28">
        <f>IF( OR(ISBLANK(Q101:Q106),ISBLANK(AK101:AK106), ISBLANK(U101:U106),ISBLANK(AO101:AO106)), "·", bdRateExtend( Q101:Q106,U101:U106, AK101:AK106,AO101:AO106))</f>
        <v>-1.8616391157598389E-2</v>
      </c>
      <c r="BB101" s="28">
        <f>IF( OR(ISBLANK(R101:R106),ISBLANK(AL101:AL106), ISBLANK(V101:V106),ISBLANK(AP101:AP106)), "·", bdRateExtend( R101:R106,V101:V106, AL101:AL106,AP101:AP106))</f>
        <v>0</v>
      </c>
      <c r="BC101" s="28">
        <f>IF( OR(ISBLANK(R101:R106),ISBLANK(AL101:AL106), ISBLANK(W101:W106),ISBLANK(AQ101:AQ106)), "·", bdRateExtend( R101:R106,W101:W106, AL101:AL106,AQ101:AQ106))</f>
        <v>0</v>
      </c>
      <c r="BD101" s="28">
        <f>IF( OR(ISBLANK(R101:R106),ISBLANK(AL101:AL106), ISBLANK(X101:X106),ISBLANK(AR101:AR106)), "·", bdRateExtend( R101:R106,X101:X106, AL101:AL106,AR101:AR106))</f>
        <v>0</v>
      </c>
      <c r="BE101" s="29"/>
      <c r="BG101" s="28">
        <f>IF( OR(ISBLANK(P101:P106),ISBLANK(AJ101:AJ106), ISBLANK(T101:T106),ISBLANK(AN101:AN106)), "·", bdRateExtend( P101:P106,T101:T106, AJ101:AJ106,AN101:AN106))</f>
        <v>2.552139420437527E-4</v>
      </c>
      <c r="BH101" s="28">
        <f>IF( OR(ISBLANK(P101:P106),ISBLANK(AJ101:AJ106), ISBLANK(U101:U106),ISBLANK(AO101:AO106)), "·", bdRateExtend( P101:P106,U101:U106, AJ101:AJ106,AO101:AO106))</f>
        <v>2.6521057893069688E-4</v>
      </c>
      <c r="BI101" s="28">
        <f>IF( OR(ISBLANK(P101:P106),ISBLANK(AJ101:AJ106), ISBLANK(V101:V106),ISBLANK(AP101:AP106)), "·", bdRateExtend( P101:P106,V101:V106, AJ101:AJ106,AP101:AP106))</f>
        <v>2.5084700993693865E-4</v>
      </c>
      <c r="BJ101" s="28">
        <f>IF( OR(ISBLANK(P101:P106),ISBLANK(AJ101:AJ106), ISBLANK(W101:W106),ISBLANK(AQ101:AQ106)), "·", bdRateExtend( P101:P106,W101:W106, AJ101:AJ106,AQ101:AQ106))</f>
        <v>2.1540353204385632E-4</v>
      </c>
      <c r="BK101" s="28">
        <f>IF( OR(ISBLANK(P101:P106),ISBLANK(AJ101:AJ106), ISBLANK(X101:X106),ISBLANK(AR101:AR106)), "·", bdRateExtend( P101:P106,X101:X106, AJ101:AJ106,AR101:AR106))</f>
        <v>2.1930183644780499E-4</v>
      </c>
      <c r="BL101" s="29"/>
    </row>
    <row r="102" spans="1:64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>
        <f t="shared" si="12"/>
        <v>7.5033537372094949E-2</v>
      </c>
      <c r="K102" s="34">
        <f t="shared" si="13"/>
        <v>3.4755055498759983E-3</v>
      </c>
      <c r="L102" s="34">
        <f t="shared" si="14"/>
        <v>7.1527676605303819E-2</v>
      </c>
      <c r="M102" s="35"/>
      <c r="N102" s="34">
        <f t="shared" si="15"/>
        <v>0.42043664190862029</v>
      </c>
      <c r="O102" s="36">
        <v>12840270</v>
      </c>
      <c r="P102" s="37">
        <v>5398520</v>
      </c>
      <c r="Q102" s="37">
        <v>250056</v>
      </c>
      <c r="R102" s="37">
        <v>5146280</v>
      </c>
      <c r="S102" s="38"/>
      <c r="T102" s="39">
        <v>73.007039700000007</v>
      </c>
      <c r="U102" s="39">
        <v>77.687377100000006</v>
      </c>
      <c r="V102" s="39">
        <v>25.125512100000002</v>
      </c>
      <c r="W102" s="39">
        <v>38.613780400000003</v>
      </c>
      <c r="X102" s="39">
        <v>39.767044900000002</v>
      </c>
      <c r="Y102" s="38"/>
      <c r="Z102" s="41">
        <v>18.497</v>
      </c>
      <c r="AA102" s="41">
        <v>14.356999999999999</v>
      </c>
      <c r="AC102" s="33" t="str">
        <f t="shared" si="16"/>
        <v>·</v>
      </c>
      <c r="AD102" s="34">
        <f t="shared" si="17"/>
        <v>7.5054886096079215E-2</v>
      </c>
      <c r="AE102" s="34">
        <f t="shared" si="18"/>
        <v>3.3639807053123605E-3</v>
      </c>
      <c r="AF102" s="34">
        <f t="shared" si="19"/>
        <v>7.1527676605303819E-2</v>
      </c>
      <c r="AG102" s="35"/>
      <c r="AH102" s="34">
        <f t="shared" si="20"/>
        <v>0.42055626556139397</v>
      </c>
      <c r="AI102" s="36">
        <v>12840270</v>
      </c>
      <c r="AJ102" s="37">
        <v>5400056</v>
      </c>
      <c r="AK102" s="37">
        <v>242032</v>
      </c>
      <c r="AL102" s="37">
        <v>5146280</v>
      </c>
      <c r="AM102" s="38"/>
      <c r="AN102" s="39">
        <v>73.007039700000007</v>
      </c>
      <c r="AO102" s="39">
        <v>77.687377100000006</v>
      </c>
      <c r="AP102" s="39">
        <v>25.125512100000002</v>
      </c>
      <c r="AQ102" s="39">
        <v>38.613780400000003</v>
      </c>
      <c r="AR102" s="39">
        <v>39.767044900000002</v>
      </c>
      <c r="AS102" s="40"/>
      <c r="AT102" s="41">
        <v>17.95</v>
      </c>
      <c r="AU102" s="41">
        <v>14.135999999999999</v>
      </c>
      <c r="AW102" s="42">
        <f t="shared" si="21"/>
        <v>-1.4990856649304968E-3</v>
      </c>
      <c r="AX102" s="42"/>
      <c r="AZ102" s="43"/>
      <c r="BA102" s="43"/>
      <c r="BB102" s="43"/>
      <c r="BC102" s="43"/>
      <c r="BD102" s="43"/>
      <c r="BE102" s="44"/>
      <c r="BG102" s="43"/>
      <c r="BH102" s="43"/>
      <c r="BI102" s="43"/>
      <c r="BJ102" s="43"/>
      <c r="BK102" s="43"/>
      <c r="BL102" s="44"/>
    </row>
    <row r="103" spans="1:64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>
        <f t="shared" si="12"/>
        <v>0.23525026250174189</v>
      </c>
      <c r="K103" s="19">
        <f t="shared" si="13"/>
        <v>1.5211188221330784E-2</v>
      </c>
      <c r="L103" s="19">
        <f t="shared" si="14"/>
        <v>0.22000871906349598</v>
      </c>
      <c r="M103" s="20"/>
      <c r="N103" s="19">
        <f t="shared" si="15"/>
        <v>1.1811537475434222</v>
      </c>
      <c r="O103" s="21">
        <v>14329894</v>
      </c>
      <c r="P103" s="22">
        <v>16925808</v>
      </c>
      <c r="Q103" s="22">
        <v>1094416</v>
      </c>
      <c r="R103" s="22">
        <v>15829208</v>
      </c>
      <c r="S103" s="23"/>
      <c r="T103" s="24">
        <v>78.432446799999994</v>
      </c>
      <c r="U103" s="24">
        <v>80.752092300000001</v>
      </c>
      <c r="V103" s="24">
        <v>26.532442499999998</v>
      </c>
      <c r="W103" s="24">
        <v>40.101162100000003</v>
      </c>
      <c r="X103" s="24">
        <v>41.467589099999998</v>
      </c>
      <c r="Y103" s="23"/>
      <c r="Z103" s="26">
        <v>25.356000000000002</v>
      </c>
      <c r="AA103" s="26">
        <v>20.308</v>
      </c>
      <c r="AC103" s="18" t="str">
        <f t="shared" si="16"/>
        <v>·</v>
      </c>
      <c r="AD103" s="19">
        <f t="shared" si="17"/>
        <v>0.23528573251711157</v>
      </c>
      <c r="AE103" s="19">
        <f t="shared" si="18"/>
        <v>1.50759796360971E-2</v>
      </c>
      <c r="AF103" s="19">
        <f t="shared" si="19"/>
        <v>0.22000871906349598</v>
      </c>
      <c r="AG103" s="20"/>
      <c r="AH103" s="19">
        <f t="shared" si="20"/>
        <v>1.1813318367881855</v>
      </c>
      <c r="AI103" s="21">
        <v>14329894</v>
      </c>
      <c r="AJ103" s="22">
        <v>16928360</v>
      </c>
      <c r="AK103" s="22">
        <v>1084688</v>
      </c>
      <c r="AL103" s="22">
        <v>15829208</v>
      </c>
      <c r="AM103" s="23"/>
      <c r="AN103" s="24">
        <v>78.432446799999994</v>
      </c>
      <c r="AO103" s="24">
        <v>80.752092300000001</v>
      </c>
      <c r="AP103" s="24">
        <v>26.532442499999998</v>
      </c>
      <c r="AQ103" s="24">
        <v>40.101162100000003</v>
      </c>
      <c r="AR103" s="24">
        <v>41.467589099999998</v>
      </c>
      <c r="AS103" s="25"/>
      <c r="AT103" s="26">
        <v>24.571999999999999</v>
      </c>
      <c r="AU103" s="26">
        <v>19.699000000000002</v>
      </c>
      <c r="AW103" s="27">
        <f t="shared" si="21"/>
        <v>-5.844045910516904E-4</v>
      </c>
      <c r="AX103" s="27"/>
      <c r="AZ103" s="28"/>
      <c r="BA103" s="28"/>
      <c r="BB103" s="28"/>
      <c r="BC103" s="28"/>
      <c r="BD103" s="28"/>
      <c r="BE103" s="29"/>
      <c r="BG103" s="28"/>
      <c r="BH103" s="28"/>
      <c r="BI103" s="28"/>
      <c r="BJ103" s="28"/>
      <c r="BK103" s="28"/>
      <c r="BL103" s="29"/>
    </row>
    <row r="104" spans="1:64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>
        <f t="shared" si="12"/>
        <v>0.54264864889958031</v>
      </c>
      <c r="K104" s="34">
        <f t="shared" si="13"/>
        <v>6.0103663065765159E-2</v>
      </c>
      <c r="L104" s="34">
        <f t="shared" si="14"/>
        <v>0.48251685444231501</v>
      </c>
      <c r="M104" s="35"/>
      <c r="N104" s="34">
        <f t="shared" si="15"/>
        <v>2.5704001959802842</v>
      </c>
      <c r="O104" s="36">
        <v>15189283</v>
      </c>
      <c r="P104" s="37">
        <v>39042536</v>
      </c>
      <c r="Q104" s="37">
        <v>4324344</v>
      </c>
      <c r="R104" s="37">
        <v>34716168</v>
      </c>
      <c r="S104" s="38"/>
      <c r="T104" s="39">
        <v>81.001439000000005</v>
      </c>
      <c r="U104" s="39">
        <v>82.862738699999994</v>
      </c>
      <c r="V104" s="39">
        <v>27.467974699999999</v>
      </c>
      <c r="W104" s="39">
        <v>41.642563699999997</v>
      </c>
      <c r="X104" s="39">
        <v>43.1392034</v>
      </c>
      <c r="Y104" s="38"/>
      <c r="Z104" s="41">
        <v>42.637999999999998</v>
      </c>
      <c r="AA104" s="41">
        <v>34.793999999999997</v>
      </c>
      <c r="AC104" s="33" t="str">
        <f t="shared" si="16"/>
        <v>·</v>
      </c>
      <c r="AD104" s="34">
        <f t="shared" si="17"/>
        <v>0.54268890013959226</v>
      </c>
      <c r="AE104" s="34">
        <f t="shared" si="18"/>
        <v>6.2751238413626356E-2</v>
      </c>
      <c r="AF104" s="34">
        <f t="shared" si="19"/>
        <v>0.48251685444231501</v>
      </c>
      <c r="AG104" s="35"/>
      <c r="AH104" s="34">
        <f t="shared" si="20"/>
        <v>2.5705908567244418</v>
      </c>
      <c r="AI104" s="36">
        <v>15189283</v>
      </c>
      <c r="AJ104" s="37">
        <v>39045432</v>
      </c>
      <c r="AK104" s="37">
        <v>4514832</v>
      </c>
      <c r="AL104" s="37">
        <v>34716168</v>
      </c>
      <c r="AM104" s="38"/>
      <c r="AN104" s="39">
        <v>81.001439000000005</v>
      </c>
      <c r="AO104" s="39">
        <v>82.862738699999994</v>
      </c>
      <c r="AP104" s="39">
        <v>27.467974699999999</v>
      </c>
      <c r="AQ104" s="39">
        <v>41.642563699999997</v>
      </c>
      <c r="AR104" s="39">
        <v>43.1392034</v>
      </c>
      <c r="AS104" s="40"/>
      <c r="AT104" s="41">
        <v>40.625</v>
      </c>
      <c r="AU104" s="41">
        <v>33.341999999999999</v>
      </c>
      <c r="AW104" s="42">
        <f t="shared" si="21"/>
        <v>4.8704094138475318E-3</v>
      </c>
      <c r="AX104" s="42"/>
      <c r="AZ104" s="43"/>
      <c r="BA104" s="43"/>
      <c r="BB104" s="43"/>
      <c r="BC104" s="43"/>
      <c r="BD104" s="43"/>
      <c r="BE104" s="44"/>
      <c r="BG104" s="43"/>
      <c r="BH104" s="43"/>
      <c r="BI104" s="43"/>
      <c r="BJ104" s="43"/>
      <c r="BK104" s="43"/>
      <c r="BL104" s="44"/>
    </row>
    <row r="105" spans="1:64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4"/>
      <c r="X105" s="24"/>
      <c r="Y105" s="23"/>
      <c r="Z105" s="26"/>
      <c r="AA105" s="26"/>
      <c r="AC105" s="18" t="str">
        <f t="shared" si="16"/>
        <v>·</v>
      </c>
      <c r="AD105" s="19" t="str">
        <f t="shared" si="17"/>
        <v>·</v>
      </c>
      <c r="AE105" s="19" t="str">
        <f t="shared" si="18"/>
        <v>·</v>
      </c>
      <c r="AF105" s="19" t="str">
        <f t="shared" si="19"/>
        <v>·</v>
      </c>
      <c r="AG105" s="20"/>
      <c r="AH105" s="19" t="str">
        <f t="shared" si="20"/>
        <v>·</v>
      </c>
      <c r="AI105" s="21"/>
      <c r="AJ105" s="22"/>
      <c r="AK105" s="22"/>
      <c r="AL105" s="22"/>
      <c r="AM105" s="23"/>
      <c r="AN105" s="24"/>
      <c r="AO105" s="24"/>
      <c r="AP105" s="24"/>
      <c r="AQ105" s="24"/>
      <c r="AR105" s="24"/>
      <c r="AS105" s="25"/>
      <c r="AT105" s="26"/>
      <c r="AU105" s="26"/>
      <c r="AW105" s="27" t="e">
        <f t="shared" si="21"/>
        <v>#DIV/0!</v>
      </c>
      <c r="AX105" s="27"/>
      <c r="AZ105" s="28"/>
      <c r="BA105" s="28"/>
      <c r="BB105" s="28"/>
      <c r="BC105" s="28"/>
      <c r="BD105" s="28"/>
      <c r="BE105" s="29"/>
      <c r="BG105" s="28"/>
      <c r="BH105" s="28"/>
      <c r="BI105" s="28"/>
      <c r="BJ105" s="28"/>
      <c r="BK105" s="28"/>
      <c r="BL105" s="29"/>
    </row>
    <row r="106" spans="1:64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4"/>
      <c r="X106" s="54"/>
      <c r="Y106" s="53"/>
      <c r="Z106" s="56"/>
      <c r="AA106" s="56"/>
      <c r="AC106" s="48" t="str">
        <f t="shared" si="16"/>
        <v>·</v>
      </c>
      <c r="AD106" s="49" t="str">
        <f t="shared" si="17"/>
        <v>·</v>
      </c>
      <c r="AE106" s="49" t="str">
        <f t="shared" si="18"/>
        <v>·</v>
      </c>
      <c r="AF106" s="49" t="str">
        <f t="shared" si="19"/>
        <v>·</v>
      </c>
      <c r="AG106" s="50"/>
      <c r="AH106" s="49" t="str">
        <f t="shared" si="20"/>
        <v>·</v>
      </c>
      <c r="AI106" s="51"/>
      <c r="AJ106" s="52"/>
      <c r="AK106" s="52"/>
      <c r="AL106" s="52"/>
      <c r="AM106" s="53"/>
      <c r="AN106" s="54"/>
      <c r="AO106" s="54"/>
      <c r="AP106" s="54"/>
      <c r="AQ106" s="54"/>
      <c r="AR106" s="54"/>
      <c r="AS106" s="55"/>
      <c r="AT106" s="56"/>
      <c r="AU106" s="56"/>
      <c r="AW106" s="57" t="e">
        <f t="shared" si="21"/>
        <v>#DIV/0!</v>
      </c>
      <c r="AX106" s="57"/>
      <c r="AZ106" s="58"/>
      <c r="BA106" s="58"/>
      <c r="BB106" s="58"/>
      <c r="BC106" s="58"/>
      <c r="BD106" s="58"/>
      <c r="BE106" s="59"/>
      <c r="BG106" s="58"/>
      <c r="BH106" s="58"/>
      <c r="BI106" s="58"/>
      <c r="BJ106" s="58"/>
      <c r="BK106" s="58"/>
      <c r="BL106" s="59"/>
    </row>
    <row r="107" spans="1:64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>
        <f t="shared" si="12"/>
        <v>0.11823823479824115</v>
      </c>
      <c r="K107" s="19">
        <f t="shared" si="13"/>
        <v>8.7360898569242423E-3</v>
      </c>
      <c r="L107" s="19">
        <f t="shared" si="14"/>
        <v>0.10928768310809457</v>
      </c>
      <c r="M107" s="20"/>
      <c r="N107" s="19">
        <f t="shared" si="15"/>
        <v>0.13288423919889039</v>
      </c>
      <c r="O107" s="21">
        <v>2754879</v>
      </c>
      <c r="P107" s="22">
        <v>366080</v>
      </c>
      <c r="Q107" s="22">
        <v>27048</v>
      </c>
      <c r="R107" s="22">
        <v>338368</v>
      </c>
      <c r="S107" s="23"/>
      <c r="T107" s="24">
        <v>61.951214399999998</v>
      </c>
      <c r="U107" s="24">
        <v>62.310441500000003</v>
      </c>
      <c r="V107" s="24">
        <v>28.241082299999999</v>
      </c>
      <c r="W107" s="24">
        <v>35.032060899999998</v>
      </c>
      <c r="X107" s="24">
        <v>34.303719899999997</v>
      </c>
      <c r="Y107" s="23"/>
      <c r="Z107" s="26">
        <v>4.4039999999999999</v>
      </c>
      <c r="AA107" s="26">
        <v>3.3090000000000002</v>
      </c>
      <c r="AC107" s="18" t="str">
        <f t="shared" si="16"/>
        <v>·</v>
      </c>
      <c r="AD107" s="19">
        <f t="shared" si="17"/>
        <v>0.11823306704322376</v>
      </c>
      <c r="AE107" s="19">
        <f t="shared" si="18"/>
        <v>8.7490092444677571E-3</v>
      </c>
      <c r="AF107" s="19">
        <f t="shared" si="19"/>
        <v>0.10928768310809457</v>
      </c>
      <c r="AG107" s="20"/>
      <c r="AH107" s="19">
        <f t="shared" si="20"/>
        <v>0.13287843132130303</v>
      </c>
      <c r="AI107" s="21">
        <v>2754879</v>
      </c>
      <c r="AJ107" s="22">
        <v>366064</v>
      </c>
      <c r="AK107" s="22">
        <v>27088</v>
      </c>
      <c r="AL107" s="22">
        <v>338368</v>
      </c>
      <c r="AM107" s="23"/>
      <c r="AN107" s="24">
        <v>61.951214399999998</v>
      </c>
      <c r="AO107" s="24">
        <v>62.310441500000003</v>
      </c>
      <c r="AP107" s="24">
        <v>28.241082299999999</v>
      </c>
      <c r="AQ107" s="24">
        <v>35.032060899999998</v>
      </c>
      <c r="AR107" s="24">
        <v>34.303719899999997</v>
      </c>
      <c r="AS107" s="25"/>
      <c r="AT107" s="26">
        <v>4.3540000000000001</v>
      </c>
      <c r="AU107" s="26">
        <v>3.2770000000000001</v>
      </c>
      <c r="AW107" s="27">
        <f t="shared" si="21"/>
        <v>1.1249991212511357E-4</v>
      </c>
      <c r="AX107" s="27" t="e">
        <f t="array" ref="AX107">AVERAGE(AK107:AK112/AJ107:AJ112) - AVERAGE(Q107:Q112/P107:P112)</f>
        <v>#DIV/0!</v>
      </c>
      <c r="AZ107" s="28">
        <f>IF( OR(ISBLANK(Q107:Q112),ISBLANK(AK107:AK112), ISBLANK(T107:T112),ISBLANK(AN107:AN112)), "·", bdRateExtend( Q107:Q112,T107:T112, AK107:AK112,AN107:AN112))</f>
        <v>4.8146020292798575E-3</v>
      </c>
      <c r="BA107" s="28">
        <f>IF( OR(ISBLANK(Q107:Q112),ISBLANK(AK107:AK112), ISBLANK(U107:U112),ISBLANK(AO107:AO112)), "·", bdRateExtend( Q107:Q112,U107:U112, AK107:AK112,AO107:AO112))</f>
        <v>6.0348951113256E-3</v>
      </c>
      <c r="BB107" s="28">
        <f>IF( OR(ISBLANK(R107:R112),ISBLANK(AL107:AL112), ISBLANK(V107:V112),ISBLANK(AP107:AP112)), "·", bdRateExtend( R107:R112,V107:V112, AL107:AL112,AP107:AP112))</f>
        <v>0</v>
      </c>
      <c r="BC107" s="28">
        <f>IF( OR(ISBLANK(R107:R112),ISBLANK(AL107:AL112), ISBLANK(W107:W112),ISBLANK(AQ107:AQ112)), "·", bdRateExtend( R107:R112,W107:W112, AL107:AL112,AQ107:AQ112))</f>
        <v>0</v>
      </c>
      <c r="BD107" s="28">
        <f>IF( OR(ISBLANK(R107:R112),ISBLANK(AL107:AL112), ISBLANK(X107:X112),ISBLANK(AR107:AR112)), "·", bdRateExtend( R107:R112,X107:X112, AL107:AL112,AR107:AR112))</f>
        <v>0</v>
      </c>
      <c r="BE107" s="29"/>
      <c r="BG107" s="28">
        <f>IF( OR(ISBLANK(P107:P112),ISBLANK(AJ107:AJ112), ISBLANK(T107:T112),ISBLANK(AN107:AN112)), "·", bdRateExtend( P107:P112,T107:T112, AJ107:AJ112,AN107:AN112))</f>
        <v>-8.4791453321519938E-5</v>
      </c>
      <c r="BH107" s="28">
        <f>IF( OR(ISBLANK(P107:P112),ISBLANK(AJ107:AJ112), ISBLANK(U107:U112),ISBLANK(AO107:AO112)), "·", bdRateExtend( P107:P112,U107:U112, AJ107:AJ112,AO107:AO112))</f>
        <v>-6.7061460157669117E-5</v>
      </c>
      <c r="BI107" s="28">
        <f>IF( OR(ISBLANK(P107:P112),ISBLANK(AJ107:AJ112), ISBLANK(V107:V112),ISBLANK(AP107:AP112)), "·", bdRateExtend( P107:P112,V107:V112, AJ107:AJ112,AP107:AP112))</f>
        <v>-2.4009450445561242E-6</v>
      </c>
      <c r="BJ107" s="28">
        <f>IF( OR(ISBLANK(P107:P112),ISBLANK(AJ107:AJ112), ISBLANK(W107:W112),ISBLANK(AQ107:AQ112)), "·", bdRateExtend( P107:P112,W107:W112, AJ107:AJ112,AQ107:AQ112))</f>
        <v>1.4616711977444297E-5</v>
      </c>
      <c r="BK107" s="28">
        <f>IF( OR(ISBLANK(P107:P112),ISBLANK(AJ107:AJ112), ISBLANK(X107:X112),ISBLANK(AR107:AR112)), "·", bdRateExtend( P107:P112,X107:X112, AJ107:AJ112,AR107:AR112))</f>
        <v>7.2963859136798703E-6</v>
      </c>
      <c r="BL107" s="29"/>
    </row>
    <row r="108" spans="1:64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>
        <f t="shared" si="12"/>
        <v>0.27451889815711394</v>
      </c>
      <c r="K108" s="34">
        <f t="shared" si="13"/>
        <v>2.7027358741031522E-2</v>
      </c>
      <c r="L108" s="34">
        <f t="shared" si="14"/>
        <v>0.24727707758286011</v>
      </c>
      <c r="M108" s="35"/>
      <c r="N108" s="34">
        <f t="shared" si="15"/>
        <v>0.32912719784326161</v>
      </c>
      <c r="O108" s="36">
        <v>2582418</v>
      </c>
      <c r="P108" s="37">
        <v>849944</v>
      </c>
      <c r="Q108" s="37">
        <v>83680</v>
      </c>
      <c r="R108" s="37">
        <v>765600</v>
      </c>
      <c r="S108" s="38"/>
      <c r="T108" s="39">
        <v>69.060725300000001</v>
      </c>
      <c r="U108" s="39">
        <v>70.044272399999997</v>
      </c>
      <c r="V108" s="39">
        <v>31.535787599999999</v>
      </c>
      <c r="W108" s="39">
        <v>38.116598099999997</v>
      </c>
      <c r="X108" s="39">
        <v>37.662373100000003</v>
      </c>
      <c r="Y108" s="38"/>
      <c r="Z108" s="41">
        <v>4.7309999999999999</v>
      </c>
      <c r="AA108" s="41">
        <v>3.105</v>
      </c>
      <c r="AC108" s="33" t="str">
        <f t="shared" si="16"/>
        <v>·</v>
      </c>
      <c r="AD108" s="34">
        <f t="shared" si="17"/>
        <v>0.27447755611697472</v>
      </c>
      <c r="AE108" s="34">
        <f t="shared" si="18"/>
        <v>2.7099707311275201E-2</v>
      </c>
      <c r="AF108" s="34">
        <f t="shared" si="19"/>
        <v>0.24727707758286011</v>
      </c>
      <c r="AG108" s="35"/>
      <c r="AH108" s="34">
        <f t="shared" si="20"/>
        <v>0.32907763189382971</v>
      </c>
      <c r="AI108" s="36">
        <v>2582418</v>
      </c>
      <c r="AJ108" s="37">
        <v>849816</v>
      </c>
      <c r="AK108" s="37">
        <v>83904</v>
      </c>
      <c r="AL108" s="37">
        <v>765600</v>
      </c>
      <c r="AM108" s="38"/>
      <c r="AN108" s="39">
        <v>69.060725300000001</v>
      </c>
      <c r="AO108" s="39">
        <v>70.044272399999997</v>
      </c>
      <c r="AP108" s="39">
        <v>31.535787599999999</v>
      </c>
      <c r="AQ108" s="39">
        <v>38.116598099999997</v>
      </c>
      <c r="AR108" s="39">
        <v>37.662373100000003</v>
      </c>
      <c r="AS108" s="40"/>
      <c r="AT108" s="41">
        <v>4.5119999999999996</v>
      </c>
      <c r="AU108" s="41">
        <v>3.2949999999999999</v>
      </c>
      <c r="AW108" s="42">
        <f t="shared" si="21"/>
        <v>2.7841562618539928E-4</v>
      </c>
      <c r="AX108" s="42"/>
      <c r="AZ108" s="43"/>
      <c r="BA108" s="43"/>
      <c r="BB108" s="43"/>
      <c r="BC108" s="43"/>
      <c r="BD108" s="43"/>
      <c r="BE108" s="44"/>
      <c r="BG108" s="43"/>
      <c r="BH108" s="43"/>
      <c r="BI108" s="43"/>
      <c r="BJ108" s="43"/>
      <c r="BK108" s="43"/>
      <c r="BL108" s="44"/>
    </row>
    <row r="109" spans="1:64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>
        <f t="shared" si="12"/>
        <v>0.64975992548097261</v>
      </c>
      <c r="K109" s="19">
        <f t="shared" si="13"/>
        <v>8.6787277762310405E-2</v>
      </c>
      <c r="L109" s="19">
        <f t="shared" si="14"/>
        <v>0.56275818588543991</v>
      </c>
      <c r="M109" s="20"/>
      <c r="N109" s="19">
        <f t="shared" si="15"/>
        <v>0.75737397687447361</v>
      </c>
      <c r="O109" s="21">
        <v>2656199</v>
      </c>
      <c r="P109" s="22">
        <v>2011736</v>
      </c>
      <c r="Q109" s="22">
        <v>268704</v>
      </c>
      <c r="R109" s="22">
        <v>1742368</v>
      </c>
      <c r="S109" s="23"/>
      <c r="T109" s="24">
        <v>72.868675400000001</v>
      </c>
      <c r="U109" s="24">
        <v>75.248630800000001</v>
      </c>
      <c r="V109" s="24">
        <v>34.511847299999999</v>
      </c>
      <c r="W109" s="24">
        <v>41.232048200000001</v>
      </c>
      <c r="X109" s="24">
        <v>40.748398799999997</v>
      </c>
      <c r="Y109" s="23"/>
      <c r="Z109" s="26">
        <v>6.4820000000000002</v>
      </c>
      <c r="AA109" s="26">
        <v>4.6210000000000004</v>
      </c>
      <c r="AC109" s="18" t="str">
        <f t="shared" si="16"/>
        <v>·</v>
      </c>
      <c r="AD109" s="19">
        <f t="shared" si="17"/>
        <v>0.64985552894879461</v>
      </c>
      <c r="AE109" s="19">
        <f t="shared" si="18"/>
        <v>8.803787447652256E-2</v>
      </c>
      <c r="AF109" s="19">
        <f t="shared" si="19"/>
        <v>0.56275818588543991</v>
      </c>
      <c r="AG109" s="20"/>
      <c r="AH109" s="19">
        <f t="shared" si="20"/>
        <v>0.75748541430819005</v>
      </c>
      <c r="AI109" s="21">
        <v>2656199</v>
      </c>
      <c r="AJ109" s="22">
        <v>2012032</v>
      </c>
      <c r="AK109" s="22">
        <v>272576</v>
      </c>
      <c r="AL109" s="22">
        <v>1742368</v>
      </c>
      <c r="AM109" s="23"/>
      <c r="AN109" s="24">
        <v>72.868675400000001</v>
      </c>
      <c r="AO109" s="24">
        <v>75.248630800000001</v>
      </c>
      <c r="AP109" s="24">
        <v>34.511847299999999</v>
      </c>
      <c r="AQ109" s="24">
        <v>41.232048200000001</v>
      </c>
      <c r="AR109" s="24">
        <v>40.748398799999997</v>
      </c>
      <c r="AS109" s="25"/>
      <c r="AT109" s="26">
        <v>6.2629999999999999</v>
      </c>
      <c r="AU109" s="26">
        <v>4.2779999999999996</v>
      </c>
      <c r="AW109" s="27">
        <f t="shared" si="21"/>
        <v>1.9047727900869116E-3</v>
      </c>
      <c r="AX109" s="27"/>
      <c r="AZ109" s="28"/>
      <c r="BA109" s="28"/>
      <c r="BB109" s="28"/>
      <c r="BC109" s="28"/>
      <c r="BD109" s="28"/>
      <c r="BE109" s="29"/>
      <c r="BG109" s="28"/>
      <c r="BH109" s="28"/>
      <c r="BI109" s="28"/>
      <c r="BJ109" s="28"/>
      <c r="BK109" s="28"/>
      <c r="BL109" s="29"/>
    </row>
    <row r="110" spans="1:64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>
        <f t="shared" si="12"/>
        <v>1.4446381634832219</v>
      </c>
      <c r="K110" s="34">
        <f t="shared" si="13"/>
        <v>0.26388107445378445</v>
      </c>
      <c r="L110" s="34">
        <f t="shared" si="14"/>
        <v>1.1805426271962152</v>
      </c>
      <c r="M110" s="35"/>
      <c r="N110" s="34">
        <f t="shared" si="15"/>
        <v>1.5269798731037685</v>
      </c>
      <c r="O110" s="36">
        <v>2929165</v>
      </c>
      <c r="P110" s="37">
        <v>4472776</v>
      </c>
      <c r="Q110" s="37">
        <v>817008</v>
      </c>
      <c r="R110" s="37">
        <v>3655104</v>
      </c>
      <c r="S110" s="38"/>
      <c r="T110" s="39">
        <v>73.7931521</v>
      </c>
      <c r="U110" s="39">
        <v>76.696902199999997</v>
      </c>
      <c r="V110" s="39">
        <v>36.774010199999999</v>
      </c>
      <c r="W110" s="39">
        <v>44.001534100000001</v>
      </c>
      <c r="X110" s="39">
        <v>43.428922700000001</v>
      </c>
      <c r="Y110" s="38"/>
      <c r="Z110" s="41">
        <v>10.981</v>
      </c>
      <c r="AA110" s="41">
        <v>7.84</v>
      </c>
      <c r="AC110" s="33" t="str">
        <f t="shared" si="16"/>
        <v>·</v>
      </c>
      <c r="AD110" s="34">
        <f t="shared" si="17"/>
        <v>1.4449740675593532</v>
      </c>
      <c r="AE110" s="34">
        <f t="shared" si="18"/>
        <v>0.28196046538217812</v>
      </c>
      <c r="AF110" s="34">
        <f t="shared" si="19"/>
        <v>1.1805426271962152</v>
      </c>
      <c r="AG110" s="35"/>
      <c r="AH110" s="34">
        <f t="shared" si="20"/>
        <v>1.5273349230924171</v>
      </c>
      <c r="AI110" s="36">
        <v>2929165</v>
      </c>
      <c r="AJ110" s="37">
        <v>4473816</v>
      </c>
      <c r="AK110" s="37">
        <v>872984</v>
      </c>
      <c r="AL110" s="37">
        <v>3655104</v>
      </c>
      <c r="AM110" s="38"/>
      <c r="AN110" s="39">
        <v>73.7931521</v>
      </c>
      <c r="AO110" s="39">
        <v>76.696902199999997</v>
      </c>
      <c r="AP110" s="39">
        <v>36.774010199999999</v>
      </c>
      <c r="AQ110" s="39">
        <v>44.001534100000001</v>
      </c>
      <c r="AR110" s="39">
        <v>43.428922700000001</v>
      </c>
      <c r="AS110" s="40"/>
      <c r="AT110" s="41">
        <v>10.262</v>
      </c>
      <c r="AU110" s="41">
        <v>7.34</v>
      </c>
      <c r="AW110" s="42">
        <f t="shared" si="21"/>
        <v>1.2469451381935726E-2</v>
      </c>
      <c r="AX110" s="42"/>
      <c r="AZ110" s="43"/>
      <c r="BA110" s="43"/>
      <c r="BB110" s="43"/>
      <c r="BC110" s="43"/>
      <c r="BD110" s="43"/>
      <c r="BE110" s="44"/>
      <c r="BG110" s="43"/>
      <c r="BH110" s="43"/>
      <c r="BI110" s="43"/>
      <c r="BJ110" s="43"/>
      <c r="BK110" s="43"/>
      <c r="BL110" s="44"/>
    </row>
    <row r="111" spans="1:64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4"/>
      <c r="X111" s="24"/>
      <c r="Y111" s="23"/>
      <c r="Z111" s="26"/>
      <c r="AA111" s="26"/>
      <c r="AC111" s="18" t="str">
        <f t="shared" si="16"/>
        <v>·</v>
      </c>
      <c r="AD111" s="19" t="str">
        <f t="shared" si="17"/>
        <v>·</v>
      </c>
      <c r="AE111" s="19" t="str">
        <f t="shared" si="18"/>
        <v>·</v>
      </c>
      <c r="AF111" s="19" t="str">
        <f t="shared" si="19"/>
        <v>·</v>
      </c>
      <c r="AG111" s="20"/>
      <c r="AH111" s="19" t="str">
        <f t="shared" si="20"/>
        <v>·</v>
      </c>
      <c r="AI111" s="21"/>
      <c r="AJ111" s="22"/>
      <c r="AK111" s="22"/>
      <c r="AL111" s="22"/>
      <c r="AM111" s="23"/>
      <c r="AN111" s="24"/>
      <c r="AO111" s="24"/>
      <c r="AP111" s="24"/>
      <c r="AQ111" s="24"/>
      <c r="AR111" s="24"/>
      <c r="AS111" s="25"/>
      <c r="AT111" s="26"/>
      <c r="AU111" s="26"/>
      <c r="AW111" s="27" t="e">
        <f t="shared" si="21"/>
        <v>#DIV/0!</v>
      </c>
      <c r="AX111" s="27"/>
      <c r="AZ111" s="28"/>
      <c r="BA111" s="28"/>
      <c r="BB111" s="28"/>
      <c r="BC111" s="28"/>
      <c r="BD111" s="28"/>
      <c r="BE111" s="29"/>
      <c r="BG111" s="28"/>
      <c r="BH111" s="28"/>
      <c r="BI111" s="28"/>
      <c r="BJ111" s="28"/>
      <c r="BK111" s="28"/>
      <c r="BL111" s="29"/>
    </row>
    <row r="112" spans="1:64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4"/>
      <c r="X112" s="54"/>
      <c r="Y112" s="53"/>
      <c r="Z112" s="56"/>
      <c r="AA112" s="56"/>
      <c r="AC112" s="48" t="str">
        <f t="shared" si="16"/>
        <v>·</v>
      </c>
      <c r="AD112" s="49" t="str">
        <f t="shared" si="17"/>
        <v>·</v>
      </c>
      <c r="AE112" s="49" t="str">
        <f t="shared" si="18"/>
        <v>·</v>
      </c>
      <c r="AF112" s="49" t="str">
        <f t="shared" si="19"/>
        <v>·</v>
      </c>
      <c r="AG112" s="50"/>
      <c r="AH112" s="49" t="str">
        <f t="shared" si="20"/>
        <v>·</v>
      </c>
      <c r="AI112" s="51"/>
      <c r="AJ112" s="52"/>
      <c r="AK112" s="52"/>
      <c r="AL112" s="52"/>
      <c r="AM112" s="53"/>
      <c r="AN112" s="54"/>
      <c r="AO112" s="54"/>
      <c r="AP112" s="54"/>
      <c r="AQ112" s="54"/>
      <c r="AR112" s="54"/>
      <c r="AS112" s="55"/>
      <c r="AT112" s="56"/>
      <c r="AU112" s="56"/>
      <c r="AW112" s="57" t="e">
        <f t="shared" si="21"/>
        <v>#DIV/0!</v>
      </c>
      <c r="AX112" s="57"/>
      <c r="AZ112" s="58"/>
      <c r="BA112" s="58"/>
      <c r="BB112" s="58"/>
      <c r="BC112" s="58"/>
      <c r="BD112" s="58"/>
      <c r="BE112" s="59"/>
      <c r="BG112" s="58"/>
      <c r="BH112" s="58"/>
      <c r="BI112" s="58"/>
      <c r="BJ112" s="58"/>
      <c r="BK112" s="58"/>
      <c r="BL112" s="59"/>
    </row>
    <row r="113" spans="1:64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>
        <f t="shared" si="12"/>
        <v>3.4385880021277404E-2</v>
      </c>
      <c r="K113" s="19">
        <f t="shared" si="13"/>
        <v>8.4764945969638267E-3</v>
      </c>
      <c r="L113" s="19">
        <f t="shared" si="14"/>
        <v>2.5662806132002777E-2</v>
      </c>
      <c r="M113" s="20"/>
      <c r="N113" s="19">
        <f t="shared" si="15"/>
        <v>3.2155867565629249E-2</v>
      </c>
      <c r="O113" s="21">
        <v>3226534</v>
      </c>
      <c r="P113" s="22">
        <v>103752</v>
      </c>
      <c r="Q113" s="22">
        <v>25576</v>
      </c>
      <c r="R113" s="22">
        <v>77432</v>
      </c>
      <c r="S113" s="23"/>
      <c r="T113" s="24">
        <v>63.970507900000001</v>
      </c>
      <c r="U113" s="24">
        <v>64.396385100000003</v>
      </c>
      <c r="V113" s="24">
        <v>34.764341199999997</v>
      </c>
      <c r="W113" s="24">
        <v>47.5489028</v>
      </c>
      <c r="X113" s="24">
        <v>47.271468200000001</v>
      </c>
      <c r="Y113" s="23"/>
      <c r="Z113" s="26">
        <v>4.6050000000000004</v>
      </c>
      <c r="AA113" s="26">
        <v>3.8380000000000001</v>
      </c>
      <c r="AC113" s="18" t="str">
        <f t="shared" si="16"/>
        <v>·</v>
      </c>
      <c r="AD113" s="19">
        <f t="shared" si="17"/>
        <v>3.4388531411517306E-2</v>
      </c>
      <c r="AE113" s="19">
        <f t="shared" si="18"/>
        <v>8.4844487676835299E-3</v>
      </c>
      <c r="AF113" s="19">
        <f t="shared" si="19"/>
        <v>2.5662806132002777E-2</v>
      </c>
      <c r="AG113" s="20"/>
      <c r="AH113" s="19">
        <f t="shared" si="20"/>
        <v>3.215834700641617E-2</v>
      </c>
      <c r="AI113" s="21">
        <v>3226534</v>
      </c>
      <c r="AJ113" s="22">
        <v>103760</v>
      </c>
      <c r="AK113" s="22">
        <v>25600</v>
      </c>
      <c r="AL113" s="22">
        <v>77432</v>
      </c>
      <c r="AM113" s="23"/>
      <c r="AN113" s="24">
        <v>63.970507900000001</v>
      </c>
      <c r="AO113" s="24">
        <v>64.396385100000003</v>
      </c>
      <c r="AP113" s="24">
        <v>34.764341199999997</v>
      </c>
      <c r="AQ113" s="24">
        <v>47.5489028</v>
      </c>
      <c r="AR113" s="24">
        <v>47.271468200000001</v>
      </c>
      <c r="AS113" s="25"/>
      <c r="AT113" s="26">
        <v>4.4320000000000004</v>
      </c>
      <c r="AU113" s="26">
        <v>3.7469999999999999</v>
      </c>
      <c r="AW113" s="27">
        <f t="shared" si="21"/>
        <v>2.1229676864820135E-4</v>
      </c>
      <c r="AX113" s="27" t="e">
        <f t="array" ref="AX113">AVERAGE(AK113:AK118/AJ113:AJ118) - AVERAGE(Q113:Q118/P113:P118)</f>
        <v>#DIV/0!</v>
      </c>
      <c r="AZ113" s="28">
        <f>IF( OR(ISBLANK(Q113:Q118),ISBLANK(AK113:AK118), ISBLANK(T113:T118),ISBLANK(AN113:AN118)), "·", bdRateExtend( Q113:Q118,T113:T118, AK113:AK118,AN113:AN118))</f>
        <v>4.5827469464521098E-3</v>
      </c>
      <c r="BA113" s="28">
        <f>IF( OR(ISBLANK(Q113:Q118),ISBLANK(AK113:AK118), ISBLANK(U113:U118),ISBLANK(AO113:AO118)), "·", bdRateExtend( Q113:Q118,U113:U118, AK113:AK118,AO113:AO118))</f>
        <v>5.9391660446037609E-3</v>
      </c>
      <c r="BB113" s="28">
        <f>IF( OR(ISBLANK(R113:R118),ISBLANK(AL113:AL118), ISBLANK(V113:V118),ISBLANK(AP113:AP118)), "·", bdRateExtend( R113:R118,V113:V118, AL113:AL118,AP113:AP118))</f>
        <v>0</v>
      </c>
      <c r="BC113" s="28">
        <f>IF( OR(ISBLANK(R113:R118),ISBLANK(AL113:AL118), ISBLANK(W113:W118),ISBLANK(AQ113:AQ118)), "·", bdRateExtend( R113:R118,W113:W118, AL113:AL118,AQ113:AQ118))</f>
        <v>0</v>
      </c>
      <c r="BD113" s="28">
        <f>IF( OR(ISBLANK(R113:R118),ISBLANK(AL113:AL118), ISBLANK(X113:X118),ISBLANK(AR113:AR118)), "·", bdRateExtend( R113:R118,X113:X118, AL113:AL118,AR113:AR118))</f>
        <v>0</v>
      </c>
      <c r="BE113" s="29"/>
      <c r="BG113" s="28">
        <f>IF( OR(ISBLANK(P113:P118),ISBLANK(AJ113:AJ118), ISBLANK(T113:T118),ISBLANK(AN113:AN118)), "·", bdRateExtend( P113:P118,T113:T118, AJ113:AJ118,AN113:AN118))</f>
        <v>3.0230110259932275E-5</v>
      </c>
      <c r="BH113" s="28">
        <f>IF( OR(ISBLANK(P113:P118),ISBLANK(AJ113:AJ118), ISBLANK(U113:U118),ISBLANK(AO113:AO118)), "·", bdRateExtend( P113:P118,U113:U118, AJ113:AJ118,AO113:AO118))</f>
        <v>7.7548938228977349E-5</v>
      </c>
      <c r="BI113" s="28">
        <f>IF( OR(ISBLANK(P113:P118),ISBLANK(AJ113:AJ118), ISBLANK(V113:V118),ISBLANK(AP113:AP118)), "·", bdRateExtend( P113:P118,V113:V118, AJ113:AJ118,AP113:AP118))</f>
        <v>2.5168916335371883E-4</v>
      </c>
      <c r="BJ113" s="28">
        <f>IF( OR(ISBLANK(P113:P118),ISBLANK(AJ113:AJ118), ISBLANK(W113:W118),ISBLANK(AQ113:AQ118)), "·", bdRateExtend( P113:P118,W113:W118, AJ113:AJ118,AQ113:AQ118))</f>
        <v>2.5651884529054314E-4</v>
      </c>
      <c r="BK113" s="28">
        <f>IF( OR(ISBLANK(P113:P118),ISBLANK(AJ113:AJ118), ISBLANK(X113:X118),ISBLANK(AR113:AR118)), "·", bdRateExtend( P113:P118,X113:X118, AJ113:AJ118,AR113:AR118))</f>
        <v>2.1596092666231748E-4</v>
      </c>
      <c r="BL113" s="29"/>
    </row>
    <row r="114" spans="1:64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>
        <f t="shared" si="12"/>
        <v>8.4841836286595404E-2</v>
      </c>
      <c r="K114" s="34">
        <f t="shared" si="13"/>
        <v>2.5519631059048118E-2</v>
      </c>
      <c r="L114" s="34">
        <f t="shared" si="14"/>
        <v>5.9075625935236478E-2</v>
      </c>
      <c r="M114" s="35"/>
      <c r="N114" s="34">
        <f t="shared" si="15"/>
        <v>8.4577001010660666E-2</v>
      </c>
      <c r="O114" s="36">
        <v>3026733</v>
      </c>
      <c r="P114" s="37">
        <v>255992</v>
      </c>
      <c r="Q114" s="37">
        <v>77000</v>
      </c>
      <c r="R114" s="37">
        <v>178248</v>
      </c>
      <c r="S114" s="38"/>
      <c r="T114" s="39">
        <v>69.989888800000003</v>
      </c>
      <c r="U114" s="39">
        <v>71.135042100000007</v>
      </c>
      <c r="V114" s="39">
        <v>38.221793099999999</v>
      </c>
      <c r="W114" s="39">
        <v>49.383747100000001</v>
      </c>
      <c r="X114" s="39">
        <v>49.592095100000002</v>
      </c>
      <c r="Y114" s="38"/>
      <c r="Z114" s="41">
        <v>4.5570000000000004</v>
      </c>
      <c r="AA114" s="41">
        <v>3.8250000000000002</v>
      </c>
      <c r="AC114" s="33" t="str">
        <f t="shared" si="16"/>
        <v>·</v>
      </c>
      <c r="AD114" s="34">
        <f t="shared" si="17"/>
        <v>8.4831230725635795E-2</v>
      </c>
      <c r="AE114" s="34">
        <f t="shared" si="18"/>
        <v>2.5572658863846139E-2</v>
      </c>
      <c r="AF114" s="34">
        <f t="shared" si="19"/>
        <v>5.9075625935236478E-2</v>
      </c>
      <c r="AG114" s="35"/>
      <c r="AH114" s="34">
        <f t="shared" si="20"/>
        <v>8.4566428555145096E-2</v>
      </c>
      <c r="AI114" s="36">
        <v>3026733</v>
      </c>
      <c r="AJ114" s="37">
        <v>255960</v>
      </c>
      <c r="AK114" s="37">
        <v>77160</v>
      </c>
      <c r="AL114" s="37">
        <v>178248</v>
      </c>
      <c r="AM114" s="38"/>
      <c r="AN114" s="39">
        <v>69.989888800000003</v>
      </c>
      <c r="AO114" s="39">
        <v>71.135042100000007</v>
      </c>
      <c r="AP114" s="39">
        <v>38.221793099999999</v>
      </c>
      <c r="AQ114" s="39">
        <v>49.383747100000001</v>
      </c>
      <c r="AR114" s="39">
        <v>49.592095100000002</v>
      </c>
      <c r="AS114" s="40"/>
      <c r="AT114" s="41">
        <v>4.51</v>
      </c>
      <c r="AU114" s="41">
        <v>3.8849999999999998</v>
      </c>
      <c r="AW114" s="42">
        <f t="shared" si="21"/>
        <v>6.627023784601116E-4</v>
      </c>
      <c r="AX114" s="42"/>
      <c r="AZ114" s="43"/>
      <c r="BA114" s="43"/>
      <c r="BB114" s="43"/>
      <c r="BC114" s="43"/>
      <c r="BD114" s="43"/>
      <c r="BE114" s="44"/>
      <c r="BG114" s="43"/>
      <c r="BH114" s="43"/>
      <c r="BI114" s="43"/>
      <c r="BJ114" s="43"/>
      <c r="BK114" s="43"/>
      <c r="BL114" s="44"/>
    </row>
    <row r="115" spans="1:64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>
        <f t="shared" si="12"/>
        <v>0.21358274077523337</v>
      </c>
      <c r="K115" s="19">
        <f t="shared" si="13"/>
        <v>8.314229514281879E-2</v>
      </c>
      <c r="L115" s="19">
        <f t="shared" si="14"/>
        <v>0.13019386634010377</v>
      </c>
      <c r="M115" s="20"/>
      <c r="N115" s="19">
        <f t="shared" si="15"/>
        <v>0.20742559422746326</v>
      </c>
      <c r="O115" s="21">
        <v>3106849</v>
      </c>
      <c r="P115" s="22">
        <v>644440</v>
      </c>
      <c r="Q115" s="22">
        <v>250864</v>
      </c>
      <c r="R115" s="22">
        <v>392832</v>
      </c>
      <c r="S115" s="23"/>
      <c r="T115" s="24">
        <v>73.096271900000005</v>
      </c>
      <c r="U115" s="24">
        <v>75.3220204</v>
      </c>
      <c r="V115" s="24">
        <v>41.397977599999997</v>
      </c>
      <c r="W115" s="24">
        <v>51.137068300000003</v>
      </c>
      <c r="X115" s="24">
        <v>51.451369399999997</v>
      </c>
      <c r="Y115" s="23"/>
      <c r="Z115" s="26">
        <v>6.1050000000000004</v>
      </c>
      <c r="AA115" s="26">
        <v>4.9649999999999999</v>
      </c>
      <c r="AC115" s="18" t="str">
        <f t="shared" si="16"/>
        <v>·</v>
      </c>
      <c r="AD115" s="19">
        <f t="shared" si="17"/>
        <v>0.21372326445794812</v>
      </c>
      <c r="AE115" s="19">
        <f t="shared" si="18"/>
        <v>8.4369888823892999E-2</v>
      </c>
      <c r="AF115" s="19">
        <f t="shared" si="19"/>
        <v>0.13019386634010377</v>
      </c>
      <c r="AG115" s="20"/>
      <c r="AH115" s="19">
        <f t="shared" si="20"/>
        <v>0.2075620669044424</v>
      </c>
      <c r="AI115" s="21">
        <v>3106849</v>
      </c>
      <c r="AJ115" s="22">
        <v>644864</v>
      </c>
      <c r="AK115" s="22">
        <v>254568</v>
      </c>
      <c r="AL115" s="22">
        <v>392832</v>
      </c>
      <c r="AM115" s="23"/>
      <c r="AN115" s="24">
        <v>73.096271900000005</v>
      </c>
      <c r="AO115" s="24">
        <v>75.3220204</v>
      </c>
      <c r="AP115" s="24">
        <v>41.397977599999997</v>
      </c>
      <c r="AQ115" s="24">
        <v>51.137068300000003</v>
      </c>
      <c r="AR115" s="24">
        <v>51.451369399999997</v>
      </c>
      <c r="AS115" s="25"/>
      <c r="AT115" s="26">
        <v>5.8070000000000004</v>
      </c>
      <c r="AU115" s="26">
        <v>4.9329999999999998</v>
      </c>
      <c r="AW115" s="27">
        <f t="shared" si="21"/>
        <v>5.4878976817956393E-3</v>
      </c>
      <c r="AX115" s="27"/>
      <c r="AZ115" s="28"/>
      <c r="BA115" s="28"/>
      <c r="BB115" s="28"/>
      <c r="BC115" s="28"/>
      <c r="BD115" s="28"/>
      <c r="BE115" s="29"/>
      <c r="BG115" s="28"/>
      <c r="BH115" s="28"/>
      <c r="BI115" s="28"/>
      <c r="BJ115" s="28"/>
      <c r="BK115" s="28"/>
      <c r="BL115" s="29"/>
    </row>
    <row r="116" spans="1:64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>
        <f t="shared" si="12"/>
        <v>0.51341520605444957</v>
      </c>
      <c r="K116" s="34">
        <f t="shared" si="13"/>
        <v>0.25087454449944235</v>
      </c>
      <c r="L116" s="34">
        <f t="shared" si="14"/>
        <v>0.2622940822626964</v>
      </c>
      <c r="M116" s="35"/>
      <c r="N116" s="34">
        <f t="shared" si="15"/>
        <v>0.47804879855183108</v>
      </c>
      <c r="O116" s="36">
        <v>3240506</v>
      </c>
      <c r="P116" s="37">
        <v>1549120</v>
      </c>
      <c r="Q116" s="37">
        <v>756960</v>
      </c>
      <c r="R116" s="37">
        <v>791416</v>
      </c>
      <c r="S116" s="38"/>
      <c r="T116" s="39">
        <v>73.989896599999994</v>
      </c>
      <c r="U116" s="39">
        <v>76.767352799999998</v>
      </c>
      <c r="V116" s="39">
        <v>44.067083400000001</v>
      </c>
      <c r="W116" s="39">
        <v>52.596037600000002</v>
      </c>
      <c r="X116" s="39">
        <v>52.888587600000001</v>
      </c>
      <c r="Y116" s="38"/>
      <c r="Z116" s="41">
        <v>9.8230000000000004</v>
      </c>
      <c r="AA116" s="41">
        <v>8.3870000000000005</v>
      </c>
      <c r="AC116" s="33" t="str">
        <f t="shared" si="16"/>
        <v>·</v>
      </c>
      <c r="AD116" s="34">
        <f t="shared" si="17"/>
        <v>0.51376253817587669</v>
      </c>
      <c r="AE116" s="34">
        <f t="shared" si="18"/>
        <v>0.26713286945051595</v>
      </c>
      <c r="AF116" s="34">
        <f t="shared" si="19"/>
        <v>0.2622940822626964</v>
      </c>
      <c r="AG116" s="35"/>
      <c r="AH116" s="34">
        <f t="shared" si="20"/>
        <v>0.47837220483467707</v>
      </c>
      <c r="AI116" s="36">
        <v>3240506</v>
      </c>
      <c r="AJ116" s="37">
        <v>1550168</v>
      </c>
      <c r="AK116" s="37">
        <v>806016</v>
      </c>
      <c r="AL116" s="37">
        <v>791416</v>
      </c>
      <c r="AM116" s="38"/>
      <c r="AN116" s="39">
        <v>73.989896599999994</v>
      </c>
      <c r="AO116" s="39">
        <v>76.767352799999998</v>
      </c>
      <c r="AP116" s="39">
        <v>44.067083400000001</v>
      </c>
      <c r="AQ116" s="39">
        <v>52.596037600000002</v>
      </c>
      <c r="AR116" s="39">
        <v>52.888587600000001</v>
      </c>
      <c r="AS116" s="40"/>
      <c r="AT116" s="41">
        <v>9.4320000000000004</v>
      </c>
      <c r="AU116" s="41">
        <v>7.9630000000000001</v>
      </c>
      <c r="AW116" s="42">
        <f t="shared" si="21"/>
        <v>3.1315255269662001E-2</v>
      </c>
      <c r="AX116" s="42"/>
      <c r="AZ116" s="43"/>
      <c r="BA116" s="43"/>
      <c r="BB116" s="43"/>
      <c r="BC116" s="43"/>
      <c r="BD116" s="43"/>
      <c r="BE116" s="44"/>
      <c r="BG116" s="43"/>
      <c r="BH116" s="43"/>
      <c r="BI116" s="43"/>
      <c r="BJ116" s="43"/>
      <c r="BK116" s="43"/>
      <c r="BL116" s="44"/>
    </row>
    <row r="117" spans="1:64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4"/>
      <c r="X117" s="24"/>
      <c r="Y117" s="23"/>
      <c r="Z117" s="26"/>
      <c r="AA117" s="26"/>
      <c r="AC117" s="18" t="str">
        <f t="shared" si="16"/>
        <v>·</v>
      </c>
      <c r="AD117" s="19" t="str">
        <f t="shared" si="17"/>
        <v>·</v>
      </c>
      <c r="AE117" s="19" t="str">
        <f t="shared" si="18"/>
        <v>·</v>
      </c>
      <c r="AF117" s="19" t="str">
        <f t="shared" si="19"/>
        <v>·</v>
      </c>
      <c r="AG117" s="20"/>
      <c r="AH117" s="19" t="str">
        <f t="shared" si="20"/>
        <v>·</v>
      </c>
      <c r="AI117" s="21"/>
      <c r="AJ117" s="22"/>
      <c r="AK117" s="22"/>
      <c r="AL117" s="22"/>
      <c r="AM117" s="23"/>
      <c r="AN117" s="24"/>
      <c r="AO117" s="24"/>
      <c r="AP117" s="24"/>
      <c r="AQ117" s="24"/>
      <c r="AR117" s="24"/>
      <c r="AS117" s="25"/>
      <c r="AT117" s="26"/>
      <c r="AU117" s="26"/>
      <c r="AW117" s="27" t="e">
        <f t="shared" si="21"/>
        <v>#DIV/0!</v>
      </c>
      <c r="AX117" s="27"/>
      <c r="AZ117" s="28"/>
      <c r="BA117" s="28"/>
      <c r="BB117" s="28"/>
      <c r="BC117" s="28"/>
      <c r="BD117" s="28"/>
      <c r="BE117" s="29"/>
      <c r="BG117" s="28"/>
      <c r="BH117" s="28"/>
      <c r="BI117" s="28"/>
      <c r="BJ117" s="28"/>
      <c r="BK117" s="28"/>
      <c r="BL117" s="29"/>
    </row>
    <row r="118" spans="1:64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4"/>
      <c r="X118" s="54"/>
      <c r="Y118" s="53"/>
      <c r="Z118" s="56"/>
      <c r="AA118" s="56"/>
      <c r="AC118" s="48" t="str">
        <f t="shared" si="16"/>
        <v>·</v>
      </c>
      <c r="AD118" s="49" t="str">
        <f t="shared" si="17"/>
        <v>·</v>
      </c>
      <c r="AE118" s="49" t="str">
        <f t="shared" si="18"/>
        <v>·</v>
      </c>
      <c r="AF118" s="49" t="str">
        <f t="shared" si="19"/>
        <v>·</v>
      </c>
      <c r="AG118" s="50"/>
      <c r="AH118" s="49" t="str">
        <f t="shared" si="20"/>
        <v>·</v>
      </c>
      <c r="AI118" s="51"/>
      <c r="AJ118" s="52"/>
      <c r="AK118" s="52"/>
      <c r="AL118" s="52"/>
      <c r="AM118" s="53"/>
      <c r="AN118" s="54"/>
      <c r="AO118" s="54"/>
      <c r="AP118" s="54"/>
      <c r="AQ118" s="54"/>
      <c r="AR118" s="54"/>
      <c r="AS118" s="55"/>
      <c r="AT118" s="56"/>
      <c r="AU118" s="56"/>
      <c r="AW118" s="57" t="e">
        <f t="shared" si="21"/>
        <v>#DIV/0!</v>
      </c>
      <c r="AX118" s="57"/>
      <c r="AZ118" s="58"/>
      <c r="BA118" s="58"/>
      <c r="BB118" s="58"/>
      <c r="BC118" s="58"/>
      <c r="BD118" s="58"/>
      <c r="BE118" s="59"/>
      <c r="BG118" s="58"/>
      <c r="BH118" s="58"/>
      <c r="BI118" s="58"/>
      <c r="BJ118" s="58"/>
      <c r="BK118" s="58"/>
      <c r="BL118" s="59"/>
    </row>
    <row r="119" spans="1:64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>
        <f t="shared" si="12"/>
        <v>4.9474349474313381E-2</v>
      </c>
      <c r="K119" s="19">
        <f t="shared" si="13"/>
        <v>8.6422743070281288E-3</v>
      </c>
      <c r="L119" s="19">
        <f t="shared" si="14"/>
        <v>4.0621287989065051E-2</v>
      </c>
      <c r="M119" s="20"/>
      <c r="N119" s="19">
        <f t="shared" si="15"/>
        <v>8.7098247957284547E-2</v>
      </c>
      <c r="O119" s="21">
        <v>1573763</v>
      </c>
      <c r="P119" s="22">
        <v>137072</v>
      </c>
      <c r="Q119" s="22">
        <v>23944</v>
      </c>
      <c r="R119" s="22">
        <v>112544</v>
      </c>
      <c r="S119" s="23"/>
      <c r="T119" s="24">
        <v>62.553283299999997</v>
      </c>
      <c r="U119" s="24">
        <v>63.156785900000003</v>
      </c>
      <c r="V119" s="24">
        <v>33.050106900000003</v>
      </c>
      <c r="W119" s="24">
        <v>40.509930400000002</v>
      </c>
      <c r="X119" s="24">
        <v>33.611184299999998</v>
      </c>
      <c r="Y119" s="23"/>
      <c r="Z119" s="26">
        <v>3.4820000000000002</v>
      </c>
      <c r="AA119" s="26">
        <v>1.8720000000000001</v>
      </c>
      <c r="AC119" s="18" t="str">
        <f t="shared" si="16"/>
        <v>·</v>
      </c>
      <c r="AD119" s="19">
        <f t="shared" si="17"/>
        <v>4.9471461978721321E-2</v>
      </c>
      <c r="AE119" s="19">
        <f t="shared" si="18"/>
        <v>8.6595992805804725E-3</v>
      </c>
      <c r="AF119" s="19">
        <f t="shared" si="19"/>
        <v>4.0621287989065051E-2</v>
      </c>
      <c r="AG119" s="20"/>
      <c r="AH119" s="19">
        <f t="shared" si="20"/>
        <v>8.7093164599752318E-2</v>
      </c>
      <c r="AI119" s="21">
        <v>1573763</v>
      </c>
      <c r="AJ119" s="22">
        <v>137064</v>
      </c>
      <c r="AK119" s="22">
        <v>23992</v>
      </c>
      <c r="AL119" s="22">
        <v>112544</v>
      </c>
      <c r="AM119" s="23"/>
      <c r="AN119" s="24">
        <v>62.553283299999997</v>
      </c>
      <c r="AO119" s="24">
        <v>63.156785900000003</v>
      </c>
      <c r="AP119" s="24">
        <v>33.050106900000003</v>
      </c>
      <c r="AQ119" s="24">
        <v>40.509930400000002</v>
      </c>
      <c r="AR119" s="24">
        <v>33.611184299999998</v>
      </c>
      <c r="AS119" s="25"/>
      <c r="AT119" s="26">
        <v>3.4340000000000002</v>
      </c>
      <c r="AU119" s="26">
        <v>1.841</v>
      </c>
      <c r="AW119" s="27">
        <f t="shared" si="21"/>
        <v>3.6039700688680898E-4</v>
      </c>
      <c r="AX119" s="27" t="e">
        <f t="array" ref="AX119">AVERAGE(AK119:AK124/AJ119:AJ124) - AVERAGE(Q119:Q124/P119:P124)</f>
        <v>#DIV/0!</v>
      </c>
      <c r="AZ119" s="28">
        <f>IF( OR(ISBLANK(Q119:Q124),ISBLANK(AK119:AK124), ISBLANK(T119:T124),ISBLANK(AN119:AN124)), "·", bdRateExtend( Q119:Q124,T119:T124, AK119:AK124,AN119:AN124))</f>
        <v>5.556352038748269E-3</v>
      </c>
      <c r="BA119" s="28">
        <f>IF( OR(ISBLANK(Q119:Q124),ISBLANK(AK119:AK124), ISBLANK(U119:U124),ISBLANK(AO119:AO124)), "·", bdRateExtend( Q119:Q124,U119:U124, AK119:AK124,AO119:AO124))</f>
        <v>6.6111792570582306E-3</v>
      </c>
      <c r="BB119" s="28">
        <f>IF( OR(ISBLANK(R119:R124),ISBLANK(AL119:AL124), ISBLANK(V119:V124),ISBLANK(AP119:AP124)), "·", bdRateExtend( R119:R124,V119:V124, AL119:AL124,AP119:AP124))</f>
        <v>0</v>
      </c>
      <c r="BC119" s="28">
        <f>IF( OR(ISBLANK(R119:R124),ISBLANK(AL119:AL124), ISBLANK(W119:W124),ISBLANK(AQ119:AQ124)), "·", bdRateExtend( R119:R124,W119:W124, AL119:AL124,AQ119:AQ124))</f>
        <v>0</v>
      </c>
      <c r="BD119" s="28">
        <f>IF( OR(ISBLANK(R119:R124),ISBLANK(AL119:AL124), ISBLANK(X119:X124),ISBLANK(AR119:AR124)), "·", bdRateExtend( R119:R124,X119:X124, AL119:AL124,AR119:AR124))</f>
        <v>0</v>
      </c>
      <c r="BE119" s="29"/>
      <c r="BG119" s="28">
        <f>IF( OR(ISBLANK(P119:P124),ISBLANK(AJ119:AJ124), ISBLANK(T119:T124),ISBLANK(AN119:AN124)), "·", bdRateExtend( P119:P124,T119:T124, AJ119:AJ124,AN119:AN124))</f>
        <v>-6.5743812783236599E-5</v>
      </c>
      <c r="BH119" s="28">
        <f>IF( OR(ISBLANK(P119:P124),ISBLANK(AJ119:AJ124), ISBLANK(U119:U124),ISBLANK(AO119:AO124)), "·", bdRateExtend( P119:P124,U119:U124, AJ119:AJ124,AO119:AO124))</f>
        <v>-1.6514743564122192E-5</v>
      </c>
      <c r="BI119" s="28">
        <f>IF( OR(ISBLANK(P119:P124),ISBLANK(AJ119:AJ124), ISBLANK(V119:V124),ISBLANK(AP119:AP124)), "·", bdRateExtend( P119:P124,V119:V124, AJ119:AJ124,AP119:AP124))</f>
        <v>1.0246625281729038E-4</v>
      </c>
      <c r="BJ119" s="28">
        <f>IF( OR(ISBLANK(P119:P124),ISBLANK(AJ119:AJ124), ISBLANK(W119:W124),ISBLANK(AQ119:AQ124)), "·", bdRateExtend( P119:P124,W119:W124, AJ119:AJ124,AQ119:AQ124))</f>
        <v>1.6068465135798959E-4</v>
      </c>
      <c r="BK119" s="28">
        <f>IF( OR(ISBLANK(P119:P124),ISBLANK(AJ119:AJ124), ISBLANK(X119:X124),ISBLANK(AR119:AR124)), "·", bdRateExtend( P119:P124,X119:X124, AJ119:AJ124,AR119:AR124))</f>
        <v>9.0319024344864829E-5</v>
      </c>
      <c r="BL119" s="29"/>
    </row>
    <row r="120" spans="1:64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>
        <f t="shared" si="12"/>
        <v>0.13685574108115775</v>
      </c>
      <c r="K120" s="34">
        <f t="shared" si="13"/>
        <v>2.8880730911759217E-2</v>
      </c>
      <c r="L120" s="34">
        <f t="shared" si="14"/>
        <v>0.10773534803525776</v>
      </c>
      <c r="M120" s="35"/>
      <c r="N120" s="34">
        <f t="shared" si="15"/>
        <v>0.167043191710575</v>
      </c>
      <c r="O120" s="36">
        <v>2269880</v>
      </c>
      <c r="P120" s="37">
        <v>379168</v>
      </c>
      <c r="Q120" s="37">
        <v>80016</v>
      </c>
      <c r="R120" s="37">
        <v>298488</v>
      </c>
      <c r="S120" s="38"/>
      <c r="T120" s="39">
        <v>68.995265700000004</v>
      </c>
      <c r="U120" s="39">
        <v>70.052807999999999</v>
      </c>
      <c r="V120" s="39">
        <v>36.430327200000001</v>
      </c>
      <c r="W120" s="39">
        <v>42.404850799999998</v>
      </c>
      <c r="X120" s="39">
        <v>37.676834999999997</v>
      </c>
      <c r="Y120" s="38"/>
      <c r="Z120" s="41">
        <v>4.3250000000000002</v>
      </c>
      <c r="AA120" s="41">
        <v>3.1539999999999999</v>
      </c>
      <c r="AC120" s="33" t="str">
        <f t="shared" si="16"/>
        <v>·</v>
      </c>
      <c r="AD120" s="34">
        <f t="shared" si="17"/>
        <v>0.13683264111642129</v>
      </c>
      <c r="AE120" s="34">
        <f t="shared" si="18"/>
        <v>2.8952918301560656E-2</v>
      </c>
      <c r="AF120" s="34">
        <f t="shared" si="19"/>
        <v>0.10773534803525776</v>
      </c>
      <c r="AG120" s="35"/>
      <c r="AH120" s="34">
        <f t="shared" si="20"/>
        <v>0.16701499638747422</v>
      </c>
      <c r="AI120" s="36">
        <v>2269880</v>
      </c>
      <c r="AJ120" s="37">
        <v>379104</v>
      </c>
      <c r="AK120" s="37">
        <v>80216</v>
      </c>
      <c r="AL120" s="37">
        <v>298488</v>
      </c>
      <c r="AM120" s="38"/>
      <c r="AN120" s="39">
        <v>68.995265700000004</v>
      </c>
      <c r="AO120" s="39">
        <v>70.052807999999999</v>
      </c>
      <c r="AP120" s="39">
        <v>36.430327200000001</v>
      </c>
      <c r="AQ120" s="39">
        <v>42.404850799999998</v>
      </c>
      <c r="AR120" s="39">
        <v>37.676834999999997</v>
      </c>
      <c r="AS120" s="40"/>
      <c r="AT120" s="41">
        <v>4.1539999999999999</v>
      </c>
      <c r="AU120" s="41">
        <v>2.9180000000000001</v>
      </c>
      <c r="AW120" s="42">
        <f t="shared" si="21"/>
        <v>5.6318569540070307E-4</v>
      </c>
      <c r="AX120" s="42"/>
      <c r="AZ120" s="43"/>
      <c r="BA120" s="43"/>
      <c r="BB120" s="43"/>
      <c r="BC120" s="43"/>
      <c r="BD120" s="43"/>
      <c r="BE120" s="44"/>
      <c r="BG120" s="43"/>
      <c r="BH120" s="43"/>
      <c r="BI120" s="43"/>
      <c r="BJ120" s="43"/>
      <c r="BK120" s="43"/>
      <c r="BL120" s="44"/>
    </row>
    <row r="121" spans="1:64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>
        <f t="shared" si="12"/>
        <v>0.32256213258874444</v>
      </c>
      <c r="K121" s="19">
        <f t="shared" si="13"/>
        <v>9.546060427342129E-2</v>
      </c>
      <c r="L121" s="19">
        <f t="shared" si="14"/>
        <v>0.2268618661811824</v>
      </c>
      <c r="M121" s="20"/>
      <c r="N121" s="19">
        <f t="shared" si="15"/>
        <v>0.48290164623596299</v>
      </c>
      <c r="O121" s="21">
        <v>1850646</v>
      </c>
      <c r="P121" s="22">
        <v>893680</v>
      </c>
      <c r="Q121" s="22">
        <v>264480</v>
      </c>
      <c r="R121" s="22">
        <v>628536</v>
      </c>
      <c r="S121" s="23"/>
      <c r="T121" s="24">
        <v>71.8925141</v>
      </c>
      <c r="U121" s="24">
        <v>74.966686499999994</v>
      </c>
      <c r="V121" s="24">
        <v>38.727888399999998</v>
      </c>
      <c r="W121" s="24">
        <v>43.905866799999998</v>
      </c>
      <c r="X121" s="24">
        <v>40.468226000000001</v>
      </c>
      <c r="Y121" s="23"/>
      <c r="Z121" s="26">
        <v>5.6219999999999999</v>
      </c>
      <c r="AA121" s="26">
        <v>3.1680000000000001</v>
      </c>
      <c r="AC121" s="18" t="str">
        <f t="shared" si="16"/>
        <v>·</v>
      </c>
      <c r="AD121" s="19">
        <f t="shared" si="17"/>
        <v>0.32269784488157116</v>
      </c>
      <c r="AE121" s="19">
        <f t="shared" si="18"/>
        <v>9.6881252104713586E-2</v>
      </c>
      <c r="AF121" s="19">
        <f t="shared" si="19"/>
        <v>0.2268618661811824</v>
      </c>
      <c r="AG121" s="20"/>
      <c r="AH121" s="19">
        <f t="shared" si="20"/>
        <v>0.48310481853363635</v>
      </c>
      <c r="AI121" s="21">
        <v>1850646</v>
      </c>
      <c r="AJ121" s="22">
        <v>894056</v>
      </c>
      <c r="AK121" s="22">
        <v>268416</v>
      </c>
      <c r="AL121" s="22">
        <v>628536</v>
      </c>
      <c r="AM121" s="23"/>
      <c r="AN121" s="24">
        <v>71.8925141</v>
      </c>
      <c r="AO121" s="24">
        <v>74.966686499999994</v>
      </c>
      <c r="AP121" s="24">
        <v>38.727888399999998</v>
      </c>
      <c r="AQ121" s="24">
        <v>43.905866799999998</v>
      </c>
      <c r="AR121" s="24">
        <v>40.468226000000001</v>
      </c>
      <c r="AS121" s="25"/>
      <c r="AT121" s="26">
        <v>5.5910000000000002</v>
      </c>
      <c r="AU121" s="26">
        <v>3.121</v>
      </c>
      <c r="AW121" s="27">
        <f t="shared" si="21"/>
        <v>4.2779476159048868E-3</v>
      </c>
      <c r="AX121" s="27"/>
      <c r="AZ121" s="28"/>
      <c r="BA121" s="28"/>
      <c r="BB121" s="28"/>
      <c r="BC121" s="28"/>
      <c r="BD121" s="28"/>
      <c r="BE121" s="29"/>
      <c r="BG121" s="28"/>
      <c r="BH121" s="28"/>
      <c r="BI121" s="28"/>
      <c r="BJ121" s="28"/>
      <c r="BK121" s="28"/>
      <c r="BL121" s="29"/>
    </row>
    <row r="122" spans="1:64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>
        <f t="shared" si="12"/>
        <v>0.83705898467714368</v>
      </c>
      <c r="K122" s="34">
        <f t="shared" si="13"/>
        <v>0.29182762950688435</v>
      </c>
      <c r="L122" s="34">
        <f t="shared" si="14"/>
        <v>0.54499169303611861</v>
      </c>
      <c r="M122" s="35"/>
      <c r="N122" s="34">
        <f t="shared" si="15"/>
        <v>1.0292368800621325</v>
      </c>
      <c r="O122" s="36">
        <v>2253250</v>
      </c>
      <c r="P122" s="37">
        <v>2319128</v>
      </c>
      <c r="Q122" s="37">
        <v>808528</v>
      </c>
      <c r="R122" s="37">
        <v>1509936</v>
      </c>
      <c r="S122" s="38"/>
      <c r="T122" s="39">
        <v>73.097823000000005</v>
      </c>
      <c r="U122" s="39">
        <v>76.559704100000005</v>
      </c>
      <c r="V122" s="39">
        <v>41.3550817</v>
      </c>
      <c r="W122" s="39">
        <v>46.0918226</v>
      </c>
      <c r="X122" s="39">
        <v>43.351576299999998</v>
      </c>
      <c r="Y122" s="38"/>
      <c r="Z122" s="41">
        <v>10.448</v>
      </c>
      <c r="AA122" s="41">
        <v>6.1680000000000001</v>
      </c>
      <c r="AC122" s="33" t="str">
        <f t="shared" si="16"/>
        <v>·</v>
      </c>
      <c r="AD122" s="34">
        <f t="shared" si="17"/>
        <v>0.83739970915700646</v>
      </c>
      <c r="AE122" s="34">
        <f t="shared" si="18"/>
        <v>0.30957706491126186</v>
      </c>
      <c r="AF122" s="34">
        <f t="shared" si="19"/>
        <v>0.54499169303611861</v>
      </c>
      <c r="AG122" s="35"/>
      <c r="AH122" s="34">
        <f t="shared" si="20"/>
        <v>1.0296558304671031</v>
      </c>
      <c r="AI122" s="36">
        <v>2253250</v>
      </c>
      <c r="AJ122" s="37">
        <v>2320072</v>
      </c>
      <c r="AK122" s="37">
        <v>857704</v>
      </c>
      <c r="AL122" s="37">
        <v>1509936</v>
      </c>
      <c r="AM122" s="38"/>
      <c r="AN122" s="39">
        <v>73.097823000000005</v>
      </c>
      <c r="AO122" s="39">
        <v>76.559704100000005</v>
      </c>
      <c r="AP122" s="39">
        <v>41.3550817</v>
      </c>
      <c r="AQ122" s="39">
        <v>46.0918226</v>
      </c>
      <c r="AR122" s="39">
        <v>43.351576299999998</v>
      </c>
      <c r="AS122" s="40"/>
      <c r="AT122" s="41">
        <v>9.9809999999999999</v>
      </c>
      <c r="AU122" s="41">
        <v>5.9020000000000001</v>
      </c>
      <c r="AW122" s="42">
        <f t="shared" si="21"/>
        <v>2.1054040152418962E-2</v>
      </c>
      <c r="AX122" s="42"/>
      <c r="AZ122" s="43"/>
      <c r="BA122" s="43"/>
      <c r="BB122" s="43"/>
      <c r="BC122" s="43"/>
      <c r="BD122" s="43"/>
      <c r="BE122" s="44"/>
      <c r="BG122" s="43"/>
      <c r="BH122" s="43"/>
      <c r="BI122" s="43"/>
      <c r="BJ122" s="43"/>
      <c r="BK122" s="43"/>
      <c r="BL122" s="44"/>
    </row>
    <row r="123" spans="1:64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4"/>
      <c r="X123" s="24"/>
      <c r="Y123" s="23"/>
      <c r="Z123" s="26"/>
      <c r="AA123" s="26"/>
      <c r="AC123" s="18" t="str">
        <f t="shared" si="16"/>
        <v>·</v>
      </c>
      <c r="AD123" s="19" t="str">
        <f t="shared" si="17"/>
        <v>·</v>
      </c>
      <c r="AE123" s="19" t="str">
        <f t="shared" si="18"/>
        <v>·</v>
      </c>
      <c r="AF123" s="19" t="str">
        <f t="shared" si="19"/>
        <v>·</v>
      </c>
      <c r="AG123" s="20"/>
      <c r="AH123" s="19" t="str">
        <f t="shared" si="20"/>
        <v>·</v>
      </c>
      <c r="AI123" s="21"/>
      <c r="AJ123" s="22"/>
      <c r="AK123" s="22"/>
      <c r="AL123" s="22"/>
      <c r="AM123" s="23"/>
      <c r="AN123" s="24"/>
      <c r="AO123" s="24"/>
      <c r="AP123" s="24"/>
      <c r="AQ123" s="24"/>
      <c r="AR123" s="24"/>
      <c r="AS123" s="25"/>
      <c r="AT123" s="26"/>
      <c r="AU123" s="26"/>
      <c r="AW123" s="27" t="e">
        <f t="shared" si="21"/>
        <v>#DIV/0!</v>
      </c>
      <c r="AX123" s="27"/>
      <c r="AZ123" s="28"/>
      <c r="BA123" s="28"/>
      <c r="BB123" s="28"/>
      <c r="BC123" s="28"/>
      <c r="BD123" s="28"/>
      <c r="BE123" s="29"/>
      <c r="BG123" s="28"/>
      <c r="BH123" s="28"/>
      <c r="BI123" s="28"/>
      <c r="BJ123" s="28"/>
      <c r="BK123" s="28"/>
      <c r="BL123" s="29"/>
    </row>
    <row r="124" spans="1:64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4"/>
      <c r="X124" s="54"/>
      <c r="Y124" s="53"/>
      <c r="Z124" s="56"/>
      <c r="AA124" s="56"/>
      <c r="AC124" s="48" t="str">
        <f t="shared" si="16"/>
        <v>·</v>
      </c>
      <c r="AD124" s="49" t="str">
        <f t="shared" si="17"/>
        <v>·</v>
      </c>
      <c r="AE124" s="49" t="str">
        <f t="shared" si="18"/>
        <v>·</v>
      </c>
      <c r="AF124" s="49" t="str">
        <f t="shared" si="19"/>
        <v>·</v>
      </c>
      <c r="AG124" s="50"/>
      <c r="AH124" s="49" t="str">
        <f t="shared" si="20"/>
        <v>·</v>
      </c>
      <c r="AI124" s="51"/>
      <c r="AJ124" s="52"/>
      <c r="AK124" s="52"/>
      <c r="AL124" s="52"/>
      <c r="AM124" s="53"/>
      <c r="AN124" s="54"/>
      <c r="AO124" s="54"/>
      <c r="AP124" s="54"/>
      <c r="AQ124" s="54"/>
      <c r="AR124" s="54"/>
      <c r="AS124" s="55"/>
      <c r="AT124" s="56"/>
      <c r="AU124" s="56"/>
      <c r="AW124" s="57" t="e">
        <f t="shared" si="21"/>
        <v>#DIV/0!</v>
      </c>
      <c r="AX124" s="57"/>
      <c r="AZ124" s="58"/>
      <c r="BA124" s="58"/>
      <c r="BB124" s="58"/>
      <c r="BC124" s="58"/>
      <c r="BD124" s="58"/>
      <c r="BE124" s="59"/>
      <c r="BG124" s="58"/>
      <c r="BH124" s="58"/>
      <c r="BI124" s="58"/>
      <c r="BJ124" s="58"/>
      <c r="BK124" s="58"/>
      <c r="BL124" s="59"/>
    </row>
    <row r="125" spans="1:64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>
        <f t="shared" si="12"/>
        <v>4.6721512616717573E-2</v>
      </c>
      <c r="K125" s="19">
        <f t="shared" si="13"/>
        <v>9.0360376974696604E-3</v>
      </c>
      <c r="L125" s="19">
        <f t="shared" si="14"/>
        <v>3.7479565210655125E-2</v>
      </c>
      <c r="M125" s="20"/>
      <c r="N125" s="19">
        <f t="shared" si="15"/>
        <v>6.2230586142704179E-2</v>
      </c>
      <c r="O125" s="21">
        <v>3004439</v>
      </c>
      <c r="P125" s="22">
        <v>186968</v>
      </c>
      <c r="Q125" s="22">
        <v>36160</v>
      </c>
      <c r="R125" s="22">
        <v>149984</v>
      </c>
      <c r="S125" s="23"/>
      <c r="T125" s="24">
        <v>63.204963900000003</v>
      </c>
      <c r="U125" s="24">
        <v>63.576480599999996</v>
      </c>
      <c r="V125" s="24">
        <v>30.7780247</v>
      </c>
      <c r="W125" s="24">
        <v>45.4485849</v>
      </c>
      <c r="X125" s="24">
        <v>46.043400900000002</v>
      </c>
      <c r="Y125" s="23"/>
      <c r="Z125" s="26">
        <v>5.6050000000000004</v>
      </c>
      <c r="AA125" s="26">
        <v>3.7759999999999998</v>
      </c>
      <c r="AC125" s="18" t="str">
        <f t="shared" si="16"/>
        <v>·</v>
      </c>
      <c r="AD125" s="19">
        <f t="shared" si="17"/>
        <v>4.6693524889336029E-2</v>
      </c>
      <c r="AE125" s="19">
        <f t="shared" si="18"/>
        <v>9.0520306845448279E-3</v>
      </c>
      <c r="AF125" s="19">
        <f t="shared" si="19"/>
        <v>3.7479565210655125E-2</v>
      </c>
      <c r="AG125" s="20"/>
      <c r="AH125" s="19">
        <f t="shared" si="20"/>
        <v>6.2193307968642399E-2</v>
      </c>
      <c r="AI125" s="21">
        <v>3004439</v>
      </c>
      <c r="AJ125" s="22">
        <v>186856</v>
      </c>
      <c r="AK125" s="22">
        <v>36224</v>
      </c>
      <c r="AL125" s="22">
        <v>149984</v>
      </c>
      <c r="AM125" s="23"/>
      <c r="AN125" s="24">
        <v>63.204963900000003</v>
      </c>
      <c r="AO125" s="24">
        <v>63.576480599999996</v>
      </c>
      <c r="AP125" s="24">
        <v>30.7780247</v>
      </c>
      <c r="AQ125" s="24">
        <v>45.4485849</v>
      </c>
      <c r="AR125" s="24">
        <v>46.043400900000002</v>
      </c>
      <c r="AS125" s="25"/>
      <c r="AT125" s="26">
        <v>5.2309999999999999</v>
      </c>
      <c r="AU125" s="26">
        <v>3.5110000000000001</v>
      </c>
      <c r="AW125" s="27">
        <f t="shared" si="21"/>
        <v>4.5843340810050592E-4</v>
      </c>
      <c r="AX125" s="27" t="e">
        <f t="array" ref="AX125">AVERAGE(AK125:AK130/AJ125:AJ130) - AVERAGE(Q125:Q130/P125:P130)</f>
        <v>#DIV/0!</v>
      </c>
      <c r="AZ125" s="28">
        <f>IF( OR(ISBLANK(Q125:Q130),ISBLANK(AK125:AK130), ISBLANK(T125:T130),ISBLANK(AN125:AN130)), "·", bdRateExtend( Q125:Q130,T125:T130, AK125:AK130,AN125:AN130))</f>
        <v>6.8182734787296528E-3</v>
      </c>
      <c r="BA125" s="28">
        <f>IF( OR(ISBLANK(Q125:Q130),ISBLANK(AK125:AK130), ISBLANK(U125:U130),ISBLANK(AO125:AO130)), "·", bdRateExtend( Q125:Q130,U125:U130, AK125:AK130,AO125:AO130))</f>
        <v>6.9853271386390858E-3</v>
      </c>
      <c r="BB125" s="28">
        <f>IF( OR(ISBLANK(R125:R130),ISBLANK(AL125:AL130), ISBLANK(V125:V130),ISBLANK(AP125:AP130)), "·", bdRateExtend( R125:R130,V125:V130, AL125:AL130,AP125:AP130))</f>
        <v>0</v>
      </c>
      <c r="BC125" s="28">
        <f>IF( OR(ISBLANK(R125:R130),ISBLANK(AL125:AL130), ISBLANK(W125:W130),ISBLANK(AQ125:AQ130)), "·", bdRateExtend( R125:R130,W125:W130, AL125:AL130,AQ125:AQ130))</f>
        <v>0</v>
      </c>
      <c r="BD125" s="28">
        <f>IF( OR(ISBLANK(R125:R130),ISBLANK(AL125:AL130), ISBLANK(X125:X130),ISBLANK(AR125:AR130)), "·", bdRateExtend( R125:R130,X125:X130, AL125:AL130,AR125:AR130))</f>
        <v>0</v>
      </c>
      <c r="BE125" s="29"/>
      <c r="BG125" s="28">
        <f>IF( OR(ISBLANK(P125:P130),ISBLANK(AJ125:AJ130), ISBLANK(T125:T130),ISBLANK(AN125:AN130)), "·", bdRateExtend( P125:P130,T125:T130, AJ125:AJ130,AN125:AN130))</f>
        <v>-2.2498097966594521E-4</v>
      </c>
      <c r="BH125" s="28">
        <f>IF( OR(ISBLANK(P125:P130),ISBLANK(AJ125:AJ130), ISBLANK(U125:U130),ISBLANK(AO125:AO130)), "·", bdRateExtend( P125:P130,U125:U130, AJ125:AJ130,AO125:AO130))</f>
        <v>-1.702245916984646E-4</v>
      </c>
      <c r="BI125" s="28">
        <f>IF( OR(ISBLANK(P125:P130),ISBLANK(AJ125:AJ130), ISBLANK(V125:V130),ISBLANK(AP125:AP130)), "·", bdRateExtend( P125:P130,V125:V130, AJ125:AJ130,AP125:AP130))</f>
        <v>4.6797609725590661E-5</v>
      </c>
      <c r="BJ125" s="28">
        <f>IF( OR(ISBLANK(P125:P130),ISBLANK(AJ125:AJ130), ISBLANK(W125:W130),ISBLANK(AQ125:AQ130)), "·", bdRateExtend( P125:P130,W125:W130, AJ125:AJ130,AQ125:AQ130))</f>
        <v>1.1030614505691538E-4</v>
      </c>
      <c r="BK125" s="28">
        <f>IF( OR(ISBLANK(P125:P130),ISBLANK(AJ125:AJ130), ISBLANK(X125:X130),ISBLANK(AR125:AR130)), "·", bdRateExtend( P125:P130,X125:X130, AJ125:AJ130,AR125:AR130))</f>
        <v>8.7329054192952782E-5</v>
      </c>
      <c r="BL125" s="29"/>
    </row>
    <row r="126" spans="1:64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>
        <f t="shared" si="12"/>
        <v>0.11555732811162306</v>
      </c>
      <c r="K126" s="34">
        <f t="shared" si="13"/>
        <v>2.8105675661222553E-2</v>
      </c>
      <c r="L126" s="34">
        <f t="shared" si="14"/>
        <v>8.7245742741807714E-2</v>
      </c>
      <c r="M126" s="35"/>
      <c r="N126" s="34">
        <f t="shared" si="15"/>
        <v>0.16187787747420776</v>
      </c>
      <c r="O126" s="36">
        <v>2856672</v>
      </c>
      <c r="P126" s="37">
        <v>462432</v>
      </c>
      <c r="Q126" s="37">
        <v>112472</v>
      </c>
      <c r="R126" s="37">
        <v>349136</v>
      </c>
      <c r="S126" s="38"/>
      <c r="T126" s="39">
        <v>69.811497500000002</v>
      </c>
      <c r="U126" s="39">
        <v>70.903347800000006</v>
      </c>
      <c r="V126" s="39">
        <v>34.2211292</v>
      </c>
      <c r="W126" s="39">
        <v>46.976913000000003</v>
      </c>
      <c r="X126" s="39">
        <v>47.777142499999997</v>
      </c>
      <c r="Y126" s="38"/>
      <c r="Z126" s="41">
        <v>6.0250000000000004</v>
      </c>
      <c r="AA126" s="41">
        <v>3.8069999999999999</v>
      </c>
      <c r="AC126" s="33" t="str">
        <f t="shared" si="16"/>
        <v>·</v>
      </c>
      <c r="AD126" s="34">
        <f t="shared" si="17"/>
        <v>0.1155353377543947</v>
      </c>
      <c r="AE126" s="34">
        <f t="shared" si="18"/>
        <v>2.8211629200595539E-2</v>
      </c>
      <c r="AF126" s="34">
        <f t="shared" si="19"/>
        <v>8.7245742741807714E-2</v>
      </c>
      <c r="AG126" s="35"/>
      <c r="AH126" s="34">
        <f t="shared" si="20"/>
        <v>0.1618470723975311</v>
      </c>
      <c r="AI126" s="36">
        <v>2856672</v>
      </c>
      <c r="AJ126" s="37">
        <v>462344</v>
      </c>
      <c r="AK126" s="37">
        <v>112896</v>
      </c>
      <c r="AL126" s="37">
        <v>349136</v>
      </c>
      <c r="AM126" s="38"/>
      <c r="AN126" s="39">
        <v>69.811497500000002</v>
      </c>
      <c r="AO126" s="39">
        <v>70.903347800000006</v>
      </c>
      <c r="AP126" s="39">
        <v>34.2211292</v>
      </c>
      <c r="AQ126" s="39">
        <v>46.976913000000003</v>
      </c>
      <c r="AR126" s="39">
        <v>47.777142499999997</v>
      </c>
      <c r="AS126" s="40"/>
      <c r="AT126" s="41">
        <v>5.6040000000000001</v>
      </c>
      <c r="AU126" s="41">
        <v>3.6989999999999998</v>
      </c>
      <c r="AW126" s="42">
        <f t="shared" si="21"/>
        <v>9.6335893769644576E-4</v>
      </c>
      <c r="AX126" s="42"/>
      <c r="AZ126" s="43"/>
      <c r="BA126" s="43"/>
      <c r="BB126" s="43"/>
      <c r="BC126" s="43"/>
      <c r="BD126" s="43"/>
      <c r="BE126" s="44"/>
      <c r="BG126" s="43"/>
      <c r="BH126" s="43"/>
      <c r="BI126" s="43"/>
      <c r="BJ126" s="43"/>
      <c r="BK126" s="43"/>
      <c r="BL126" s="44"/>
    </row>
    <row r="127" spans="1:64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>
        <f t="shared" si="12"/>
        <v>0.29241177743559449</v>
      </c>
      <c r="K127" s="19">
        <f t="shared" si="13"/>
        <v>8.9650688173236043E-2</v>
      </c>
      <c r="L127" s="19">
        <f t="shared" si="14"/>
        <v>0.20255517955376567</v>
      </c>
      <c r="M127" s="20"/>
      <c r="N127" s="19">
        <f t="shared" si="15"/>
        <v>0.38593171130054726</v>
      </c>
      <c r="O127" s="21">
        <v>3032039</v>
      </c>
      <c r="P127" s="22">
        <v>1170160</v>
      </c>
      <c r="Q127" s="22">
        <v>358760</v>
      </c>
      <c r="R127" s="22">
        <v>810576</v>
      </c>
      <c r="S127" s="23"/>
      <c r="T127" s="24">
        <v>72.529009599999995</v>
      </c>
      <c r="U127" s="24">
        <v>75.440055299999997</v>
      </c>
      <c r="V127" s="24">
        <v>37.461927099999997</v>
      </c>
      <c r="W127" s="24">
        <v>48.801230699999998</v>
      </c>
      <c r="X127" s="24">
        <v>49.692536699999998</v>
      </c>
      <c r="Y127" s="23"/>
      <c r="Z127" s="26">
        <v>7.7439999999999998</v>
      </c>
      <c r="AA127" s="26">
        <v>5.1360000000000001</v>
      </c>
      <c r="AC127" s="18" t="str">
        <f t="shared" si="16"/>
        <v>·</v>
      </c>
      <c r="AD127" s="19">
        <f t="shared" si="17"/>
        <v>0.29253572308542702</v>
      </c>
      <c r="AE127" s="19">
        <f t="shared" si="18"/>
        <v>9.1279973731518735E-2</v>
      </c>
      <c r="AF127" s="19">
        <f t="shared" si="19"/>
        <v>0.20255517955376567</v>
      </c>
      <c r="AG127" s="20"/>
      <c r="AH127" s="19">
        <f t="shared" si="20"/>
        <v>0.38609529758687139</v>
      </c>
      <c r="AI127" s="21">
        <v>3032039</v>
      </c>
      <c r="AJ127" s="22">
        <v>1170656</v>
      </c>
      <c r="AK127" s="22">
        <v>365280</v>
      </c>
      <c r="AL127" s="22">
        <v>810576</v>
      </c>
      <c r="AM127" s="23"/>
      <c r="AN127" s="24">
        <v>72.529009599999995</v>
      </c>
      <c r="AO127" s="24">
        <v>75.440055299999997</v>
      </c>
      <c r="AP127" s="24">
        <v>37.461927099999997</v>
      </c>
      <c r="AQ127" s="24">
        <v>48.801230699999998</v>
      </c>
      <c r="AR127" s="24">
        <v>49.692536699999998</v>
      </c>
      <c r="AS127" s="25"/>
      <c r="AT127" s="26">
        <v>7.7919999999999998</v>
      </c>
      <c r="AU127" s="26">
        <v>4.9160000000000004</v>
      </c>
      <c r="AW127" s="27">
        <f t="shared" si="21"/>
        <v>5.4396262320844935E-3</v>
      </c>
      <c r="AX127" s="27"/>
      <c r="AZ127" s="28"/>
      <c r="BA127" s="28"/>
      <c r="BB127" s="28"/>
      <c r="BC127" s="28"/>
      <c r="BD127" s="28"/>
      <c r="BE127" s="29"/>
      <c r="BG127" s="28"/>
      <c r="BH127" s="28"/>
      <c r="BI127" s="28"/>
      <c r="BJ127" s="28"/>
      <c r="BK127" s="28"/>
      <c r="BL127" s="29"/>
    </row>
    <row r="128" spans="1:64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>
        <f t="shared" si="12"/>
        <v>0.71706156850221181</v>
      </c>
      <c r="K128" s="34">
        <f t="shared" si="13"/>
        <v>0.26705289730453197</v>
      </c>
      <c r="L128" s="34">
        <f t="shared" si="14"/>
        <v>0.44980276148908704</v>
      </c>
      <c r="M128" s="35"/>
      <c r="N128" s="34">
        <f t="shared" si="15"/>
        <v>0.81942235302247779</v>
      </c>
      <c r="O128" s="36">
        <v>3501862</v>
      </c>
      <c r="P128" s="37">
        <v>2869504</v>
      </c>
      <c r="Q128" s="37">
        <v>1068680</v>
      </c>
      <c r="R128" s="37">
        <v>1800000</v>
      </c>
      <c r="S128" s="38"/>
      <c r="T128" s="39">
        <v>73.493193000000005</v>
      </c>
      <c r="U128" s="39">
        <v>76.741933399999994</v>
      </c>
      <c r="V128" s="39">
        <v>40.388772000000003</v>
      </c>
      <c r="W128" s="39">
        <v>50.670550300000002</v>
      </c>
      <c r="X128" s="39">
        <v>51.544593300000003</v>
      </c>
      <c r="Y128" s="38"/>
      <c r="Z128" s="41">
        <v>14.385999999999999</v>
      </c>
      <c r="AA128" s="41">
        <v>9.4160000000000004</v>
      </c>
      <c r="AC128" s="33" t="str">
        <f t="shared" si="16"/>
        <v>·</v>
      </c>
      <c r="AD128" s="34">
        <f t="shared" si="17"/>
        <v>0.71741741246463431</v>
      </c>
      <c r="AE128" s="34">
        <f t="shared" si="18"/>
        <v>0.28399746711067198</v>
      </c>
      <c r="AF128" s="34">
        <f t="shared" si="19"/>
        <v>0.44980276148908704</v>
      </c>
      <c r="AG128" s="35"/>
      <c r="AH128" s="34">
        <f t="shared" si="20"/>
        <v>0.81982899383242402</v>
      </c>
      <c r="AI128" s="36">
        <v>3501862</v>
      </c>
      <c r="AJ128" s="37">
        <v>2870928</v>
      </c>
      <c r="AK128" s="37">
        <v>1136488</v>
      </c>
      <c r="AL128" s="37">
        <v>1800000</v>
      </c>
      <c r="AM128" s="38"/>
      <c r="AN128" s="39">
        <v>73.493193000000005</v>
      </c>
      <c r="AO128" s="39">
        <v>76.741933399999994</v>
      </c>
      <c r="AP128" s="39">
        <v>40.388772000000003</v>
      </c>
      <c r="AQ128" s="39">
        <v>50.670550300000002</v>
      </c>
      <c r="AR128" s="39">
        <v>51.544593300000003</v>
      </c>
      <c r="AS128" s="40"/>
      <c r="AT128" s="41">
        <v>13.571</v>
      </c>
      <c r="AU128" s="41">
        <v>9.1359999999999992</v>
      </c>
      <c r="AW128" s="42">
        <f t="shared" si="21"/>
        <v>2.3434117585753811E-2</v>
      </c>
      <c r="AX128" s="42"/>
      <c r="AZ128" s="43"/>
      <c r="BA128" s="43"/>
      <c r="BB128" s="43"/>
      <c r="BC128" s="43"/>
      <c r="BD128" s="43"/>
      <c r="BE128" s="44"/>
      <c r="BG128" s="43"/>
      <c r="BH128" s="43"/>
      <c r="BI128" s="43"/>
      <c r="BJ128" s="43"/>
      <c r="BK128" s="43"/>
      <c r="BL128" s="44"/>
    </row>
    <row r="129" spans="1:64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4"/>
      <c r="X129" s="24"/>
      <c r="Y129" s="23"/>
      <c r="Z129" s="26"/>
      <c r="AA129" s="26"/>
      <c r="AC129" s="18" t="str">
        <f t="shared" si="16"/>
        <v>·</v>
      </c>
      <c r="AD129" s="19" t="str">
        <f t="shared" si="17"/>
        <v>·</v>
      </c>
      <c r="AE129" s="19" t="str">
        <f t="shared" si="18"/>
        <v>·</v>
      </c>
      <c r="AF129" s="19" t="str">
        <f t="shared" si="19"/>
        <v>·</v>
      </c>
      <c r="AG129" s="20"/>
      <c r="AH129" s="19" t="str">
        <f t="shared" si="20"/>
        <v>·</v>
      </c>
      <c r="AI129" s="21"/>
      <c r="AJ129" s="22"/>
      <c r="AK129" s="22"/>
      <c r="AL129" s="22"/>
      <c r="AM129" s="23"/>
      <c r="AN129" s="24"/>
      <c r="AO129" s="24"/>
      <c r="AP129" s="24"/>
      <c r="AQ129" s="24"/>
      <c r="AR129" s="24"/>
      <c r="AS129" s="25"/>
      <c r="AT129" s="26"/>
      <c r="AU129" s="26"/>
      <c r="AW129" s="27" t="e">
        <f t="shared" si="21"/>
        <v>#DIV/0!</v>
      </c>
      <c r="AX129" s="27"/>
      <c r="AZ129" s="28"/>
      <c r="BA129" s="28"/>
      <c r="BB129" s="28"/>
      <c r="BC129" s="28"/>
      <c r="BD129" s="28"/>
      <c r="BE129" s="29"/>
      <c r="BG129" s="28"/>
      <c r="BH129" s="28"/>
      <c r="BI129" s="28"/>
      <c r="BJ129" s="28"/>
      <c r="BK129" s="28"/>
      <c r="BL129" s="29"/>
    </row>
    <row r="130" spans="1:64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4"/>
      <c r="X130" s="54"/>
      <c r="Y130" s="53"/>
      <c r="Z130" s="56"/>
      <c r="AA130" s="56"/>
      <c r="AC130" s="48" t="str">
        <f t="shared" si="16"/>
        <v>·</v>
      </c>
      <c r="AD130" s="49" t="str">
        <f t="shared" si="17"/>
        <v>·</v>
      </c>
      <c r="AE130" s="49" t="str">
        <f t="shared" si="18"/>
        <v>·</v>
      </c>
      <c r="AF130" s="49" t="str">
        <f t="shared" si="19"/>
        <v>·</v>
      </c>
      <c r="AG130" s="50"/>
      <c r="AH130" s="49" t="str">
        <f t="shared" si="20"/>
        <v>·</v>
      </c>
      <c r="AI130" s="51"/>
      <c r="AJ130" s="52"/>
      <c r="AK130" s="52"/>
      <c r="AL130" s="52"/>
      <c r="AM130" s="53"/>
      <c r="AN130" s="54"/>
      <c r="AO130" s="54"/>
      <c r="AP130" s="54"/>
      <c r="AQ130" s="54"/>
      <c r="AR130" s="54"/>
      <c r="AS130" s="55"/>
      <c r="AT130" s="56"/>
      <c r="AU130" s="56"/>
      <c r="AW130" s="57" t="e">
        <f t="shared" si="21"/>
        <v>#DIV/0!</v>
      </c>
      <c r="AX130" s="57"/>
      <c r="AZ130" s="58"/>
      <c r="BA130" s="58"/>
      <c r="BB130" s="58"/>
      <c r="BC130" s="58"/>
      <c r="BD130" s="58"/>
      <c r="BE130" s="59"/>
      <c r="BG130" s="58"/>
      <c r="BH130" s="58"/>
      <c r="BI130" s="58"/>
      <c r="BJ130" s="58"/>
      <c r="BK130" s="58"/>
      <c r="BL130" s="59"/>
    </row>
    <row r="131" spans="1:64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>
        <f t="shared" si="12"/>
        <v>9.2274924312264042E-2</v>
      </c>
      <c r="K131" s="19">
        <f t="shared" si="13"/>
        <v>3.6497483374343513E-3</v>
      </c>
      <c r="L131" s="19">
        <f t="shared" si="14"/>
        <v>8.8312031886706624E-2</v>
      </c>
      <c r="M131" s="20"/>
      <c r="N131" s="19">
        <f t="shared" si="15"/>
        <v>0.27236653386454185</v>
      </c>
      <c r="O131" s="21">
        <v>502000</v>
      </c>
      <c r="P131" s="22">
        <v>136728</v>
      </c>
      <c r="Q131" s="22">
        <v>5408</v>
      </c>
      <c r="R131" s="22">
        <v>130856</v>
      </c>
      <c r="S131" s="23"/>
      <c r="T131" s="24">
        <v>46.070187799999999</v>
      </c>
      <c r="U131" s="24">
        <v>52.713215599999998</v>
      </c>
      <c r="V131" s="24">
        <v>18.6492726</v>
      </c>
      <c r="W131" s="24">
        <v>35.661831599999999</v>
      </c>
      <c r="X131" s="24">
        <v>35.493067099999998</v>
      </c>
      <c r="Y131" s="23"/>
      <c r="Z131" s="26">
        <v>0.73399999999999999</v>
      </c>
      <c r="AA131" s="26">
        <v>0.63900000000000001</v>
      </c>
      <c r="AC131" s="18" t="str">
        <f t="shared" si="16"/>
        <v>·</v>
      </c>
      <c r="AD131" s="19">
        <f t="shared" si="17"/>
        <v>9.2269525276261921E-2</v>
      </c>
      <c r="AE131" s="19">
        <f t="shared" si="18"/>
        <v>3.6605464094385948E-3</v>
      </c>
      <c r="AF131" s="19">
        <f t="shared" si="19"/>
        <v>8.8312031886706624E-2</v>
      </c>
      <c r="AG131" s="20"/>
      <c r="AH131" s="19">
        <f t="shared" si="20"/>
        <v>0.27235059760956176</v>
      </c>
      <c r="AI131" s="21">
        <v>502000</v>
      </c>
      <c r="AJ131" s="22">
        <v>136720</v>
      </c>
      <c r="AK131" s="22">
        <v>5424</v>
      </c>
      <c r="AL131" s="22">
        <v>130856</v>
      </c>
      <c r="AM131" s="23"/>
      <c r="AN131" s="24">
        <v>46.070187799999999</v>
      </c>
      <c r="AO131" s="24">
        <v>52.713215599999998</v>
      </c>
      <c r="AP131" s="24">
        <v>18.6492726</v>
      </c>
      <c r="AQ131" s="24">
        <v>35.661831599999999</v>
      </c>
      <c r="AR131" s="24">
        <v>35.493067099999998</v>
      </c>
      <c r="AS131" s="25"/>
      <c r="AT131" s="26">
        <v>0.71799999999999997</v>
      </c>
      <c r="AU131" s="26">
        <v>0.57799999999999996</v>
      </c>
      <c r="AW131" s="27">
        <f t="shared" si="21"/>
        <v>1.1934189473968015E-4</v>
      </c>
      <c r="AX131" s="27" t="e">
        <f t="array" ref="AX131">AVERAGE(AK131:AK136/AJ131:AJ136) - AVERAGE(Q131:Q136/P131:P136)</f>
        <v>#DIV/0!</v>
      </c>
      <c r="AZ131" s="28">
        <f>IF( OR(ISBLANK(Q131:Q136),ISBLANK(AK131:AK136), ISBLANK(T131:T136),ISBLANK(AN131:AN136)), "·", bdRateExtend( Q131:Q136,T131:T136, AK131:AK136,AN131:AN136))</f>
        <v>7.9870343120587162E-3</v>
      </c>
      <c r="BA131" s="28">
        <f>IF( OR(ISBLANK(Q131:Q136),ISBLANK(AK131:AK136), ISBLANK(U131:U136),ISBLANK(AO131:AO136)), "·", bdRateExtend( Q131:Q136,U131:U136, AK131:AK136,AO131:AO136))</f>
        <v>7.9038050931077297E-3</v>
      </c>
      <c r="BB131" s="28">
        <f>IF( OR(ISBLANK(R131:R136),ISBLANK(AL131:AL136), ISBLANK(V131:V136),ISBLANK(AP131:AP136)), "·", bdRateExtend( R131:R136,V131:V136, AL131:AL136,AP131:AP136))</f>
        <v>0</v>
      </c>
      <c r="BC131" s="28">
        <f>IF( OR(ISBLANK(R131:R136),ISBLANK(AL131:AL136), ISBLANK(W131:W136),ISBLANK(AQ131:AQ136)), "·", bdRateExtend( R131:R136,W131:W136, AL131:AL136,AQ131:AQ136))</f>
        <v>0</v>
      </c>
      <c r="BD131" s="28">
        <f>IF( OR(ISBLANK(R131:R136),ISBLANK(AL131:AL136), ISBLANK(X131:X136),ISBLANK(AR131:AR136)), "·", bdRateExtend( R131:R136,X131:X136, AL131:AL136,AR131:AR136))</f>
        <v>0</v>
      </c>
      <c r="BE131" s="29"/>
      <c r="BG131" s="28">
        <f>IF( OR(ISBLANK(P131:P136),ISBLANK(AJ131:AJ136), ISBLANK(T131:T136),ISBLANK(AN131:AN136)), "·", bdRateExtend( P131:P136,T131:T136, AJ131:AJ136,AN131:AN136))</f>
        <v>8.5542076637690201E-5</v>
      </c>
      <c r="BH131" s="28">
        <f>IF( OR(ISBLANK(P131:P136),ISBLANK(AJ131:AJ136), ISBLANK(U131:U136),ISBLANK(AO131:AO136)), "·", bdRateExtend( P131:P136,U131:U136, AJ131:AJ136,AO131:AO136))</f>
        <v>7.4750541781964941E-5</v>
      </c>
      <c r="BI131" s="28">
        <f>IF( OR(ISBLANK(P131:P136),ISBLANK(AJ131:AJ136), ISBLANK(V131:V136),ISBLANK(AP131:AP136)), "·", bdRateExtend( P131:P136,V131:V136, AJ131:AJ136,AP131:AP136))</f>
        <v>7.8785986057150481E-5</v>
      </c>
      <c r="BJ131" s="28">
        <f>IF( OR(ISBLANK(P131:P136),ISBLANK(AJ131:AJ136), ISBLANK(W131:W136),ISBLANK(AQ131:AQ136)), "·", bdRateExtend( P131:P136,W131:W136, AJ131:AJ136,AQ131:AQ136))</f>
        <v>7.3824152889256922E-5</v>
      </c>
      <c r="BK131" s="28">
        <f>IF( OR(ISBLANK(P131:P136),ISBLANK(AJ131:AJ136), ISBLANK(X131:X136),ISBLANK(AR131:AR136)), "·", bdRateExtend( P131:P136,X131:X136, AJ131:AJ136,AR131:AR136))</f>
        <v>7.468081314732089E-5</v>
      </c>
      <c r="BL131" s="29"/>
    </row>
    <row r="132" spans="1:64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>
        <f t="shared" si="12"/>
        <v>0.30722134562873799</v>
      </c>
      <c r="K132" s="34">
        <f t="shared" si="13"/>
        <v>1.4032094569514613E-2</v>
      </c>
      <c r="L132" s="34">
        <f t="shared" si="14"/>
        <v>0.29287610697110034</v>
      </c>
      <c r="M132" s="35"/>
      <c r="N132" s="34">
        <f t="shared" si="15"/>
        <v>0.85408200406005275</v>
      </c>
      <c r="O132" s="36">
        <v>532998</v>
      </c>
      <c r="P132" s="37">
        <v>455224</v>
      </c>
      <c r="Q132" s="37">
        <v>20792</v>
      </c>
      <c r="R132" s="37">
        <v>433968</v>
      </c>
      <c r="S132" s="38"/>
      <c r="T132" s="39">
        <v>51.536340099999997</v>
      </c>
      <c r="U132" s="39">
        <v>58.353620100000001</v>
      </c>
      <c r="V132" s="39">
        <v>19.7719342</v>
      </c>
      <c r="W132" s="39">
        <v>36.5429022</v>
      </c>
      <c r="X132" s="39">
        <v>36.299983400000002</v>
      </c>
      <c r="Y132" s="38"/>
      <c r="Z132" s="41">
        <v>0.90500000000000003</v>
      </c>
      <c r="AA132" s="41">
        <v>0.76500000000000001</v>
      </c>
      <c r="AC132" s="33" t="str">
        <f t="shared" si="16"/>
        <v>·</v>
      </c>
      <c r="AD132" s="34">
        <f t="shared" si="17"/>
        <v>0.30725913888075285</v>
      </c>
      <c r="AE132" s="34">
        <f t="shared" si="18"/>
        <v>1.414007528955705E-2</v>
      </c>
      <c r="AF132" s="34">
        <f t="shared" si="19"/>
        <v>0.29287610697110034</v>
      </c>
      <c r="AG132" s="35"/>
      <c r="AH132" s="34">
        <f t="shared" si="20"/>
        <v>0.85418707012033812</v>
      </c>
      <c r="AI132" s="36">
        <v>532998</v>
      </c>
      <c r="AJ132" s="37">
        <v>455280</v>
      </c>
      <c r="AK132" s="37">
        <v>20952</v>
      </c>
      <c r="AL132" s="37">
        <v>433968</v>
      </c>
      <c r="AM132" s="38"/>
      <c r="AN132" s="39">
        <v>51.536340099999997</v>
      </c>
      <c r="AO132" s="39">
        <v>58.353620100000001</v>
      </c>
      <c r="AP132" s="39">
        <v>19.7719342</v>
      </c>
      <c r="AQ132" s="39">
        <v>36.5429022</v>
      </c>
      <c r="AR132" s="39">
        <v>36.299983400000002</v>
      </c>
      <c r="AS132" s="40"/>
      <c r="AT132" s="41">
        <v>0.874</v>
      </c>
      <c r="AU132" s="41">
        <v>0.749</v>
      </c>
      <c r="AW132" s="42">
        <f t="shared" si="21"/>
        <v>3.4581410081362118E-4</v>
      </c>
      <c r="AX132" s="42"/>
      <c r="AZ132" s="43"/>
      <c r="BA132" s="43"/>
      <c r="BB132" s="43"/>
      <c r="BC132" s="43"/>
      <c r="BD132" s="43"/>
      <c r="BE132" s="44"/>
      <c r="BG132" s="43"/>
      <c r="BH132" s="43"/>
      <c r="BI132" s="43"/>
      <c r="BJ132" s="43"/>
      <c r="BK132" s="43"/>
      <c r="BL132" s="44"/>
    </row>
    <row r="133" spans="1:64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>
        <f t="shared" ref="J133:J196" si="23">IF(ISBLANK(P133),"·",P133/D133)</f>
        <v>1.0076544832920082</v>
      </c>
      <c r="K133" s="19">
        <f t="shared" ref="K133:K196" si="24">IF(Q133="","·",Q133/D133)</f>
        <v>6.7271988586437889E-2</v>
      </c>
      <c r="L133" s="19">
        <f t="shared" ref="L133:L196" si="25">IF(ISBLANK(R133),"·",R133/D133)</f>
        <v>0.94006935061744723</v>
      </c>
      <c r="M133" s="20"/>
      <c r="N133" s="19">
        <f t="shared" ref="N133:N196" si="26">IF(ISBLANK(P133),"·",P133/O133)</f>
        <v>1.995248034936832</v>
      </c>
      <c r="O133" s="21">
        <v>748322</v>
      </c>
      <c r="P133" s="22">
        <v>1493088</v>
      </c>
      <c r="Q133" s="22">
        <v>99680</v>
      </c>
      <c r="R133" s="22">
        <v>1392944</v>
      </c>
      <c r="S133" s="23"/>
      <c r="T133" s="24">
        <v>58.046529100000001</v>
      </c>
      <c r="U133" s="24">
        <v>61.9193061</v>
      </c>
      <c r="V133" s="24">
        <v>20.825285999999998</v>
      </c>
      <c r="W133" s="24">
        <v>37.229344400000002</v>
      </c>
      <c r="X133" s="24">
        <v>36.992934499999997</v>
      </c>
      <c r="Y133" s="23"/>
      <c r="Z133" s="26">
        <v>1.484</v>
      </c>
      <c r="AA133" s="26">
        <v>1.25</v>
      </c>
      <c r="AC133" s="18" t="str">
        <f t="shared" ref="AC133:AC196" si="27">IF(OR(ISBLANK(AJ133),ISBLANK(G133)),"·",AJ133*G133/F133/1000000)</f>
        <v>·</v>
      </c>
      <c r="AD133" s="19">
        <f t="shared" ref="AD133:AD196" si="28">IF(ISBLANK(AJ133),"·",AJ133/D133)</f>
        <v>1.0077462669040442</v>
      </c>
      <c r="AE133" s="19">
        <f t="shared" ref="AE133:AE196" si="29">IF(AK133="","·",AK133/D133)</f>
        <v>6.7946868086703124E-2</v>
      </c>
      <c r="AF133" s="19">
        <f t="shared" ref="AF133:AF196" si="30">IF(ISBLANK(AL133),"·",AL133/D133)</f>
        <v>0.94006935061744723</v>
      </c>
      <c r="AG133" s="20"/>
      <c r="AH133" s="19">
        <f t="shared" ref="AH133:AH196" si="31">IF(ISBLANK(AJ133),"·",AJ133/AI133)</f>
        <v>1.995429774883005</v>
      </c>
      <c r="AI133" s="21">
        <v>748322</v>
      </c>
      <c r="AJ133" s="22">
        <v>1493224</v>
      </c>
      <c r="AK133" s="22">
        <v>100680</v>
      </c>
      <c r="AL133" s="22">
        <v>1392944</v>
      </c>
      <c r="AM133" s="23"/>
      <c r="AN133" s="24">
        <v>58.046529100000001</v>
      </c>
      <c r="AO133" s="24">
        <v>61.9193061</v>
      </c>
      <c r="AP133" s="24">
        <v>20.825285999999998</v>
      </c>
      <c r="AQ133" s="24">
        <v>37.229344400000002</v>
      </c>
      <c r="AR133" s="24">
        <v>36.992934499999997</v>
      </c>
      <c r="AS133" s="25"/>
      <c r="AT133" s="26">
        <v>1.4359999999999999</v>
      </c>
      <c r="AU133" s="26">
        <v>1.218</v>
      </c>
      <c r="AW133" s="27">
        <f t="shared" ref="AW133:AW196" si="32">(AK133/AJ133) - (Q133/P133)</f>
        <v>6.6361142626239489E-4</v>
      </c>
      <c r="AX133" s="27"/>
      <c r="AZ133" s="28"/>
      <c r="BA133" s="28"/>
      <c r="BB133" s="28"/>
      <c r="BC133" s="28"/>
      <c r="BD133" s="28"/>
      <c r="BE133" s="29"/>
      <c r="BG133" s="28"/>
      <c r="BH133" s="28"/>
      <c r="BI133" s="28"/>
      <c r="BJ133" s="28"/>
      <c r="BK133" s="28"/>
      <c r="BL133" s="29"/>
    </row>
    <row r="134" spans="1:64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>
        <f t="shared" si="23"/>
        <v>2.4406720180111843</v>
      </c>
      <c r="K134" s="34">
        <f t="shared" si="24"/>
        <v>0.29309746744718729</v>
      </c>
      <c r="L134" s="34">
        <f t="shared" si="25"/>
        <v>2.1472614064758737</v>
      </c>
      <c r="M134" s="35"/>
      <c r="N134" s="34">
        <f t="shared" si="26"/>
        <v>3.6537461330337422</v>
      </c>
      <c r="O134" s="36">
        <v>989794</v>
      </c>
      <c r="P134" s="37">
        <v>3616456</v>
      </c>
      <c r="Q134" s="37">
        <v>434296</v>
      </c>
      <c r="R134" s="37">
        <v>3181696</v>
      </c>
      <c r="S134" s="38"/>
      <c r="T134" s="39">
        <v>59.622191800000003</v>
      </c>
      <c r="U134" s="39">
        <v>63.776589899999998</v>
      </c>
      <c r="V134" s="39">
        <v>21.556020499999999</v>
      </c>
      <c r="W134" s="39">
        <v>38.148183899999999</v>
      </c>
      <c r="X134" s="39">
        <v>37.917507100000002</v>
      </c>
      <c r="Y134" s="38"/>
      <c r="Z134" s="41">
        <v>3.03</v>
      </c>
      <c r="AA134" s="41">
        <v>2.5150000000000001</v>
      </c>
      <c r="AC134" s="33" t="str">
        <f t="shared" si="27"/>
        <v>·</v>
      </c>
      <c r="AD134" s="34">
        <f t="shared" si="28"/>
        <v>2.4407638016232203</v>
      </c>
      <c r="AE134" s="34">
        <f t="shared" si="29"/>
        <v>0.29919297909358283</v>
      </c>
      <c r="AF134" s="34">
        <f t="shared" si="30"/>
        <v>2.1472614064758737</v>
      </c>
      <c r="AG134" s="35"/>
      <c r="AH134" s="34">
        <f t="shared" si="31"/>
        <v>3.6538835353619037</v>
      </c>
      <c r="AI134" s="36">
        <v>989794</v>
      </c>
      <c r="AJ134" s="37">
        <v>3616592</v>
      </c>
      <c r="AK134" s="37">
        <v>443328</v>
      </c>
      <c r="AL134" s="37">
        <v>3181696</v>
      </c>
      <c r="AM134" s="38"/>
      <c r="AN134" s="39">
        <v>59.622191800000003</v>
      </c>
      <c r="AO134" s="39">
        <v>63.776589899999998</v>
      </c>
      <c r="AP134" s="39">
        <v>21.556020499999999</v>
      </c>
      <c r="AQ134" s="39">
        <v>38.148183899999999</v>
      </c>
      <c r="AR134" s="39">
        <v>37.917507100000002</v>
      </c>
      <c r="AS134" s="40"/>
      <c r="AT134" s="41">
        <v>2.9359999999999999</v>
      </c>
      <c r="AU134" s="41">
        <v>2.4830000000000001</v>
      </c>
      <c r="AW134" s="42">
        <f t="shared" si="32"/>
        <v>2.4928628714501883E-3</v>
      </c>
      <c r="AX134" s="42"/>
      <c r="AZ134" s="43"/>
      <c r="BA134" s="43"/>
      <c r="BB134" s="43"/>
      <c r="BC134" s="43"/>
      <c r="BD134" s="43"/>
      <c r="BE134" s="44"/>
      <c r="BG134" s="43"/>
      <c r="BH134" s="43"/>
      <c r="BI134" s="43"/>
      <c r="BJ134" s="43"/>
      <c r="BK134" s="43"/>
      <c r="BL134" s="44"/>
    </row>
    <row r="135" spans="1:64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4"/>
      <c r="X135" s="24"/>
      <c r="Y135" s="23"/>
      <c r="Z135" s="26"/>
      <c r="AA135" s="26"/>
      <c r="AC135" s="18" t="str">
        <f t="shared" si="27"/>
        <v>·</v>
      </c>
      <c r="AD135" s="19" t="str">
        <f t="shared" si="28"/>
        <v>·</v>
      </c>
      <c r="AE135" s="19" t="str">
        <f t="shared" si="29"/>
        <v>·</v>
      </c>
      <c r="AF135" s="19" t="str">
        <f t="shared" si="30"/>
        <v>·</v>
      </c>
      <c r="AG135" s="20"/>
      <c r="AH135" s="19" t="str">
        <f t="shared" si="31"/>
        <v>·</v>
      </c>
      <c r="AI135" s="21"/>
      <c r="AJ135" s="22"/>
      <c r="AK135" s="22"/>
      <c r="AL135" s="22"/>
      <c r="AM135" s="23"/>
      <c r="AN135" s="24"/>
      <c r="AO135" s="24"/>
      <c r="AP135" s="24"/>
      <c r="AQ135" s="24"/>
      <c r="AR135" s="24"/>
      <c r="AS135" s="25"/>
      <c r="AT135" s="26"/>
      <c r="AU135" s="26"/>
      <c r="AW135" s="27" t="e">
        <f t="shared" si="32"/>
        <v>#DIV/0!</v>
      </c>
      <c r="AX135" s="27"/>
      <c r="AZ135" s="28"/>
      <c r="BA135" s="28"/>
      <c r="BB135" s="28"/>
      <c r="BC135" s="28"/>
      <c r="BD135" s="28"/>
      <c r="BE135" s="29"/>
      <c r="BG135" s="28"/>
      <c r="BH135" s="28"/>
      <c r="BI135" s="28"/>
      <c r="BJ135" s="28"/>
      <c r="BK135" s="28"/>
      <c r="BL135" s="29"/>
    </row>
    <row r="136" spans="1:64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4"/>
      <c r="X136" s="54"/>
      <c r="Y136" s="53"/>
      <c r="Z136" s="56"/>
      <c r="AA136" s="56"/>
      <c r="AC136" s="48" t="str">
        <f t="shared" si="27"/>
        <v>·</v>
      </c>
      <c r="AD136" s="49" t="str">
        <f t="shared" si="28"/>
        <v>·</v>
      </c>
      <c r="AE136" s="49" t="str">
        <f t="shared" si="29"/>
        <v>·</v>
      </c>
      <c r="AF136" s="49" t="str">
        <f t="shared" si="30"/>
        <v>·</v>
      </c>
      <c r="AG136" s="50"/>
      <c r="AH136" s="49" t="str">
        <f t="shared" si="31"/>
        <v>·</v>
      </c>
      <c r="AI136" s="51"/>
      <c r="AJ136" s="52"/>
      <c r="AK136" s="52"/>
      <c r="AL136" s="52"/>
      <c r="AM136" s="53"/>
      <c r="AN136" s="54"/>
      <c r="AO136" s="54"/>
      <c r="AP136" s="54"/>
      <c r="AQ136" s="54"/>
      <c r="AR136" s="54"/>
      <c r="AS136" s="55"/>
      <c r="AT136" s="56"/>
      <c r="AU136" s="56"/>
      <c r="AW136" s="57" t="e">
        <f t="shared" si="32"/>
        <v>#DIV/0!</v>
      </c>
      <c r="AX136" s="57"/>
      <c r="AZ136" s="58"/>
      <c r="BA136" s="58"/>
      <c r="BB136" s="58"/>
      <c r="BC136" s="58"/>
      <c r="BD136" s="58"/>
      <c r="BE136" s="59"/>
      <c r="BG136" s="58"/>
      <c r="BH136" s="58"/>
      <c r="BI136" s="58"/>
      <c r="BJ136" s="58"/>
      <c r="BK136" s="58"/>
      <c r="BL136" s="59"/>
    </row>
    <row r="137" spans="1:64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>
        <f t="shared" si="23"/>
        <v>0.10309369086561734</v>
      </c>
      <c r="K137" s="19">
        <f t="shared" si="24"/>
        <v>1.7544116999897316E-2</v>
      </c>
      <c r="L137" s="19">
        <f t="shared" si="25"/>
        <v>8.3847970544659756E-2</v>
      </c>
      <c r="M137" s="20"/>
      <c r="N137" s="19">
        <f t="shared" si="26"/>
        <v>4.7942098387718415E-2</v>
      </c>
      <c r="O137" s="21">
        <v>586374</v>
      </c>
      <c r="P137" s="22">
        <v>28112</v>
      </c>
      <c r="Q137" s="22">
        <v>4784</v>
      </c>
      <c r="R137" s="22">
        <v>22864</v>
      </c>
      <c r="S137" s="23"/>
      <c r="T137" s="24">
        <v>51.546671099999998</v>
      </c>
      <c r="U137" s="24">
        <v>53.888002200000003</v>
      </c>
      <c r="V137" s="24">
        <v>28.225167599999999</v>
      </c>
      <c r="W137" s="24">
        <v>40.141483899999997</v>
      </c>
      <c r="X137" s="24">
        <v>41.021787000000003</v>
      </c>
      <c r="Y137" s="23"/>
      <c r="Z137" s="26">
        <v>0.85799999999999998</v>
      </c>
      <c r="AA137" s="26">
        <v>0.70199999999999996</v>
      </c>
      <c r="AC137" s="18" t="str">
        <f t="shared" si="27"/>
        <v>·</v>
      </c>
      <c r="AD137" s="19">
        <f t="shared" si="28"/>
        <v>0.10312302885391149</v>
      </c>
      <c r="AE137" s="19">
        <f t="shared" si="29"/>
        <v>1.7573454988191458E-2</v>
      </c>
      <c r="AF137" s="19">
        <f t="shared" si="30"/>
        <v>8.3847970544659756E-2</v>
      </c>
      <c r="AG137" s="20"/>
      <c r="AH137" s="19">
        <f t="shared" si="31"/>
        <v>4.7955741557436038E-2</v>
      </c>
      <c r="AI137" s="21">
        <v>586374</v>
      </c>
      <c r="AJ137" s="22">
        <v>28120</v>
      </c>
      <c r="AK137" s="22">
        <v>4792</v>
      </c>
      <c r="AL137" s="22">
        <v>22864</v>
      </c>
      <c r="AM137" s="23"/>
      <c r="AN137" s="24">
        <v>51.546671099999998</v>
      </c>
      <c r="AO137" s="24">
        <v>53.888002200000003</v>
      </c>
      <c r="AP137" s="24">
        <v>28.225167599999999</v>
      </c>
      <c r="AQ137" s="24">
        <v>40.141483899999997</v>
      </c>
      <c r="AR137" s="24">
        <v>41.021787000000003</v>
      </c>
      <c r="AS137" s="25"/>
      <c r="AT137" s="26">
        <v>0.81200000000000006</v>
      </c>
      <c r="AU137" s="26">
        <v>0.73399999999999999</v>
      </c>
      <c r="AW137" s="27">
        <f t="shared" si="32"/>
        <v>2.3608067223079843E-4</v>
      </c>
      <c r="AX137" s="27" t="e">
        <f t="array" ref="AX137">AVERAGE(AK137:AK142/AJ137:AJ142) - AVERAGE(Q137:Q142/P137:P142)</f>
        <v>#DIV/0!</v>
      </c>
      <c r="AZ137" s="28">
        <f>IF( OR(ISBLANK(Q137:Q142),ISBLANK(AK137:AK142), ISBLANK(T137:T142),ISBLANK(AN137:AN142)), "·", bdRateExtend( Q137:Q142,T137:T142, AK137:AK142,AN137:AN142))</f>
        <v>5.1776406138086539E-3</v>
      </c>
      <c r="BA137" s="28">
        <f>IF( OR(ISBLANK(Q137:Q142),ISBLANK(AK137:AK142), ISBLANK(U137:U142),ISBLANK(AO137:AO142)), "·", bdRateExtend( Q137:Q142,U137:U142, AK137:AK142,AO137:AO142))</f>
        <v>5.4676215881401813E-3</v>
      </c>
      <c r="BB137" s="28">
        <f>IF( OR(ISBLANK(R137:R142),ISBLANK(AL137:AL142), ISBLANK(V137:V142),ISBLANK(AP137:AP142)), "·", bdRateExtend( R137:R142,V137:V142, AL137:AL142,AP137:AP142))</f>
        <v>0</v>
      </c>
      <c r="BC137" s="28">
        <f>IF( OR(ISBLANK(R137:R142),ISBLANK(AL137:AL142), ISBLANK(W137:W142),ISBLANK(AQ137:AQ142)), "·", bdRateExtend( R137:R142,W137:W142, AL137:AL142,AQ137:AQ142))</f>
        <v>0</v>
      </c>
      <c r="BD137" s="28">
        <f>IF( OR(ISBLANK(R137:R142),ISBLANK(AL137:AL142), ISBLANK(X137:X142),ISBLANK(AR137:AR142)), "·", bdRateExtend( R137:R142,X137:X142, AL137:AL142,AR137:AR142))</f>
        <v>0</v>
      </c>
      <c r="BE137" s="29"/>
      <c r="BG137" s="28">
        <f>IF( OR(ISBLANK(P137:P142),ISBLANK(AJ137:AJ142), ISBLANK(T137:T142),ISBLANK(AN137:AN142)), "·", bdRateExtend( P137:P142,T137:T142, AJ137:AJ142,AN137:AN142))</f>
        <v>6.6225448082346539E-4</v>
      </c>
      <c r="BH137" s="28">
        <f>IF( OR(ISBLANK(P137:P142),ISBLANK(AJ137:AJ142), ISBLANK(U137:U142),ISBLANK(AO137:AO142)), "·", bdRateExtend( P137:P142,U137:U142, AJ137:AJ142,AO137:AO142))</f>
        <v>7.0554298048364217E-4</v>
      </c>
      <c r="BI137" s="28">
        <f>IF( OR(ISBLANK(P137:P142),ISBLANK(AJ137:AJ142), ISBLANK(V137:V142),ISBLANK(AP137:AP142)), "·", bdRateExtend( P137:P142,V137:V142, AJ137:AJ142,AP137:AP142))</f>
        <v>7.1605610783365137E-4</v>
      </c>
      <c r="BJ137" s="28">
        <f>IF( OR(ISBLANK(P137:P142),ISBLANK(AJ137:AJ142), ISBLANK(W137:W142),ISBLANK(AQ137:AQ142)), "·", bdRateExtend( P137:P142,W137:W142, AJ137:AJ142,AQ137:AQ142))</f>
        <v>6.1643774200992318E-4</v>
      </c>
      <c r="BK137" s="28">
        <f>IF( OR(ISBLANK(P137:P142),ISBLANK(AJ137:AJ142), ISBLANK(X137:X142),ISBLANK(AR137:AR142)), "·", bdRateExtend( P137:P142,X137:X142, AJ137:AJ142,AR137:AR142))</f>
        <v>5.8998417952182969E-4</v>
      </c>
      <c r="BL137" s="29"/>
    </row>
    <row r="138" spans="1:64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>
        <f t="shared" si="23"/>
        <v>0.28798169309530447</v>
      </c>
      <c r="K138" s="34">
        <f t="shared" si="24"/>
        <v>5.7443781079931353E-2</v>
      </c>
      <c r="L138" s="34">
        <f t="shared" si="25"/>
        <v>0.22883630869431282</v>
      </c>
      <c r="M138" s="35"/>
      <c r="N138" s="34">
        <f t="shared" si="26"/>
        <v>0.13593426243441564</v>
      </c>
      <c r="O138" s="36">
        <v>577691</v>
      </c>
      <c r="P138" s="37">
        <v>78528</v>
      </c>
      <c r="Q138" s="37">
        <v>15664</v>
      </c>
      <c r="R138" s="37">
        <v>62400</v>
      </c>
      <c r="S138" s="38"/>
      <c r="T138" s="39">
        <v>56.839413700000001</v>
      </c>
      <c r="U138" s="39">
        <v>59.153519600000003</v>
      </c>
      <c r="V138" s="39">
        <v>30.930051599999999</v>
      </c>
      <c r="W138" s="39">
        <v>41.486353700000002</v>
      </c>
      <c r="X138" s="39">
        <v>42.4633021</v>
      </c>
      <c r="Y138" s="38"/>
      <c r="Z138" s="41">
        <v>0.96799999999999997</v>
      </c>
      <c r="AA138" s="41">
        <v>0.79600000000000004</v>
      </c>
      <c r="AC138" s="33" t="str">
        <f t="shared" si="27"/>
        <v>·</v>
      </c>
      <c r="AD138" s="34">
        <f t="shared" si="28"/>
        <v>0.28830441096654003</v>
      </c>
      <c r="AE138" s="34">
        <f t="shared" si="29"/>
        <v>5.7795836939461061E-2</v>
      </c>
      <c r="AF138" s="34">
        <f t="shared" si="30"/>
        <v>0.22883630869431282</v>
      </c>
      <c r="AG138" s="35"/>
      <c r="AH138" s="34">
        <f t="shared" si="31"/>
        <v>0.13608659300560333</v>
      </c>
      <c r="AI138" s="36">
        <v>577691</v>
      </c>
      <c r="AJ138" s="37">
        <v>78616</v>
      </c>
      <c r="AK138" s="37">
        <v>15760</v>
      </c>
      <c r="AL138" s="37">
        <v>62400</v>
      </c>
      <c r="AM138" s="38"/>
      <c r="AN138" s="39">
        <v>56.839413700000001</v>
      </c>
      <c r="AO138" s="39">
        <v>59.153519600000003</v>
      </c>
      <c r="AP138" s="39">
        <v>30.930051599999999</v>
      </c>
      <c r="AQ138" s="39">
        <v>41.486353700000002</v>
      </c>
      <c r="AR138" s="39">
        <v>42.4633021</v>
      </c>
      <c r="AS138" s="40"/>
      <c r="AT138" s="41">
        <v>0.88900000000000001</v>
      </c>
      <c r="AU138" s="41">
        <v>0.73399999999999999</v>
      </c>
      <c r="AW138" s="42">
        <f t="shared" si="32"/>
        <v>9.9784544834272126E-4</v>
      </c>
      <c r="AX138" s="42"/>
      <c r="AZ138" s="43"/>
      <c r="BA138" s="43"/>
      <c r="BB138" s="43"/>
      <c r="BC138" s="43"/>
      <c r="BD138" s="43"/>
      <c r="BE138" s="44"/>
      <c r="BG138" s="43"/>
      <c r="BH138" s="43"/>
      <c r="BI138" s="43"/>
      <c r="BJ138" s="43"/>
      <c r="BK138" s="43"/>
      <c r="BL138" s="44"/>
    </row>
    <row r="139" spans="1:64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>
        <f t="shared" si="23"/>
        <v>0.92391192735914096</v>
      </c>
      <c r="K139" s="19">
        <f t="shared" si="24"/>
        <v>0.24362265479456074</v>
      </c>
      <c r="L139" s="19">
        <f t="shared" si="25"/>
        <v>0.67858766924351999</v>
      </c>
      <c r="M139" s="20"/>
      <c r="N139" s="19">
        <f t="shared" si="26"/>
        <v>0.35948335397558318</v>
      </c>
      <c r="O139" s="21">
        <v>700828</v>
      </c>
      <c r="P139" s="22">
        <v>251936</v>
      </c>
      <c r="Q139" s="22">
        <v>66432</v>
      </c>
      <c r="R139" s="22">
        <v>185040</v>
      </c>
      <c r="S139" s="23"/>
      <c r="T139" s="24">
        <v>58.269922899999997</v>
      </c>
      <c r="U139" s="24">
        <v>61.257719299999998</v>
      </c>
      <c r="V139" s="24">
        <v>32.9085599</v>
      </c>
      <c r="W139" s="24">
        <v>43.825595100000001</v>
      </c>
      <c r="X139" s="24">
        <v>44.375182500000001</v>
      </c>
      <c r="Y139" s="23"/>
      <c r="Z139" s="26">
        <v>1.468</v>
      </c>
      <c r="AA139" s="26">
        <v>1.234</v>
      </c>
      <c r="AC139" s="18" t="str">
        <f t="shared" si="27"/>
        <v>·</v>
      </c>
      <c r="AD139" s="19">
        <f t="shared" si="28"/>
        <v>0.92417596925378831</v>
      </c>
      <c r="AE139" s="19">
        <f t="shared" si="29"/>
        <v>0.24796467706209385</v>
      </c>
      <c r="AF139" s="19">
        <f t="shared" si="30"/>
        <v>0.67858766924351999</v>
      </c>
      <c r="AG139" s="20"/>
      <c r="AH139" s="19">
        <f t="shared" si="31"/>
        <v>0.35958608959687682</v>
      </c>
      <c r="AI139" s="21">
        <v>700828</v>
      </c>
      <c r="AJ139" s="22">
        <v>252008</v>
      </c>
      <c r="AK139" s="22">
        <v>67616</v>
      </c>
      <c r="AL139" s="22">
        <v>185040</v>
      </c>
      <c r="AM139" s="23"/>
      <c r="AN139" s="24">
        <v>58.269922899999997</v>
      </c>
      <c r="AO139" s="24">
        <v>61.257719299999998</v>
      </c>
      <c r="AP139" s="24">
        <v>32.9085599</v>
      </c>
      <c r="AQ139" s="24">
        <v>43.825595100000001</v>
      </c>
      <c r="AR139" s="24">
        <v>44.375182500000001</v>
      </c>
      <c r="AS139" s="25"/>
      <c r="AT139" s="26">
        <v>1.343</v>
      </c>
      <c r="AU139" s="26">
        <v>1.171</v>
      </c>
      <c r="AW139" s="27">
        <f t="shared" si="32"/>
        <v>4.6229270772527031E-3</v>
      </c>
      <c r="AX139" s="27"/>
      <c r="AZ139" s="28"/>
      <c r="BA139" s="28"/>
      <c r="BB139" s="28"/>
      <c r="BC139" s="28"/>
      <c r="BD139" s="28"/>
      <c r="BE139" s="29"/>
      <c r="BG139" s="28"/>
      <c r="BH139" s="28"/>
      <c r="BI139" s="28"/>
      <c r="BJ139" s="28"/>
      <c r="BK139" s="28"/>
      <c r="BL139" s="29"/>
    </row>
    <row r="140" spans="1:64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>
        <f t="shared" si="23"/>
        <v>2.779187631104135</v>
      </c>
      <c r="K140" s="34">
        <f t="shared" si="24"/>
        <v>1.0433762156928899</v>
      </c>
      <c r="L140" s="34">
        <f t="shared" si="25"/>
        <v>1.734109812090185</v>
      </c>
      <c r="M140" s="35"/>
      <c r="N140" s="34">
        <f t="shared" si="26"/>
        <v>0.83599186335376319</v>
      </c>
      <c r="O140" s="36">
        <v>906516</v>
      </c>
      <c r="P140" s="37">
        <v>757840</v>
      </c>
      <c r="Q140" s="37">
        <v>284512</v>
      </c>
      <c r="R140" s="37">
        <v>472864</v>
      </c>
      <c r="S140" s="38"/>
      <c r="T140" s="39">
        <v>58.527166000000001</v>
      </c>
      <c r="U140" s="39">
        <v>61.445379699999997</v>
      </c>
      <c r="V140" s="39">
        <v>33.893015499999997</v>
      </c>
      <c r="W140" s="39">
        <v>45.291564200000003</v>
      </c>
      <c r="X140" s="39">
        <v>46.041190200000003</v>
      </c>
      <c r="Y140" s="38"/>
      <c r="Z140" s="41">
        <v>2.4049999999999998</v>
      </c>
      <c r="AA140" s="41">
        <v>2.0779999999999998</v>
      </c>
      <c r="AC140" s="33" t="str">
        <f t="shared" si="27"/>
        <v>·</v>
      </c>
      <c r="AD140" s="34">
        <f t="shared" si="28"/>
        <v>2.7798917428231946</v>
      </c>
      <c r="AE140" s="34">
        <f t="shared" si="29"/>
        <v>1.0686068856258526</v>
      </c>
      <c r="AF140" s="34">
        <f t="shared" si="30"/>
        <v>1.734109812090185</v>
      </c>
      <c r="AG140" s="35"/>
      <c r="AH140" s="34">
        <f t="shared" si="31"/>
        <v>0.83620366325580575</v>
      </c>
      <c r="AI140" s="36">
        <v>906516</v>
      </c>
      <c r="AJ140" s="37">
        <v>758032</v>
      </c>
      <c r="AK140" s="37">
        <v>291392</v>
      </c>
      <c r="AL140" s="37">
        <v>472864</v>
      </c>
      <c r="AM140" s="38"/>
      <c r="AN140" s="39">
        <v>58.527166000000001</v>
      </c>
      <c r="AO140" s="39">
        <v>61.445379699999997</v>
      </c>
      <c r="AP140" s="39">
        <v>33.893015499999997</v>
      </c>
      <c r="AQ140" s="39">
        <v>45.291564200000003</v>
      </c>
      <c r="AR140" s="39">
        <v>46.041190200000003</v>
      </c>
      <c r="AS140" s="40"/>
      <c r="AT140" s="41">
        <v>2.3580000000000001</v>
      </c>
      <c r="AU140" s="41">
        <v>2.0459999999999998</v>
      </c>
      <c r="AW140" s="42">
        <f t="shared" si="32"/>
        <v>8.98104357174212E-3</v>
      </c>
      <c r="AX140" s="42"/>
      <c r="AZ140" s="43"/>
      <c r="BA140" s="43"/>
      <c r="BB140" s="43"/>
      <c r="BC140" s="43"/>
      <c r="BD140" s="43"/>
      <c r="BE140" s="44"/>
      <c r="BG140" s="43"/>
      <c r="BH140" s="43"/>
      <c r="BI140" s="43"/>
      <c r="BJ140" s="43"/>
      <c r="BK140" s="43"/>
      <c r="BL140" s="44"/>
    </row>
    <row r="141" spans="1:64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4"/>
      <c r="X141" s="24"/>
      <c r="Y141" s="23"/>
      <c r="Z141" s="26"/>
      <c r="AA141" s="26"/>
      <c r="AC141" s="18" t="str">
        <f t="shared" si="27"/>
        <v>·</v>
      </c>
      <c r="AD141" s="19" t="str">
        <f t="shared" si="28"/>
        <v>·</v>
      </c>
      <c r="AE141" s="19" t="str">
        <f t="shared" si="29"/>
        <v>·</v>
      </c>
      <c r="AF141" s="19" t="str">
        <f t="shared" si="30"/>
        <v>·</v>
      </c>
      <c r="AG141" s="20"/>
      <c r="AH141" s="19" t="str">
        <f t="shared" si="31"/>
        <v>·</v>
      </c>
      <c r="AI141" s="21"/>
      <c r="AJ141" s="22"/>
      <c r="AK141" s="22"/>
      <c r="AL141" s="22"/>
      <c r="AM141" s="23"/>
      <c r="AN141" s="24"/>
      <c r="AO141" s="24"/>
      <c r="AP141" s="24"/>
      <c r="AQ141" s="24"/>
      <c r="AR141" s="24"/>
      <c r="AS141" s="25"/>
      <c r="AT141" s="26"/>
      <c r="AU141" s="26"/>
      <c r="AW141" s="27" t="e">
        <f t="shared" si="32"/>
        <v>#DIV/0!</v>
      </c>
      <c r="AX141" s="27"/>
      <c r="AZ141" s="28"/>
      <c r="BA141" s="28"/>
      <c r="BB141" s="28"/>
      <c r="BC141" s="28"/>
      <c r="BD141" s="28"/>
      <c r="BE141" s="29"/>
      <c r="BG141" s="28"/>
      <c r="BH141" s="28"/>
      <c r="BI141" s="28"/>
      <c r="BJ141" s="28"/>
      <c r="BK141" s="28"/>
      <c r="BL141" s="29"/>
    </row>
    <row r="142" spans="1:64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4"/>
      <c r="X142" s="54"/>
      <c r="Y142" s="53"/>
      <c r="Z142" s="56"/>
      <c r="AA142" s="56"/>
      <c r="AC142" s="48" t="str">
        <f t="shared" si="27"/>
        <v>·</v>
      </c>
      <c r="AD142" s="49" t="str">
        <f t="shared" si="28"/>
        <v>·</v>
      </c>
      <c r="AE142" s="49" t="str">
        <f t="shared" si="29"/>
        <v>·</v>
      </c>
      <c r="AF142" s="49" t="str">
        <f t="shared" si="30"/>
        <v>·</v>
      </c>
      <c r="AG142" s="50"/>
      <c r="AH142" s="49" t="str">
        <f t="shared" si="31"/>
        <v>·</v>
      </c>
      <c r="AI142" s="51"/>
      <c r="AJ142" s="52"/>
      <c r="AK142" s="52"/>
      <c r="AL142" s="52"/>
      <c r="AM142" s="53"/>
      <c r="AN142" s="54"/>
      <c r="AO142" s="54"/>
      <c r="AP142" s="54"/>
      <c r="AQ142" s="54"/>
      <c r="AR142" s="54"/>
      <c r="AS142" s="55"/>
      <c r="AT142" s="56"/>
      <c r="AU142" s="56"/>
      <c r="AW142" s="57" t="e">
        <f t="shared" si="32"/>
        <v>#DIV/0!</v>
      </c>
      <c r="AX142" s="57"/>
      <c r="AZ142" s="58"/>
      <c r="BA142" s="58"/>
      <c r="BB142" s="58"/>
      <c r="BC142" s="58"/>
      <c r="BD142" s="58"/>
      <c r="BE142" s="59"/>
      <c r="BG142" s="58"/>
      <c r="BH142" s="58"/>
      <c r="BI142" s="58"/>
      <c r="BJ142" s="58"/>
      <c r="BK142" s="58"/>
      <c r="BL142" s="59"/>
    </row>
    <row r="143" spans="1:64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>
        <f t="shared" si="23"/>
        <v>5.0803396890911581E-2</v>
      </c>
      <c r="K143" s="19">
        <f t="shared" si="24"/>
        <v>7.3550587759940429E-4</v>
      </c>
      <c r="L143" s="19">
        <f t="shared" si="25"/>
        <v>4.9955177125576164E-2</v>
      </c>
      <c r="M143" s="20"/>
      <c r="N143" s="19">
        <f t="shared" si="26"/>
        <v>0.51929437437603587</v>
      </c>
      <c r="O143" s="21">
        <v>409679</v>
      </c>
      <c r="P143" s="22">
        <v>212744</v>
      </c>
      <c r="Q143" s="22">
        <v>3080</v>
      </c>
      <c r="R143" s="22">
        <v>209192</v>
      </c>
      <c r="S143" s="23"/>
      <c r="T143" s="24">
        <v>50.357228999999997</v>
      </c>
      <c r="U143" s="24">
        <v>55.418549800000001</v>
      </c>
      <c r="V143" s="24">
        <v>15.7245857</v>
      </c>
      <c r="W143" s="24">
        <v>35.070901399999997</v>
      </c>
      <c r="X143" s="24">
        <v>32.112271200000002</v>
      </c>
      <c r="Y143" s="23"/>
      <c r="Z143" s="26">
        <v>0.59299999999999997</v>
      </c>
      <c r="AA143" s="26">
        <v>0.499</v>
      </c>
      <c r="AC143" s="18" t="str">
        <f t="shared" si="27"/>
        <v>·</v>
      </c>
      <c r="AD143" s="19">
        <f t="shared" si="28"/>
        <v>5.0807217700665347E-2</v>
      </c>
      <c r="AE143" s="19">
        <f t="shared" si="29"/>
        <v>7.3741628247628592E-4</v>
      </c>
      <c r="AF143" s="19">
        <f t="shared" si="30"/>
        <v>4.9955177125576164E-2</v>
      </c>
      <c r="AG143" s="20"/>
      <c r="AH143" s="19">
        <f t="shared" si="31"/>
        <v>0.51933342934346161</v>
      </c>
      <c r="AI143" s="21">
        <v>409679</v>
      </c>
      <c r="AJ143" s="22">
        <v>212760</v>
      </c>
      <c r="AK143" s="22">
        <v>3088</v>
      </c>
      <c r="AL143" s="22">
        <v>209192</v>
      </c>
      <c r="AM143" s="23"/>
      <c r="AN143" s="24">
        <v>50.357228999999997</v>
      </c>
      <c r="AO143" s="24">
        <v>55.418549800000001</v>
      </c>
      <c r="AP143" s="24">
        <v>15.7245857</v>
      </c>
      <c r="AQ143" s="24">
        <v>35.070901399999997</v>
      </c>
      <c r="AR143" s="24">
        <v>32.112271200000002</v>
      </c>
      <c r="AS143" s="25"/>
      <c r="AT143" s="26">
        <v>0.59299999999999997</v>
      </c>
      <c r="AU143" s="26">
        <v>0.45200000000000001</v>
      </c>
      <c r="AW143" s="27">
        <f t="shared" si="32"/>
        <v>3.6512314790194608E-5</v>
      </c>
      <c r="AX143" s="27" t="e">
        <f t="array" ref="AX143">AVERAGE(AK143:AK148/AJ143:AJ148) - AVERAGE(Q143:Q148/P143:P148)</f>
        <v>#DIV/0!</v>
      </c>
      <c r="AZ143" s="28">
        <f>IF( OR(ISBLANK(Q143:Q148),ISBLANK(AK143:AK148), ISBLANK(T143:T148),ISBLANK(AN143:AN148)), "·", bdRateExtend( Q143:Q148,T143:T148, AK143:AK148,AN143:AN148))</f>
        <v>3.2343127603728927E-3</v>
      </c>
      <c r="BA143" s="28">
        <f>IF( OR(ISBLANK(Q143:Q148),ISBLANK(AK143:AK148), ISBLANK(U143:U148),ISBLANK(AO143:AO148)), "·", bdRateExtend( Q143:Q148,U143:U148, AK143:AK148,AO143:AO148))</f>
        <v>3.9909960795612154E-3</v>
      </c>
      <c r="BB143" s="28">
        <f>IF( OR(ISBLANK(R143:R148),ISBLANK(AL143:AL148), ISBLANK(V143:V148),ISBLANK(AP143:AP148)), "·", bdRateExtend( R143:R148,V143:V148, AL143:AL148,AP143:AP148))</f>
        <v>0</v>
      </c>
      <c r="BC143" s="28">
        <f>IF( OR(ISBLANK(R143:R148),ISBLANK(AL143:AL148), ISBLANK(W143:W148),ISBLANK(AQ143:AQ148)), "·", bdRateExtend( R143:R148,W143:W148, AL143:AL148,AQ143:AQ148))</f>
        <v>0</v>
      </c>
      <c r="BD143" s="28">
        <f>IF( OR(ISBLANK(R143:R148),ISBLANK(AL143:AL148), ISBLANK(X143:X148),ISBLANK(AR143:AR148)), "·", bdRateExtend( R143:R148,X143:X148, AL143:AL148,AR143:AR148))</f>
        <v>0</v>
      </c>
      <c r="BE143" s="29"/>
      <c r="BG143" s="28">
        <f>IF( OR(ISBLANK(P143:P148),ISBLANK(AJ143:AJ148), ISBLANK(T143:T148),ISBLANK(AN143:AN148)), "·", bdRateExtend( P143:P148,T143:T148, AJ143:AJ148,AN143:AN148))</f>
        <v>4.8750847517320395E-5</v>
      </c>
      <c r="BH143" s="28">
        <f>IF( OR(ISBLANK(P143:P148),ISBLANK(AJ143:AJ148), ISBLANK(U143:U148),ISBLANK(AO143:AO148)), "·", bdRateExtend( P143:P148,U143:U148, AJ143:AJ148,AO143:AO148))</f>
        <v>4.7647649628501654E-5</v>
      </c>
      <c r="BI143" s="28">
        <f>IF( OR(ISBLANK(P143:P148),ISBLANK(AJ143:AJ148), ISBLANK(V143:V148),ISBLANK(AP143:AP148)), "·", bdRateExtend( P143:P148,V143:V148, AJ143:AJ148,AP143:AP148))</f>
        <v>4.6515633678856361E-5</v>
      </c>
      <c r="BJ143" s="28">
        <f>IF( OR(ISBLANK(P143:P148),ISBLANK(AJ143:AJ148), ISBLANK(W143:W148),ISBLANK(AQ143:AQ148)), "·", bdRateExtend( P143:P148,W143:W148, AJ143:AJ148,AQ143:AQ148))</f>
        <v>4.4186832043102697E-5</v>
      </c>
      <c r="BK143" s="28">
        <f>IF( OR(ISBLANK(P143:P148),ISBLANK(AJ143:AJ148), ISBLANK(X143:X148),ISBLANK(AR143:AR148)), "·", bdRateExtend( P143:P148,X143:X148, AJ143:AJ148,AR143:AR148))</f>
        <v>4.4858408872361366E-5</v>
      </c>
      <c r="BL143" s="29"/>
    </row>
    <row r="144" spans="1:64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>
        <f t="shared" si="23"/>
        <v>0.17646218807267372</v>
      </c>
      <c r="K144" s="34">
        <f t="shared" si="24"/>
        <v>3.2763443638518922E-3</v>
      </c>
      <c r="L144" s="34">
        <f t="shared" si="25"/>
        <v>0.1730731298210858</v>
      </c>
      <c r="M144" s="35"/>
      <c r="N144" s="34">
        <f t="shared" si="26"/>
        <v>1.4851664640090041</v>
      </c>
      <c r="O144" s="36">
        <v>497555</v>
      </c>
      <c r="P144" s="37">
        <v>738952</v>
      </c>
      <c r="Q144" s="37">
        <v>13720</v>
      </c>
      <c r="R144" s="37">
        <v>724760</v>
      </c>
      <c r="S144" s="38"/>
      <c r="T144" s="39">
        <v>55.099859100000003</v>
      </c>
      <c r="U144" s="39">
        <v>59.152903500000001</v>
      </c>
      <c r="V144" s="39">
        <v>16.394961200000001</v>
      </c>
      <c r="W144" s="39">
        <v>35.586485600000003</v>
      </c>
      <c r="X144" s="39">
        <v>32.837544700000002</v>
      </c>
      <c r="Y144" s="38"/>
      <c r="Z144" s="41">
        <v>0.84299999999999997</v>
      </c>
      <c r="AA144" s="41">
        <v>0.71799999999999997</v>
      </c>
      <c r="AC144" s="33" t="str">
        <f t="shared" si="27"/>
        <v>·</v>
      </c>
      <c r="AD144" s="34">
        <f t="shared" si="28"/>
        <v>0.17646982969218125</v>
      </c>
      <c r="AE144" s="34">
        <f t="shared" si="29"/>
        <v>3.2782547687287738E-3</v>
      </c>
      <c r="AF144" s="34">
        <f t="shared" si="30"/>
        <v>0.1730731298210858</v>
      </c>
      <c r="AG144" s="35"/>
      <c r="AH144" s="34">
        <f t="shared" si="31"/>
        <v>1.4852307785068988</v>
      </c>
      <c r="AI144" s="36">
        <v>497555</v>
      </c>
      <c r="AJ144" s="37">
        <v>738984</v>
      </c>
      <c r="AK144" s="37">
        <v>13728</v>
      </c>
      <c r="AL144" s="37">
        <v>724760</v>
      </c>
      <c r="AM144" s="38"/>
      <c r="AN144" s="39">
        <v>55.099859100000003</v>
      </c>
      <c r="AO144" s="39">
        <v>59.152903500000001</v>
      </c>
      <c r="AP144" s="39">
        <v>16.394961200000001</v>
      </c>
      <c r="AQ144" s="39">
        <v>35.586485600000003</v>
      </c>
      <c r="AR144" s="39">
        <v>32.837544700000002</v>
      </c>
      <c r="AS144" s="40"/>
      <c r="AT144" s="41">
        <v>0.85799999999999998</v>
      </c>
      <c r="AU144" s="41">
        <v>0.65600000000000003</v>
      </c>
      <c r="AW144" s="42">
        <f t="shared" si="32"/>
        <v>1.0021680136244882E-5</v>
      </c>
      <c r="AX144" s="42"/>
      <c r="AZ144" s="43"/>
      <c r="BA144" s="43"/>
      <c r="BB144" s="43"/>
      <c r="BC144" s="43"/>
      <c r="BD144" s="43"/>
      <c r="BE144" s="44"/>
      <c r="BG144" s="43"/>
      <c r="BH144" s="43"/>
      <c r="BI144" s="43"/>
      <c r="BJ144" s="43"/>
      <c r="BK144" s="43"/>
      <c r="BL144" s="44"/>
    </row>
    <row r="145" spans="1:64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>
        <f t="shared" si="23"/>
        <v>0.47817625108833378</v>
      </c>
      <c r="K145" s="19">
        <f t="shared" si="24"/>
        <v>1.70408115017836E-2</v>
      </c>
      <c r="L145" s="19">
        <f t="shared" si="25"/>
        <v>0.46102272569881414</v>
      </c>
      <c r="M145" s="20"/>
      <c r="N145" s="19">
        <f t="shared" si="26"/>
        <v>2.8886398028854545</v>
      </c>
      <c r="O145" s="21">
        <v>693201</v>
      </c>
      <c r="P145" s="22">
        <v>2002408</v>
      </c>
      <c r="Q145" s="22">
        <v>71360</v>
      </c>
      <c r="R145" s="22">
        <v>1930576</v>
      </c>
      <c r="S145" s="23"/>
      <c r="T145" s="24">
        <v>58.075631100000003</v>
      </c>
      <c r="U145" s="24">
        <v>61.283169200000003</v>
      </c>
      <c r="V145" s="24">
        <v>16.911838299999999</v>
      </c>
      <c r="W145" s="24">
        <v>36.405222799999997</v>
      </c>
      <c r="X145" s="24">
        <v>33.8066508</v>
      </c>
      <c r="Y145" s="23"/>
      <c r="Z145" s="26">
        <v>1.327</v>
      </c>
      <c r="AA145" s="26">
        <v>1.109</v>
      </c>
      <c r="AC145" s="18" t="str">
        <f t="shared" si="27"/>
        <v>·</v>
      </c>
      <c r="AD145" s="19">
        <f t="shared" si="28"/>
        <v>0.47819917594685635</v>
      </c>
      <c r="AE145" s="19">
        <f t="shared" si="29"/>
        <v>1.7121048506612627E-2</v>
      </c>
      <c r="AF145" s="19">
        <f t="shared" si="30"/>
        <v>0.46102272569881414</v>
      </c>
      <c r="AG145" s="20"/>
      <c r="AH145" s="19">
        <f t="shared" si="31"/>
        <v>2.8887782908564761</v>
      </c>
      <c r="AI145" s="21">
        <v>693201</v>
      </c>
      <c r="AJ145" s="22">
        <v>2002504</v>
      </c>
      <c r="AK145" s="22">
        <v>71696</v>
      </c>
      <c r="AL145" s="22">
        <v>1930576</v>
      </c>
      <c r="AM145" s="23"/>
      <c r="AN145" s="24">
        <v>58.075631100000003</v>
      </c>
      <c r="AO145" s="24">
        <v>61.283169200000003</v>
      </c>
      <c r="AP145" s="24">
        <v>16.911838299999999</v>
      </c>
      <c r="AQ145" s="24">
        <v>36.405222799999997</v>
      </c>
      <c r="AR145" s="24">
        <v>33.8066508</v>
      </c>
      <c r="AS145" s="25"/>
      <c r="AT145" s="26">
        <v>1.3109999999999999</v>
      </c>
      <c r="AU145" s="26">
        <v>1.1240000000000001</v>
      </c>
      <c r="AW145" s="27">
        <f t="shared" si="32"/>
        <v>1.6608148551900542E-4</v>
      </c>
      <c r="AX145" s="27"/>
      <c r="AZ145" s="28"/>
      <c r="BA145" s="28"/>
      <c r="BB145" s="28"/>
      <c r="BC145" s="28"/>
      <c r="BD145" s="28"/>
      <c r="BE145" s="29"/>
      <c r="BG145" s="28"/>
      <c r="BH145" s="28"/>
      <c r="BI145" s="28"/>
      <c r="BJ145" s="28"/>
      <c r="BK145" s="28"/>
      <c r="BL145" s="29"/>
    </row>
    <row r="146" spans="1:64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>
        <f t="shared" si="23"/>
        <v>1.035080287152957</v>
      </c>
      <c r="K146" s="34">
        <f t="shared" si="24"/>
        <v>7.635315171432569E-2</v>
      </c>
      <c r="L146" s="34">
        <f t="shared" si="25"/>
        <v>0.95861442155089538</v>
      </c>
      <c r="M146" s="35"/>
      <c r="N146" s="34">
        <f t="shared" si="26"/>
        <v>4.8404109076574491</v>
      </c>
      <c r="O146" s="36">
        <v>895481</v>
      </c>
      <c r="P146" s="37">
        <v>4334496</v>
      </c>
      <c r="Q146" s="37">
        <v>319736</v>
      </c>
      <c r="R146" s="37">
        <v>4014288</v>
      </c>
      <c r="S146" s="38"/>
      <c r="T146" s="39">
        <v>60.468224999999997</v>
      </c>
      <c r="U146" s="39">
        <v>64.084509499999996</v>
      </c>
      <c r="V146" s="39">
        <v>17.6079975</v>
      </c>
      <c r="W146" s="39">
        <v>37.608032700000003</v>
      </c>
      <c r="X146" s="39">
        <v>35.120506499999998</v>
      </c>
      <c r="Y146" s="38"/>
      <c r="Z146" s="41">
        <v>2.577</v>
      </c>
      <c r="AA146" s="41">
        <v>2.2330000000000001</v>
      </c>
      <c r="AC146" s="33" t="str">
        <f t="shared" si="27"/>
        <v>·</v>
      </c>
      <c r="AD146" s="34">
        <f t="shared" si="28"/>
        <v>1.0351051224163565</v>
      </c>
      <c r="AE146" s="34">
        <f t="shared" si="29"/>
        <v>7.751085706971593E-2</v>
      </c>
      <c r="AF146" s="34">
        <f t="shared" si="30"/>
        <v>0.95861442155089538</v>
      </c>
      <c r="AG146" s="35"/>
      <c r="AH146" s="34">
        <f t="shared" si="31"/>
        <v>4.8405270463583259</v>
      </c>
      <c r="AI146" s="36">
        <v>895481</v>
      </c>
      <c r="AJ146" s="37">
        <v>4334600</v>
      </c>
      <c r="AK146" s="37">
        <v>324584</v>
      </c>
      <c r="AL146" s="37">
        <v>4014288</v>
      </c>
      <c r="AM146" s="38"/>
      <c r="AN146" s="39">
        <v>60.468224999999997</v>
      </c>
      <c r="AO146" s="39">
        <v>64.084509499999996</v>
      </c>
      <c r="AP146" s="39">
        <v>17.6079975</v>
      </c>
      <c r="AQ146" s="39">
        <v>37.608032700000003</v>
      </c>
      <c r="AR146" s="39">
        <v>35.120506499999998</v>
      </c>
      <c r="AS146" s="40"/>
      <c r="AT146" s="41">
        <v>2.4990000000000001</v>
      </c>
      <c r="AU146" s="41">
        <v>2.2799999999999998</v>
      </c>
      <c r="AW146" s="42">
        <f t="shared" si="32"/>
        <v>1.1166724482883778E-3</v>
      </c>
      <c r="AX146" s="42"/>
      <c r="AZ146" s="43"/>
      <c r="BA146" s="43"/>
      <c r="BB146" s="43"/>
      <c r="BC146" s="43"/>
      <c r="BD146" s="43"/>
      <c r="BE146" s="44"/>
      <c r="BG146" s="43"/>
      <c r="BH146" s="43"/>
      <c r="BI146" s="43"/>
      <c r="BJ146" s="43"/>
      <c r="BK146" s="43"/>
      <c r="BL146" s="44"/>
    </row>
    <row r="147" spans="1:64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4"/>
      <c r="X147" s="24"/>
      <c r="Y147" s="23"/>
      <c r="Z147" s="26"/>
      <c r="AA147" s="26"/>
      <c r="AC147" s="18" t="str">
        <f t="shared" si="27"/>
        <v>·</v>
      </c>
      <c r="AD147" s="19" t="str">
        <f t="shared" si="28"/>
        <v>·</v>
      </c>
      <c r="AE147" s="19" t="str">
        <f t="shared" si="29"/>
        <v>·</v>
      </c>
      <c r="AF147" s="19" t="str">
        <f t="shared" si="30"/>
        <v>·</v>
      </c>
      <c r="AG147" s="20"/>
      <c r="AH147" s="19" t="str">
        <f t="shared" si="31"/>
        <v>·</v>
      </c>
      <c r="AI147" s="21"/>
      <c r="AJ147" s="22"/>
      <c r="AK147" s="22"/>
      <c r="AL147" s="22"/>
      <c r="AM147" s="23"/>
      <c r="AN147" s="24"/>
      <c r="AO147" s="24"/>
      <c r="AP147" s="24"/>
      <c r="AQ147" s="24"/>
      <c r="AR147" s="24"/>
      <c r="AS147" s="25"/>
      <c r="AT147" s="26"/>
      <c r="AU147" s="26"/>
      <c r="AW147" s="27" t="e">
        <f t="shared" si="32"/>
        <v>#DIV/0!</v>
      </c>
      <c r="AX147" s="27"/>
      <c r="AZ147" s="28"/>
      <c r="BA147" s="28"/>
      <c r="BB147" s="28"/>
      <c r="BC147" s="28"/>
      <c r="BD147" s="28"/>
      <c r="BE147" s="29"/>
      <c r="BG147" s="28"/>
      <c r="BH147" s="28"/>
      <c r="BI147" s="28"/>
      <c r="BJ147" s="28"/>
      <c r="BK147" s="28"/>
      <c r="BL147" s="29"/>
    </row>
    <row r="148" spans="1:64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4"/>
      <c r="X148" s="54"/>
      <c r="Y148" s="53"/>
      <c r="Z148" s="56"/>
      <c r="AA148" s="56"/>
      <c r="AC148" s="48" t="str">
        <f t="shared" si="27"/>
        <v>·</v>
      </c>
      <c r="AD148" s="49" t="str">
        <f t="shared" si="28"/>
        <v>·</v>
      </c>
      <c r="AE148" s="49" t="str">
        <f t="shared" si="29"/>
        <v>·</v>
      </c>
      <c r="AF148" s="49" t="str">
        <f t="shared" si="30"/>
        <v>·</v>
      </c>
      <c r="AG148" s="50"/>
      <c r="AH148" s="49" t="str">
        <f t="shared" si="31"/>
        <v>·</v>
      </c>
      <c r="AI148" s="51"/>
      <c r="AJ148" s="52"/>
      <c r="AK148" s="52"/>
      <c r="AL148" s="52"/>
      <c r="AM148" s="53"/>
      <c r="AN148" s="54"/>
      <c r="AO148" s="54"/>
      <c r="AP148" s="54"/>
      <c r="AQ148" s="54"/>
      <c r="AR148" s="54"/>
      <c r="AS148" s="55"/>
      <c r="AT148" s="56"/>
      <c r="AU148" s="56"/>
      <c r="AW148" s="57" t="e">
        <f t="shared" si="32"/>
        <v>#DIV/0!</v>
      </c>
      <c r="AX148" s="57"/>
      <c r="AZ148" s="58"/>
      <c r="BA148" s="58"/>
      <c r="BB148" s="58"/>
      <c r="BC148" s="58"/>
      <c r="BD148" s="58"/>
      <c r="BE148" s="59"/>
      <c r="BG148" s="58"/>
      <c r="BH148" s="58"/>
      <c r="BI148" s="58"/>
      <c r="BJ148" s="58"/>
      <c r="BK148" s="58"/>
      <c r="BL148" s="59"/>
    </row>
    <row r="149" spans="1:64" x14ac:dyDescent="0.15">
      <c r="A149" s="15"/>
      <c r="B149" s="15" t="s">
        <v>1044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>
        <f t="shared" si="23"/>
        <v>0.15109222579404874</v>
      </c>
      <c r="K149" s="19">
        <f t="shared" si="24"/>
        <v>9.7350990752448647E-3</v>
      </c>
      <c r="L149" s="19">
        <f t="shared" si="25"/>
        <v>0.14089732562241611</v>
      </c>
      <c r="M149" s="20"/>
      <c r="N149" s="19">
        <f t="shared" si="26"/>
        <v>0.31817631665713703</v>
      </c>
      <c r="O149" s="21">
        <v>479206</v>
      </c>
      <c r="P149" s="22">
        <v>152472</v>
      </c>
      <c r="Q149" s="22">
        <v>9824</v>
      </c>
      <c r="R149" s="22">
        <v>142184</v>
      </c>
      <c r="S149" s="23"/>
      <c r="T149" s="24">
        <v>52.196788900000001</v>
      </c>
      <c r="U149" s="24">
        <v>56.682779699999998</v>
      </c>
      <c r="V149" s="24">
        <v>19.2699532</v>
      </c>
      <c r="W149" s="24">
        <v>31.0747447</v>
      </c>
      <c r="X149" s="24">
        <v>33.518898900000003</v>
      </c>
      <c r="Y149" s="23"/>
      <c r="Z149" s="26">
        <v>1.28</v>
      </c>
      <c r="AA149" s="26">
        <v>0.64</v>
      </c>
      <c r="AC149" s="18" t="str">
        <f t="shared" si="27"/>
        <v>·</v>
      </c>
      <c r="AD149" s="19">
        <f t="shared" si="28"/>
        <v>0.15110015339915889</v>
      </c>
      <c r="AE149" s="19">
        <f t="shared" si="29"/>
        <v>9.7826647059056689E-3</v>
      </c>
      <c r="AF149" s="19">
        <f t="shared" si="30"/>
        <v>0.14089732562241611</v>
      </c>
      <c r="AG149" s="20"/>
      <c r="AH149" s="19">
        <f t="shared" si="31"/>
        <v>0.31819301093892816</v>
      </c>
      <c r="AI149" s="21">
        <v>479206</v>
      </c>
      <c r="AJ149" s="22">
        <v>152480</v>
      </c>
      <c r="AK149" s="22">
        <v>9872</v>
      </c>
      <c r="AL149" s="22">
        <v>142184</v>
      </c>
      <c r="AM149" s="23"/>
      <c r="AN149" s="24">
        <v>52.196788900000001</v>
      </c>
      <c r="AO149" s="24">
        <v>56.682779699999998</v>
      </c>
      <c r="AP149" s="24">
        <v>19.2699532</v>
      </c>
      <c r="AQ149" s="24">
        <v>31.0747447</v>
      </c>
      <c r="AR149" s="24">
        <v>33.518898900000003</v>
      </c>
      <c r="AS149" s="25"/>
      <c r="AT149" s="26">
        <v>1.1870000000000001</v>
      </c>
      <c r="AU149" s="26">
        <v>0.624</v>
      </c>
      <c r="AW149" s="27">
        <f t="shared" si="32"/>
        <v>3.1141492643350921E-4</v>
      </c>
      <c r="AX149" s="27" t="e">
        <f t="array" ref="AX149">AVERAGE(AK149:AK154/AJ149:AJ154) - AVERAGE(Q149:Q154/P149:P154)</f>
        <v>#DIV/0!</v>
      </c>
      <c r="AZ149" s="28">
        <f>IF( OR(ISBLANK(Q149:Q154),ISBLANK(AK149:AK154), ISBLANK(T149:T154),ISBLANK(AN149:AN154)), "·", bdRateExtend( Q149:Q154,T149:T154, AK149:AK154,AN149:AN154))</f>
        <v>1.1566851670520739E-2</v>
      </c>
      <c r="BA149" s="28">
        <f>IF( OR(ISBLANK(Q149:Q154),ISBLANK(AK149:AK154), ISBLANK(U149:U154),ISBLANK(AO149:AO154)), "·", bdRateExtend( Q149:Q154,U149:U154, AK149:AK154,AO149:AO154))</f>
        <v>1.1619856949633744E-2</v>
      </c>
      <c r="BB149" s="28">
        <f>IF( OR(ISBLANK(R149:R154),ISBLANK(AL149:AL154), ISBLANK(V149:V154),ISBLANK(AP149:AP154)), "·", bdRateExtend( R149:R154,V149:V154, AL149:AL154,AP149:AP154))</f>
        <v>0</v>
      </c>
      <c r="BC149" s="28">
        <f>IF( OR(ISBLANK(R149:R154),ISBLANK(AL149:AL154), ISBLANK(W149:W154),ISBLANK(AQ149:AQ154)), "·", bdRateExtend( R149:R154,W149:W154, AL149:AL154,AQ149:AQ154))</f>
        <v>0</v>
      </c>
      <c r="BD149" s="28">
        <f>IF( OR(ISBLANK(R149:R154),ISBLANK(AL149:AL154), ISBLANK(X149:X154),ISBLANK(AR149:AR154)), "·", bdRateExtend( R149:R154,X149:X154, AL149:AL154,AR149:AR154))</f>
        <v>0</v>
      </c>
      <c r="BE149" s="29"/>
      <c r="BG149" s="28">
        <f>IF( OR(ISBLANK(P149:P154),ISBLANK(AJ149:AJ154), ISBLANK(T149:T154),ISBLANK(AN149:AN154)), "·", bdRateExtend( P149:P154,T149:T154, AJ149:AJ154,AN149:AN154))</f>
        <v>8.1680560273023062E-5</v>
      </c>
      <c r="BH149" s="28">
        <f>IF( OR(ISBLANK(P149:P154),ISBLANK(AJ149:AJ154), ISBLANK(U149:U154),ISBLANK(AO149:AO154)), "·", bdRateExtend( P149:P154,U149:U154, AJ149:AJ154,AO149:AO154))</f>
        <v>8.1550752127901305E-5</v>
      </c>
      <c r="BI149" s="28">
        <f>IF( OR(ISBLANK(P149:P154),ISBLANK(AJ149:AJ154), ISBLANK(V149:V154),ISBLANK(AP149:AP154)), "·", bdRateExtend( P149:P154,V149:V154, AJ149:AJ154,AP149:AP154))</f>
        <v>7.9628696271871746E-5</v>
      </c>
      <c r="BJ149" s="28">
        <f>IF( OR(ISBLANK(P149:P154),ISBLANK(AJ149:AJ154), ISBLANK(W149:W154),ISBLANK(AQ149:AQ154)), "·", bdRateExtend( P149:P154,W149:W154, AJ149:AJ154,AQ149:AQ154))</f>
        <v>7.9223217054114059E-5</v>
      </c>
      <c r="BK149" s="28">
        <f>IF( OR(ISBLANK(P149:P154),ISBLANK(AJ149:AJ154), ISBLANK(X149:X154),ISBLANK(AR149:AR154)), "·", bdRateExtend( P149:P154,X149:X154, AJ149:AJ154,AR149:AR154))</f>
        <v>7.859009219646218E-5</v>
      </c>
      <c r="BL149" s="29"/>
    </row>
    <row r="150" spans="1:64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>
        <f t="shared" si="23"/>
        <v>0.54968428312648887</v>
      </c>
      <c r="K150" s="34">
        <f t="shared" si="24"/>
        <v>3.8995889536750393E-2</v>
      </c>
      <c r="L150" s="34">
        <f t="shared" si="25"/>
        <v>0.51022859249335073</v>
      </c>
      <c r="M150" s="35"/>
      <c r="N150" s="34">
        <f t="shared" si="26"/>
        <v>0.94947631119045706</v>
      </c>
      <c r="O150" s="36">
        <v>584221</v>
      </c>
      <c r="P150" s="37">
        <v>554704</v>
      </c>
      <c r="Q150" s="37">
        <v>39352</v>
      </c>
      <c r="R150" s="37">
        <v>514888</v>
      </c>
      <c r="S150" s="38"/>
      <c r="T150" s="39">
        <v>58.261846300000002</v>
      </c>
      <c r="U150" s="39">
        <v>61.798276600000001</v>
      </c>
      <c r="V150" s="39">
        <v>21.624494800000001</v>
      </c>
      <c r="W150" s="39">
        <v>33.135749799999999</v>
      </c>
      <c r="X150" s="39">
        <v>34.945938499999997</v>
      </c>
      <c r="Y150" s="38"/>
      <c r="Z150" s="41">
        <v>1.5920000000000001</v>
      </c>
      <c r="AA150" s="41">
        <v>0.749</v>
      </c>
      <c r="AC150" s="33" t="str">
        <f t="shared" si="27"/>
        <v>·</v>
      </c>
      <c r="AD150" s="34">
        <f t="shared" si="28"/>
        <v>0.54973977636225979</v>
      </c>
      <c r="AE150" s="34">
        <f t="shared" si="29"/>
        <v>3.9463618238248316E-2</v>
      </c>
      <c r="AF150" s="34">
        <f t="shared" si="30"/>
        <v>0.51022859249335073</v>
      </c>
      <c r="AG150" s="35"/>
      <c r="AH150" s="34">
        <f t="shared" si="31"/>
        <v>0.94957216532784683</v>
      </c>
      <c r="AI150" s="36">
        <v>584221</v>
      </c>
      <c r="AJ150" s="37">
        <v>554760</v>
      </c>
      <c r="AK150" s="37">
        <v>39824</v>
      </c>
      <c r="AL150" s="37">
        <v>514888</v>
      </c>
      <c r="AM150" s="38"/>
      <c r="AN150" s="39">
        <v>58.261846300000002</v>
      </c>
      <c r="AO150" s="39">
        <v>61.798276600000001</v>
      </c>
      <c r="AP150" s="39">
        <v>21.624494800000001</v>
      </c>
      <c r="AQ150" s="39">
        <v>33.135749799999999</v>
      </c>
      <c r="AR150" s="39">
        <v>34.945938499999997</v>
      </c>
      <c r="AS150" s="40"/>
      <c r="AT150" s="41">
        <v>1.546</v>
      </c>
      <c r="AU150" s="41">
        <v>0.79600000000000004</v>
      </c>
      <c r="AW150" s="42">
        <f t="shared" si="32"/>
        <v>8.4365712909459378E-4</v>
      </c>
      <c r="AX150" s="42"/>
      <c r="AZ150" s="43"/>
      <c r="BA150" s="43"/>
      <c r="BB150" s="43"/>
      <c r="BC150" s="43"/>
      <c r="BD150" s="43"/>
      <c r="BE150" s="44"/>
      <c r="BG150" s="43"/>
      <c r="BH150" s="43"/>
      <c r="BI150" s="43"/>
      <c r="BJ150" s="43"/>
      <c r="BK150" s="43"/>
      <c r="BL150" s="44"/>
    </row>
    <row r="151" spans="1:64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>
        <f t="shared" si="23"/>
        <v>1.925536005200509</v>
      </c>
      <c r="K151" s="19">
        <f t="shared" si="24"/>
        <v>0.19161814311705505</v>
      </c>
      <c r="L151" s="19">
        <f t="shared" si="25"/>
        <v>1.733458060987066</v>
      </c>
      <c r="M151" s="20"/>
      <c r="N151" s="19">
        <f t="shared" si="26"/>
        <v>2.0237650119616601</v>
      </c>
      <c r="O151" s="21">
        <v>960151</v>
      </c>
      <c r="P151" s="22">
        <v>1943120</v>
      </c>
      <c r="Q151" s="22">
        <v>193368</v>
      </c>
      <c r="R151" s="22">
        <v>1749288</v>
      </c>
      <c r="S151" s="23"/>
      <c r="T151" s="24">
        <v>62.916471399999999</v>
      </c>
      <c r="U151" s="24">
        <v>65.801755400000005</v>
      </c>
      <c r="V151" s="24">
        <v>24.286937399999999</v>
      </c>
      <c r="W151" s="24">
        <v>35.748130699999997</v>
      </c>
      <c r="X151" s="24">
        <v>37.385680499999999</v>
      </c>
      <c r="Y151" s="23"/>
      <c r="Z151" s="26">
        <v>3.28</v>
      </c>
      <c r="AA151" s="26">
        <v>1.5149999999999999</v>
      </c>
      <c r="AC151" s="18" t="str">
        <f t="shared" si="27"/>
        <v>·</v>
      </c>
      <c r="AD151" s="19">
        <f t="shared" si="28"/>
        <v>1.9255835708311697</v>
      </c>
      <c r="AE151" s="19">
        <f t="shared" si="29"/>
        <v>0.1956136560925627</v>
      </c>
      <c r="AF151" s="19">
        <f t="shared" si="30"/>
        <v>1.733458060987066</v>
      </c>
      <c r="AG151" s="20"/>
      <c r="AH151" s="19">
        <f t="shared" si="31"/>
        <v>2.0238150040983136</v>
      </c>
      <c r="AI151" s="21">
        <v>960151</v>
      </c>
      <c r="AJ151" s="22">
        <v>1943168</v>
      </c>
      <c r="AK151" s="22">
        <v>197400</v>
      </c>
      <c r="AL151" s="22">
        <v>1749288</v>
      </c>
      <c r="AM151" s="23"/>
      <c r="AN151" s="24">
        <v>62.916471399999999</v>
      </c>
      <c r="AO151" s="24">
        <v>65.801755400000005</v>
      </c>
      <c r="AP151" s="24">
        <v>24.286937399999999</v>
      </c>
      <c r="AQ151" s="24">
        <v>35.748130699999997</v>
      </c>
      <c r="AR151" s="24">
        <v>37.385680499999999</v>
      </c>
      <c r="AS151" s="25"/>
      <c r="AT151" s="26">
        <v>3.1549999999999998</v>
      </c>
      <c r="AU151" s="26">
        <v>1.577</v>
      </c>
      <c r="AW151" s="27">
        <f t="shared" si="32"/>
        <v>2.0725039313111288E-3</v>
      </c>
      <c r="AX151" s="27"/>
      <c r="AZ151" s="28"/>
      <c r="BA151" s="28"/>
      <c r="BB151" s="28"/>
      <c r="BC151" s="28"/>
      <c r="BD151" s="28"/>
      <c r="BE151" s="29"/>
      <c r="BG151" s="28"/>
      <c r="BH151" s="28"/>
      <c r="BI151" s="28"/>
      <c r="BJ151" s="28"/>
      <c r="BK151" s="28"/>
      <c r="BL151" s="29"/>
    </row>
    <row r="152" spans="1:64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9"/>
      <c r="X152" s="39"/>
      <c r="Y152" s="38"/>
      <c r="Z152" s="41"/>
      <c r="AA152" s="41"/>
      <c r="AC152" s="33" t="str">
        <f t="shared" si="27"/>
        <v>·</v>
      </c>
      <c r="AD152" s="34" t="str">
        <f t="shared" si="28"/>
        <v>·</v>
      </c>
      <c r="AE152" s="34" t="str">
        <f t="shared" si="29"/>
        <v>·</v>
      </c>
      <c r="AF152" s="34" t="str">
        <f t="shared" si="30"/>
        <v>·</v>
      </c>
      <c r="AG152" s="35"/>
      <c r="AH152" s="34" t="str">
        <f t="shared" si="31"/>
        <v>·</v>
      </c>
      <c r="AI152" s="36"/>
      <c r="AJ152" s="37"/>
      <c r="AK152" s="37"/>
      <c r="AL152" s="37"/>
      <c r="AM152" s="38"/>
      <c r="AN152" s="39"/>
      <c r="AO152" s="39"/>
      <c r="AP152" s="39"/>
      <c r="AQ152" s="39"/>
      <c r="AR152" s="39"/>
      <c r="AS152" s="40"/>
      <c r="AT152" s="41"/>
      <c r="AU152" s="41"/>
      <c r="AW152" s="42" t="e">
        <f t="shared" si="32"/>
        <v>#DIV/0!</v>
      </c>
      <c r="AX152" s="42"/>
      <c r="AZ152" s="43"/>
      <c r="BA152" s="43"/>
      <c r="BB152" s="43"/>
      <c r="BC152" s="43"/>
      <c r="BD152" s="43"/>
      <c r="BE152" s="44"/>
      <c r="BG152" s="43"/>
      <c r="BH152" s="43"/>
      <c r="BI152" s="43"/>
      <c r="BJ152" s="43"/>
      <c r="BK152" s="43"/>
      <c r="BL152" s="44"/>
    </row>
    <row r="153" spans="1:64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4"/>
      <c r="X153" s="24"/>
      <c r="Y153" s="23"/>
      <c r="Z153" s="26"/>
      <c r="AA153" s="26"/>
      <c r="AC153" s="18" t="str">
        <f t="shared" si="27"/>
        <v>·</v>
      </c>
      <c r="AD153" s="19" t="str">
        <f t="shared" si="28"/>
        <v>·</v>
      </c>
      <c r="AE153" s="19" t="str">
        <f t="shared" si="29"/>
        <v>·</v>
      </c>
      <c r="AF153" s="19" t="str">
        <f t="shared" si="30"/>
        <v>·</v>
      </c>
      <c r="AG153" s="20"/>
      <c r="AH153" s="19" t="str">
        <f t="shared" si="31"/>
        <v>·</v>
      </c>
      <c r="AI153" s="21"/>
      <c r="AJ153" s="22"/>
      <c r="AK153" s="22"/>
      <c r="AL153" s="22"/>
      <c r="AM153" s="23"/>
      <c r="AN153" s="24"/>
      <c r="AO153" s="24"/>
      <c r="AP153" s="24"/>
      <c r="AQ153" s="24"/>
      <c r="AR153" s="24"/>
      <c r="AS153" s="25"/>
      <c r="AT153" s="26"/>
      <c r="AU153" s="26"/>
      <c r="AW153" s="27" t="e">
        <f t="shared" si="32"/>
        <v>#DIV/0!</v>
      </c>
      <c r="AX153" s="27"/>
      <c r="AZ153" s="28"/>
      <c r="BA153" s="28"/>
      <c r="BB153" s="28"/>
      <c r="BC153" s="28"/>
      <c r="BD153" s="28"/>
      <c r="BE153" s="29"/>
      <c r="BG153" s="28"/>
      <c r="BH153" s="28"/>
      <c r="BI153" s="28"/>
      <c r="BJ153" s="28"/>
      <c r="BK153" s="28"/>
      <c r="BL153" s="29"/>
    </row>
    <row r="154" spans="1:64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4"/>
      <c r="X154" s="54"/>
      <c r="Y154" s="53"/>
      <c r="Z154" s="56"/>
      <c r="AA154" s="56"/>
      <c r="AC154" s="48" t="str">
        <f t="shared" si="27"/>
        <v>·</v>
      </c>
      <c r="AD154" s="49" t="str">
        <f t="shared" si="28"/>
        <v>·</v>
      </c>
      <c r="AE154" s="49" t="str">
        <f t="shared" si="29"/>
        <v>·</v>
      </c>
      <c r="AF154" s="49" t="str">
        <f t="shared" si="30"/>
        <v>·</v>
      </c>
      <c r="AG154" s="50"/>
      <c r="AH154" s="49" t="str">
        <f t="shared" si="31"/>
        <v>·</v>
      </c>
      <c r="AI154" s="51"/>
      <c r="AJ154" s="52"/>
      <c r="AK154" s="52"/>
      <c r="AL154" s="52"/>
      <c r="AM154" s="53"/>
      <c r="AN154" s="54"/>
      <c r="AO154" s="54"/>
      <c r="AP154" s="54"/>
      <c r="AQ154" s="54"/>
      <c r="AR154" s="54"/>
      <c r="AS154" s="55"/>
      <c r="AT154" s="56"/>
      <c r="AU154" s="56"/>
      <c r="AW154" s="57" t="e">
        <f t="shared" si="32"/>
        <v>#DIV/0!</v>
      </c>
      <c r="AX154" s="57"/>
      <c r="AZ154" s="58"/>
      <c r="BA154" s="58"/>
      <c r="BB154" s="58"/>
      <c r="BC154" s="58"/>
      <c r="BD154" s="58"/>
      <c r="BE154" s="59"/>
      <c r="BG154" s="58"/>
      <c r="BH154" s="58"/>
      <c r="BI154" s="58"/>
      <c r="BJ154" s="58"/>
      <c r="BK154" s="58"/>
      <c r="BL154" s="59"/>
    </row>
    <row r="155" spans="1:64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>
        <f t="shared" si="23"/>
        <v>8.3193400909719051E-2</v>
      </c>
      <c r="K155" s="19">
        <f t="shared" si="24"/>
        <v>3.2843481669139361E-3</v>
      </c>
      <c r="L155" s="19">
        <f t="shared" si="25"/>
        <v>7.9854826405387519E-2</v>
      </c>
      <c r="M155" s="20"/>
      <c r="N155" s="19">
        <f t="shared" si="26"/>
        <v>0.19503863114368888</v>
      </c>
      <c r="O155" s="21">
        <v>20074218</v>
      </c>
      <c r="P155" s="22">
        <v>3915248</v>
      </c>
      <c r="Q155" s="22">
        <v>154568</v>
      </c>
      <c r="R155" s="22">
        <v>3758128</v>
      </c>
      <c r="S155" s="23"/>
      <c r="T155" s="24">
        <v>64.925865900000005</v>
      </c>
      <c r="U155" s="24">
        <v>67.087963400000007</v>
      </c>
      <c r="V155" s="24">
        <v>22.0120304</v>
      </c>
      <c r="W155" s="24">
        <v>35.414503799999999</v>
      </c>
      <c r="X155" s="24">
        <v>38.434853199999999</v>
      </c>
      <c r="Y155" s="23"/>
      <c r="Z155" s="26">
        <v>28.832999999999998</v>
      </c>
      <c r="AA155" s="26">
        <v>20.866</v>
      </c>
      <c r="AC155" s="18" t="str">
        <f t="shared" si="27"/>
        <v>·</v>
      </c>
      <c r="AD155" s="19">
        <f t="shared" si="28"/>
        <v>8.3196970668608622E-2</v>
      </c>
      <c r="AE155" s="19">
        <f t="shared" si="29"/>
        <v>3.2732989132081545E-3</v>
      </c>
      <c r="AF155" s="19">
        <f t="shared" si="30"/>
        <v>7.9854826405387519E-2</v>
      </c>
      <c r="AG155" s="20"/>
      <c r="AH155" s="19">
        <f t="shared" si="31"/>
        <v>0.19504700008737574</v>
      </c>
      <c r="AI155" s="21">
        <v>20074218</v>
      </c>
      <c r="AJ155" s="22">
        <v>3915416</v>
      </c>
      <c r="AK155" s="22">
        <v>154048</v>
      </c>
      <c r="AL155" s="22">
        <v>3758128</v>
      </c>
      <c r="AM155" s="23"/>
      <c r="AN155" s="24">
        <v>64.925865900000005</v>
      </c>
      <c r="AO155" s="24">
        <v>67.087963400000007</v>
      </c>
      <c r="AP155" s="24">
        <v>22.0120304</v>
      </c>
      <c r="AQ155" s="24">
        <v>35.414503799999999</v>
      </c>
      <c r="AR155" s="24">
        <v>38.434853199999999</v>
      </c>
      <c r="AS155" s="25"/>
      <c r="AT155" s="26">
        <v>27.460999999999999</v>
      </c>
      <c r="AU155" s="26">
        <v>21.039000000000001</v>
      </c>
      <c r="AW155" s="27">
        <f t="shared" si="32"/>
        <v>-1.3450228096567596E-4</v>
      </c>
      <c r="AX155" s="27" t="e">
        <f t="array" ref="AX155">AVERAGE(AK155:AK160/AJ155:AJ160) - AVERAGE(Q155:Q160/P155:P160)</f>
        <v>#DIV/0!</v>
      </c>
      <c r="AZ155" s="28">
        <f>IF( OR(ISBLANK(Q155:Q160),ISBLANK(AK155:AK160), ISBLANK(T155:T160),ISBLANK(AN155:AN160)), "·", bdRateExtend( Q155:Q160,T155:T160, AK155:AK160,AN155:AN160))</f>
        <v>-2.0299656261761001E-2</v>
      </c>
      <c r="BA155" s="28">
        <f>IF( OR(ISBLANK(Q155:Q160),ISBLANK(AK155:AK160), ISBLANK(U155:U160),ISBLANK(AO155:AO160)), "·", bdRateExtend( Q155:Q160,U155:U160, AK155:AK160,AO155:AO160))</f>
        <v>-1.9384829468446885E-2</v>
      </c>
      <c r="BB155" s="28">
        <f>IF( OR(ISBLANK(R155:R160),ISBLANK(AL155:AL160), ISBLANK(V155:V160),ISBLANK(AP155:AP160)), "·", bdRateExtend( R155:R160,V155:V160, AL155:AL160,AP155:AP160))</f>
        <v>0</v>
      </c>
      <c r="BC155" s="28">
        <f>IF( OR(ISBLANK(R155:R160),ISBLANK(AL155:AL160), ISBLANK(W155:W160),ISBLANK(AQ155:AQ160)), "·", bdRateExtend( R155:R160,W155:W160, AL155:AL160,AQ155:AQ160))</f>
        <v>0</v>
      </c>
      <c r="BD155" s="28">
        <f>IF( OR(ISBLANK(R155:R160),ISBLANK(AL155:AL160), ISBLANK(X155:X160),ISBLANK(AR155:AR160)), "·", bdRateExtend( R155:R160,X155:X160, AL155:AL160,AR155:AR160))</f>
        <v>0</v>
      </c>
      <c r="BE155" s="29"/>
      <c r="BG155" s="28">
        <f>IF( OR(ISBLANK(P155:P160),ISBLANK(AJ155:AJ160), ISBLANK(T155:T160),ISBLANK(AN155:AN160)), "·", bdRateExtend( P155:P160,T155:T160, AJ155:AJ160,AN155:AN160))</f>
        <v>9.3006332456679885E-5</v>
      </c>
      <c r="BH155" s="28">
        <f>IF( OR(ISBLANK(P155:P160),ISBLANK(AJ155:AJ160), ISBLANK(U155:U160),ISBLANK(AO155:AO160)), "·", bdRateExtend( P155:P160,U155:U160, AJ155:AJ160,AO155:AO160))</f>
        <v>9.4453466797261854E-5</v>
      </c>
      <c r="BI155" s="28">
        <f>IF( OR(ISBLANK(P155:P160),ISBLANK(AJ155:AJ160), ISBLANK(V155:V160),ISBLANK(AP155:AP160)), "·", bdRateExtend( P155:P160,V155:V160, AJ155:AJ160,AP155:AP160))</f>
        <v>9.4489640917849727E-5</v>
      </c>
      <c r="BJ155" s="28">
        <f>IF( OR(ISBLANK(P155:P160),ISBLANK(AJ155:AJ160), ISBLANK(W155:W160),ISBLANK(AQ155:AQ160)), "·", bdRateExtend( P155:P160,W155:W160, AJ155:AJ160,AQ155:AQ160))</f>
        <v>9.9739955002009495E-5</v>
      </c>
      <c r="BK155" s="28">
        <f>IF( OR(ISBLANK(P155:P160),ISBLANK(AJ155:AJ160), ISBLANK(X155:X160),ISBLANK(AR155:AR160)), "·", bdRateExtend( P155:P160,X155:X160, AJ155:AJ160,AR155:AR160))</f>
        <v>9.9573401261876526E-5</v>
      </c>
      <c r="BL155" s="29"/>
    </row>
    <row r="156" spans="1:64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>
        <f t="shared" si="23"/>
        <v>0.18012391398053998</v>
      </c>
      <c r="K156" s="34">
        <f t="shared" si="24"/>
        <v>1.0617482868663344E-2</v>
      </c>
      <c r="L156" s="34">
        <f t="shared" si="25"/>
        <v>0.16945730443001553</v>
      </c>
      <c r="M156" s="35"/>
      <c r="N156" s="34">
        <f t="shared" si="26"/>
        <v>0.48419587623742949</v>
      </c>
      <c r="O156" s="36">
        <v>17507361</v>
      </c>
      <c r="P156" s="37">
        <v>8476992</v>
      </c>
      <c r="Q156" s="37">
        <v>499680</v>
      </c>
      <c r="R156" s="37">
        <v>7975000</v>
      </c>
      <c r="S156" s="38"/>
      <c r="T156" s="39">
        <v>71.361110100000005</v>
      </c>
      <c r="U156" s="39">
        <v>73.949040100000005</v>
      </c>
      <c r="V156" s="39">
        <v>24.554171799999999</v>
      </c>
      <c r="W156" s="39">
        <v>37.515614399999997</v>
      </c>
      <c r="X156" s="39">
        <v>40.280416799999998</v>
      </c>
      <c r="Y156" s="38"/>
      <c r="Z156" s="41">
        <v>29.102</v>
      </c>
      <c r="AA156" s="41">
        <v>20.367000000000001</v>
      </c>
      <c r="AC156" s="33" t="str">
        <f t="shared" si="27"/>
        <v>·</v>
      </c>
      <c r="AD156" s="34">
        <f t="shared" si="28"/>
        <v>0.18014006288980228</v>
      </c>
      <c r="AE156" s="34">
        <f t="shared" si="29"/>
        <v>1.0362670079356165E-2</v>
      </c>
      <c r="AF156" s="34">
        <f t="shared" si="30"/>
        <v>0.16945730443001553</v>
      </c>
      <c r="AG156" s="35"/>
      <c r="AH156" s="34">
        <f t="shared" si="31"/>
        <v>0.48423928654924064</v>
      </c>
      <c r="AI156" s="36">
        <v>17507361</v>
      </c>
      <c r="AJ156" s="37">
        <v>8477752</v>
      </c>
      <c r="AK156" s="37">
        <v>487688</v>
      </c>
      <c r="AL156" s="37">
        <v>7975000</v>
      </c>
      <c r="AM156" s="38"/>
      <c r="AN156" s="39">
        <v>71.361110100000005</v>
      </c>
      <c r="AO156" s="39">
        <v>73.949040100000005</v>
      </c>
      <c r="AP156" s="39">
        <v>24.554171799999999</v>
      </c>
      <c r="AQ156" s="39">
        <v>37.515614399999997</v>
      </c>
      <c r="AR156" s="39">
        <v>40.280416799999998</v>
      </c>
      <c r="AS156" s="40"/>
      <c r="AT156" s="41">
        <v>28.434000000000001</v>
      </c>
      <c r="AU156" s="41">
        <v>20.087</v>
      </c>
      <c r="AW156" s="42">
        <f t="shared" si="32"/>
        <v>-1.4198101728276069E-3</v>
      </c>
      <c r="AX156" s="42"/>
      <c r="AZ156" s="43"/>
      <c r="BA156" s="43"/>
      <c r="BB156" s="43"/>
      <c r="BC156" s="43"/>
      <c r="BD156" s="43"/>
      <c r="BE156" s="44"/>
      <c r="BG156" s="43"/>
      <c r="BH156" s="43"/>
      <c r="BI156" s="43"/>
      <c r="BJ156" s="43"/>
      <c r="BK156" s="43"/>
      <c r="BL156" s="44"/>
    </row>
    <row r="157" spans="1:64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>
        <f t="shared" si="23"/>
        <v>0.39318174352208818</v>
      </c>
      <c r="K157" s="19">
        <f t="shared" si="24"/>
        <v>3.4833707244328452E-2</v>
      </c>
      <c r="L157" s="19">
        <f t="shared" si="25"/>
        <v>0.35830060948108411</v>
      </c>
      <c r="M157" s="20"/>
      <c r="N157" s="19">
        <f t="shared" si="26"/>
        <v>1.1137411234075523</v>
      </c>
      <c r="O157" s="21">
        <v>16614202</v>
      </c>
      <c r="P157" s="22">
        <v>18503920</v>
      </c>
      <c r="Q157" s="22">
        <v>1639344</v>
      </c>
      <c r="R157" s="22">
        <v>16862344</v>
      </c>
      <c r="S157" s="23"/>
      <c r="T157" s="24">
        <v>77.161113599999993</v>
      </c>
      <c r="U157" s="24">
        <v>79.303161900000006</v>
      </c>
      <c r="V157" s="24">
        <v>26.931345199999999</v>
      </c>
      <c r="W157" s="24">
        <v>40.232241000000002</v>
      </c>
      <c r="X157" s="24">
        <v>42.6244899</v>
      </c>
      <c r="Y157" s="23"/>
      <c r="Z157" s="26">
        <v>35.933999999999997</v>
      </c>
      <c r="AA157" s="26">
        <v>23.728000000000002</v>
      </c>
      <c r="AC157" s="18" t="str">
        <f t="shared" si="27"/>
        <v>·</v>
      </c>
      <c r="AD157" s="19">
        <f t="shared" si="28"/>
        <v>0.39322900033024522</v>
      </c>
      <c r="AE157" s="19">
        <f t="shared" si="29"/>
        <v>3.3801876936727003E-2</v>
      </c>
      <c r="AF157" s="19">
        <f t="shared" si="30"/>
        <v>0.35830060948108411</v>
      </c>
      <c r="AG157" s="20"/>
      <c r="AH157" s="19">
        <f t="shared" si="31"/>
        <v>1.1138749847871117</v>
      </c>
      <c r="AI157" s="21">
        <v>16614202</v>
      </c>
      <c r="AJ157" s="22">
        <v>18506144</v>
      </c>
      <c r="AK157" s="22">
        <v>1590784</v>
      </c>
      <c r="AL157" s="22">
        <v>16862344</v>
      </c>
      <c r="AM157" s="23"/>
      <c r="AN157" s="24">
        <v>77.161113599999993</v>
      </c>
      <c r="AO157" s="24">
        <v>79.303161900000006</v>
      </c>
      <c r="AP157" s="24">
        <v>26.931345199999999</v>
      </c>
      <c r="AQ157" s="24">
        <v>40.232241000000002</v>
      </c>
      <c r="AR157" s="24">
        <v>42.6244899</v>
      </c>
      <c r="AS157" s="25"/>
      <c r="AT157" s="26">
        <v>34.418999999999997</v>
      </c>
      <c r="AU157" s="26">
        <v>22.571000000000002</v>
      </c>
      <c r="AW157" s="27">
        <f t="shared" si="32"/>
        <v>-2.6346403649973454E-3</v>
      </c>
      <c r="AX157" s="27"/>
      <c r="AZ157" s="28"/>
      <c r="BA157" s="28"/>
      <c r="BB157" s="28"/>
      <c r="BC157" s="28"/>
      <c r="BD157" s="28"/>
      <c r="BE157" s="29"/>
      <c r="BG157" s="28"/>
      <c r="BH157" s="28"/>
      <c r="BI157" s="28"/>
      <c r="BJ157" s="28"/>
      <c r="BK157" s="28"/>
      <c r="BL157" s="29"/>
    </row>
    <row r="158" spans="1:64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>
        <f t="shared" si="23"/>
        <v>0.77364426613215476</v>
      </c>
      <c r="K158" s="34">
        <f t="shared" si="24"/>
        <v>0.10321974828015179</v>
      </c>
      <c r="L158" s="34">
        <f t="shared" si="25"/>
        <v>0.67037539117014189</v>
      </c>
      <c r="M158" s="35"/>
      <c r="N158" s="34">
        <f t="shared" si="26"/>
        <v>2.0699301780677017</v>
      </c>
      <c r="O158" s="36">
        <v>17589602</v>
      </c>
      <c r="P158" s="37">
        <v>36409248</v>
      </c>
      <c r="Q158" s="37">
        <v>4857728</v>
      </c>
      <c r="R158" s="37">
        <v>31549208</v>
      </c>
      <c r="S158" s="38"/>
      <c r="T158" s="39">
        <v>80.546323900000004</v>
      </c>
      <c r="U158" s="39">
        <v>84.281968800000001</v>
      </c>
      <c r="V158" s="39">
        <v>28.559000000000001</v>
      </c>
      <c r="W158" s="39">
        <v>42.568083600000001</v>
      </c>
      <c r="X158" s="39">
        <v>44.645530899999997</v>
      </c>
      <c r="Y158" s="38"/>
      <c r="Z158" s="41">
        <v>62.152000000000001</v>
      </c>
      <c r="AA158" s="41">
        <v>42.540999999999997</v>
      </c>
      <c r="AC158" s="33" t="str">
        <f t="shared" si="27"/>
        <v>·</v>
      </c>
      <c r="AD158" s="34">
        <f t="shared" si="28"/>
        <v>0.77373096027661548</v>
      </c>
      <c r="AE158" s="34">
        <f t="shared" si="29"/>
        <v>0.10388406341064708</v>
      </c>
      <c r="AF158" s="34">
        <f t="shared" si="30"/>
        <v>0.67037539117014189</v>
      </c>
      <c r="AG158" s="35"/>
      <c r="AH158" s="34">
        <f t="shared" si="31"/>
        <v>2.0701621332876092</v>
      </c>
      <c r="AI158" s="36">
        <v>17589602</v>
      </c>
      <c r="AJ158" s="37">
        <v>36413328</v>
      </c>
      <c r="AK158" s="37">
        <v>4888992</v>
      </c>
      <c r="AL158" s="37">
        <v>31549208</v>
      </c>
      <c r="AM158" s="38"/>
      <c r="AN158" s="39">
        <v>80.546323900000004</v>
      </c>
      <c r="AO158" s="39">
        <v>84.281968800000001</v>
      </c>
      <c r="AP158" s="39">
        <v>28.559000000000001</v>
      </c>
      <c r="AQ158" s="39">
        <v>42.568083600000001</v>
      </c>
      <c r="AR158" s="39">
        <v>44.645530899999997</v>
      </c>
      <c r="AS158" s="40"/>
      <c r="AT158" s="41">
        <v>59.621000000000002</v>
      </c>
      <c r="AU158" s="41">
        <v>38.463999999999999</v>
      </c>
      <c r="AW158" s="42">
        <f t="shared" si="32"/>
        <v>8.4363740971080126E-4</v>
      </c>
      <c r="AX158" s="42"/>
      <c r="AZ158" s="43"/>
      <c r="BA158" s="43"/>
      <c r="BB158" s="43"/>
      <c r="BC158" s="43"/>
      <c r="BD158" s="43"/>
      <c r="BE158" s="44"/>
      <c r="BG158" s="43"/>
      <c r="BH158" s="43"/>
      <c r="BI158" s="43"/>
      <c r="BJ158" s="43"/>
      <c r="BK158" s="43"/>
      <c r="BL158" s="44"/>
    </row>
    <row r="159" spans="1:64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4"/>
      <c r="X159" s="24"/>
      <c r="Y159" s="23"/>
      <c r="Z159" s="26"/>
      <c r="AA159" s="26"/>
      <c r="AC159" s="18" t="str">
        <f t="shared" si="27"/>
        <v>·</v>
      </c>
      <c r="AD159" s="19" t="str">
        <f t="shared" si="28"/>
        <v>·</v>
      </c>
      <c r="AE159" s="19" t="str">
        <f t="shared" si="29"/>
        <v>·</v>
      </c>
      <c r="AF159" s="19" t="str">
        <f t="shared" si="30"/>
        <v>·</v>
      </c>
      <c r="AG159" s="20"/>
      <c r="AH159" s="19" t="str">
        <f t="shared" si="31"/>
        <v>·</v>
      </c>
      <c r="AI159" s="21"/>
      <c r="AJ159" s="22"/>
      <c r="AK159" s="22"/>
      <c r="AL159" s="22"/>
      <c r="AM159" s="23"/>
      <c r="AN159" s="24"/>
      <c r="AO159" s="24"/>
      <c r="AP159" s="24"/>
      <c r="AQ159" s="24"/>
      <c r="AR159" s="24"/>
      <c r="AS159" s="25"/>
      <c r="AT159" s="26"/>
      <c r="AU159" s="26"/>
      <c r="AW159" s="27" t="e">
        <f t="shared" si="32"/>
        <v>#DIV/0!</v>
      </c>
      <c r="AX159" s="27"/>
      <c r="AZ159" s="28"/>
      <c r="BA159" s="28"/>
      <c r="BB159" s="28"/>
      <c r="BC159" s="28"/>
      <c r="BD159" s="28"/>
      <c r="BE159" s="29"/>
      <c r="BG159" s="28"/>
      <c r="BH159" s="28"/>
      <c r="BI159" s="28"/>
      <c r="BJ159" s="28"/>
      <c r="BK159" s="28"/>
      <c r="BL159" s="29"/>
    </row>
    <row r="160" spans="1:64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4"/>
      <c r="X160" s="54"/>
      <c r="Y160" s="53"/>
      <c r="Z160" s="56"/>
      <c r="AA160" s="56"/>
      <c r="AC160" s="48" t="str">
        <f t="shared" si="27"/>
        <v>·</v>
      </c>
      <c r="AD160" s="49" t="str">
        <f t="shared" si="28"/>
        <v>·</v>
      </c>
      <c r="AE160" s="49" t="str">
        <f t="shared" si="29"/>
        <v>·</v>
      </c>
      <c r="AF160" s="49" t="str">
        <f t="shared" si="30"/>
        <v>·</v>
      </c>
      <c r="AG160" s="50"/>
      <c r="AH160" s="49" t="str">
        <f t="shared" si="31"/>
        <v>·</v>
      </c>
      <c r="AI160" s="51"/>
      <c r="AJ160" s="52"/>
      <c r="AK160" s="52"/>
      <c r="AL160" s="52"/>
      <c r="AM160" s="53"/>
      <c r="AN160" s="54"/>
      <c r="AO160" s="54"/>
      <c r="AP160" s="54"/>
      <c r="AQ160" s="54"/>
      <c r="AR160" s="54"/>
      <c r="AS160" s="55"/>
      <c r="AT160" s="56"/>
      <c r="AU160" s="56"/>
      <c r="AW160" s="57" t="e">
        <f t="shared" si="32"/>
        <v>#DIV/0!</v>
      </c>
      <c r="AX160" s="57"/>
      <c r="AZ160" s="58"/>
      <c r="BA160" s="58"/>
      <c r="BB160" s="58"/>
      <c r="BC160" s="58"/>
      <c r="BD160" s="58"/>
      <c r="BE160" s="59"/>
      <c r="BG160" s="58"/>
      <c r="BH160" s="58"/>
      <c r="BI160" s="58"/>
      <c r="BJ160" s="58"/>
      <c r="BK160" s="58"/>
      <c r="BL160" s="59"/>
    </row>
    <row r="161" spans="1:64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>
        <f t="shared" si="23"/>
        <v>9.0450506880264445E-2</v>
      </c>
      <c r="K161" s="19">
        <f t="shared" si="24"/>
        <v>4.6717907545032389E-3</v>
      </c>
      <c r="L161" s="19">
        <f t="shared" si="25"/>
        <v>8.5714383148594156E-2</v>
      </c>
      <c r="M161" s="20"/>
      <c r="N161" s="19">
        <f t="shared" si="26"/>
        <v>0.20966744080129424</v>
      </c>
      <c r="O161" s="21">
        <v>18722411</v>
      </c>
      <c r="P161" s="22">
        <v>3925480</v>
      </c>
      <c r="Q161" s="22">
        <v>202752</v>
      </c>
      <c r="R161" s="22">
        <v>3719936</v>
      </c>
      <c r="S161" s="23"/>
      <c r="T161" s="24">
        <v>65.336080699999997</v>
      </c>
      <c r="U161" s="24">
        <v>66.964672899999997</v>
      </c>
      <c r="V161" s="24">
        <v>22.325229100000001</v>
      </c>
      <c r="W161" s="24">
        <v>34.768139499999997</v>
      </c>
      <c r="X161" s="24">
        <v>36.233914800000001</v>
      </c>
      <c r="Y161" s="23"/>
      <c r="Z161" s="26">
        <v>33.927999999999997</v>
      </c>
      <c r="AA161" s="26">
        <v>20.960999999999999</v>
      </c>
      <c r="AC161" s="18" t="str">
        <f t="shared" si="27"/>
        <v>·</v>
      </c>
      <c r="AD161" s="19">
        <f t="shared" si="28"/>
        <v>9.0459354968814631E-2</v>
      </c>
      <c r="AE161" s="19">
        <f t="shared" si="29"/>
        <v>4.6175962121332917E-3</v>
      </c>
      <c r="AF161" s="19">
        <f t="shared" si="30"/>
        <v>8.5714383148594156E-2</v>
      </c>
      <c r="AG161" s="20"/>
      <c r="AH161" s="19">
        <f t="shared" si="31"/>
        <v>0.20968795098024501</v>
      </c>
      <c r="AI161" s="21">
        <v>18722411</v>
      </c>
      <c r="AJ161" s="22">
        <v>3925864</v>
      </c>
      <c r="AK161" s="22">
        <v>200400</v>
      </c>
      <c r="AL161" s="22">
        <v>3719936</v>
      </c>
      <c r="AM161" s="23"/>
      <c r="AN161" s="24">
        <v>65.336080699999997</v>
      </c>
      <c r="AO161" s="24">
        <v>66.964672899999997</v>
      </c>
      <c r="AP161" s="24">
        <v>22.325229100000001</v>
      </c>
      <c r="AQ161" s="24">
        <v>34.768139499999997</v>
      </c>
      <c r="AR161" s="24">
        <v>36.233914800000001</v>
      </c>
      <c r="AS161" s="25"/>
      <c r="AT161" s="26">
        <v>32.35</v>
      </c>
      <c r="AU161" s="26">
        <v>20.678000000000001</v>
      </c>
      <c r="AW161" s="27">
        <f t="shared" si="32"/>
        <v>-6.0415584791370658E-4</v>
      </c>
      <c r="AX161" s="27" t="e">
        <f t="array" ref="AX161">AVERAGE(AK161:AK166/AJ161:AJ166) - AVERAGE(Q161:Q166/P161:P166)</f>
        <v>#DIV/0!</v>
      </c>
      <c r="AZ161" s="28">
        <f>IF( OR(ISBLANK(Q161:Q166),ISBLANK(AK161:AK166), ISBLANK(T161:T166),ISBLANK(AN161:AN166)), "·", bdRateExtend( Q161:Q166,T161:T166, AK161:AK166,AN161:AN166))</f>
        <v>-2.4538556210757068E-2</v>
      </c>
      <c r="BA161" s="28">
        <f>IF( OR(ISBLANK(Q161:Q166),ISBLANK(AK161:AK166), ISBLANK(U161:U166),ISBLANK(AO161:AO166)), "·", bdRateExtend( Q161:Q166,U161:U166, AK161:AK166,AO161:AO166))</f>
        <v>-2.3568159611032424E-2</v>
      </c>
      <c r="BB161" s="28">
        <f>IF( OR(ISBLANK(R161:R166),ISBLANK(AL161:AL166), ISBLANK(V161:V166),ISBLANK(AP161:AP166)), "·", bdRateExtend( R161:R166,V161:V166, AL161:AL166,AP161:AP166))</f>
        <v>0</v>
      </c>
      <c r="BC161" s="28">
        <f>IF( OR(ISBLANK(R161:R166),ISBLANK(AL161:AL166), ISBLANK(W161:W166),ISBLANK(AQ161:AQ166)), "·", bdRateExtend( R161:R166,W161:W166, AL161:AL166,AQ161:AQ166))</f>
        <v>0</v>
      </c>
      <c r="BD161" s="28">
        <f>IF( OR(ISBLANK(R161:R166),ISBLANK(AL161:AL166), ISBLANK(X161:X166),ISBLANK(AR161:AR166)), "·", bdRateExtend( R161:R166,X161:X166, AL161:AL166,AR161:AR166))</f>
        <v>0</v>
      </c>
      <c r="BE161" s="29"/>
      <c r="BG161" s="28">
        <f>IF( OR(ISBLANK(P161:P166),ISBLANK(AJ161:AJ166), ISBLANK(T161:T166),ISBLANK(AN161:AN166)), "·", bdRateExtend( P161:P166,T161:T166, AJ161:AJ166,AN161:AN166))</f>
        <v>1.3154989316310761E-4</v>
      </c>
      <c r="BH161" s="28">
        <f>IF( OR(ISBLANK(P161:P166),ISBLANK(AJ161:AJ166), ISBLANK(U161:U166),ISBLANK(AO161:AO166)), "·", bdRateExtend( P161:P166,U161:U166, AJ161:AJ166,AO161:AO166))</f>
        <v>1.3203025715968764E-4</v>
      </c>
      <c r="BI161" s="28">
        <f>IF( OR(ISBLANK(P161:P166),ISBLANK(AJ161:AJ166), ISBLANK(V161:V166),ISBLANK(AP161:AP166)), "·", bdRateExtend( P161:P166,V161:V166, AJ161:AJ166,AP161:AP166))</f>
        <v>1.3368410982184109E-4</v>
      </c>
      <c r="BJ161" s="28">
        <f>IF( OR(ISBLANK(P161:P166),ISBLANK(AJ161:AJ166), ISBLANK(W161:W166),ISBLANK(AQ161:AQ166)), "·", bdRateExtend( P161:P166,W161:W166, AJ161:AJ166,AQ161:AQ166))</f>
        <v>1.3617054954262464E-4</v>
      </c>
      <c r="BK161" s="28">
        <f>IF( OR(ISBLANK(P161:P166),ISBLANK(AJ161:AJ166), ISBLANK(X161:X166),ISBLANK(AR161:AR166)), "·", bdRateExtend( P161:P166,X161:X166, AJ161:AJ166,AR161:AR166))</f>
        <v>1.359927100625935E-4</v>
      </c>
      <c r="BL161" s="29"/>
    </row>
    <row r="162" spans="1:64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>
        <f t="shared" si="23"/>
        <v>0.21377977347234295</v>
      </c>
      <c r="K162" s="34">
        <f t="shared" si="24"/>
        <v>1.4526349377283509E-2</v>
      </c>
      <c r="L162" s="34">
        <f t="shared" si="25"/>
        <v>0.1991890911178924</v>
      </c>
      <c r="M162" s="35"/>
      <c r="N162" s="34">
        <f t="shared" si="26"/>
        <v>0.5169761127328828</v>
      </c>
      <c r="O162" s="36">
        <v>17946423</v>
      </c>
      <c r="P162" s="37">
        <v>9277872</v>
      </c>
      <c r="Q162" s="37">
        <v>630432</v>
      </c>
      <c r="R162" s="37">
        <v>8644648</v>
      </c>
      <c r="S162" s="38"/>
      <c r="T162" s="39">
        <v>71.507615599999994</v>
      </c>
      <c r="U162" s="39">
        <v>74.038822100000004</v>
      </c>
      <c r="V162" s="39">
        <v>24.722241400000001</v>
      </c>
      <c r="W162" s="39">
        <v>37.092237699999998</v>
      </c>
      <c r="X162" s="39">
        <v>38.541046700000003</v>
      </c>
      <c r="Y162" s="38"/>
      <c r="Z162" s="41">
        <v>36.771000000000001</v>
      </c>
      <c r="AA162" s="41">
        <v>21.239000000000001</v>
      </c>
      <c r="AC162" s="33" t="str">
        <f t="shared" si="27"/>
        <v>·</v>
      </c>
      <c r="AD162" s="34">
        <f t="shared" si="28"/>
        <v>0.21380650207317167</v>
      </c>
      <c r="AE162" s="34">
        <f t="shared" si="29"/>
        <v>1.4022930005813009E-2</v>
      </c>
      <c r="AF162" s="34">
        <f t="shared" si="30"/>
        <v>0.1991890911178924</v>
      </c>
      <c r="AG162" s="35"/>
      <c r="AH162" s="34">
        <f t="shared" si="31"/>
        <v>0.51704074956886947</v>
      </c>
      <c r="AI162" s="36">
        <v>17946423</v>
      </c>
      <c r="AJ162" s="37">
        <v>9279032</v>
      </c>
      <c r="AK162" s="37">
        <v>608584</v>
      </c>
      <c r="AL162" s="37">
        <v>8644648</v>
      </c>
      <c r="AM162" s="38"/>
      <c r="AN162" s="39">
        <v>71.507615599999994</v>
      </c>
      <c r="AO162" s="39">
        <v>74.038822100000004</v>
      </c>
      <c r="AP162" s="39">
        <v>24.722241400000001</v>
      </c>
      <c r="AQ162" s="39">
        <v>37.092237699999998</v>
      </c>
      <c r="AR162" s="39">
        <v>38.541046700000003</v>
      </c>
      <c r="AS162" s="40"/>
      <c r="AT162" s="41">
        <v>35.445</v>
      </c>
      <c r="AU162" s="41">
        <v>20.675999999999998</v>
      </c>
      <c r="AW162" s="42">
        <f t="shared" si="32"/>
        <v>-2.3630505935012536E-3</v>
      </c>
      <c r="AX162" s="42"/>
      <c r="AZ162" s="43"/>
      <c r="BA162" s="43"/>
      <c r="BB162" s="43"/>
      <c r="BC162" s="43"/>
      <c r="BD162" s="43"/>
      <c r="BE162" s="44"/>
      <c r="BG162" s="43"/>
      <c r="BH162" s="43"/>
      <c r="BI162" s="43"/>
      <c r="BJ162" s="43"/>
      <c r="BK162" s="43"/>
      <c r="BL162" s="44"/>
    </row>
    <row r="163" spans="1:64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>
        <f t="shared" si="23"/>
        <v>0.49067462158983377</v>
      </c>
      <c r="K163" s="19">
        <f t="shared" si="24"/>
        <v>4.986764273372387E-2</v>
      </c>
      <c r="L163" s="19">
        <f t="shared" si="25"/>
        <v>0.44074264587894285</v>
      </c>
      <c r="M163" s="20"/>
      <c r="N163" s="19">
        <f t="shared" si="26"/>
        <v>1.1432785471228932</v>
      </c>
      <c r="O163" s="21">
        <v>18626159</v>
      </c>
      <c r="P163" s="22">
        <v>21294888</v>
      </c>
      <c r="Q163" s="22">
        <v>2164216</v>
      </c>
      <c r="R163" s="22">
        <v>19127880</v>
      </c>
      <c r="S163" s="23"/>
      <c r="T163" s="24">
        <v>76.711945900000003</v>
      </c>
      <c r="U163" s="24">
        <v>79.501562800000002</v>
      </c>
      <c r="V163" s="24">
        <v>27.027702600000001</v>
      </c>
      <c r="W163" s="24">
        <v>39.814194999999998</v>
      </c>
      <c r="X163" s="24">
        <v>41.220239800000002</v>
      </c>
      <c r="Y163" s="23"/>
      <c r="Z163" s="26">
        <v>49.345999999999997</v>
      </c>
      <c r="AA163" s="26">
        <v>28.273</v>
      </c>
      <c r="AC163" s="18" t="str">
        <f t="shared" si="27"/>
        <v>·</v>
      </c>
      <c r="AD163" s="19">
        <f t="shared" si="28"/>
        <v>0.49075609773856682</v>
      </c>
      <c r="AE163" s="19">
        <f t="shared" si="29"/>
        <v>4.8824858631047706E-2</v>
      </c>
      <c r="AF163" s="19">
        <f t="shared" si="30"/>
        <v>0.44074264587894285</v>
      </c>
      <c r="AG163" s="20"/>
      <c r="AH163" s="19">
        <f t="shared" si="31"/>
        <v>1.1434683876584539</v>
      </c>
      <c r="AI163" s="21">
        <v>18626159</v>
      </c>
      <c r="AJ163" s="22">
        <v>21298424</v>
      </c>
      <c r="AK163" s="22">
        <v>2118960</v>
      </c>
      <c r="AL163" s="22">
        <v>19127880</v>
      </c>
      <c r="AM163" s="23"/>
      <c r="AN163" s="24">
        <v>76.711945900000003</v>
      </c>
      <c r="AO163" s="24">
        <v>79.501562800000002</v>
      </c>
      <c r="AP163" s="24">
        <v>27.027702600000001</v>
      </c>
      <c r="AQ163" s="24">
        <v>39.814194999999998</v>
      </c>
      <c r="AR163" s="24">
        <v>41.220239800000002</v>
      </c>
      <c r="AS163" s="25"/>
      <c r="AT163" s="26">
        <v>47.243000000000002</v>
      </c>
      <c r="AU163" s="26">
        <v>26.928000000000001</v>
      </c>
      <c r="AW163" s="27">
        <f t="shared" si="32"/>
        <v>-2.1417249663739923E-3</v>
      </c>
      <c r="AX163" s="27"/>
      <c r="AZ163" s="28"/>
      <c r="BA163" s="28"/>
      <c r="BB163" s="28"/>
      <c r="BC163" s="28"/>
      <c r="BD163" s="28"/>
      <c r="BE163" s="29"/>
      <c r="BG163" s="28"/>
      <c r="BH163" s="28"/>
      <c r="BI163" s="28"/>
      <c r="BJ163" s="28"/>
      <c r="BK163" s="28"/>
      <c r="BL163" s="29"/>
    </row>
    <row r="164" spans="1:64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>
        <f t="shared" si="23"/>
        <v>1.0928963581912701</v>
      </c>
      <c r="K164" s="34">
        <f t="shared" si="24"/>
        <v>0.15667255095277785</v>
      </c>
      <c r="L164" s="34">
        <f t="shared" si="25"/>
        <v>0.93615947426132518</v>
      </c>
      <c r="M164" s="35"/>
      <c r="N164" s="34">
        <f t="shared" si="26"/>
        <v>2.0455503246795952</v>
      </c>
      <c r="O164" s="36">
        <v>23187321</v>
      </c>
      <c r="P164" s="37">
        <v>47430832</v>
      </c>
      <c r="Q164" s="37">
        <v>6799464</v>
      </c>
      <c r="R164" s="37">
        <v>40628576</v>
      </c>
      <c r="S164" s="38"/>
      <c r="T164" s="39">
        <v>80.135772700000004</v>
      </c>
      <c r="U164" s="39">
        <v>84.514688500000005</v>
      </c>
      <c r="V164" s="39">
        <v>28.8223536</v>
      </c>
      <c r="W164" s="39">
        <v>42.2158406</v>
      </c>
      <c r="X164" s="39">
        <v>43.528897000000001</v>
      </c>
      <c r="Y164" s="38"/>
      <c r="Z164" s="41">
        <v>90.43</v>
      </c>
      <c r="AA164" s="41">
        <v>54.976999999999997</v>
      </c>
      <c r="AC164" s="33" t="str">
        <f t="shared" si="27"/>
        <v>·</v>
      </c>
      <c r="AD164" s="34">
        <f t="shared" si="28"/>
        <v>1.0930170977329445</v>
      </c>
      <c r="AE164" s="34">
        <f t="shared" si="29"/>
        <v>0.15598866744191897</v>
      </c>
      <c r="AF164" s="34">
        <f t="shared" si="30"/>
        <v>0.93615947426132518</v>
      </c>
      <c r="AG164" s="35"/>
      <c r="AH164" s="34">
        <f t="shared" si="31"/>
        <v>2.045776310251624</v>
      </c>
      <c r="AI164" s="36">
        <v>23187321</v>
      </c>
      <c r="AJ164" s="37">
        <v>47436072</v>
      </c>
      <c r="AK164" s="37">
        <v>6769784</v>
      </c>
      <c r="AL164" s="37">
        <v>40628576</v>
      </c>
      <c r="AM164" s="38"/>
      <c r="AN164" s="39">
        <v>80.135772700000004</v>
      </c>
      <c r="AO164" s="39">
        <v>84.514688500000005</v>
      </c>
      <c r="AP164" s="39">
        <v>28.8223536</v>
      </c>
      <c r="AQ164" s="39">
        <v>42.2158406</v>
      </c>
      <c r="AR164" s="39">
        <v>43.528897000000001</v>
      </c>
      <c r="AS164" s="40"/>
      <c r="AT164" s="41">
        <v>91.864999999999995</v>
      </c>
      <c r="AU164" s="41">
        <v>52.552</v>
      </c>
      <c r="AW164" s="42">
        <f t="shared" si="32"/>
        <v>-6.4151985617169616E-4</v>
      </c>
      <c r="AX164" s="42"/>
      <c r="AZ164" s="43"/>
      <c r="BA164" s="43"/>
      <c r="BB164" s="43"/>
      <c r="BC164" s="43"/>
      <c r="BD164" s="43"/>
      <c r="BE164" s="44"/>
      <c r="BG164" s="43"/>
      <c r="BH164" s="43"/>
      <c r="BI164" s="43"/>
      <c r="BJ164" s="43"/>
      <c r="BK164" s="43"/>
      <c r="BL164" s="44"/>
    </row>
    <row r="165" spans="1:64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4"/>
      <c r="X165" s="24"/>
      <c r="Y165" s="23"/>
      <c r="Z165" s="26"/>
      <c r="AA165" s="26"/>
      <c r="AC165" s="18" t="str">
        <f t="shared" si="27"/>
        <v>·</v>
      </c>
      <c r="AD165" s="19" t="str">
        <f t="shared" si="28"/>
        <v>·</v>
      </c>
      <c r="AE165" s="19" t="str">
        <f t="shared" si="29"/>
        <v>·</v>
      </c>
      <c r="AF165" s="19" t="str">
        <f t="shared" si="30"/>
        <v>·</v>
      </c>
      <c r="AG165" s="20"/>
      <c r="AH165" s="19" t="str">
        <f t="shared" si="31"/>
        <v>·</v>
      </c>
      <c r="AI165" s="21"/>
      <c r="AJ165" s="22"/>
      <c r="AK165" s="22"/>
      <c r="AL165" s="22"/>
      <c r="AM165" s="23"/>
      <c r="AN165" s="24"/>
      <c r="AO165" s="24"/>
      <c r="AP165" s="24"/>
      <c r="AQ165" s="24"/>
      <c r="AR165" s="24"/>
      <c r="AS165" s="25"/>
      <c r="AT165" s="26"/>
      <c r="AU165" s="26"/>
      <c r="AW165" s="27" t="e">
        <f t="shared" si="32"/>
        <v>#DIV/0!</v>
      </c>
      <c r="AX165" s="27"/>
      <c r="AZ165" s="28"/>
      <c r="BA165" s="28"/>
      <c r="BB165" s="28"/>
      <c r="BC165" s="28"/>
      <c r="BD165" s="28"/>
      <c r="BE165" s="29"/>
      <c r="BG165" s="28"/>
      <c r="BH165" s="28"/>
      <c r="BI165" s="28"/>
      <c r="BJ165" s="28"/>
      <c r="BK165" s="28"/>
      <c r="BL165" s="29"/>
    </row>
    <row r="166" spans="1:64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4"/>
      <c r="X166" s="54"/>
      <c r="Y166" s="53"/>
      <c r="Z166" s="56"/>
      <c r="AA166" s="56"/>
      <c r="AC166" s="48" t="str">
        <f t="shared" si="27"/>
        <v>·</v>
      </c>
      <c r="AD166" s="49" t="str">
        <f t="shared" si="28"/>
        <v>·</v>
      </c>
      <c r="AE166" s="49" t="str">
        <f t="shared" si="29"/>
        <v>·</v>
      </c>
      <c r="AF166" s="49" t="str">
        <f t="shared" si="30"/>
        <v>·</v>
      </c>
      <c r="AG166" s="50"/>
      <c r="AH166" s="49" t="str">
        <f t="shared" si="31"/>
        <v>·</v>
      </c>
      <c r="AI166" s="51"/>
      <c r="AJ166" s="52"/>
      <c r="AK166" s="52"/>
      <c r="AL166" s="52"/>
      <c r="AM166" s="53"/>
      <c r="AN166" s="54"/>
      <c r="AO166" s="54"/>
      <c r="AP166" s="54"/>
      <c r="AQ166" s="54"/>
      <c r="AR166" s="54"/>
      <c r="AS166" s="55"/>
      <c r="AT166" s="56"/>
      <c r="AU166" s="56"/>
      <c r="AW166" s="57" t="e">
        <f t="shared" si="32"/>
        <v>#DIV/0!</v>
      </c>
      <c r="AX166" s="57"/>
      <c r="AZ166" s="58"/>
      <c r="BA166" s="58"/>
      <c r="BB166" s="58"/>
      <c r="BC166" s="58"/>
      <c r="BD166" s="58"/>
      <c r="BE166" s="59"/>
      <c r="BG166" s="58"/>
      <c r="BH166" s="58"/>
      <c r="BI166" s="58"/>
      <c r="BJ166" s="58"/>
      <c r="BK166" s="58"/>
      <c r="BL166" s="59"/>
    </row>
    <row r="167" spans="1:64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>
        <f t="shared" si="23"/>
        <v>0.10018012248328864</v>
      </c>
      <c r="K167" s="19">
        <f t="shared" si="24"/>
        <v>3.3462754673177762E-3</v>
      </c>
      <c r="L167" s="19">
        <f t="shared" si="25"/>
        <v>9.5905215546571665E-2</v>
      </c>
      <c r="M167" s="20"/>
      <c r="N167" s="19">
        <f t="shared" si="26"/>
        <v>0.27731548680901041</v>
      </c>
      <c r="O167" s="21">
        <v>180502</v>
      </c>
      <c r="P167" s="22">
        <v>50056</v>
      </c>
      <c r="Q167" s="22">
        <v>1672</v>
      </c>
      <c r="R167" s="22">
        <v>47920</v>
      </c>
      <c r="S167" s="23"/>
      <c r="T167" s="24">
        <v>46.952732900000001</v>
      </c>
      <c r="U167" s="24">
        <v>50.1928348</v>
      </c>
      <c r="V167" s="24">
        <v>20.656767899999998</v>
      </c>
      <c r="W167" s="24">
        <v>29.5377191</v>
      </c>
      <c r="X167" s="24">
        <v>32.1020726</v>
      </c>
      <c r="Y167" s="23"/>
      <c r="Z167" s="26">
        <v>0.26400000000000001</v>
      </c>
      <c r="AA167" s="26">
        <v>0.217</v>
      </c>
      <c r="AC167" s="18" t="str">
        <f t="shared" si="27"/>
        <v>·</v>
      </c>
      <c r="AD167" s="19">
        <f t="shared" si="28"/>
        <v>0.10013208982107834</v>
      </c>
      <c r="AE167" s="19">
        <f t="shared" si="29"/>
        <v>3.3462754673177762E-3</v>
      </c>
      <c r="AF167" s="19">
        <f t="shared" si="30"/>
        <v>9.5905215546571665E-2</v>
      </c>
      <c r="AG167" s="20"/>
      <c r="AH167" s="19">
        <f t="shared" si="31"/>
        <v>0.27718252429335966</v>
      </c>
      <c r="AI167" s="21">
        <v>180502</v>
      </c>
      <c r="AJ167" s="22">
        <v>50032</v>
      </c>
      <c r="AK167" s="22">
        <v>1672</v>
      </c>
      <c r="AL167" s="22">
        <v>47920</v>
      </c>
      <c r="AM167" s="23"/>
      <c r="AN167" s="24">
        <v>46.952732900000001</v>
      </c>
      <c r="AO167" s="24">
        <v>50.1928348</v>
      </c>
      <c r="AP167" s="24">
        <v>20.656767899999998</v>
      </c>
      <c r="AQ167" s="24">
        <v>29.5377191</v>
      </c>
      <c r="AR167" s="24">
        <v>32.1020726</v>
      </c>
      <c r="AS167" s="25"/>
      <c r="AT167" s="26">
        <v>0.23300000000000001</v>
      </c>
      <c r="AU167" s="26">
        <v>0.20200000000000001</v>
      </c>
      <c r="AW167" s="27">
        <f t="shared" si="32"/>
        <v>1.6022988055738874E-5</v>
      </c>
      <c r="AX167" s="27" t="e">
        <f t="array" ref="AX167">AVERAGE(AK167:AK172/AJ167:AJ172) - AVERAGE(Q167:Q172/P167:P172)</f>
        <v>#DIV/0!</v>
      </c>
      <c r="AZ167" s="28">
        <f>IF( OR(ISBLANK(Q167:Q172),ISBLANK(AK167:AK172), ISBLANK(T167:T172),ISBLANK(AN167:AN172)), "·", bdRateExtend( Q167:Q172,T167:T172, AK167:AK172,AN167:AN172))</f>
        <v>1.2926944295756915E-3</v>
      </c>
      <c r="BA167" s="28">
        <f>IF( OR(ISBLANK(Q167:Q172),ISBLANK(AK167:AK172), ISBLANK(U167:U172),ISBLANK(AO167:AO172)), "·", bdRateExtend( Q167:Q172,U167:U172, AK167:AK172,AO167:AO172))</f>
        <v>1.8144769882459943E-3</v>
      </c>
      <c r="BB167" s="28">
        <f>IF( OR(ISBLANK(R167:R172),ISBLANK(AL167:AL172), ISBLANK(V167:V172),ISBLANK(AP167:AP172)), "·", bdRateExtend( R167:R172,V167:V172, AL167:AL172,AP167:AP172))</f>
        <v>0</v>
      </c>
      <c r="BC167" s="28">
        <f>IF( OR(ISBLANK(R167:R172),ISBLANK(AL167:AL172), ISBLANK(W167:W172),ISBLANK(AQ167:AQ172)), "·", bdRateExtend( R167:R172,W167:W172, AL167:AL172,AQ167:AQ172))</f>
        <v>0</v>
      </c>
      <c r="BD167" s="28">
        <f>IF( OR(ISBLANK(R167:R172),ISBLANK(AL167:AL172), ISBLANK(X167:X172),ISBLANK(AR167:AR172)), "·", bdRateExtend( R167:R172,X167:X172, AL167:AL172,AR167:AR172))</f>
        <v>0</v>
      </c>
      <c r="BE167" s="29"/>
      <c r="BG167" s="28">
        <f>IF( OR(ISBLANK(P167:P172),ISBLANK(AJ167:AJ172), ISBLANK(T167:T172),ISBLANK(AN167:AN172)), "·", bdRateExtend( P167:P172,T167:T172, AJ167:AJ172,AN167:AN172))</f>
        <v>-8.7526675147664434E-6</v>
      </c>
      <c r="BH167" s="28">
        <f>IF( OR(ISBLANK(P167:P172),ISBLANK(AJ167:AJ172), ISBLANK(U167:U172),ISBLANK(AO167:AO172)), "·", bdRateExtend( P167:P172,U167:U172, AJ167:AJ172,AO167:AO172))</f>
        <v>6.3635209075485477E-6</v>
      </c>
      <c r="BI167" s="28">
        <f>IF( OR(ISBLANK(P167:P172),ISBLANK(AJ167:AJ172), ISBLANK(V167:V172),ISBLANK(AP167:AP172)), "·", bdRateExtend( P167:P172,V167:V172, AJ167:AJ172,AP167:AP172))</f>
        <v>4.510970184057328E-5</v>
      </c>
      <c r="BJ167" s="28">
        <f>IF( OR(ISBLANK(P167:P172),ISBLANK(AJ167:AJ172), ISBLANK(W167:W172),ISBLANK(AQ167:AQ172)), "·", bdRateExtend( P167:P172,W167:W172, AJ167:AJ172,AQ167:AQ172))</f>
        <v>6.4208351837402589E-5</v>
      </c>
      <c r="BK167" s="28">
        <f>IF( OR(ISBLANK(P167:P172),ISBLANK(AJ167:AJ172), ISBLANK(X167:X172),ISBLANK(AR167:AR172)), "·", bdRateExtend( P167:P172,X167:X172, AJ167:AJ172,AR167:AR172))</f>
        <v>8.7372942088270733E-5</v>
      </c>
      <c r="BL167" s="29"/>
    </row>
    <row r="168" spans="1:64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>
        <f t="shared" si="23"/>
        <v>0.30199735820357843</v>
      </c>
      <c r="K168" s="34">
        <f t="shared" si="24"/>
        <v>1.1944122002962014E-2</v>
      </c>
      <c r="L168" s="34">
        <f t="shared" si="25"/>
        <v>0.28912460473121721</v>
      </c>
      <c r="M168" s="35"/>
      <c r="N168" s="34">
        <f t="shared" si="26"/>
        <v>0.80242488699813874</v>
      </c>
      <c r="O168" s="36">
        <v>188050</v>
      </c>
      <c r="P168" s="37">
        <v>150896</v>
      </c>
      <c r="Q168" s="37">
        <v>5968</v>
      </c>
      <c r="R168" s="37">
        <v>144464</v>
      </c>
      <c r="S168" s="38"/>
      <c r="T168" s="39">
        <v>55.3890916</v>
      </c>
      <c r="U168" s="39">
        <v>57.8094094</v>
      </c>
      <c r="V168" s="39">
        <v>23.536251100000001</v>
      </c>
      <c r="W168" s="39">
        <v>32.516852</v>
      </c>
      <c r="X168" s="39">
        <v>34.263508700000003</v>
      </c>
      <c r="Y168" s="38"/>
      <c r="Z168" s="41">
        <v>0.28100000000000003</v>
      </c>
      <c r="AA168" s="41">
        <v>0.249</v>
      </c>
      <c r="AC168" s="33" t="str">
        <f t="shared" si="27"/>
        <v>·</v>
      </c>
      <c r="AD168" s="34">
        <f t="shared" si="28"/>
        <v>0.3020293799783853</v>
      </c>
      <c r="AE168" s="34">
        <f t="shared" si="29"/>
        <v>1.192811111555858E-2</v>
      </c>
      <c r="AF168" s="34">
        <f t="shared" si="30"/>
        <v>0.28912460473121721</v>
      </c>
      <c r="AG168" s="35"/>
      <c r="AH168" s="34">
        <f t="shared" si="31"/>
        <v>0.80250997075245945</v>
      </c>
      <c r="AI168" s="36">
        <v>188050</v>
      </c>
      <c r="AJ168" s="37">
        <v>150912</v>
      </c>
      <c r="AK168" s="37">
        <v>5960</v>
      </c>
      <c r="AL168" s="37">
        <v>144464</v>
      </c>
      <c r="AM168" s="38"/>
      <c r="AN168" s="39">
        <v>55.3890916</v>
      </c>
      <c r="AO168" s="39">
        <v>57.8094094</v>
      </c>
      <c r="AP168" s="39">
        <v>23.536251100000001</v>
      </c>
      <c r="AQ168" s="39">
        <v>32.516852</v>
      </c>
      <c r="AR168" s="39">
        <v>34.263508700000003</v>
      </c>
      <c r="AS168" s="40"/>
      <c r="AT168" s="41">
        <v>0.311</v>
      </c>
      <c r="AU168" s="41">
        <v>0.249</v>
      </c>
      <c r="AW168" s="42">
        <f t="shared" si="32"/>
        <v>-5.7204242878659828E-5</v>
      </c>
      <c r="AX168" s="42"/>
      <c r="AZ168" s="43"/>
      <c r="BA168" s="43"/>
      <c r="BB168" s="43"/>
      <c r="BC168" s="43"/>
      <c r="BD168" s="43"/>
      <c r="BE168" s="44"/>
      <c r="BG168" s="43"/>
      <c r="BH168" s="43"/>
      <c r="BI168" s="43"/>
      <c r="BJ168" s="43"/>
      <c r="BK168" s="43"/>
      <c r="BL168" s="44"/>
    </row>
    <row r="169" spans="1:64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>
        <f t="shared" si="23"/>
        <v>0.83961093543609655</v>
      </c>
      <c r="K169" s="19">
        <f t="shared" si="24"/>
        <v>4.8689108593843816E-2</v>
      </c>
      <c r="L169" s="19">
        <f t="shared" si="25"/>
        <v>0.78999319537285351</v>
      </c>
      <c r="M169" s="20"/>
      <c r="N169" s="19">
        <f t="shared" si="26"/>
        <v>1.8933287600754587</v>
      </c>
      <c r="O169" s="21">
        <v>221578</v>
      </c>
      <c r="P169" s="22">
        <v>419520</v>
      </c>
      <c r="Q169" s="22">
        <v>24328</v>
      </c>
      <c r="R169" s="22">
        <v>394728</v>
      </c>
      <c r="S169" s="23"/>
      <c r="T169" s="24">
        <v>60.194295099999998</v>
      </c>
      <c r="U169" s="24">
        <v>62.679119100000001</v>
      </c>
      <c r="V169" s="24">
        <v>25.7198703</v>
      </c>
      <c r="W169" s="24">
        <v>35.088448900000003</v>
      </c>
      <c r="X169" s="24">
        <v>36.517071299999998</v>
      </c>
      <c r="Y169" s="23"/>
      <c r="Z169" s="26">
        <v>0.436</v>
      </c>
      <c r="AA169" s="26">
        <v>0.29599999999999999</v>
      </c>
      <c r="AC169" s="18" t="str">
        <f t="shared" si="27"/>
        <v>·</v>
      </c>
      <c r="AD169" s="19">
        <f t="shared" si="28"/>
        <v>0.83981907697234115</v>
      </c>
      <c r="AE169" s="19">
        <f t="shared" si="29"/>
        <v>4.9201456990753713E-2</v>
      </c>
      <c r="AF169" s="19">
        <f t="shared" si="30"/>
        <v>0.78999319537285351</v>
      </c>
      <c r="AG169" s="20"/>
      <c r="AH169" s="19">
        <f t="shared" si="31"/>
        <v>1.8937981207520602</v>
      </c>
      <c r="AI169" s="21">
        <v>221578</v>
      </c>
      <c r="AJ169" s="22">
        <v>419624</v>
      </c>
      <c r="AK169" s="22">
        <v>24584</v>
      </c>
      <c r="AL169" s="22">
        <v>394728</v>
      </c>
      <c r="AM169" s="23"/>
      <c r="AN169" s="24">
        <v>60.194295099999998</v>
      </c>
      <c r="AO169" s="24">
        <v>62.679119100000001</v>
      </c>
      <c r="AP169" s="24">
        <v>25.7198703</v>
      </c>
      <c r="AQ169" s="24">
        <v>35.088448900000003</v>
      </c>
      <c r="AR169" s="24">
        <v>36.517071299999998</v>
      </c>
      <c r="AS169" s="25"/>
      <c r="AT169" s="26">
        <v>0.437</v>
      </c>
      <c r="AU169" s="26">
        <v>0.39</v>
      </c>
      <c r="AW169" s="27">
        <f t="shared" si="32"/>
        <v>5.9569765140658759E-4</v>
      </c>
      <c r="AX169" s="27"/>
      <c r="AZ169" s="28"/>
      <c r="BA169" s="28"/>
      <c r="BB169" s="28"/>
      <c r="BC169" s="28"/>
      <c r="BD169" s="28"/>
      <c r="BE169" s="29"/>
      <c r="BG169" s="28"/>
      <c r="BH169" s="28"/>
      <c r="BI169" s="28"/>
      <c r="BJ169" s="28"/>
      <c r="BK169" s="28"/>
      <c r="BL169" s="29"/>
    </row>
    <row r="170" spans="1:64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>
        <f t="shared" si="23"/>
        <v>2.0116239042548933</v>
      </c>
      <c r="K170" s="34">
        <f t="shared" si="24"/>
        <v>0.20031221230436697</v>
      </c>
      <c r="L170" s="34">
        <f t="shared" si="25"/>
        <v>1.8103830604811271</v>
      </c>
      <c r="M170" s="35"/>
      <c r="N170" s="34">
        <f t="shared" si="26"/>
        <v>3.5988685595617458</v>
      </c>
      <c r="O170" s="36">
        <v>279290</v>
      </c>
      <c r="P170" s="37">
        <v>1005128</v>
      </c>
      <c r="Q170" s="37">
        <v>100088</v>
      </c>
      <c r="R170" s="37">
        <v>904576</v>
      </c>
      <c r="S170" s="38"/>
      <c r="T170" s="39">
        <v>61.732668099999998</v>
      </c>
      <c r="U170" s="39">
        <v>64.405444000000003</v>
      </c>
      <c r="V170" s="39">
        <v>27.225823999999999</v>
      </c>
      <c r="W170" s="39">
        <v>37.186356199999999</v>
      </c>
      <c r="X170" s="39">
        <v>38.664604099999998</v>
      </c>
      <c r="Y170" s="38"/>
      <c r="Z170" s="41">
        <v>0.79600000000000004</v>
      </c>
      <c r="AA170" s="41">
        <v>0.73399999999999999</v>
      </c>
      <c r="AC170" s="33" t="str">
        <f t="shared" si="27"/>
        <v>·</v>
      </c>
      <c r="AD170" s="34">
        <f t="shared" si="28"/>
        <v>2.0118320457911381</v>
      </c>
      <c r="AE170" s="34">
        <f t="shared" si="29"/>
        <v>0.20452307569147021</v>
      </c>
      <c r="AF170" s="34">
        <f t="shared" si="30"/>
        <v>1.8103830604811271</v>
      </c>
      <c r="AG170" s="35"/>
      <c r="AH170" s="34">
        <f t="shared" si="31"/>
        <v>3.5992409323642094</v>
      </c>
      <c r="AI170" s="36">
        <v>279290</v>
      </c>
      <c r="AJ170" s="37">
        <v>1005232</v>
      </c>
      <c r="AK170" s="37">
        <v>102192</v>
      </c>
      <c r="AL170" s="37">
        <v>904576</v>
      </c>
      <c r="AM170" s="38"/>
      <c r="AN170" s="39">
        <v>61.732668099999998</v>
      </c>
      <c r="AO170" s="39">
        <v>64.405444000000003</v>
      </c>
      <c r="AP170" s="39">
        <v>27.225823999999999</v>
      </c>
      <c r="AQ170" s="39">
        <v>37.186356199999999</v>
      </c>
      <c r="AR170" s="39">
        <v>38.664604099999998</v>
      </c>
      <c r="AS170" s="40"/>
      <c r="AT170" s="41">
        <v>0.78</v>
      </c>
      <c r="AU170" s="41">
        <v>0.65500000000000003</v>
      </c>
      <c r="AW170" s="42">
        <f t="shared" si="32"/>
        <v>2.0827470213889837E-3</v>
      </c>
      <c r="AX170" s="42"/>
      <c r="AZ170" s="43"/>
      <c r="BA170" s="43"/>
      <c r="BB170" s="43"/>
      <c r="BC170" s="43"/>
      <c r="BD170" s="43"/>
      <c r="BE170" s="44"/>
      <c r="BG170" s="43"/>
      <c r="BH170" s="43"/>
      <c r="BI170" s="43"/>
      <c r="BJ170" s="43"/>
      <c r="BK170" s="43"/>
      <c r="BL170" s="44"/>
    </row>
    <row r="171" spans="1:64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4"/>
      <c r="X171" s="24"/>
      <c r="Y171" s="23"/>
      <c r="Z171" s="26"/>
      <c r="AA171" s="26"/>
      <c r="AC171" s="18" t="str">
        <f t="shared" si="27"/>
        <v>·</v>
      </c>
      <c r="AD171" s="19" t="str">
        <f t="shared" si="28"/>
        <v>·</v>
      </c>
      <c r="AE171" s="19" t="str">
        <f t="shared" si="29"/>
        <v>·</v>
      </c>
      <c r="AF171" s="19" t="str">
        <f t="shared" si="30"/>
        <v>·</v>
      </c>
      <c r="AG171" s="20"/>
      <c r="AH171" s="19" t="str">
        <f t="shared" si="31"/>
        <v>·</v>
      </c>
      <c r="AI171" s="21"/>
      <c r="AJ171" s="22"/>
      <c r="AK171" s="22"/>
      <c r="AL171" s="22"/>
      <c r="AM171" s="23"/>
      <c r="AN171" s="24"/>
      <c r="AO171" s="24"/>
      <c r="AP171" s="24"/>
      <c r="AQ171" s="24"/>
      <c r="AR171" s="24"/>
      <c r="AS171" s="25"/>
      <c r="AT171" s="26"/>
      <c r="AU171" s="26"/>
      <c r="AW171" s="27" t="e">
        <f t="shared" si="32"/>
        <v>#DIV/0!</v>
      </c>
      <c r="AX171" s="27"/>
      <c r="AZ171" s="28"/>
      <c r="BA171" s="28"/>
      <c r="BB171" s="28"/>
      <c r="BC171" s="28"/>
      <c r="BD171" s="28"/>
      <c r="BE171" s="29"/>
      <c r="BG171" s="28"/>
      <c r="BH171" s="28"/>
      <c r="BI171" s="28"/>
      <c r="BJ171" s="28"/>
      <c r="BK171" s="28"/>
      <c r="BL171" s="29"/>
    </row>
    <row r="172" spans="1:64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4"/>
      <c r="X172" s="54"/>
      <c r="Y172" s="53"/>
      <c r="Z172" s="56"/>
      <c r="AA172" s="56"/>
      <c r="AC172" s="48" t="str">
        <f t="shared" si="27"/>
        <v>·</v>
      </c>
      <c r="AD172" s="49" t="str">
        <f t="shared" si="28"/>
        <v>·</v>
      </c>
      <c r="AE172" s="49" t="str">
        <f t="shared" si="29"/>
        <v>·</v>
      </c>
      <c r="AF172" s="49" t="str">
        <f t="shared" si="30"/>
        <v>·</v>
      </c>
      <c r="AG172" s="50"/>
      <c r="AH172" s="49" t="str">
        <f t="shared" si="31"/>
        <v>·</v>
      </c>
      <c r="AI172" s="51"/>
      <c r="AJ172" s="52"/>
      <c r="AK172" s="52"/>
      <c r="AL172" s="52"/>
      <c r="AM172" s="53"/>
      <c r="AN172" s="54"/>
      <c r="AO172" s="54"/>
      <c r="AP172" s="54"/>
      <c r="AQ172" s="54"/>
      <c r="AR172" s="54"/>
      <c r="AS172" s="55"/>
      <c r="AT172" s="56"/>
      <c r="AU172" s="56"/>
      <c r="AW172" s="57" t="e">
        <f t="shared" si="32"/>
        <v>#DIV/0!</v>
      </c>
      <c r="AX172" s="57"/>
      <c r="AZ172" s="58"/>
      <c r="BA172" s="58"/>
      <c r="BB172" s="58"/>
      <c r="BC172" s="58"/>
      <c r="BD172" s="58"/>
      <c r="BE172" s="59"/>
      <c r="BG172" s="58"/>
      <c r="BH172" s="58"/>
      <c r="BI172" s="58"/>
      <c r="BJ172" s="58"/>
      <c r="BK172" s="58"/>
      <c r="BL172" s="59"/>
    </row>
    <row r="173" spans="1:64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>
        <f t="shared" si="23"/>
        <v>3.0105137684616232E-2</v>
      </c>
      <c r="K173" s="19">
        <f t="shared" si="24"/>
        <v>4.0400633237566352E-3</v>
      </c>
      <c r="L173" s="19">
        <f t="shared" si="25"/>
        <v>2.6026445872245774E-2</v>
      </c>
      <c r="M173" s="20"/>
      <c r="N173" s="19">
        <f t="shared" si="26"/>
        <v>0.11056999062787588</v>
      </c>
      <c r="O173" s="21">
        <v>17367461</v>
      </c>
      <c r="P173" s="22">
        <v>1920320</v>
      </c>
      <c r="Q173" s="22">
        <v>257704</v>
      </c>
      <c r="R173" s="22">
        <v>1660152</v>
      </c>
      <c r="S173" s="23"/>
      <c r="T173" s="24">
        <v>67.247053699999995</v>
      </c>
      <c r="U173" s="24">
        <v>70.906901700000006</v>
      </c>
      <c r="V173" s="24">
        <v>27.1325593</v>
      </c>
      <c r="W173" s="24">
        <v>39.0182176</v>
      </c>
      <c r="X173" s="24">
        <v>37.436148099999997</v>
      </c>
      <c r="Y173" s="23"/>
      <c r="Z173" s="26">
        <v>32.146999999999998</v>
      </c>
      <c r="AA173" s="26">
        <v>19.774999999999999</v>
      </c>
      <c r="AC173" s="18" t="str">
        <f t="shared" si="27"/>
        <v>·</v>
      </c>
      <c r="AD173" s="19">
        <f t="shared" si="28"/>
        <v>3.0108774782570132E-2</v>
      </c>
      <c r="AE173" s="19">
        <f t="shared" si="29"/>
        <v>4.044954593418775E-3</v>
      </c>
      <c r="AF173" s="19">
        <f t="shared" si="30"/>
        <v>2.6026445872245774E-2</v>
      </c>
      <c r="AG173" s="20"/>
      <c r="AH173" s="19">
        <f t="shared" si="31"/>
        <v>0.1105833489420244</v>
      </c>
      <c r="AI173" s="21">
        <v>17367461</v>
      </c>
      <c r="AJ173" s="22">
        <v>1920552</v>
      </c>
      <c r="AK173" s="22">
        <v>258016</v>
      </c>
      <c r="AL173" s="22">
        <v>1660152</v>
      </c>
      <c r="AM173" s="23"/>
      <c r="AN173" s="24">
        <v>67.247053699999995</v>
      </c>
      <c r="AO173" s="24">
        <v>70.906901700000006</v>
      </c>
      <c r="AP173" s="24">
        <v>27.1325593</v>
      </c>
      <c r="AQ173" s="24">
        <v>39.0182176</v>
      </c>
      <c r="AR173" s="24">
        <v>37.436148099999997</v>
      </c>
      <c r="AS173" s="25"/>
      <c r="AT173" s="26">
        <v>31.231000000000002</v>
      </c>
      <c r="AU173" s="26">
        <v>18.481000000000002</v>
      </c>
      <c r="AW173" s="27">
        <f t="shared" si="32"/>
        <v>1.462423072502439E-4</v>
      </c>
      <c r="AX173" s="27" t="e">
        <f t="array" ref="AX173">AVERAGE(AK173:AK178/AJ173:AJ178) - AVERAGE(Q173:Q178/P173:P178)</f>
        <v>#DIV/0!</v>
      </c>
      <c r="AZ173" s="28">
        <f>IF( OR(ISBLANK(Q173:Q178),ISBLANK(AK173:AK178), ISBLANK(T173:T178),ISBLANK(AN173:AN178)), "·", bdRateExtend( Q173:Q178,T173:T178, AK173:AK178,AN173:AN178))</f>
        <v>5.7414472722221443E-3</v>
      </c>
      <c r="BA173" s="28">
        <f>IF( OR(ISBLANK(Q173:Q178),ISBLANK(AK173:AK178), ISBLANK(U173:U178),ISBLANK(AO173:AO178)), "·", bdRateExtend( Q173:Q178,U173:U178, AK173:AK178,AO173:AO178))</f>
        <v>5.913760732566109E-3</v>
      </c>
      <c r="BB173" s="28">
        <f>IF( OR(ISBLANK(R173:R178),ISBLANK(AL173:AL178), ISBLANK(V173:V178),ISBLANK(AP173:AP178)), "·", bdRateExtend( R173:R178,V173:V178, AL173:AL178,AP173:AP178))</f>
        <v>0</v>
      </c>
      <c r="BC173" s="28">
        <f>IF( OR(ISBLANK(R173:R178),ISBLANK(AL173:AL178), ISBLANK(W173:W178),ISBLANK(AQ173:AQ178)), "·", bdRateExtend( R173:R178,W173:W178, AL173:AL178,AQ173:AQ178))</f>
        <v>0</v>
      </c>
      <c r="BD173" s="28">
        <f>IF( OR(ISBLANK(R173:R178),ISBLANK(AL173:AL178), ISBLANK(X173:X178),ISBLANK(AR173:AR178)), "·", bdRateExtend( R173:R178,X173:X178, AL173:AL178,AR173:AR178))</f>
        <v>0</v>
      </c>
      <c r="BE173" s="29"/>
      <c r="BG173" s="28">
        <f>IF( OR(ISBLANK(P173:P178),ISBLANK(AJ173:AJ178), ISBLANK(T173:T178),ISBLANK(AN173:AN178)), "·", bdRateExtend( P173:P178,T173:T178, AJ173:AJ178,AN173:AN178))</f>
        <v>2.208532191729784E-4</v>
      </c>
      <c r="BH173" s="28">
        <f>IF( OR(ISBLANK(P173:P178),ISBLANK(AJ173:AJ178), ISBLANK(U173:U178),ISBLANK(AO173:AO178)), "·", bdRateExtend( P173:P178,U173:U178, AJ173:AJ178,AO173:AO178))</f>
        <v>2.1883519374021887E-4</v>
      </c>
      <c r="BI173" s="28">
        <f>IF( OR(ISBLANK(P173:P178),ISBLANK(AJ173:AJ178), ISBLANK(V173:V178),ISBLANK(AP173:AP178)), "·", bdRateExtend( P173:P178,V173:V178, AJ173:AJ178,AP173:AP178))</f>
        <v>2.256866507701627E-4</v>
      </c>
      <c r="BJ173" s="28">
        <f>IF( OR(ISBLANK(P173:P178),ISBLANK(AJ173:AJ178), ISBLANK(W173:W178),ISBLANK(AQ173:AQ178)), "·", bdRateExtend( P173:P178,W173:W178, AJ173:AJ178,AQ173:AQ178))</f>
        <v>2.2763596501751415E-4</v>
      </c>
      <c r="BK173" s="28">
        <f>IF( OR(ISBLANK(P173:P178),ISBLANK(AJ173:AJ178), ISBLANK(X173:X178),ISBLANK(AR173:AR178)), "·", bdRateExtend( P173:P178,X173:X178, AJ173:AJ178,AR173:AR178))</f>
        <v>2.2943149722087774E-4</v>
      </c>
      <c r="BL173" s="29"/>
    </row>
    <row r="174" spans="1:64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>
        <f t="shared" si="23"/>
        <v>6.999883471771158E-2</v>
      </c>
      <c r="K174" s="34">
        <f t="shared" si="24"/>
        <v>1.1760242691004747E-2</v>
      </c>
      <c r="L174" s="34">
        <f t="shared" si="25"/>
        <v>5.8199963538093015E-2</v>
      </c>
      <c r="M174" s="35"/>
      <c r="N174" s="34">
        <f t="shared" si="26"/>
        <v>0.29761896112544023</v>
      </c>
      <c r="O174" s="36">
        <v>15002485</v>
      </c>
      <c r="P174" s="37">
        <v>4465024</v>
      </c>
      <c r="Q174" s="37">
        <v>750152</v>
      </c>
      <c r="R174" s="37">
        <v>3712408</v>
      </c>
      <c r="S174" s="38"/>
      <c r="T174" s="39">
        <v>72.218742899999995</v>
      </c>
      <c r="U174" s="39">
        <v>76.5990793</v>
      </c>
      <c r="V174" s="39">
        <v>29.675697100000001</v>
      </c>
      <c r="W174" s="39">
        <v>41.787510300000001</v>
      </c>
      <c r="X174" s="39">
        <v>39.984704399999998</v>
      </c>
      <c r="Y174" s="38"/>
      <c r="Z174" s="41">
        <v>33.21</v>
      </c>
      <c r="AA174" s="41">
        <v>17.817</v>
      </c>
      <c r="AC174" s="33" t="str">
        <f t="shared" si="27"/>
        <v>·</v>
      </c>
      <c r="AD174" s="34">
        <f t="shared" si="28"/>
        <v>7.0014511864064599E-2</v>
      </c>
      <c r="AE174" s="34">
        <f t="shared" si="29"/>
        <v>1.1743562207285141E-2</v>
      </c>
      <c r="AF174" s="34">
        <f t="shared" si="30"/>
        <v>5.8199963538093015E-2</v>
      </c>
      <c r="AG174" s="35"/>
      <c r="AH174" s="34">
        <f t="shared" si="31"/>
        <v>0.29768561674949184</v>
      </c>
      <c r="AI174" s="36">
        <v>15002485</v>
      </c>
      <c r="AJ174" s="37">
        <v>4466024</v>
      </c>
      <c r="AK174" s="37">
        <v>749088</v>
      </c>
      <c r="AL174" s="37">
        <v>3712408</v>
      </c>
      <c r="AM174" s="38"/>
      <c r="AN174" s="39">
        <v>72.218742899999995</v>
      </c>
      <c r="AO174" s="39">
        <v>76.5990793</v>
      </c>
      <c r="AP174" s="39">
        <v>29.675697100000001</v>
      </c>
      <c r="AQ174" s="39">
        <v>41.787510300000001</v>
      </c>
      <c r="AR174" s="39">
        <v>39.984704399999998</v>
      </c>
      <c r="AS174" s="40"/>
      <c r="AT174" s="41">
        <v>31.79</v>
      </c>
      <c r="AU174" s="41">
        <v>17.382000000000001</v>
      </c>
      <c r="AW174" s="42">
        <f t="shared" si="32"/>
        <v>-2.7586198905249493E-4</v>
      </c>
      <c r="AX174" s="42"/>
      <c r="AZ174" s="43"/>
      <c r="BA174" s="43"/>
      <c r="BB174" s="43"/>
      <c r="BC174" s="43"/>
      <c r="BD174" s="43"/>
      <c r="BE174" s="44"/>
      <c r="BG174" s="43"/>
      <c r="BH174" s="43"/>
      <c r="BI174" s="43"/>
      <c r="BJ174" s="43"/>
      <c r="BK174" s="43"/>
      <c r="BL174" s="44"/>
    </row>
    <row r="175" spans="1:64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>
        <f t="shared" si="23"/>
        <v>0.19337433941796306</v>
      </c>
      <c r="K175" s="19">
        <f t="shared" si="24"/>
        <v>4.6823497389810002E-2</v>
      </c>
      <c r="L175" s="19">
        <f t="shared" si="25"/>
        <v>0.14651095936783098</v>
      </c>
      <c r="M175" s="20"/>
      <c r="N175" s="19">
        <f t="shared" si="26"/>
        <v>0.72882036529199035</v>
      </c>
      <c r="O175" s="21">
        <v>16924324</v>
      </c>
      <c r="P175" s="22">
        <v>12334792</v>
      </c>
      <c r="Q175" s="22">
        <v>2986736</v>
      </c>
      <c r="R175" s="22">
        <v>9345512</v>
      </c>
      <c r="S175" s="23"/>
      <c r="T175" s="24">
        <v>76.594478499999994</v>
      </c>
      <c r="U175" s="24">
        <v>80.964476000000005</v>
      </c>
      <c r="V175" s="24">
        <v>32.184052100000002</v>
      </c>
      <c r="W175" s="24">
        <v>44.766317200000003</v>
      </c>
      <c r="X175" s="24">
        <v>42.9199068</v>
      </c>
      <c r="Y175" s="23"/>
      <c r="Z175" s="26">
        <v>50.774000000000001</v>
      </c>
      <c r="AA175" s="26">
        <v>25.956</v>
      </c>
      <c r="AC175" s="18" t="str">
        <f t="shared" si="27"/>
        <v>·</v>
      </c>
      <c r="AD175" s="19">
        <f t="shared" si="28"/>
        <v>0.19342714004688</v>
      </c>
      <c r="AE175" s="19">
        <f t="shared" si="29"/>
        <v>4.7314505613586341E-2</v>
      </c>
      <c r="AF175" s="19">
        <f t="shared" si="30"/>
        <v>0.14651095936783098</v>
      </c>
      <c r="AG175" s="20"/>
      <c r="AH175" s="19">
        <f t="shared" si="31"/>
        <v>0.72901936880905849</v>
      </c>
      <c r="AI175" s="21">
        <v>16924324</v>
      </c>
      <c r="AJ175" s="22">
        <v>12338160</v>
      </c>
      <c r="AK175" s="22">
        <v>3018056</v>
      </c>
      <c r="AL175" s="22">
        <v>9345512</v>
      </c>
      <c r="AM175" s="23"/>
      <c r="AN175" s="24">
        <v>76.594478499999994</v>
      </c>
      <c r="AO175" s="24">
        <v>80.964476000000005</v>
      </c>
      <c r="AP175" s="24">
        <v>32.184052100000002</v>
      </c>
      <c r="AQ175" s="24">
        <v>44.766317200000003</v>
      </c>
      <c r="AR175" s="24">
        <v>42.9199068</v>
      </c>
      <c r="AS175" s="25"/>
      <c r="AT175" s="26">
        <v>50.587000000000003</v>
      </c>
      <c r="AU175" s="26">
        <v>25.959</v>
      </c>
      <c r="AW175" s="27">
        <f t="shared" si="32"/>
        <v>2.4723682750536491E-3</v>
      </c>
      <c r="AX175" s="27"/>
      <c r="AZ175" s="28"/>
      <c r="BA175" s="28"/>
      <c r="BB175" s="28"/>
      <c r="BC175" s="28"/>
      <c r="BD175" s="28"/>
      <c r="BE175" s="29"/>
      <c r="BG175" s="28"/>
      <c r="BH175" s="28"/>
      <c r="BI175" s="28"/>
      <c r="BJ175" s="28"/>
      <c r="BK175" s="28"/>
      <c r="BL175" s="29"/>
    </row>
    <row r="176" spans="1:64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>
        <f t="shared" si="23"/>
        <v>0.49692139254635409</v>
      </c>
      <c r="K176" s="34">
        <f t="shared" si="24"/>
        <v>0.16163463974599637</v>
      </c>
      <c r="L176" s="34">
        <f t="shared" si="25"/>
        <v>0.33524812431174389</v>
      </c>
      <c r="M176" s="35"/>
      <c r="N176" s="34">
        <f t="shared" si="26"/>
        <v>1.551374184465087</v>
      </c>
      <c r="O176" s="36">
        <v>20431682</v>
      </c>
      <c r="P176" s="37">
        <v>31697184</v>
      </c>
      <c r="Q176" s="37">
        <v>10310208</v>
      </c>
      <c r="R176" s="37">
        <v>21384512</v>
      </c>
      <c r="S176" s="38"/>
      <c r="T176" s="39">
        <v>79.276860299999996</v>
      </c>
      <c r="U176" s="39">
        <v>84.051683600000004</v>
      </c>
      <c r="V176" s="39">
        <v>34.306908499999999</v>
      </c>
      <c r="W176" s="39">
        <v>47.363387799999998</v>
      </c>
      <c r="X176" s="39">
        <v>45.6515567</v>
      </c>
      <c r="Y176" s="38"/>
      <c r="Z176" s="41">
        <v>96.537000000000006</v>
      </c>
      <c r="AA176" s="41">
        <v>53.040999999999997</v>
      </c>
      <c r="AC176" s="33" t="str">
        <f t="shared" si="27"/>
        <v>·</v>
      </c>
      <c r="AD176" s="34">
        <f t="shared" si="28"/>
        <v>0.49702410920925899</v>
      </c>
      <c r="AE176" s="34">
        <f t="shared" si="29"/>
        <v>0.16846297761151433</v>
      </c>
      <c r="AF176" s="34">
        <f t="shared" si="30"/>
        <v>0.33524812431174389</v>
      </c>
      <c r="AG176" s="35"/>
      <c r="AH176" s="34">
        <f t="shared" si="31"/>
        <v>1.5516948629094756</v>
      </c>
      <c r="AI176" s="36">
        <v>20431682</v>
      </c>
      <c r="AJ176" s="37">
        <v>31703736</v>
      </c>
      <c r="AK176" s="37">
        <v>10745768</v>
      </c>
      <c r="AL176" s="37">
        <v>21384512</v>
      </c>
      <c r="AM176" s="38"/>
      <c r="AN176" s="39">
        <v>79.276860299999996</v>
      </c>
      <c r="AO176" s="39">
        <v>84.051683600000004</v>
      </c>
      <c r="AP176" s="39">
        <v>34.306908499999999</v>
      </c>
      <c r="AQ176" s="39">
        <v>47.363387799999998</v>
      </c>
      <c r="AR176" s="39">
        <v>45.6515567</v>
      </c>
      <c r="AS176" s="40"/>
      <c r="AT176" s="41">
        <v>91.492999999999995</v>
      </c>
      <c r="AU176" s="41">
        <v>50.134999999999998</v>
      </c>
      <c r="AW176" s="42">
        <f t="shared" si="32"/>
        <v>1.3671222140264783E-2</v>
      </c>
      <c r="AX176" s="42"/>
      <c r="AZ176" s="43"/>
      <c r="BA176" s="43"/>
      <c r="BB176" s="43"/>
      <c r="BC176" s="43"/>
      <c r="BD176" s="43"/>
      <c r="BE176" s="44"/>
      <c r="BG176" s="43"/>
      <c r="BH176" s="43"/>
      <c r="BI176" s="43"/>
      <c r="BJ176" s="43"/>
      <c r="BK176" s="43"/>
      <c r="BL176" s="44"/>
    </row>
    <row r="177" spans="1:64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4"/>
      <c r="X177" s="24"/>
      <c r="Y177" s="23"/>
      <c r="Z177" s="26"/>
      <c r="AA177" s="26"/>
      <c r="AC177" s="18" t="str">
        <f t="shared" si="27"/>
        <v>·</v>
      </c>
      <c r="AD177" s="19" t="str">
        <f t="shared" si="28"/>
        <v>·</v>
      </c>
      <c r="AE177" s="19" t="str">
        <f t="shared" si="29"/>
        <v>·</v>
      </c>
      <c r="AF177" s="19" t="str">
        <f t="shared" si="30"/>
        <v>·</v>
      </c>
      <c r="AG177" s="20"/>
      <c r="AH177" s="19" t="str">
        <f t="shared" si="31"/>
        <v>·</v>
      </c>
      <c r="AI177" s="21"/>
      <c r="AJ177" s="22"/>
      <c r="AK177" s="22"/>
      <c r="AL177" s="22"/>
      <c r="AM177" s="23"/>
      <c r="AN177" s="24"/>
      <c r="AO177" s="24"/>
      <c r="AP177" s="24"/>
      <c r="AQ177" s="24"/>
      <c r="AR177" s="24"/>
      <c r="AS177" s="25"/>
      <c r="AT177" s="26"/>
      <c r="AU177" s="26"/>
      <c r="AW177" s="27" t="e">
        <f t="shared" si="32"/>
        <v>#DIV/0!</v>
      </c>
      <c r="AX177" s="27"/>
      <c r="AZ177" s="28"/>
      <c r="BA177" s="28"/>
      <c r="BB177" s="28"/>
      <c r="BC177" s="28"/>
      <c r="BD177" s="28"/>
      <c r="BE177" s="29"/>
      <c r="BG177" s="28"/>
      <c r="BH177" s="28"/>
      <c r="BI177" s="28"/>
      <c r="BJ177" s="28"/>
      <c r="BK177" s="28"/>
      <c r="BL177" s="29"/>
    </row>
    <row r="178" spans="1:64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4"/>
      <c r="X178" s="54"/>
      <c r="Y178" s="53"/>
      <c r="Z178" s="56"/>
      <c r="AA178" s="56"/>
      <c r="AC178" s="48" t="str">
        <f t="shared" si="27"/>
        <v>·</v>
      </c>
      <c r="AD178" s="49" t="str">
        <f t="shared" si="28"/>
        <v>·</v>
      </c>
      <c r="AE178" s="49" t="str">
        <f t="shared" si="29"/>
        <v>·</v>
      </c>
      <c r="AF178" s="49" t="str">
        <f t="shared" si="30"/>
        <v>·</v>
      </c>
      <c r="AG178" s="50"/>
      <c r="AH178" s="49" t="str">
        <f t="shared" si="31"/>
        <v>·</v>
      </c>
      <c r="AI178" s="51"/>
      <c r="AJ178" s="52"/>
      <c r="AK178" s="52"/>
      <c r="AL178" s="52"/>
      <c r="AM178" s="53"/>
      <c r="AN178" s="54"/>
      <c r="AO178" s="54"/>
      <c r="AP178" s="54"/>
      <c r="AQ178" s="54"/>
      <c r="AR178" s="54"/>
      <c r="AS178" s="55"/>
      <c r="AT178" s="56"/>
      <c r="AU178" s="56"/>
      <c r="AW178" s="57" t="e">
        <f t="shared" si="32"/>
        <v>#DIV/0!</v>
      </c>
      <c r="AX178" s="57"/>
      <c r="AZ178" s="58"/>
      <c r="BA178" s="58"/>
      <c r="BB178" s="58"/>
      <c r="BC178" s="58"/>
      <c r="BD178" s="58"/>
      <c r="BE178" s="59"/>
      <c r="BG178" s="58"/>
      <c r="BH178" s="58"/>
      <c r="BI178" s="58"/>
      <c r="BJ178" s="58"/>
      <c r="BK178" s="58"/>
      <c r="BL178" s="59"/>
    </row>
    <row r="179" spans="1:64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>
        <f t="shared" si="23"/>
        <v>0.24672950783108769</v>
      </c>
      <c r="K179" s="19">
        <f t="shared" si="24"/>
        <v>3.5778064133272586E-2</v>
      </c>
      <c r="L179" s="19">
        <f t="shared" si="25"/>
        <v>0.21622813678303157</v>
      </c>
      <c r="M179" s="20"/>
      <c r="N179" s="19">
        <f t="shared" si="26"/>
        <v>0.30462621295839631</v>
      </c>
      <c r="O179" s="21">
        <v>1615987</v>
      </c>
      <c r="P179" s="22">
        <v>492272</v>
      </c>
      <c r="Q179" s="22">
        <v>71384</v>
      </c>
      <c r="R179" s="22">
        <v>431416</v>
      </c>
      <c r="S179" s="23"/>
      <c r="T179" s="24">
        <v>60.264397799999998</v>
      </c>
      <c r="U179" s="24">
        <v>61.162666999999999</v>
      </c>
      <c r="V179" s="24">
        <v>25.040660800000001</v>
      </c>
      <c r="W179" s="24">
        <v>36.147135300000002</v>
      </c>
      <c r="X179" s="24">
        <v>35.053662000000003</v>
      </c>
      <c r="Y179" s="23"/>
      <c r="Z179" s="26">
        <v>9.7949999999999999</v>
      </c>
      <c r="AA179" s="26">
        <v>2.06</v>
      </c>
      <c r="AC179" s="18" t="str">
        <f t="shared" si="27"/>
        <v>·</v>
      </c>
      <c r="AD179" s="19">
        <f t="shared" si="28"/>
        <v>0.24682573931592447</v>
      </c>
      <c r="AE179" s="19">
        <f t="shared" si="29"/>
        <v>3.6447674881928481E-2</v>
      </c>
      <c r="AF179" s="19">
        <f t="shared" si="30"/>
        <v>0.21622813678303157</v>
      </c>
      <c r="AG179" s="20"/>
      <c r="AH179" s="19">
        <f t="shared" si="31"/>
        <v>0.30474502579538076</v>
      </c>
      <c r="AI179" s="21">
        <v>1615987</v>
      </c>
      <c r="AJ179" s="22">
        <v>492464</v>
      </c>
      <c r="AK179" s="22">
        <v>72720</v>
      </c>
      <c r="AL179" s="22">
        <v>431416</v>
      </c>
      <c r="AM179" s="23"/>
      <c r="AN179" s="24">
        <v>60.264397799999998</v>
      </c>
      <c r="AO179" s="24">
        <v>61.162666999999999</v>
      </c>
      <c r="AP179" s="24">
        <v>25.040660800000001</v>
      </c>
      <c r="AQ179" s="24">
        <v>36.147135300000002</v>
      </c>
      <c r="AR179" s="24">
        <v>35.053662000000003</v>
      </c>
      <c r="AS179" s="25"/>
      <c r="AT179" s="26">
        <v>9.8569999999999993</v>
      </c>
      <c r="AU179" s="26">
        <v>2.0609999999999999</v>
      </c>
      <c r="AW179" s="27">
        <f t="shared" si="32"/>
        <v>2.6563529952870757E-3</v>
      </c>
      <c r="AX179" s="27" t="e">
        <f t="array" ref="AX179">AVERAGE(AK179:AK184/AJ179:AJ184) - AVERAGE(Q179:Q184/P179:P184)</f>
        <v>#DIV/0!</v>
      </c>
      <c r="AZ179" s="28">
        <f>IF( OR(ISBLANK(Q179:Q184),ISBLANK(AK179:AK184), ISBLANK(T179:T184),ISBLANK(AN179:AN184)), "·", bdRateExtend( Q179:Q184,T179:T184, AK179:AK184,AN179:AN184))</f>
        <v>1.9731826425605448E-2</v>
      </c>
      <c r="BA179" s="28">
        <f>IF( OR(ISBLANK(Q179:Q184),ISBLANK(AK179:AK184), ISBLANK(U179:U184),ISBLANK(AO179:AO184)), "·", bdRateExtend( Q179:Q184,U179:U184, AK179:AK184,AO179:AO184))</f>
        <v>1.9731826425602783E-2</v>
      </c>
      <c r="BB179" s="28">
        <f>IF( OR(ISBLANK(R179:R184),ISBLANK(AL179:AL184), ISBLANK(V179:V184),ISBLANK(AP179:AP184)), "·", bdRateExtend( R179:R184,V179:V184, AL179:AL184,AP179:AP184))</f>
        <v>0</v>
      </c>
      <c r="BC179" s="28">
        <f>IF( OR(ISBLANK(R179:R184),ISBLANK(AL179:AL184), ISBLANK(W179:W184),ISBLANK(AQ179:AQ184)), "·", bdRateExtend( R179:R184,W179:W184, AL179:AL184,AQ179:AQ184))</f>
        <v>0</v>
      </c>
      <c r="BD179" s="28">
        <f>IF( OR(ISBLANK(R179:R184),ISBLANK(AL179:AL184), ISBLANK(X179:X184),ISBLANK(AR179:AR184)), "·", bdRateExtend( R179:R184,X179:X184, AL179:AL184,AR179:AR184))</f>
        <v>0</v>
      </c>
      <c r="BE179" s="29"/>
      <c r="BG179" s="28">
        <f>IF( OR(ISBLANK(P179:P184),ISBLANK(AJ179:AJ184), ISBLANK(T179:T184),ISBLANK(AN179:AN184)), "·", bdRateExtend( P179:P184,T179:T184, AJ179:AJ184,AN179:AN184))</f>
        <v>3.608998655149076E-4</v>
      </c>
      <c r="BH179" s="28">
        <f>IF( OR(ISBLANK(P179:P184),ISBLANK(AJ179:AJ184), ISBLANK(U179:U184),ISBLANK(AO179:AO184)), "·", bdRateExtend( P179:P184,U179:U184, AJ179:AJ184,AO179:AO184))</f>
        <v>3.6089986551557374E-4</v>
      </c>
      <c r="BI179" s="28">
        <f>IF( OR(ISBLANK(P179:P184),ISBLANK(AJ179:AJ184), ISBLANK(V179:V184),ISBLANK(AP179:AP184)), "·", bdRateExtend( P179:P184,V179:V184, AJ179:AJ184,AP179:AP184))</f>
        <v>3.6089986551601783E-4</v>
      </c>
      <c r="BJ179" s="28">
        <f>IF( OR(ISBLANK(P179:P184),ISBLANK(AJ179:AJ184), ISBLANK(W179:W184),ISBLANK(AQ179:AQ184)), "·", bdRateExtend( P179:P184,W179:W184, AJ179:AJ184,AQ179:AQ184))</f>
        <v>3.6089986551401942E-4</v>
      </c>
      <c r="BK179" s="28">
        <f>IF( OR(ISBLANK(P179:P184),ISBLANK(AJ179:AJ184), ISBLANK(X179:X184),ISBLANK(AR179:AR184)), "·", bdRateExtend( P179:P184,X179:X184, AJ179:AJ184,AR179:AR184))</f>
        <v>3.6089986551579578E-4</v>
      </c>
      <c r="BL179" s="29"/>
    </row>
    <row r="180" spans="1:64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>
        <f t="shared" si="23"/>
        <v>0.62844773101696128</v>
      </c>
      <c r="K180" s="34">
        <f t="shared" si="24"/>
        <v>0.14261506052810036</v>
      </c>
      <c r="L180" s="34">
        <f t="shared" si="25"/>
        <v>0.50659060369719355</v>
      </c>
      <c r="M180" s="35"/>
      <c r="N180" s="34">
        <f t="shared" si="26"/>
        <v>0.76132603260070997</v>
      </c>
      <c r="O180" s="36">
        <v>1646958</v>
      </c>
      <c r="P180" s="37">
        <v>1253872</v>
      </c>
      <c r="Q180" s="37">
        <v>284544</v>
      </c>
      <c r="R180" s="37">
        <v>1010744</v>
      </c>
      <c r="S180" s="38"/>
      <c r="T180" s="39">
        <v>65.1920231</v>
      </c>
      <c r="U180" s="39">
        <v>68.421084500000006</v>
      </c>
      <c r="V180" s="39">
        <v>27.5533769</v>
      </c>
      <c r="W180" s="39">
        <v>38.860568299999997</v>
      </c>
      <c r="X180" s="39">
        <v>37.696316699999997</v>
      </c>
      <c r="Y180" s="38"/>
      <c r="Z180" s="41">
        <v>13.092000000000001</v>
      </c>
      <c r="AA180" s="41">
        <v>2.827</v>
      </c>
      <c r="AC180" s="33" t="str">
        <f t="shared" si="27"/>
        <v>·</v>
      </c>
      <c r="AD180" s="34">
        <f t="shared" si="28"/>
        <v>0.62865623256744096</v>
      </c>
      <c r="AE180" s="34">
        <f t="shared" si="29"/>
        <v>0.14557417868683117</v>
      </c>
      <c r="AF180" s="34">
        <f t="shared" si="30"/>
        <v>0.50659060369719355</v>
      </c>
      <c r="AG180" s="35"/>
      <c r="AH180" s="34">
        <f t="shared" si="31"/>
        <v>0.76157861949120742</v>
      </c>
      <c r="AI180" s="36">
        <v>1646958</v>
      </c>
      <c r="AJ180" s="37">
        <v>1254288</v>
      </c>
      <c r="AK180" s="37">
        <v>290448</v>
      </c>
      <c r="AL180" s="37">
        <v>1010744</v>
      </c>
      <c r="AM180" s="38"/>
      <c r="AN180" s="39">
        <v>65.1920231</v>
      </c>
      <c r="AO180" s="39">
        <v>68.421084500000006</v>
      </c>
      <c r="AP180" s="39">
        <v>27.5533769</v>
      </c>
      <c r="AQ180" s="39">
        <v>38.860568299999997</v>
      </c>
      <c r="AR180" s="39">
        <v>37.696316699999997</v>
      </c>
      <c r="AS180" s="40"/>
      <c r="AT180" s="41">
        <v>12.497999999999999</v>
      </c>
      <c r="AU180" s="41">
        <v>2.7330000000000001</v>
      </c>
      <c r="AW180" s="42">
        <f t="shared" si="32"/>
        <v>4.6317880598924777E-3</v>
      </c>
      <c r="AX180" s="42"/>
      <c r="AZ180" s="43"/>
      <c r="BA180" s="43"/>
      <c r="BB180" s="43"/>
      <c r="BC180" s="43"/>
      <c r="BD180" s="43"/>
      <c r="BE180" s="44"/>
      <c r="BG180" s="43"/>
      <c r="BH180" s="43"/>
      <c r="BI180" s="43"/>
      <c r="BJ180" s="43"/>
      <c r="BK180" s="43"/>
      <c r="BL180" s="44"/>
    </row>
    <row r="181" spans="1:64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4"/>
      <c r="X181" s="24"/>
      <c r="Y181" s="23"/>
      <c r="Z181" s="26"/>
      <c r="AA181" s="26"/>
      <c r="AC181" s="18" t="str">
        <f t="shared" si="27"/>
        <v>·</v>
      </c>
      <c r="AD181" s="19" t="str">
        <f t="shared" si="28"/>
        <v>·</v>
      </c>
      <c r="AE181" s="19" t="str">
        <f t="shared" si="29"/>
        <v>·</v>
      </c>
      <c r="AF181" s="19" t="str">
        <f t="shared" si="30"/>
        <v>·</v>
      </c>
      <c r="AG181" s="20"/>
      <c r="AH181" s="19" t="str">
        <f t="shared" si="31"/>
        <v>·</v>
      </c>
      <c r="AI181" s="21"/>
      <c r="AJ181" s="22"/>
      <c r="AK181" s="22"/>
      <c r="AL181" s="22"/>
      <c r="AM181" s="23"/>
      <c r="AN181" s="24"/>
      <c r="AO181" s="24"/>
      <c r="AP181" s="24"/>
      <c r="AQ181" s="24"/>
      <c r="AR181" s="24"/>
      <c r="AS181" s="25"/>
      <c r="AT181" s="26"/>
      <c r="AU181" s="26"/>
      <c r="AW181" s="27" t="e">
        <f t="shared" si="32"/>
        <v>#DIV/0!</v>
      </c>
      <c r="AX181" s="27"/>
      <c r="AZ181" s="28"/>
      <c r="BA181" s="28"/>
      <c r="BB181" s="28"/>
      <c r="BC181" s="28"/>
      <c r="BD181" s="28"/>
      <c r="BE181" s="29"/>
      <c r="BG181" s="28"/>
      <c r="BH181" s="28"/>
      <c r="BI181" s="28"/>
      <c r="BJ181" s="28"/>
      <c r="BK181" s="28"/>
      <c r="BL181" s="29"/>
    </row>
    <row r="182" spans="1:64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9"/>
      <c r="X182" s="39"/>
      <c r="Y182" s="38"/>
      <c r="Z182" s="41"/>
      <c r="AA182" s="41"/>
      <c r="AC182" s="33" t="str">
        <f t="shared" si="27"/>
        <v>·</v>
      </c>
      <c r="AD182" s="34" t="str">
        <f t="shared" si="28"/>
        <v>·</v>
      </c>
      <c r="AE182" s="34" t="str">
        <f t="shared" si="29"/>
        <v>·</v>
      </c>
      <c r="AF182" s="34" t="str">
        <f t="shared" si="30"/>
        <v>·</v>
      </c>
      <c r="AG182" s="35"/>
      <c r="AH182" s="34" t="str">
        <f t="shared" si="31"/>
        <v>·</v>
      </c>
      <c r="AI182" s="36"/>
      <c r="AJ182" s="37"/>
      <c r="AK182" s="37"/>
      <c r="AL182" s="37"/>
      <c r="AM182" s="38"/>
      <c r="AN182" s="39"/>
      <c r="AO182" s="39"/>
      <c r="AP182" s="39"/>
      <c r="AQ182" s="39"/>
      <c r="AR182" s="39"/>
      <c r="AS182" s="40"/>
      <c r="AT182" s="41"/>
      <c r="AU182" s="41"/>
      <c r="AW182" s="42" t="e">
        <f t="shared" si="32"/>
        <v>#DIV/0!</v>
      </c>
      <c r="AX182" s="42"/>
      <c r="AZ182" s="43"/>
      <c r="BA182" s="43"/>
      <c r="BB182" s="43"/>
      <c r="BC182" s="43"/>
      <c r="BD182" s="43"/>
      <c r="BE182" s="44"/>
      <c r="BG182" s="43"/>
      <c r="BH182" s="43"/>
      <c r="BI182" s="43"/>
      <c r="BJ182" s="43"/>
      <c r="BK182" s="43"/>
      <c r="BL182" s="44"/>
    </row>
    <row r="183" spans="1:64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4"/>
      <c r="X183" s="24"/>
      <c r="Y183" s="23"/>
      <c r="Z183" s="26"/>
      <c r="AA183" s="26"/>
      <c r="AC183" s="18" t="str">
        <f t="shared" si="27"/>
        <v>·</v>
      </c>
      <c r="AD183" s="19" t="str">
        <f t="shared" si="28"/>
        <v>·</v>
      </c>
      <c r="AE183" s="19" t="str">
        <f t="shared" si="29"/>
        <v>·</v>
      </c>
      <c r="AF183" s="19" t="str">
        <f t="shared" si="30"/>
        <v>·</v>
      </c>
      <c r="AG183" s="20"/>
      <c r="AH183" s="19" t="str">
        <f t="shared" si="31"/>
        <v>·</v>
      </c>
      <c r="AI183" s="21"/>
      <c r="AJ183" s="22"/>
      <c r="AK183" s="22"/>
      <c r="AL183" s="22"/>
      <c r="AM183" s="23"/>
      <c r="AN183" s="24"/>
      <c r="AO183" s="24"/>
      <c r="AP183" s="24"/>
      <c r="AQ183" s="24"/>
      <c r="AR183" s="24"/>
      <c r="AS183" s="25"/>
      <c r="AT183" s="26"/>
      <c r="AU183" s="26"/>
      <c r="AW183" s="27" t="e">
        <f t="shared" si="32"/>
        <v>#DIV/0!</v>
      </c>
      <c r="AX183" s="27"/>
      <c r="AZ183" s="28"/>
      <c r="BA183" s="28"/>
      <c r="BB183" s="28"/>
      <c r="BC183" s="28"/>
      <c r="BD183" s="28"/>
      <c r="BE183" s="29"/>
      <c r="BG183" s="28"/>
      <c r="BH183" s="28"/>
      <c r="BI183" s="28"/>
      <c r="BJ183" s="28"/>
      <c r="BK183" s="28"/>
      <c r="BL183" s="29"/>
    </row>
    <row r="184" spans="1:64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4"/>
      <c r="X184" s="54"/>
      <c r="Y184" s="53"/>
      <c r="Z184" s="56"/>
      <c r="AA184" s="56"/>
      <c r="AC184" s="48" t="str">
        <f t="shared" si="27"/>
        <v>·</v>
      </c>
      <c r="AD184" s="49" t="str">
        <f t="shared" si="28"/>
        <v>·</v>
      </c>
      <c r="AE184" s="49" t="str">
        <f t="shared" si="29"/>
        <v>·</v>
      </c>
      <c r="AF184" s="49" t="str">
        <f t="shared" si="30"/>
        <v>·</v>
      </c>
      <c r="AG184" s="50"/>
      <c r="AH184" s="49" t="str">
        <f t="shared" si="31"/>
        <v>·</v>
      </c>
      <c r="AI184" s="51"/>
      <c r="AJ184" s="52"/>
      <c r="AK184" s="52"/>
      <c r="AL184" s="52"/>
      <c r="AM184" s="53"/>
      <c r="AN184" s="54"/>
      <c r="AO184" s="54"/>
      <c r="AP184" s="54"/>
      <c r="AQ184" s="54"/>
      <c r="AR184" s="54"/>
      <c r="AS184" s="55"/>
      <c r="AT184" s="56"/>
      <c r="AU184" s="56"/>
      <c r="AW184" s="57" t="e">
        <f t="shared" si="32"/>
        <v>#DIV/0!</v>
      </c>
      <c r="AX184" s="57"/>
      <c r="AZ184" s="58"/>
      <c r="BA184" s="58"/>
      <c r="BB184" s="58"/>
      <c r="BC184" s="58"/>
      <c r="BD184" s="58"/>
      <c r="BE184" s="59"/>
      <c r="BG184" s="58"/>
      <c r="BH184" s="58"/>
      <c r="BI184" s="58"/>
      <c r="BJ184" s="58"/>
      <c r="BK184" s="58"/>
      <c r="BL184" s="59"/>
    </row>
    <row r="185" spans="1:64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>
        <f t="shared" si="23"/>
        <v>8.9750625917969465E-2</v>
      </c>
      <c r="K185" s="19">
        <f t="shared" si="24"/>
        <v>3.5595001019240119E-3</v>
      </c>
      <c r="L185" s="19">
        <f t="shared" si="25"/>
        <v>8.5877513472263606E-2</v>
      </c>
      <c r="M185" s="20"/>
      <c r="N185" s="19">
        <f t="shared" si="26"/>
        <v>0.27309904432829618</v>
      </c>
      <c r="O185" s="21">
        <v>502997</v>
      </c>
      <c r="P185" s="22">
        <v>137368</v>
      </c>
      <c r="Q185" s="22">
        <v>5448</v>
      </c>
      <c r="R185" s="22">
        <v>131440</v>
      </c>
      <c r="S185" s="23"/>
      <c r="T185" s="24">
        <v>46.175350600000002</v>
      </c>
      <c r="U185" s="24">
        <v>52.802708899999999</v>
      </c>
      <c r="V185" s="24">
        <v>18.6367358</v>
      </c>
      <c r="W185" s="24">
        <v>35.657435</v>
      </c>
      <c r="X185" s="24">
        <v>35.4534576</v>
      </c>
      <c r="Y185" s="23"/>
      <c r="Z185" s="26">
        <v>0.81200000000000006</v>
      </c>
      <c r="AA185" s="26">
        <v>0.67100000000000004</v>
      </c>
      <c r="AC185" s="18" t="str">
        <f t="shared" si="27"/>
        <v>·</v>
      </c>
      <c r="AD185" s="19">
        <f t="shared" si="28"/>
        <v>8.974017217317673E-2</v>
      </c>
      <c r="AE185" s="19">
        <f t="shared" si="29"/>
        <v>3.5647269743203759E-3</v>
      </c>
      <c r="AF185" s="19">
        <f t="shared" si="30"/>
        <v>8.5877513472263606E-2</v>
      </c>
      <c r="AG185" s="20"/>
      <c r="AH185" s="19">
        <f t="shared" si="31"/>
        <v>0.27306723499344926</v>
      </c>
      <c r="AI185" s="21">
        <v>502997</v>
      </c>
      <c r="AJ185" s="22">
        <v>137352</v>
      </c>
      <c r="AK185" s="22">
        <v>5456</v>
      </c>
      <c r="AL185" s="22">
        <v>131440</v>
      </c>
      <c r="AM185" s="23"/>
      <c r="AN185" s="24">
        <v>46.175350600000002</v>
      </c>
      <c r="AO185" s="24">
        <v>52.802708899999999</v>
      </c>
      <c r="AP185" s="24">
        <v>18.6367358</v>
      </c>
      <c r="AQ185" s="24">
        <v>35.657435</v>
      </c>
      <c r="AR185" s="24">
        <v>35.4534576</v>
      </c>
      <c r="AS185" s="25"/>
      <c r="AT185" s="26">
        <v>0.76400000000000001</v>
      </c>
      <c r="AU185" s="26">
        <v>0.624</v>
      </c>
      <c r="AW185" s="27">
        <f t="shared" si="32"/>
        <v>6.286445240582389E-5</v>
      </c>
      <c r="AX185" s="27" t="e">
        <f t="array" ref="AX185">AVERAGE(AK185:AK190/AJ185:AJ190) - AVERAGE(Q185:Q190/P185:P190)</f>
        <v>#DIV/0!</v>
      </c>
      <c r="AZ185" s="28">
        <f>IF( OR(ISBLANK(Q185:Q190),ISBLANK(AK185:AK190), ISBLANK(T185:T190),ISBLANK(AN185:AN190)), "·", bdRateExtend( Q185:Q190,T185:T190, AK185:AK190,AN185:AN190))</f>
        <v>7.6251440356698286E-3</v>
      </c>
      <c r="BA185" s="28">
        <f>IF( OR(ISBLANK(Q185:Q190),ISBLANK(AK185:AK190), ISBLANK(U185:U190),ISBLANK(AO185:AO190)), "·", bdRateExtend( Q185:Q190,U185:U190, AK185:AK190,AO185:AO190))</f>
        <v>7.4742872086879242E-3</v>
      </c>
      <c r="BB185" s="28">
        <f>IF( OR(ISBLANK(R185:R190),ISBLANK(AL185:AL190), ISBLANK(V185:V190),ISBLANK(AP185:AP190)), "·", bdRateExtend( R185:R190,V185:V190, AL185:AL190,AP185:AP190))</f>
        <v>0</v>
      </c>
      <c r="BC185" s="28">
        <f>IF( OR(ISBLANK(R185:R190),ISBLANK(AL185:AL190), ISBLANK(W185:W190),ISBLANK(AQ185:AQ190)), "·", bdRateExtend( R185:R190,W185:W190, AL185:AL190,AQ185:AQ190))</f>
        <v>0</v>
      </c>
      <c r="BD185" s="28">
        <f>IF( OR(ISBLANK(R185:R190),ISBLANK(AL185:AL190), ISBLANK(X185:X190),ISBLANK(AR185:AR190)), "·", bdRateExtend( R185:R190,X185:X190, AL185:AL190,AR185:AR190))</f>
        <v>0</v>
      </c>
      <c r="BE185" s="29"/>
      <c r="BG185" s="28">
        <f>IF( OR(ISBLANK(P185:P190),ISBLANK(AJ185:AJ190), ISBLANK(T185:T190),ISBLANK(AN185:AN190)), "·", bdRateExtend( P185:P190,T185:T190, AJ185:AJ190,AN185:AN190))</f>
        <v>4.9775184866263089E-5</v>
      </c>
      <c r="BH185" s="28">
        <f>IF( OR(ISBLANK(P185:P190),ISBLANK(AJ185:AJ190), ISBLANK(U185:U190),ISBLANK(AO185:AO190)), "·", bdRateExtend( P185:P190,U185:U190, AJ185:AJ190,AO185:AO190))</f>
        <v>3.7259101605124911E-5</v>
      </c>
      <c r="BI185" s="28">
        <f>IF( OR(ISBLANK(P185:P190),ISBLANK(AJ185:AJ190), ISBLANK(V185:V190),ISBLANK(AP185:AP190)), "·", bdRateExtend( P185:P190,V185:V190, AJ185:AJ190,AP185:AP190))</f>
        <v>4.3170168050332691E-5</v>
      </c>
      <c r="BJ185" s="28">
        <f>IF( OR(ISBLANK(P185:P190),ISBLANK(AJ185:AJ190), ISBLANK(W185:W190),ISBLANK(AQ185:AQ190)), "·", bdRateExtend( P185:P190,W185:W190, AJ185:AJ190,AQ185:AQ190))</f>
        <v>4.1810850442303149E-5</v>
      </c>
      <c r="BK185" s="28">
        <f>IF( OR(ISBLANK(P185:P190),ISBLANK(AJ185:AJ190), ISBLANK(X185:X190),ISBLANK(AR185:AR190)), "·", bdRateExtend( P185:P190,X185:X190, AJ185:AJ190,AR185:AR190))</f>
        <v>4.3123785457899189E-5</v>
      </c>
      <c r="BL185" s="29"/>
    </row>
    <row r="186" spans="1:64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>
        <f t="shared" si="23"/>
        <v>0.29900846230640971</v>
      </c>
      <c r="K186" s="34">
        <f t="shared" si="24"/>
        <v>1.3610775720132345E-2</v>
      </c>
      <c r="L186" s="34">
        <f t="shared" si="25"/>
        <v>0.28508407424249554</v>
      </c>
      <c r="M186" s="35"/>
      <c r="N186" s="34">
        <f t="shared" si="26"/>
        <v>0.85828847921081752</v>
      </c>
      <c r="O186" s="36">
        <v>533210</v>
      </c>
      <c r="P186" s="37">
        <v>457648</v>
      </c>
      <c r="Q186" s="37">
        <v>20832</v>
      </c>
      <c r="R186" s="37">
        <v>436336</v>
      </c>
      <c r="S186" s="38"/>
      <c r="T186" s="39">
        <v>51.570795199999999</v>
      </c>
      <c r="U186" s="39">
        <v>58.444485299999997</v>
      </c>
      <c r="V186" s="39">
        <v>19.795380300000001</v>
      </c>
      <c r="W186" s="39">
        <v>36.515972900000001</v>
      </c>
      <c r="X186" s="39">
        <v>36.264542400000003</v>
      </c>
      <c r="Y186" s="38"/>
      <c r="Z186" s="41">
        <v>0.875</v>
      </c>
      <c r="AA186" s="41">
        <v>0.73399999999999999</v>
      </c>
      <c r="AC186" s="33" t="str">
        <f t="shared" si="27"/>
        <v>·</v>
      </c>
      <c r="AD186" s="34">
        <f t="shared" si="28"/>
        <v>0.29903459666839155</v>
      </c>
      <c r="AE186" s="34">
        <f t="shared" si="29"/>
        <v>1.3715313168059629E-2</v>
      </c>
      <c r="AF186" s="34">
        <f t="shared" si="30"/>
        <v>0.28508407424249554</v>
      </c>
      <c r="AG186" s="35"/>
      <c r="AH186" s="34">
        <f t="shared" si="31"/>
        <v>0.85836349655857913</v>
      </c>
      <c r="AI186" s="36">
        <v>533210</v>
      </c>
      <c r="AJ186" s="37">
        <v>457688</v>
      </c>
      <c r="AK186" s="37">
        <v>20992</v>
      </c>
      <c r="AL186" s="37">
        <v>436336</v>
      </c>
      <c r="AM186" s="38"/>
      <c r="AN186" s="39">
        <v>51.570795199999999</v>
      </c>
      <c r="AO186" s="39">
        <v>58.444485299999997</v>
      </c>
      <c r="AP186" s="39">
        <v>19.795380300000001</v>
      </c>
      <c r="AQ186" s="39">
        <v>36.515972900000001</v>
      </c>
      <c r="AR186" s="39">
        <v>36.264542400000003</v>
      </c>
      <c r="AS186" s="40"/>
      <c r="AT186" s="41">
        <v>0.84299999999999997</v>
      </c>
      <c r="AU186" s="41">
        <v>0.76500000000000001</v>
      </c>
      <c r="AW186" s="42">
        <f t="shared" si="32"/>
        <v>3.4560489235193476E-4</v>
      </c>
      <c r="AX186" s="42"/>
      <c r="AZ186" s="43"/>
      <c r="BA186" s="43"/>
      <c r="BB186" s="43"/>
      <c r="BC186" s="43"/>
      <c r="BD186" s="43"/>
      <c r="BE186" s="44"/>
      <c r="BG186" s="43"/>
      <c r="BH186" s="43"/>
      <c r="BI186" s="43"/>
      <c r="BJ186" s="43"/>
      <c r="BK186" s="43"/>
      <c r="BL186" s="44"/>
    </row>
    <row r="187" spans="1:64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>
        <f t="shared" si="23"/>
        <v>0.97779624606024496</v>
      </c>
      <c r="K187" s="19">
        <f t="shared" si="24"/>
        <v>6.5200006272246869E-2</v>
      </c>
      <c r="L187" s="19">
        <f t="shared" si="25"/>
        <v>0.91228262744421618</v>
      </c>
      <c r="M187" s="20"/>
      <c r="N187" s="19">
        <f t="shared" si="26"/>
        <v>1.9983015542381029</v>
      </c>
      <c r="O187" s="21">
        <v>748920</v>
      </c>
      <c r="P187" s="22">
        <v>1496568</v>
      </c>
      <c r="Q187" s="22">
        <v>99792</v>
      </c>
      <c r="R187" s="22">
        <v>1396296</v>
      </c>
      <c r="S187" s="23"/>
      <c r="T187" s="24">
        <v>58.0573525</v>
      </c>
      <c r="U187" s="24">
        <v>61.929893900000003</v>
      </c>
      <c r="V187" s="24">
        <v>20.779879099999999</v>
      </c>
      <c r="W187" s="24">
        <v>37.182440100000001</v>
      </c>
      <c r="X187" s="24">
        <v>36.9551874</v>
      </c>
      <c r="Y187" s="23"/>
      <c r="Z187" s="26">
        <v>1.468</v>
      </c>
      <c r="AA187" s="26">
        <v>1.327</v>
      </c>
      <c r="AC187" s="18" t="str">
        <f t="shared" si="27"/>
        <v>·</v>
      </c>
      <c r="AD187" s="19">
        <f t="shared" si="28"/>
        <v>0.97785896852900134</v>
      </c>
      <c r="AE187" s="19">
        <f t="shared" si="29"/>
        <v>6.5816777215017844E-2</v>
      </c>
      <c r="AF187" s="19">
        <f t="shared" si="30"/>
        <v>0.91228262744421618</v>
      </c>
      <c r="AG187" s="20"/>
      <c r="AH187" s="19">
        <f t="shared" si="31"/>
        <v>1.9984297388239065</v>
      </c>
      <c r="AI187" s="21">
        <v>748920</v>
      </c>
      <c r="AJ187" s="22">
        <v>1496664</v>
      </c>
      <c r="AK187" s="22">
        <v>100736</v>
      </c>
      <c r="AL187" s="22">
        <v>1396296</v>
      </c>
      <c r="AM187" s="23"/>
      <c r="AN187" s="24">
        <v>58.0573525</v>
      </c>
      <c r="AO187" s="24">
        <v>61.929893900000003</v>
      </c>
      <c r="AP187" s="24">
        <v>20.779879099999999</v>
      </c>
      <c r="AQ187" s="24">
        <v>37.182440100000001</v>
      </c>
      <c r="AR187" s="24">
        <v>36.9551874</v>
      </c>
      <c r="AS187" s="25"/>
      <c r="AT187" s="26">
        <v>1.421</v>
      </c>
      <c r="AU187" s="26">
        <v>1.2030000000000001</v>
      </c>
      <c r="AW187" s="27">
        <f t="shared" si="32"/>
        <v>6.2645902202980441E-4</v>
      </c>
      <c r="AX187" s="27"/>
      <c r="AZ187" s="28"/>
      <c r="BA187" s="28"/>
      <c r="BB187" s="28"/>
      <c r="BC187" s="28"/>
      <c r="BD187" s="28"/>
      <c r="BE187" s="29"/>
      <c r="BG187" s="28"/>
      <c r="BH187" s="28"/>
      <c r="BI187" s="28"/>
      <c r="BJ187" s="28"/>
      <c r="BK187" s="28"/>
      <c r="BL187" s="29"/>
    </row>
    <row r="188" spans="1:64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>
        <f t="shared" si="23"/>
        <v>2.3723937507513631</v>
      </c>
      <c r="K188" s="34">
        <f t="shared" si="24"/>
        <v>0.28365713807828807</v>
      </c>
      <c r="L188" s="34">
        <f t="shared" si="25"/>
        <v>2.0884230003292932</v>
      </c>
      <c r="M188" s="35"/>
      <c r="N188" s="34">
        <f t="shared" si="26"/>
        <v>3.6670901595470715</v>
      </c>
      <c r="O188" s="36">
        <v>990178</v>
      </c>
      <c r="P188" s="37">
        <v>3631072</v>
      </c>
      <c r="Q188" s="37">
        <v>434152</v>
      </c>
      <c r="R188" s="37">
        <v>3196440</v>
      </c>
      <c r="S188" s="38"/>
      <c r="T188" s="39">
        <v>59.6374773</v>
      </c>
      <c r="U188" s="39">
        <v>63.799919299999999</v>
      </c>
      <c r="V188" s="39">
        <v>21.521552100000001</v>
      </c>
      <c r="W188" s="39">
        <v>38.105282199999998</v>
      </c>
      <c r="X188" s="39">
        <v>37.858203699999997</v>
      </c>
      <c r="Y188" s="38"/>
      <c r="Z188" s="41">
        <v>2.8889999999999998</v>
      </c>
      <c r="AA188" s="41">
        <v>2.3889999999999998</v>
      </c>
      <c r="AC188" s="33" t="str">
        <f t="shared" si="27"/>
        <v>·</v>
      </c>
      <c r="AD188" s="34">
        <f t="shared" si="28"/>
        <v>2.3724564732201192</v>
      </c>
      <c r="AE188" s="34">
        <f t="shared" si="29"/>
        <v>0.28961054573774692</v>
      </c>
      <c r="AF188" s="34">
        <f t="shared" si="30"/>
        <v>2.0884230003292932</v>
      </c>
      <c r="AG188" s="35"/>
      <c r="AH188" s="34">
        <f t="shared" si="31"/>
        <v>3.6671871118122197</v>
      </c>
      <c r="AI188" s="36">
        <v>990178</v>
      </c>
      <c r="AJ188" s="37">
        <v>3631168</v>
      </c>
      <c r="AK188" s="37">
        <v>443264</v>
      </c>
      <c r="AL188" s="37">
        <v>3196440</v>
      </c>
      <c r="AM188" s="38"/>
      <c r="AN188" s="39">
        <v>59.6374773</v>
      </c>
      <c r="AO188" s="39">
        <v>63.799919299999999</v>
      </c>
      <c r="AP188" s="39">
        <v>21.521552100000001</v>
      </c>
      <c r="AQ188" s="39">
        <v>38.105282199999998</v>
      </c>
      <c r="AR188" s="39">
        <v>37.858203699999997</v>
      </c>
      <c r="AS188" s="40"/>
      <c r="AT188" s="41">
        <v>2.734</v>
      </c>
      <c r="AU188" s="41">
        <v>2.3109999999999999</v>
      </c>
      <c r="AW188" s="42">
        <f t="shared" si="32"/>
        <v>2.5062243564479697E-3</v>
      </c>
      <c r="AX188" s="42"/>
      <c r="AZ188" s="43"/>
      <c r="BA188" s="43"/>
      <c r="BB188" s="43"/>
      <c r="BC188" s="43"/>
      <c r="BD188" s="43"/>
      <c r="BE188" s="44"/>
      <c r="BG188" s="43"/>
      <c r="BH188" s="43"/>
      <c r="BI188" s="43"/>
      <c r="BJ188" s="43"/>
      <c r="BK188" s="43"/>
      <c r="BL188" s="44"/>
    </row>
    <row r="189" spans="1:64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4"/>
      <c r="X189" s="24"/>
      <c r="Y189" s="23"/>
      <c r="Z189" s="26"/>
      <c r="AA189" s="26"/>
      <c r="AC189" s="18" t="str">
        <f t="shared" si="27"/>
        <v>·</v>
      </c>
      <c r="AD189" s="19" t="str">
        <f t="shared" si="28"/>
        <v>·</v>
      </c>
      <c r="AE189" s="19" t="str">
        <f t="shared" si="29"/>
        <v>·</v>
      </c>
      <c r="AF189" s="19" t="str">
        <f t="shared" si="30"/>
        <v>·</v>
      </c>
      <c r="AG189" s="20"/>
      <c r="AH189" s="19" t="str">
        <f t="shared" si="31"/>
        <v>·</v>
      </c>
      <c r="AI189" s="21"/>
      <c r="AJ189" s="22"/>
      <c r="AK189" s="22"/>
      <c r="AL189" s="22"/>
      <c r="AM189" s="23"/>
      <c r="AN189" s="24"/>
      <c r="AO189" s="24"/>
      <c r="AP189" s="24"/>
      <c r="AQ189" s="24"/>
      <c r="AR189" s="24"/>
      <c r="AS189" s="25"/>
      <c r="AT189" s="26"/>
      <c r="AU189" s="26"/>
      <c r="AW189" s="27" t="e">
        <f t="shared" si="32"/>
        <v>#DIV/0!</v>
      </c>
      <c r="AX189" s="27"/>
      <c r="AZ189" s="28"/>
      <c r="BA189" s="28"/>
      <c r="BB189" s="28"/>
      <c r="BC189" s="28"/>
      <c r="BD189" s="28"/>
      <c r="BE189" s="29"/>
      <c r="BG189" s="28"/>
      <c r="BH189" s="28"/>
      <c r="BI189" s="28"/>
      <c r="BJ189" s="28"/>
      <c r="BK189" s="28"/>
      <c r="BL189" s="29"/>
    </row>
    <row r="190" spans="1:64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4"/>
      <c r="X190" s="54"/>
      <c r="Y190" s="53"/>
      <c r="Z190" s="56"/>
      <c r="AA190" s="56"/>
      <c r="AC190" s="48" t="str">
        <f t="shared" si="27"/>
        <v>·</v>
      </c>
      <c r="AD190" s="49" t="str">
        <f t="shared" si="28"/>
        <v>·</v>
      </c>
      <c r="AE190" s="49" t="str">
        <f t="shared" si="29"/>
        <v>·</v>
      </c>
      <c r="AF190" s="49" t="str">
        <f t="shared" si="30"/>
        <v>·</v>
      </c>
      <c r="AG190" s="50"/>
      <c r="AH190" s="49" t="str">
        <f t="shared" si="31"/>
        <v>·</v>
      </c>
      <c r="AI190" s="51"/>
      <c r="AJ190" s="52"/>
      <c r="AK190" s="52"/>
      <c r="AL190" s="52"/>
      <c r="AM190" s="53"/>
      <c r="AN190" s="54"/>
      <c r="AO190" s="54"/>
      <c r="AP190" s="54"/>
      <c r="AQ190" s="54"/>
      <c r="AR190" s="54"/>
      <c r="AS190" s="55"/>
      <c r="AT190" s="56"/>
      <c r="AU190" s="56"/>
      <c r="AW190" s="57" t="e">
        <f t="shared" si="32"/>
        <v>#DIV/0!</v>
      </c>
      <c r="AX190" s="57"/>
      <c r="AZ190" s="58"/>
      <c r="BA190" s="58"/>
      <c r="BB190" s="58"/>
      <c r="BC190" s="58"/>
      <c r="BD190" s="58"/>
      <c r="BE190" s="59"/>
      <c r="BG190" s="58"/>
      <c r="BH190" s="58"/>
      <c r="BI190" s="58"/>
      <c r="BJ190" s="58"/>
      <c r="BK190" s="58"/>
      <c r="BL190" s="59"/>
    </row>
    <row r="191" spans="1:64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>
        <f t="shared" si="23"/>
        <v>0.10288643839685503</v>
      </c>
      <c r="K191" s="19">
        <f t="shared" si="24"/>
        <v>1.754379531260887E-2</v>
      </c>
      <c r="L191" s="19">
        <f t="shared" si="25"/>
        <v>8.3582396062914163E-2</v>
      </c>
      <c r="M191" s="20"/>
      <c r="N191" s="19">
        <f t="shared" si="26"/>
        <v>4.7757332289308389E-2</v>
      </c>
      <c r="O191" s="21">
        <v>587470</v>
      </c>
      <c r="P191" s="22">
        <v>28056</v>
      </c>
      <c r="Q191" s="22">
        <v>4784</v>
      </c>
      <c r="R191" s="22">
        <v>22792</v>
      </c>
      <c r="S191" s="23"/>
      <c r="T191" s="24">
        <v>51.559840899999998</v>
      </c>
      <c r="U191" s="24">
        <v>53.870537599999999</v>
      </c>
      <c r="V191" s="24">
        <v>28.324244700000001</v>
      </c>
      <c r="W191" s="24">
        <v>40.092090900000002</v>
      </c>
      <c r="X191" s="24">
        <v>41.075045000000003</v>
      </c>
      <c r="Y191" s="23"/>
      <c r="Z191" s="26">
        <v>0.84299999999999997</v>
      </c>
      <c r="AA191" s="26">
        <v>0.624</v>
      </c>
      <c r="AC191" s="18" t="str">
        <f t="shared" si="27"/>
        <v>·</v>
      </c>
      <c r="AD191" s="19">
        <f t="shared" si="28"/>
        <v>0.10294511329756609</v>
      </c>
      <c r="AE191" s="19">
        <f t="shared" si="29"/>
        <v>1.7573132762964402E-2</v>
      </c>
      <c r="AF191" s="19">
        <f t="shared" si="30"/>
        <v>8.3582396062914163E-2</v>
      </c>
      <c r="AG191" s="20"/>
      <c r="AH191" s="19">
        <f t="shared" si="31"/>
        <v>4.7784567722607113E-2</v>
      </c>
      <c r="AI191" s="21">
        <v>587470</v>
      </c>
      <c r="AJ191" s="22">
        <v>28072</v>
      </c>
      <c r="AK191" s="22">
        <v>4792</v>
      </c>
      <c r="AL191" s="22">
        <v>22792</v>
      </c>
      <c r="AM191" s="23"/>
      <c r="AN191" s="24">
        <v>51.559840899999998</v>
      </c>
      <c r="AO191" s="24">
        <v>53.870537599999999</v>
      </c>
      <c r="AP191" s="24">
        <v>28.324244700000001</v>
      </c>
      <c r="AQ191" s="24">
        <v>40.092090900000002</v>
      </c>
      <c r="AR191" s="24">
        <v>41.075045000000003</v>
      </c>
      <c r="AS191" s="25"/>
      <c r="AT191" s="26">
        <v>0.81200000000000006</v>
      </c>
      <c r="AU191" s="26">
        <v>0.68700000000000006</v>
      </c>
      <c r="AW191" s="27">
        <f t="shared" si="32"/>
        <v>1.8779361035289877E-4</v>
      </c>
      <c r="AX191" s="27" t="e">
        <f t="array" ref="AX191">AVERAGE(AK191:AK196/AJ191:AJ196) - AVERAGE(Q191:Q196/P191:P196)</f>
        <v>#DIV/0!</v>
      </c>
      <c r="AZ191" s="28">
        <f>IF( OR(ISBLANK(Q191:Q196),ISBLANK(AK191:AK196), ISBLANK(T191:T196),ISBLANK(AN191:AN196)), "·", bdRateExtend( Q191:Q196,T191:T196, AK191:AK196,AN191:AN196))</f>
        <v>5.0271539519970432E-3</v>
      </c>
      <c r="BA191" s="28">
        <f>IF( OR(ISBLANK(Q191:Q196),ISBLANK(AK191:AK196), ISBLANK(U191:U196),ISBLANK(AO191:AO196)), "·", bdRateExtend( Q191:Q196,U191:U196, AK191:AK196,AO191:AO196))</f>
        <v>5.3840543206526981E-3</v>
      </c>
      <c r="BB191" s="28">
        <f>IF( OR(ISBLANK(R191:R196),ISBLANK(AL191:AL196), ISBLANK(V191:V196),ISBLANK(AP191:AP196)), "·", bdRateExtend( R191:R196,V191:V196, AL191:AL196,AP191:AP196))</f>
        <v>0</v>
      </c>
      <c r="BC191" s="28">
        <f>IF( OR(ISBLANK(R191:R196),ISBLANK(AL191:AL196), ISBLANK(W191:W196),ISBLANK(AQ191:AQ196)), "·", bdRateExtend( R191:R196,W191:W196, AL191:AL196,AQ191:AQ196))</f>
        <v>0</v>
      </c>
      <c r="BD191" s="28">
        <f>IF( OR(ISBLANK(R191:R196),ISBLANK(AL191:AL196), ISBLANK(X191:X196),ISBLANK(AR191:AR196)), "·", bdRateExtend( R191:R196,X191:X196, AL191:AL196,AR191:AR196))</f>
        <v>0</v>
      </c>
      <c r="BE191" s="29"/>
      <c r="BG191" s="28">
        <f>IF( OR(ISBLANK(P191:P196),ISBLANK(AJ191:AJ196), ISBLANK(T191:T196),ISBLANK(AN191:AN196)), "·", bdRateExtend( P191:P196,T191:T196, AJ191:AJ196,AN191:AN196))</f>
        <v>6.7650146046993598E-4</v>
      </c>
      <c r="BH191" s="28">
        <f>IF( OR(ISBLANK(P191:P196),ISBLANK(AJ191:AJ196), ISBLANK(U191:U196),ISBLANK(AO191:AO196)), "·", bdRateExtend( P191:P196,U191:U196, AJ191:AJ196,AO191:AO196))</f>
        <v>6.9190367133242781E-4</v>
      </c>
      <c r="BI191" s="28">
        <f>IF( OR(ISBLANK(P191:P196),ISBLANK(AJ191:AJ196), ISBLANK(V191:V196),ISBLANK(AP191:AP196)), "·", bdRateExtend( P191:P196,V191:V196, AJ191:AJ196,AP191:AP196))</f>
        <v>6.8346461389934277E-4</v>
      </c>
      <c r="BJ191" s="28">
        <f>IF( OR(ISBLANK(P191:P196),ISBLANK(AJ191:AJ196), ISBLANK(W191:W196),ISBLANK(AQ191:AQ196)), "·", bdRateExtend( P191:P196,W191:W196, AJ191:AJ196,AQ191:AQ196))</f>
        <v>6.4920409579993787E-4</v>
      </c>
      <c r="BK191" s="28">
        <f>IF( OR(ISBLANK(P191:P196),ISBLANK(AJ191:AJ196), ISBLANK(X191:X196),ISBLANK(AR191:AR196)), "·", bdRateExtend( P191:P196,X191:X196, AJ191:AJ196,AR191:AR196))</f>
        <v>6.328497490888374E-4</v>
      </c>
      <c r="BL191" s="29"/>
    </row>
    <row r="192" spans="1:64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>
        <f t="shared" si="23"/>
        <v>0.29070479557297874</v>
      </c>
      <c r="K192" s="34">
        <f t="shared" si="24"/>
        <v>5.7472065246489588E-2</v>
      </c>
      <c r="L192" s="34">
        <f t="shared" si="25"/>
        <v>0.23147248330515716</v>
      </c>
      <c r="M192" s="35"/>
      <c r="N192" s="34">
        <f t="shared" si="26"/>
        <v>0.13688851129081556</v>
      </c>
      <c r="O192" s="36">
        <v>579099</v>
      </c>
      <c r="P192" s="37">
        <v>79272</v>
      </c>
      <c r="Q192" s="37">
        <v>15672</v>
      </c>
      <c r="R192" s="37">
        <v>63120</v>
      </c>
      <c r="S192" s="38"/>
      <c r="T192" s="39">
        <v>56.909023699999999</v>
      </c>
      <c r="U192" s="39">
        <v>59.142528499999997</v>
      </c>
      <c r="V192" s="39">
        <v>31.0464208</v>
      </c>
      <c r="W192" s="39">
        <v>41.498446800000004</v>
      </c>
      <c r="X192" s="39">
        <v>42.446362299999997</v>
      </c>
      <c r="Y192" s="38"/>
      <c r="Z192" s="41">
        <v>0.92100000000000004</v>
      </c>
      <c r="AA192" s="41">
        <v>0.78100000000000003</v>
      </c>
      <c r="AC192" s="33" t="str">
        <f t="shared" si="27"/>
        <v>·</v>
      </c>
      <c r="AD192" s="34">
        <f t="shared" si="28"/>
        <v>0.29093949517582302</v>
      </c>
      <c r="AE192" s="34">
        <f t="shared" si="29"/>
        <v>5.7824114650755987E-2</v>
      </c>
      <c r="AF192" s="34">
        <f t="shared" si="30"/>
        <v>0.23147248330515716</v>
      </c>
      <c r="AG192" s="35"/>
      <c r="AH192" s="34">
        <f t="shared" si="31"/>
        <v>0.13699902780008255</v>
      </c>
      <c r="AI192" s="36">
        <v>579099</v>
      </c>
      <c r="AJ192" s="37">
        <v>79336</v>
      </c>
      <c r="AK192" s="37">
        <v>15768</v>
      </c>
      <c r="AL192" s="37">
        <v>63120</v>
      </c>
      <c r="AM192" s="38"/>
      <c r="AN192" s="39">
        <v>56.909023699999999</v>
      </c>
      <c r="AO192" s="39">
        <v>59.142528499999997</v>
      </c>
      <c r="AP192" s="39">
        <v>31.0464208</v>
      </c>
      <c r="AQ192" s="39">
        <v>41.498446800000004</v>
      </c>
      <c r="AR192" s="39">
        <v>42.446362299999997</v>
      </c>
      <c r="AS192" s="40"/>
      <c r="AT192" s="41">
        <v>0.89</v>
      </c>
      <c r="AU192" s="41">
        <v>0.749</v>
      </c>
      <c r="AW192" s="42">
        <f t="shared" si="32"/>
        <v>1.0505604021706083E-3</v>
      </c>
      <c r="AX192" s="42"/>
      <c r="AZ192" s="43"/>
      <c r="BA192" s="43"/>
      <c r="BB192" s="43"/>
      <c r="BC192" s="43"/>
      <c r="BD192" s="43"/>
      <c r="BE192" s="44"/>
      <c r="BG192" s="43"/>
      <c r="BH192" s="43"/>
      <c r="BI192" s="43"/>
      <c r="BJ192" s="43"/>
      <c r="BK192" s="43"/>
      <c r="BL192" s="44"/>
    </row>
    <row r="193" spans="1:64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>
        <f t="shared" si="23"/>
        <v>0.92542053401494007</v>
      </c>
      <c r="K193" s="19">
        <f t="shared" si="24"/>
        <v>0.24364752520270344</v>
      </c>
      <c r="L193" s="19">
        <f t="shared" si="25"/>
        <v>0.68001276179090464</v>
      </c>
      <c r="M193" s="20"/>
      <c r="N193" s="19">
        <f t="shared" si="26"/>
        <v>0.35981099200679834</v>
      </c>
      <c r="O193" s="21">
        <v>701346</v>
      </c>
      <c r="P193" s="22">
        <v>252352</v>
      </c>
      <c r="Q193" s="22">
        <v>66440</v>
      </c>
      <c r="R193" s="22">
        <v>185432</v>
      </c>
      <c r="S193" s="23"/>
      <c r="T193" s="24">
        <v>58.282253799999999</v>
      </c>
      <c r="U193" s="24">
        <v>61.267094100000001</v>
      </c>
      <c r="V193" s="24">
        <v>32.921902799999998</v>
      </c>
      <c r="W193" s="24">
        <v>43.809116799999998</v>
      </c>
      <c r="X193" s="24">
        <v>44.356135600000002</v>
      </c>
      <c r="Y193" s="23"/>
      <c r="Z193" s="26">
        <v>1.296</v>
      </c>
      <c r="AA193" s="26">
        <v>1.202</v>
      </c>
      <c r="AC193" s="18" t="str">
        <f t="shared" si="27"/>
        <v>·</v>
      </c>
      <c r="AD193" s="19">
        <f t="shared" si="28"/>
        <v>0.92597794557169522</v>
      </c>
      <c r="AE193" s="19">
        <f t="shared" si="29"/>
        <v>0.24763741845105597</v>
      </c>
      <c r="AF193" s="19">
        <f t="shared" si="30"/>
        <v>0.68001276179090464</v>
      </c>
      <c r="AG193" s="20"/>
      <c r="AH193" s="19">
        <f t="shared" si="31"/>
        <v>0.36002771813056611</v>
      </c>
      <c r="AI193" s="21">
        <v>701346</v>
      </c>
      <c r="AJ193" s="22">
        <v>252504</v>
      </c>
      <c r="AK193" s="22">
        <v>67528</v>
      </c>
      <c r="AL193" s="22">
        <v>185432</v>
      </c>
      <c r="AM193" s="23"/>
      <c r="AN193" s="24">
        <v>58.282253799999999</v>
      </c>
      <c r="AO193" s="24">
        <v>61.267094100000001</v>
      </c>
      <c r="AP193" s="24">
        <v>32.921902799999998</v>
      </c>
      <c r="AQ193" s="24">
        <v>43.809116799999998</v>
      </c>
      <c r="AR193" s="24">
        <v>44.356135600000002</v>
      </c>
      <c r="AS193" s="25"/>
      <c r="AT193" s="26">
        <v>1.2809999999999999</v>
      </c>
      <c r="AU193" s="26">
        <v>1.093</v>
      </c>
      <c r="AW193" s="27">
        <f t="shared" si="32"/>
        <v>4.1503539704322856E-3</v>
      </c>
      <c r="AX193" s="27"/>
      <c r="AZ193" s="28"/>
      <c r="BA193" s="28"/>
      <c r="BB193" s="28"/>
      <c r="BC193" s="28"/>
      <c r="BD193" s="28"/>
      <c r="BE193" s="29"/>
      <c r="BG193" s="28"/>
      <c r="BH193" s="28"/>
      <c r="BI193" s="28"/>
      <c r="BJ193" s="28"/>
      <c r="BK193" s="28"/>
      <c r="BL193" s="29"/>
    </row>
    <row r="194" spans="1:64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>
        <f t="shared" si="23"/>
        <v>2.7861483228146349</v>
      </c>
      <c r="K194" s="34">
        <f t="shared" si="24"/>
        <v>1.0448239569619604</v>
      </c>
      <c r="L194" s="34">
        <f t="shared" si="25"/>
        <v>1.7395641188313427</v>
      </c>
      <c r="M194" s="35"/>
      <c r="N194" s="34">
        <f t="shared" si="26"/>
        <v>0.83732699696039248</v>
      </c>
      <c r="O194" s="36">
        <v>907354</v>
      </c>
      <c r="P194" s="37">
        <v>759752</v>
      </c>
      <c r="Q194" s="37">
        <v>284912</v>
      </c>
      <c r="R194" s="37">
        <v>474360</v>
      </c>
      <c r="S194" s="38"/>
      <c r="T194" s="39">
        <v>58.552582299999997</v>
      </c>
      <c r="U194" s="39">
        <v>61.472007499999997</v>
      </c>
      <c r="V194" s="39">
        <v>33.912701400000003</v>
      </c>
      <c r="W194" s="39">
        <v>45.301363600000002</v>
      </c>
      <c r="X194" s="39">
        <v>46.0348063</v>
      </c>
      <c r="Y194" s="38"/>
      <c r="Z194" s="41">
        <v>2.2799999999999998</v>
      </c>
      <c r="AA194" s="41">
        <v>2.0459999999999998</v>
      </c>
      <c r="AC194" s="33" t="str">
        <f t="shared" si="27"/>
        <v>·</v>
      </c>
      <c r="AD194" s="34">
        <f t="shared" si="28"/>
        <v>2.786911096523879</v>
      </c>
      <c r="AE194" s="34">
        <f t="shared" si="29"/>
        <v>1.0698194646648747</v>
      </c>
      <c r="AF194" s="34">
        <f t="shared" si="30"/>
        <v>1.7395641188313427</v>
      </c>
      <c r="AG194" s="35"/>
      <c r="AH194" s="34">
        <f t="shared" si="31"/>
        <v>0.8375562349424811</v>
      </c>
      <c r="AI194" s="36">
        <v>907354</v>
      </c>
      <c r="AJ194" s="37">
        <v>759960</v>
      </c>
      <c r="AK194" s="37">
        <v>291728</v>
      </c>
      <c r="AL194" s="37">
        <v>474360</v>
      </c>
      <c r="AM194" s="38"/>
      <c r="AN194" s="39">
        <v>58.552582299999997</v>
      </c>
      <c r="AO194" s="39">
        <v>61.472007499999997</v>
      </c>
      <c r="AP194" s="39">
        <v>33.912701400000003</v>
      </c>
      <c r="AQ194" s="39">
        <v>45.301363600000002</v>
      </c>
      <c r="AR194" s="39">
        <v>46.0348063</v>
      </c>
      <c r="AS194" s="40"/>
      <c r="AT194" s="41">
        <v>2.218</v>
      </c>
      <c r="AU194" s="41">
        <v>2.1240000000000001</v>
      </c>
      <c r="AW194" s="42">
        <f t="shared" si="32"/>
        <v>8.8662543175065389E-3</v>
      </c>
      <c r="AX194" s="42"/>
      <c r="AZ194" s="43"/>
      <c r="BA194" s="43"/>
      <c r="BB194" s="43"/>
      <c r="BC194" s="43"/>
      <c r="BD194" s="43"/>
      <c r="BE194" s="44"/>
      <c r="BG194" s="43"/>
      <c r="BH194" s="43"/>
      <c r="BI194" s="43"/>
      <c r="BJ194" s="43"/>
      <c r="BK194" s="43"/>
      <c r="BL194" s="44"/>
    </row>
    <row r="195" spans="1:64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4"/>
      <c r="X195" s="24"/>
      <c r="Y195" s="23"/>
      <c r="Z195" s="26"/>
      <c r="AA195" s="26"/>
      <c r="AC195" s="18" t="str">
        <f t="shared" si="27"/>
        <v>·</v>
      </c>
      <c r="AD195" s="19" t="str">
        <f t="shared" si="28"/>
        <v>·</v>
      </c>
      <c r="AE195" s="19" t="str">
        <f t="shared" si="29"/>
        <v>·</v>
      </c>
      <c r="AF195" s="19" t="str">
        <f t="shared" si="30"/>
        <v>·</v>
      </c>
      <c r="AG195" s="20"/>
      <c r="AH195" s="19" t="str">
        <f t="shared" si="31"/>
        <v>·</v>
      </c>
      <c r="AI195" s="21"/>
      <c r="AJ195" s="22"/>
      <c r="AK195" s="22"/>
      <c r="AL195" s="22"/>
      <c r="AM195" s="23"/>
      <c r="AN195" s="24"/>
      <c r="AO195" s="24"/>
      <c r="AP195" s="24"/>
      <c r="AQ195" s="24"/>
      <c r="AR195" s="24"/>
      <c r="AS195" s="25"/>
      <c r="AT195" s="26"/>
      <c r="AU195" s="26"/>
      <c r="AW195" s="27" t="e">
        <f t="shared" si="32"/>
        <v>#DIV/0!</v>
      </c>
      <c r="AX195" s="27"/>
      <c r="AZ195" s="28"/>
      <c r="BA195" s="28"/>
      <c r="BB195" s="28"/>
      <c r="BC195" s="28"/>
      <c r="BD195" s="28"/>
      <c r="BE195" s="29"/>
      <c r="BG195" s="28"/>
      <c r="BH195" s="28"/>
      <c r="BI195" s="28"/>
      <c r="BJ195" s="28"/>
      <c r="BK195" s="28"/>
      <c r="BL195" s="29"/>
    </row>
    <row r="196" spans="1:64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4"/>
      <c r="X196" s="54"/>
      <c r="Y196" s="53"/>
      <c r="Z196" s="56"/>
      <c r="AA196" s="56"/>
      <c r="AC196" s="48" t="str">
        <f t="shared" si="27"/>
        <v>·</v>
      </c>
      <c r="AD196" s="49" t="str">
        <f t="shared" si="28"/>
        <v>·</v>
      </c>
      <c r="AE196" s="49" t="str">
        <f t="shared" si="29"/>
        <v>·</v>
      </c>
      <c r="AF196" s="49" t="str">
        <f t="shared" si="30"/>
        <v>·</v>
      </c>
      <c r="AG196" s="50"/>
      <c r="AH196" s="49" t="str">
        <f t="shared" si="31"/>
        <v>·</v>
      </c>
      <c r="AI196" s="51"/>
      <c r="AJ196" s="52"/>
      <c r="AK196" s="52"/>
      <c r="AL196" s="52"/>
      <c r="AM196" s="53"/>
      <c r="AN196" s="54"/>
      <c r="AO196" s="54"/>
      <c r="AP196" s="54"/>
      <c r="AQ196" s="54"/>
      <c r="AR196" s="54"/>
      <c r="AS196" s="55"/>
      <c r="AT196" s="56"/>
      <c r="AU196" s="56"/>
      <c r="AW196" s="57" t="e">
        <f t="shared" si="32"/>
        <v>#DIV/0!</v>
      </c>
      <c r="AX196" s="57"/>
      <c r="AZ196" s="58"/>
      <c r="BA196" s="58"/>
      <c r="BB196" s="58"/>
      <c r="BC196" s="58"/>
      <c r="BD196" s="58"/>
      <c r="BE196" s="59"/>
      <c r="BG196" s="58"/>
      <c r="BH196" s="58"/>
      <c r="BI196" s="58"/>
      <c r="BJ196" s="58"/>
      <c r="BK196" s="58"/>
      <c r="BL196" s="59"/>
    </row>
    <row r="197" spans="1:64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>
        <f t="shared" ref="J197:J260" si="34">IF(ISBLANK(P197),"·",P197/D197)</f>
        <v>0.19236551694021797</v>
      </c>
      <c r="K197" s="19">
        <f t="shared" ref="K197:K260" si="35">IF(Q197="","·",Q197/D197)</f>
        <v>2.0067498861502567E-2</v>
      </c>
      <c r="L197" s="19">
        <f t="shared" ref="L197:L260" si="36">IF(ISBLANK(R197),"·",R197/D197)</f>
        <v>0.17194867092121599</v>
      </c>
      <c r="M197" s="20"/>
      <c r="N197" s="19">
        <f t="shared" ref="N197:N260" si="37">IF(ISBLANK(P197),"·",P197/O197)</f>
        <v>0.26291108632855531</v>
      </c>
      <c r="O197" s="21">
        <v>1172868</v>
      </c>
      <c r="P197" s="22">
        <v>308360</v>
      </c>
      <c r="Q197" s="22">
        <v>32168</v>
      </c>
      <c r="R197" s="22">
        <v>275632</v>
      </c>
      <c r="S197" s="23"/>
      <c r="T197" s="24">
        <v>58.678854800000003</v>
      </c>
      <c r="U197" s="24">
        <v>61.502268899999997</v>
      </c>
      <c r="V197" s="24">
        <v>22.755656999999999</v>
      </c>
      <c r="W197" s="24">
        <v>38.078338100000003</v>
      </c>
      <c r="X197" s="24">
        <v>37.100834999999996</v>
      </c>
      <c r="Y197" s="23"/>
      <c r="Z197" s="26">
        <v>3.4670000000000001</v>
      </c>
      <c r="AA197" s="26">
        <v>1.4510000000000001</v>
      </c>
      <c r="AC197" s="18" t="str">
        <f t="shared" ref="AC197:AC260" si="38">IF(OR(ISBLANK(AJ197),ISBLANK(G197)),"·",AJ197*G197/F197/1000000)</f>
        <v>·</v>
      </c>
      <c r="AD197" s="19">
        <f t="shared" ref="AD197:AD260" si="39">IF(ISBLANK(AJ197),"·",AJ197/D197)</f>
        <v>0.19241043300332503</v>
      </c>
      <c r="AE197" s="19">
        <f t="shared" ref="AE197:AE260" si="40">IF(AK197="","·",AK197/D197)</f>
        <v>2.0162321661395269E-2</v>
      </c>
      <c r="AF197" s="19">
        <f t="shared" ref="AF197:AF260" si="41">IF(ISBLANK(AL197),"·",AL197/D197)</f>
        <v>0.17194867092121599</v>
      </c>
      <c r="AG197" s="20"/>
      <c r="AH197" s="19">
        <f t="shared" ref="AH197:AH260" si="42">IF(ISBLANK(AJ197),"·",AJ197/AI197)</f>
        <v>0.26297247431083465</v>
      </c>
      <c r="AI197" s="21">
        <v>1172868</v>
      </c>
      <c r="AJ197" s="22">
        <v>308432</v>
      </c>
      <c r="AK197" s="22">
        <v>32320</v>
      </c>
      <c r="AL197" s="22">
        <v>275632</v>
      </c>
      <c r="AM197" s="23"/>
      <c r="AN197" s="24">
        <v>58.678854800000003</v>
      </c>
      <c r="AO197" s="24">
        <v>61.502268899999997</v>
      </c>
      <c r="AP197" s="24">
        <v>22.755656999999999</v>
      </c>
      <c r="AQ197" s="24">
        <v>38.078338100000003</v>
      </c>
      <c r="AR197" s="24">
        <v>37.100834999999996</v>
      </c>
      <c r="AS197" s="25"/>
      <c r="AT197" s="26">
        <v>3.544</v>
      </c>
      <c r="AU197" s="26">
        <v>1.4359999999999999</v>
      </c>
      <c r="AW197" s="27">
        <f t="shared" ref="AW197:AW260" si="43">(AK197/AJ197) - (Q197/P197)</f>
        <v>4.6846302231426384E-4</v>
      </c>
      <c r="AX197" s="27" t="e">
        <f t="array" ref="AX197">AVERAGE(AK197:AK202/AJ197:AJ202) - AVERAGE(Q197:Q202/P197:P202)</f>
        <v>#DIV/0!</v>
      </c>
      <c r="AZ197" s="28">
        <f>IF( OR(ISBLANK(Q197:Q202),ISBLANK(AK197:AK202), ISBLANK(T197:T202),ISBLANK(AN197:AN202)), "·", bdRateExtend( Q197:Q202,T197:T202, AK197:AK202,AN197:AN202))</f>
        <v>1.044251225436077E-2</v>
      </c>
      <c r="BA197" s="28">
        <f>IF( OR(ISBLANK(Q197:Q202),ISBLANK(AK197:AK202), ISBLANK(U197:U202),ISBLANK(AO197:AO202)), "·", bdRateExtend( Q197:Q202,U197:U202, AK197:AK202,AO197:AO202))</f>
        <v>9.9514096181585465E-3</v>
      </c>
      <c r="BB197" s="28">
        <f>IF( OR(ISBLANK(R197:R202),ISBLANK(AL197:AL202), ISBLANK(V197:V202),ISBLANK(AP197:AP202)), "·", bdRateExtend( R197:R202,V197:V202, AL197:AL202,AP197:AP202))</f>
        <v>0</v>
      </c>
      <c r="BC197" s="28">
        <f>IF( OR(ISBLANK(R197:R202),ISBLANK(AL197:AL202), ISBLANK(W197:W202),ISBLANK(AQ197:AQ202)), "·", bdRateExtend( R197:R202,W197:W202, AL197:AL202,AQ197:AQ202))</f>
        <v>0</v>
      </c>
      <c r="BD197" s="28">
        <f>IF( OR(ISBLANK(R197:R202),ISBLANK(AL197:AL202), ISBLANK(X197:X202),ISBLANK(AR197:AR202)), "·", bdRateExtend( R197:R202,X197:X202, AL197:AL202,AR197:AR202))</f>
        <v>0</v>
      </c>
      <c r="BE197" s="29"/>
      <c r="BG197" s="28">
        <f>IF( OR(ISBLANK(P197:P202),ISBLANK(AJ197:AJ202), ISBLANK(T197:T202),ISBLANK(AN197:AN202)), "·", bdRateExtend( P197:P202,T197:T202, AJ197:AJ202,AN197:AN202))</f>
        <v>1.3194398027804866E-4</v>
      </c>
      <c r="BH197" s="28">
        <f>IF( OR(ISBLANK(P197:P202),ISBLANK(AJ197:AJ202), ISBLANK(U197:U202),ISBLANK(AO197:AO202)), "·", bdRateExtend( P197:P202,U197:U202, AJ197:AJ202,AO197:AO202))</f>
        <v>1.3694539716424536E-4</v>
      </c>
      <c r="BI197" s="28">
        <f>IF( OR(ISBLANK(P197:P202),ISBLANK(AJ197:AJ202), ISBLANK(V197:V202),ISBLANK(AP197:AP202)), "·", bdRateExtend( P197:P202,V197:V202, AJ197:AJ202,AP197:AP202))</f>
        <v>1.2638374340667724E-4</v>
      </c>
      <c r="BJ197" s="28">
        <f>IF( OR(ISBLANK(P197:P202),ISBLANK(AJ197:AJ202), ISBLANK(W197:W202),ISBLANK(AQ197:AQ202)), "·", bdRateExtend( P197:P202,W197:W202, AJ197:AJ202,AQ197:AQ202))</f>
        <v>1.1419164839066021E-4</v>
      </c>
      <c r="BK197" s="28">
        <f>IF( OR(ISBLANK(P197:P202),ISBLANK(AJ197:AJ202), ISBLANK(X197:X202),ISBLANK(AR197:AR202)), "·", bdRateExtend( P197:P202,X197:X202, AJ197:AJ202,AR197:AR202))</f>
        <v>1.1537921038495824E-4</v>
      </c>
      <c r="BL197" s="29"/>
    </row>
    <row r="198" spans="1:64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>
        <f t="shared" si="34"/>
        <v>0.52887666173837644</v>
      </c>
      <c r="K198" s="34">
        <f t="shared" si="35"/>
        <v>7.9052271068440857E-2</v>
      </c>
      <c r="L198" s="34">
        <f t="shared" si="36"/>
        <v>0.44947504351243611</v>
      </c>
      <c r="M198" s="35"/>
      <c r="N198" s="34">
        <f t="shared" si="37"/>
        <v>0.66458356523906803</v>
      </c>
      <c r="O198" s="36">
        <v>1275662</v>
      </c>
      <c r="P198" s="37">
        <v>847784</v>
      </c>
      <c r="Q198" s="37">
        <v>126720</v>
      </c>
      <c r="R198" s="37">
        <v>720504</v>
      </c>
      <c r="S198" s="38"/>
      <c r="T198" s="39">
        <v>64.116185400000006</v>
      </c>
      <c r="U198" s="39">
        <v>67.757212499999994</v>
      </c>
      <c r="V198" s="39">
        <v>26.0882112</v>
      </c>
      <c r="W198" s="39">
        <v>39.7447497</v>
      </c>
      <c r="X198" s="39">
        <v>38.427130200000001</v>
      </c>
      <c r="Y198" s="38"/>
      <c r="Z198" s="41">
        <v>4.4509999999999996</v>
      </c>
      <c r="AA198" s="41">
        <v>1.794</v>
      </c>
      <c r="AC198" s="33" t="str">
        <f t="shared" si="38"/>
        <v>·</v>
      </c>
      <c r="AD198" s="34">
        <f t="shared" si="39"/>
        <v>0.52893654982251914</v>
      </c>
      <c r="AE198" s="34">
        <f t="shared" si="40"/>
        <v>7.987573222540377E-2</v>
      </c>
      <c r="AF198" s="34">
        <f t="shared" si="41"/>
        <v>0.44947504351243611</v>
      </c>
      <c r="AG198" s="35"/>
      <c r="AH198" s="34">
        <f t="shared" si="42"/>
        <v>0.66465882028311574</v>
      </c>
      <c r="AI198" s="36">
        <v>1275662</v>
      </c>
      <c r="AJ198" s="37">
        <v>847880</v>
      </c>
      <c r="AK198" s="37">
        <v>128040</v>
      </c>
      <c r="AL198" s="37">
        <v>720504</v>
      </c>
      <c r="AM198" s="38"/>
      <c r="AN198" s="39">
        <v>64.116185400000006</v>
      </c>
      <c r="AO198" s="39">
        <v>67.757212499999994</v>
      </c>
      <c r="AP198" s="39">
        <v>26.0882112</v>
      </c>
      <c r="AQ198" s="39">
        <v>39.7447497</v>
      </c>
      <c r="AR198" s="39">
        <v>38.427130200000001</v>
      </c>
      <c r="AS198" s="40"/>
      <c r="AT198" s="41">
        <v>4.3419999999999996</v>
      </c>
      <c r="AU198" s="41">
        <v>1.7949999999999999</v>
      </c>
      <c r="AW198" s="42">
        <f t="shared" si="43"/>
        <v>1.539900321517601E-3</v>
      </c>
      <c r="AX198" s="42"/>
      <c r="AZ198" s="43"/>
      <c r="BA198" s="43"/>
      <c r="BB198" s="43"/>
      <c r="BC198" s="43"/>
      <c r="BD198" s="43"/>
      <c r="BE198" s="44"/>
      <c r="BG198" s="43"/>
      <c r="BH198" s="43"/>
      <c r="BI198" s="43"/>
      <c r="BJ198" s="43"/>
      <c r="BK198" s="43"/>
      <c r="BL198" s="44"/>
    </row>
    <row r="199" spans="1:64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>
        <f t="shared" si="34"/>
        <v>1.4437420071241867</v>
      </c>
      <c r="K199" s="19">
        <f t="shared" si="35"/>
        <v>0.33555792612555285</v>
      </c>
      <c r="L199" s="19">
        <f t="shared" si="36"/>
        <v>1.1078347338411343</v>
      </c>
      <c r="M199" s="20"/>
      <c r="N199" s="19">
        <f t="shared" si="37"/>
        <v>1.4360537413159324</v>
      </c>
      <c r="O199" s="21">
        <v>1611572</v>
      </c>
      <c r="P199" s="22">
        <v>2314304</v>
      </c>
      <c r="Q199" s="22">
        <v>537896</v>
      </c>
      <c r="R199" s="22">
        <v>1775848</v>
      </c>
      <c r="S199" s="23"/>
      <c r="T199" s="24">
        <v>68.331003999999993</v>
      </c>
      <c r="U199" s="24">
        <v>71.807965600000003</v>
      </c>
      <c r="V199" s="24">
        <v>29.237416400000001</v>
      </c>
      <c r="W199" s="24">
        <v>42.131515999999998</v>
      </c>
      <c r="X199" s="24">
        <v>40.254207600000001</v>
      </c>
      <c r="Y199" s="23"/>
      <c r="Z199" s="26">
        <v>7.8579999999999997</v>
      </c>
      <c r="AA199" s="26">
        <v>3.0760000000000001</v>
      </c>
      <c r="AC199" s="18" t="str">
        <f t="shared" si="38"/>
        <v>·</v>
      </c>
      <c r="AD199" s="19">
        <f t="shared" si="39"/>
        <v>1.4438318392504008</v>
      </c>
      <c r="AE199" s="19">
        <f t="shared" si="40"/>
        <v>0.34238516771782729</v>
      </c>
      <c r="AF199" s="19">
        <f t="shared" si="41"/>
        <v>1.1078347338411343</v>
      </c>
      <c r="AG199" s="20"/>
      <c r="AH199" s="19">
        <f t="shared" si="42"/>
        <v>1.4361430950649428</v>
      </c>
      <c r="AI199" s="21">
        <v>1611572</v>
      </c>
      <c r="AJ199" s="22">
        <v>2314448</v>
      </c>
      <c r="AK199" s="22">
        <v>548840</v>
      </c>
      <c r="AL199" s="22">
        <v>1775848</v>
      </c>
      <c r="AM199" s="23"/>
      <c r="AN199" s="24">
        <v>68.331003999999993</v>
      </c>
      <c r="AO199" s="24">
        <v>71.807965600000003</v>
      </c>
      <c r="AP199" s="24">
        <v>29.237416400000001</v>
      </c>
      <c r="AQ199" s="24">
        <v>42.131515999999998</v>
      </c>
      <c r="AR199" s="24">
        <v>40.254207600000001</v>
      </c>
      <c r="AS199" s="25"/>
      <c r="AT199" s="26">
        <v>8.0289999999999999</v>
      </c>
      <c r="AU199" s="26">
        <v>3.1850000000000001</v>
      </c>
      <c r="AW199" s="27">
        <f t="shared" si="43"/>
        <v>4.7140964843455369E-3</v>
      </c>
      <c r="AX199" s="27"/>
      <c r="AZ199" s="28"/>
      <c r="BA199" s="28"/>
      <c r="BB199" s="28"/>
      <c r="BC199" s="28"/>
      <c r="BD199" s="28"/>
      <c r="BE199" s="29"/>
      <c r="BG199" s="28"/>
      <c r="BH199" s="28"/>
      <c r="BI199" s="28"/>
      <c r="BJ199" s="28"/>
      <c r="BK199" s="28"/>
      <c r="BL199" s="29"/>
    </row>
    <row r="200" spans="1:64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9"/>
      <c r="X200" s="39"/>
      <c r="Y200" s="38"/>
      <c r="Z200" s="41"/>
      <c r="AA200" s="41"/>
      <c r="AC200" s="33" t="str">
        <f t="shared" si="38"/>
        <v>·</v>
      </c>
      <c r="AD200" s="34" t="str">
        <f t="shared" si="39"/>
        <v>·</v>
      </c>
      <c r="AE200" s="34" t="str">
        <f t="shared" si="40"/>
        <v>·</v>
      </c>
      <c r="AF200" s="34" t="str">
        <f t="shared" si="41"/>
        <v>·</v>
      </c>
      <c r="AG200" s="35"/>
      <c r="AH200" s="34" t="str">
        <f t="shared" si="42"/>
        <v>·</v>
      </c>
      <c r="AI200" s="36"/>
      <c r="AJ200" s="37"/>
      <c r="AK200" s="37"/>
      <c r="AL200" s="37"/>
      <c r="AM200" s="38"/>
      <c r="AN200" s="39"/>
      <c r="AO200" s="39"/>
      <c r="AP200" s="39"/>
      <c r="AQ200" s="39"/>
      <c r="AR200" s="39"/>
      <c r="AS200" s="40"/>
      <c r="AT200" s="41"/>
      <c r="AU200" s="41"/>
      <c r="AW200" s="42" t="e">
        <f t="shared" si="43"/>
        <v>#DIV/0!</v>
      </c>
      <c r="AX200" s="42"/>
      <c r="AZ200" s="43"/>
      <c r="BA200" s="43"/>
      <c r="BB200" s="43"/>
      <c r="BC200" s="43"/>
      <c r="BD200" s="43"/>
      <c r="BE200" s="44"/>
      <c r="BG200" s="43"/>
      <c r="BH200" s="43"/>
      <c r="BI200" s="43"/>
      <c r="BJ200" s="43"/>
      <c r="BK200" s="43"/>
      <c r="BL200" s="44"/>
    </row>
    <row r="201" spans="1:64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4"/>
      <c r="X201" s="24"/>
      <c r="Y201" s="23"/>
      <c r="Z201" s="26"/>
      <c r="AA201" s="26"/>
      <c r="AC201" s="18" t="str">
        <f t="shared" si="38"/>
        <v>·</v>
      </c>
      <c r="AD201" s="19" t="str">
        <f t="shared" si="39"/>
        <v>·</v>
      </c>
      <c r="AE201" s="19" t="str">
        <f t="shared" si="40"/>
        <v>·</v>
      </c>
      <c r="AF201" s="19" t="str">
        <f t="shared" si="41"/>
        <v>·</v>
      </c>
      <c r="AG201" s="20"/>
      <c r="AH201" s="19" t="str">
        <f t="shared" si="42"/>
        <v>·</v>
      </c>
      <c r="AI201" s="21"/>
      <c r="AJ201" s="22"/>
      <c r="AK201" s="22"/>
      <c r="AL201" s="22"/>
      <c r="AM201" s="23"/>
      <c r="AN201" s="24"/>
      <c r="AO201" s="24"/>
      <c r="AP201" s="24"/>
      <c r="AQ201" s="24"/>
      <c r="AR201" s="24"/>
      <c r="AS201" s="25"/>
      <c r="AT201" s="26"/>
      <c r="AU201" s="26"/>
      <c r="AW201" s="27" t="e">
        <f t="shared" si="43"/>
        <v>#DIV/0!</v>
      </c>
      <c r="AX201" s="27"/>
      <c r="AZ201" s="28"/>
      <c r="BA201" s="28"/>
      <c r="BB201" s="28"/>
      <c r="BC201" s="28"/>
      <c r="BD201" s="28"/>
      <c r="BE201" s="29"/>
      <c r="BG201" s="28"/>
      <c r="BH201" s="28"/>
      <c r="BI201" s="28"/>
      <c r="BJ201" s="28"/>
      <c r="BK201" s="28"/>
      <c r="BL201" s="29"/>
    </row>
    <row r="202" spans="1:64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4"/>
      <c r="X202" s="54"/>
      <c r="Y202" s="53"/>
      <c r="Z202" s="56"/>
      <c r="AA202" s="56"/>
      <c r="AC202" s="48" t="str">
        <f t="shared" si="38"/>
        <v>·</v>
      </c>
      <c r="AD202" s="49" t="str">
        <f t="shared" si="39"/>
        <v>·</v>
      </c>
      <c r="AE202" s="49" t="str">
        <f t="shared" si="40"/>
        <v>·</v>
      </c>
      <c r="AF202" s="49" t="str">
        <f t="shared" si="41"/>
        <v>·</v>
      </c>
      <c r="AG202" s="50"/>
      <c r="AH202" s="49" t="str">
        <f t="shared" si="42"/>
        <v>·</v>
      </c>
      <c r="AI202" s="51"/>
      <c r="AJ202" s="52"/>
      <c r="AK202" s="52"/>
      <c r="AL202" s="52"/>
      <c r="AM202" s="53"/>
      <c r="AN202" s="54"/>
      <c r="AO202" s="54"/>
      <c r="AP202" s="54"/>
      <c r="AQ202" s="54"/>
      <c r="AR202" s="54"/>
      <c r="AS202" s="55"/>
      <c r="AT202" s="56"/>
      <c r="AU202" s="56"/>
      <c r="AW202" s="57" t="e">
        <f t="shared" si="43"/>
        <v>#DIV/0!</v>
      </c>
      <c r="AX202" s="57"/>
      <c r="AZ202" s="58"/>
      <c r="BA202" s="58"/>
      <c r="BB202" s="58"/>
      <c r="BC202" s="58"/>
      <c r="BD202" s="58"/>
      <c r="BE202" s="59"/>
      <c r="BG202" s="58"/>
      <c r="BH202" s="58"/>
      <c r="BI202" s="58"/>
      <c r="BJ202" s="58"/>
      <c r="BK202" s="58"/>
      <c r="BL202" s="59"/>
    </row>
    <row r="203" spans="1:64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>
        <f t="shared" si="34"/>
        <v>9.2284343681169403E-2</v>
      </c>
      <c r="K203" s="19">
        <f t="shared" si="35"/>
        <v>8.998455910119366E-3</v>
      </c>
      <c r="L203" s="19">
        <f t="shared" si="36"/>
        <v>8.3160461264935273E-2</v>
      </c>
      <c r="M203" s="20"/>
      <c r="N203" s="19">
        <f t="shared" si="37"/>
        <v>0.1090190749248825</v>
      </c>
      <c r="O203" s="21">
        <v>7558824</v>
      </c>
      <c r="P203" s="22">
        <v>824056</v>
      </c>
      <c r="Q203" s="22">
        <v>80352</v>
      </c>
      <c r="R203" s="22">
        <v>742584</v>
      </c>
      <c r="S203" s="23"/>
      <c r="T203" s="24">
        <v>63.885455</v>
      </c>
      <c r="U203" s="24">
        <v>70.563334299999994</v>
      </c>
      <c r="V203" s="24">
        <v>23.802108100000002</v>
      </c>
      <c r="W203" s="24">
        <v>39.028995899999998</v>
      </c>
      <c r="X203" s="24">
        <v>40.371978300000002</v>
      </c>
      <c r="Y203" s="23"/>
      <c r="Z203" s="26">
        <v>11.617000000000001</v>
      </c>
      <c r="AA203" s="26">
        <v>9.4280000000000008</v>
      </c>
      <c r="AC203" s="18" t="str">
        <f t="shared" si="38"/>
        <v>·</v>
      </c>
      <c r="AD203" s="19">
        <f t="shared" si="39"/>
        <v>9.2301365849856404E-2</v>
      </c>
      <c r="AE203" s="19">
        <f t="shared" si="40"/>
        <v>9.0486265125652721E-3</v>
      </c>
      <c r="AF203" s="19">
        <f t="shared" si="41"/>
        <v>8.3160461264935273E-2</v>
      </c>
      <c r="AG203" s="20"/>
      <c r="AH203" s="19">
        <f t="shared" si="42"/>
        <v>0.10903918387304692</v>
      </c>
      <c r="AI203" s="21">
        <v>7558824</v>
      </c>
      <c r="AJ203" s="22">
        <v>824208</v>
      </c>
      <c r="AK203" s="22">
        <v>80800</v>
      </c>
      <c r="AL203" s="22">
        <v>742584</v>
      </c>
      <c r="AM203" s="23"/>
      <c r="AN203" s="24">
        <v>63.885455</v>
      </c>
      <c r="AO203" s="24">
        <v>70.563334299999994</v>
      </c>
      <c r="AP203" s="24">
        <v>23.802108100000002</v>
      </c>
      <c r="AQ203" s="24">
        <v>39.028995899999998</v>
      </c>
      <c r="AR203" s="24">
        <v>40.371978300000002</v>
      </c>
      <c r="AS203" s="25"/>
      <c r="AT203" s="26">
        <v>11.257</v>
      </c>
      <c r="AU203" s="26">
        <v>9.0239999999999991</v>
      </c>
      <c r="AW203" s="27">
        <f t="shared" si="43"/>
        <v>5.2556975141494766E-4</v>
      </c>
      <c r="AX203" s="27" t="e">
        <f t="array" ref="AX203">AVERAGE(AK203:AK208/AJ203:AJ208) - AVERAGE(Q203:Q208/P203:P208)</f>
        <v>#DIV/0!</v>
      </c>
      <c r="AZ203" s="28">
        <f>IF( OR(ISBLANK(Q203:Q208),ISBLANK(AK203:AK208), ISBLANK(T203:T208),ISBLANK(AN203:AN208)), "·", bdRateExtend( Q203:Q208,T203:T208, AK203:AK208,AN203:AN208))</f>
        <v>9.0623371129041619E-3</v>
      </c>
      <c r="BA203" s="28">
        <f>IF( OR(ISBLANK(Q203:Q208),ISBLANK(AK203:AK208), ISBLANK(U203:U208),ISBLANK(AO203:AO208)), "·", bdRateExtend( Q203:Q208,U203:U208, AK203:AK208,AO203:AO208))</f>
        <v>9.0876608929484348E-3</v>
      </c>
      <c r="BB203" s="28">
        <f>IF( OR(ISBLANK(R203:R208),ISBLANK(AL203:AL208), ISBLANK(V203:V208),ISBLANK(AP203:AP208)), "·", bdRateExtend( R203:R208,V203:V208, AL203:AL208,AP203:AP208))</f>
        <v>0</v>
      </c>
      <c r="BC203" s="28">
        <f>IF( OR(ISBLANK(R203:R208),ISBLANK(AL203:AL208), ISBLANK(W203:W208),ISBLANK(AQ203:AQ208)), "·", bdRateExtend( R203:R208,W203:W208, AL203:AL208,AQ203:AQ208))</f>
        <v>0</v>
      </c>
      <c r="BD203" s="28">
        <f>IF( OR(ISBLANK(R203:R208),ISBLANK(AL203:AL208), ISBLANK(X203:X208),ISBLANK(AR203:AR208)), "·", bdRateExtend( R203:R208,X203:X208, AL203:AL208,AR203:AR208))</f>
        <v>0</v>
      </c>
      <c r="BE203" s="29"/>
      <c r="BG203" s="28">
        <f>IF( OR(ISBLANK(P203:P208),ISBLANK(AJ203:AJ208), ISBLANK(T203:T208),ISBLANK(AN203:AN208)), "·", bdRateExtend( P203:P208,T203:T208, AJ203:AJ208,AN203:AN208))</f>
        <v>1.5655839878081501E-4</v>
      </c>
      <c r="BH203" s="28">
        <f>IF( OR(ISBLANK(P203:P208),ISBLANK(AJ203:AJ208), ISBLANK(U203:U208),ISBLANK(AO203:AO208)), "·", bdRateExtend( P203:P208,U203:U208, AJ203:AJ208,AO203:AO208))</f>
        <v>1.6250453830490841E-4</v>
      </c>
      <c r="BI203" s="28">
        <f>IF( OR(ISBLANK(P203:P208),ISBLANK(AJ203:AJ208), ISBLANK(V203:V208),ISBLANK(AP203:AP208)), "·", bdRateExtend( P203:P208,V203:V208, AJ203:AJ208,AP203:AP208))</f>
        <v>1.4866042078964803E-4</v>
      </c>
      <c r="BJ203" s="28">
        <f>IF( OR(ISBLANK(P203:P208),ISBLANK(AJ203:AJ208), ISBLANK(W203:W208),ISBLANK(AQ203:AQ208)), "·", bdRateExtend( P203:P208,W203:W208, AJ203:AJ208,AQ203:AQ208))</f>
        <v>1.4009295800643251E-4</v>
      </c>
      <c r="BK203" s="28">
        <f>IF( OR(ISBLANK(P203:P208),ISBLANK(AJ203:AJ208), ISBLANK(X203:X208),ISBLANK(AR203:AR208)), "·", bdRateExtend( P203:P208,X203:X208, AJ203:AJ208,AR203:AR208))</f>
        <v>1.3925244551327154E-4</v>
      </c>
      <c r="BL203" s="29"/>
    </row>
    <row r="204" spans="1:64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>
        <f t="shared" si="34"/>
        <v>0.28244615731261169</v>
      </c>
      <c r="K204" s="34">
        <f t="shared" si="35"/>
        <v>3.2570575927159451E-2</v>
      </c>
      <c r="L204" s="34">
        <f t="shared" si="36"/>
        <v>0.24975015487933747</v>
      </c>
      <c r="M204" s="35"/>
      <c r="N204" s="34">
        <f t="shared" si="37"/>
        <v>0.35177278216900831</v>
      </c>
      <c r="O204" s="36">
        <v>7169719</v>
      </c>
      <c r="P204" s="37">
        <v>2522112</v>
      </c>
      <c r="Q204" s="37">
        <v>290840</v>
      </c>
      <c r="R204" s="37">
        <v>2230152</v>
      </c>
      <c r="S204" s="38"/>
      <c r="T204" s="39">
        <v>69.570697300000006</v>
      </c>
      <c r="U204" s="39">
        <v>75.933896799999999</v>
      </c>
      <c r="V204" s="39">
        <v>26.1536884</v>
      </c>
      <c r="W204" s="39">
        <v>40.584500800000001</v>
      </c>
      <c r="X204" s="39">
        <v>41.771036100000003</v>
      </c>
      <c r="Y204" s="38"/>
      <c r="Z204" s="41">
        <v>12.647</v>
      </c>
      <c r="AA204" s="41">
        <v>9.4909999999999997</v>
      </c>
      <c r="AC204" s="33" t="str">
        <f t="shared" si="38"/>
        <v>·</v>
      </c>
      <c r="AD204" s="34">
        <f t="shared" si="39"/>
        <v>0.28249991152951803</v>
      </c>
      <c r="AE204" s="34">
        <f t="shared" si="40"/>
        <v>3.283038797554004E-2</v>
      </c>
      <c r="AF204" s="34">
        <f t="shared" si="41"/>
        <v>0.24975015487933747</v>
      </c>
      <c r="AG204" s="35"/>
      <c r="AH204" s="34">
        <f t="shared" si="42"/>
        <v>0.35183973039947591</v>
      </c>
      <c r="AI204" s="36">
        <v>7169719</v>
      </c>
      <c r="AJ204" s="37">
        <v>2522592</v>
      </c>
      <c r="AK204" s="37">
        <v>293160</v>
      </c>
      <c r="AL204" s="37">
        <v>2230152</v>
      </c>
      <c r="AM204" s="38"/>
      <c r="AN204" s="39">
        <v>69.570697300000006</v>
      </c>
      <c r="AO204" s="39">
        <v>75.933896799999999</v>
      </c>
      <c r="AP204" s="39">
        <v>26.1536884</v>
      </c>
      <c r="AQ204" s="39">
        <v>40.584500800000001</v>
      </c>
      <c r="AR204" s="39">
        <v>41.771036100000003</v>
      </c>
      <c r="AS204" s="40"/>
      <c r="AT204" s="41">
        <v>12.555</v>
      </c>
      <c r="AU204" s="41">
        <v>9.1950000000000003</v>
      </c>
      <c r="AW204" s="42">
        <f t="shared" si="43"/>
        <v>8.9774656177554757E-4</v>
      </c>
      <c r="AX204" s="42"/>
      <c r="AZ204" s="43"/>
      <c r="BA204" s="43"/>
      <c r="BB204" s="43"/>
      <c r="BC204" s="43"/>
      <c r="BD204" s="43"/>
      <c r="BE204" s="44"/>
      <c r="BG204" s="43"/>
      <c r="BH204" s="43"/>
      <c r="BI204" s="43"/>
      <c r="BJ204" s="43"/>
      <c r="BK204" s="43"/>
      <c r="BL204" s="44"/>
    </row>
    <row r="205" spans="1:64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>
        <f t="shared" si="34"/>
        <v>0.83477163192875059</v>
      </c>
      <c r="K205" s="19">
        <f t="shared" si="35"/>
        <v>0.14703749311834036</v>
      </c>
      <c r="L205" s="19">
        <f t="shared" si="36"/>
        <v>0.68760871230429543</v>
      </c>
      <c r="M205" s="20"/>
      <c r="N205" s="19">
        <f t="shared" si="37"/>
        <v>1.0729400357947991</v>
      </c>
      <c r="O205" s="21">
        <v>6947378</v>
      </c>
      <c r="P205" s="22">
        <v>7454120</v>
      </c>
      <c r="Q205" s="22">
        <v>1312976</v>
      </c>
      <c r="R205" s="22">
        <v>6140024</v>
      </c>
      <c r="S205" s="23"/>
      <c r="T205" s="24">
        <v>75.388840000000002</v>
      </c>
      <c r="U205" s="24">
        <v>78.850034800000003</v>
      </c>
      <c r="V205" s="24">
        <v>28.5549629</v>
      </c>
      <c r="W205" s="24">
        <v>42.256046499999997</v>
      </c>
      <c r="X205" s="24">
        <v>43.190521699999998</v>
      </c>
      <c r="Y205" s="23"/>
      <c r="Z205" s="26">
        <v>18.882999999999999</v>
      </c>
      <c r="AA205" s="26">
        <v>11.398</v>
      </c>
      <c r="AC205" s="18" t="str">
        <f t="shared" si="38"/>
        <v>·</v>
      </c>
      <c r="AD205" s="19">
        <f t="shared" si="39"/>
        <v>0.83484599192880438</v>
      </c>
      <c r="AE205" s="19">
        <f t="shared" si="40"/>
        <v>0.14859636540862387</v>
      </c>
      <c r="AF205" s="19">
        <f t="shared" si="41"/>
        <v>0.68760871230429543</v>
      </c>
      <c r="AG205" s="20"/>
      <c r="AH205" s="19">
        <f t="shared" si="42"/>
        <v>1.0730356114205963</v>
      </c>
      <c r="AI205" s="21">
        <v>6947378</v>
      </c>
      <c r="AJ205" s="22">
        <v>7454784</v>
      </c>
      <c r="AK205" s="22">
        <v>1326896</v>
      </c>
      <c r="AL205" s="22">
        <v>6140024</v>
      </c>
      <c r="AM205" s="23"/>
      <c r="AN205" s="24">
        <v>75.388840000000002</v>
      </c>
      <c r="AO205" s="24">
        <v>78.850034800000003</v>
      </c>
      <c r="AP205" s="24">
        <v>28.5549629</v>
      </c>
      <c r="AQ205" s="24">
        <v>42.256046499999997</v>
      </c>
      <c r="AR205" s="24">
        <v>43.190521699999998</v>
      </c>
      <c r="AS205" s="25"/>
      <c r="AT205" s="26">
        <v>18.663</v>
      </c>
      <c r="AU205" s="26">
        <v>11.275</v>
      </c>
      <c r="AW205" s="27">
        <f t="shared" si="43"/>
        <v>1.8515683874198996E-3</v>
      </c>
      <c r="AX205" s="27"/>
      <c r="AZ205" s="28"/>
      <c r="BA205" s="28"/>
      <c r="BB205" s="28"/>
      <c r="BC205" s="28"/>
      <c r="BD205" s="28"/>
      <c r="BE205" s="29"/>
      <c r="BG205" s="28"/>
      <c r="BH205" s="28"/>
      <c r="BI205" s="28"/>
      <c r="BJ205" s="28"/>
      <c r="BK205" s="28"/>
      <c r="BL205" s="29"/>
    </row>
    <row r="206" spans="1:64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>
        <f t="shared" si="34"/>
        <v>2.177589598200667</v>
      </c>
      <c r="K206" s="34">
        <f t="shared" si="35"/>
        <v>0.60033605344602603</v>
      </c>
      <c r="L206" s="34">
        <f t="shared" si="36"/>
        <v>1.5771281182485264</v>
      </c>
      <c r="M206" s="35"/>
      <c r="N206" s="34">
        <f t="shared" si="37"/>
        <v>2.4158686910665619</v>
      </c>
      <c r="O206" s="36">
        <v>8048805</v>
      </c>
      <c r="P206" s="37">
        <v>19444856</v>
      </c>
      <c r="Q206" s="37">
        <v>5360720</v>
      </c>
      <c r="R206" s="37">
        <v>14083016</v>
      </c>
      <c r="S206" s="38"/>
      <c r="T206" s="39">
        <v>77.587080499999999</v>
      </c>
      <c r="U206" s="39">
        <v>80.922107100000005</v>
      </c>
      <c r="V206" s="39">
        <v>30.0829229</v>
      </c>
      <c r="W206" s="39">
        <v>43.832329600000001</v>
      </c>
      <c r="X206" s="39">
        <v>44.667456999999999</v>
      </c>
      <c r="Y206" s="38"/>
      <c r="Z206" s="41">
        <v>39.475999999999999</v>
      </c>
      <c r="AA206" s="41">
        <v>20.056000000000001</v>
      </c>
      <c r="AC206" s="33" t="str">
        <f t="shared" si="38"/>
        <v>·</v>
      </c>
      <c r="AD206" s="34">
        <f t="shared" si="39"/>
        <v>2.177809094586368</v>
      </c>
      <c r="AE206" s="34">
        <f t="shared" si="40"/>
        <v>0.6145988389985052</v>
      </c>
      <c r="AF206" s="34">
        <f t="shared" si="41"/>
        <v>1.5771281182485264</v>
      </c>
      <c r="AG206" s="35"/>
      <c r="AH206" s="34">
        <f t="shared" si="42"/>
        <v>2.4161122054764652</v>
      </c>
      <c r="AI206" s="36">
        <v>8048805</v>
      </c>
      <c r="AJ206" s="37">
        <v>19446816</v>
      </c>
      <c r="AK206" s="37">
        <v>5488080</v>
      </c>
      <c r="AL206" s="37">
        <v>14083016</v>
      </c>
      <c r="AM206" s="38"/>
      <c r="AN206" s="39">
        <v>77.587080499999999</v>
      </c>
      <c r="AO206" s="39">
        <v>80.922107100000005</v>
      </c>
      <c r="AP206" s="39">
        <v>30.0829229</v>
      </c>
      <c r="AQ206" s="39">
        <v>43.832329600000001</v>
      </c>
      <c r="AR206" s="39">
        <v>44.667456999999999</v>
      </c>
      <c r="AS206" s="40"/>
      <c r="AT206" s="41">
        <v>37.929000000000002</v>
      </c>
      <c r="AU206" s="41">
        <v>19.29</v>
      </c>
      <c r="AW206" s="42">
        <f t="shared" si="43"/>
        <v>6.5213580907473867E-3</v>
      </c>
      <c r="AX206" s="42"/>
      <c r="AZ206" s="43"/>
      <c r="BA206" s="43"/>
      <c r="BB206" s="43"/>
      <c r="BC206" s="43"/>
      <c r="BD206" s="43"/>
      <c r="BE206" s="44"/>
      <c r="BG206" s="43"/>
      <c r="BH206" s="43"/>
      <c r="BI206" s="43"/>
      <c r="BJ206" s="43"/>
      <c r="BK206" s="43"/>
      <c r="BL206" s="44"/>
    </row>
    <row r="207" spans="1:64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4"/>
      <c r="X207" s="24"/>
      <c r="Y207" s="23"/>
      <c r="Z207" s="26"/>
      <c r="AA207" s="26"/>
      <c r="AC207" s="18" t="str">
        <f t="shared" si="38"/>
        <v>·</v>
      </c>
      <c r="AD207" s="19" t="str">
        <f t="shared" si="39"/>
        <v>·</v>
      </c>
      <c r="AE207" s="19" t="str">
        <f t="shared" si="40"/>
        <v>·</v>
      </c>
      <c r="AF207" s="19" t="str">
        <f t="shared" si="41"/>
        <v>·</v>
      </c>
      <c r="AG207" s="20"/>
      <c r="AH207" s="19" t="str">
        <f t="shared" si="42"/>
        <v>·</v>
      </c>
      <c r="AI207" s="21"/>
      <c r="AJ207" s="22"/>
      <c r="AK207" s="22"/>
      <c r="AL207" s="22"/>
      <c r="AM207" s="23"/>
      <c r="AN207" s="24"/>
      <c r="AO207" s="24"/>
      <c r="AP207" s="24"/>
      <c r="AQ207" s="24"/>
      <c r="AR207" s="24"/>
      <c r="AS207" s="25"/>
      <c r="AT207" s="26"/>
      <c r="AU207" s="26"/>
      <c r="AW207" s="27" t="e">
        <f t="shared" si="43"/>
        <v>#DIV/0!</v>
      </c>
      <c r="AX207" s="27"/>
      <c r="AZ207" s="28"/>
      <c r="BA207" s="28"/>
      <c r="BB207" s="28"/>
      <c r="BC207" s="28"/>
      <c r="BD207" s="28"/>
      <c r="BE207" s="29"/>
      <c r="BG207" s="28"/>
      <c r="BH207" s="28"/>
      <c r="BI207" s="28"/>
      <c r="BJ207" s="28"/>
      <c r="BK207" s="28"/>
      <c r="BL207" s="29"/>
    </row>
    <row r="208" spans="1:64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4"/>
      <c r="X208" s="54"/>
      <c r="Y208" s="53"/>
      <c r="Z208" s="56"/>
      <c r="AA208" s="56"/>
      <c r="AC208" s="48" t="str">
        <f t="shared" si="38"/>
        <v>·</v>
      </c>
      <c r="AD208" s="49" t="str">
        <f t="shared" si="39"/>
        <v>·</v>
      </c>
      <c r="AE208" s="49" t="str">
        <f t="shared" si="40"/>
        <v>·</v>
      </c>
      <c r="AF208" s="49" t="str">
        <f t="shared" si="41"/>
        <v>·</v>
      </c>
      <c r="AG208" s="50"/>
      <c r="AH208" s="49" t="str">
        <f t="shared" si="42"/>
        <v>·</v>
      </c>
      <c r="AI208" s="51"/>
      <c r="AJ208" s="52"/>
      <c r="AK208" s="52"/>
      <c r="AL208" s="52"/>
      <c r="AM208" s="53"/>
      <c r="AN208" s="54"/>
      <c r="AO208" s="54"/>
      <c r="AP208" s="54"/>
      <c r="AQ208" s="54"/>
      <c r="AR208" s="54"/>
      <c r="AS208" s="55"/>
      <c r="AT208" s="56"/>
      <c r="AU208" s="56"/>
      <c r="AW208" s="57" t="e">
        <f t="shared" si="43"/>
        <v>#DIV/0!</v>
      </c>
      <c r="AX208" s="57"/>
      <c r="AZ208" s="58"/>
      <c r="BA208" s="58"/>
      <c r="BB208" s="58"/>
      <c r="BC208" s="58"/>
      <c r="BD208" s="58"/>
      <c r="BE208" s="59"/>
      <c r="BG208" s="58"/>
      <c r="BH208" s="58"/>
      <c r="BI208" s="58"/>
      <c r="BJ208" s="58"/>
      <c r="BK208" s="58"/>
      <c r="BL208" s="59"/>
    </row>
    <row r="209" spans="1:64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>
        <f t="shared" si="34"/>
        <v>2.3419360313602654E-2</v>
      </c>
      <c r="K209" s="19">
        <f t="shared" si="35"/>
        <v>5.0196227380185547E-3</v>
      </c>
      <c r="L209" s="19">
        <f t="shared" si="36"/>
        <v>1.8314521668148055E-2</v>
      </c>
      <c r="M209" s="20"/>
      <c r="N209" s="19">
        <f t="shared" si="37"/>
        <v>4.4101278276463998E-2</v>
      </c>
      <c r="O209" s="21">
        <v>10469175</v>
      </c>
      <c r="P209" s="22">
        <v>461704</v>
      </c>
      <c r="Q209" s="22">
        <v>98960</v>
      </c>
      <c r="R209" s="22">
        <v>361064</v>
      </c>
      <c r="S209" s="23"/>
      <c r="T209" s="24">
        <v>68.088440500000004</v>
      </c>
      <c r="U209" s="24">
        <v>70.939423599999998</v>
      </c>
      <c r="V209" s="24">
        <v>28.966238400000002</v>
      </c>
      <c r="W209" s="24">
        <v>42.446032700000004</v>
      </c>
      <c r="X209" s="24">
        <v>44.321969899999999</v>
      </c>
      <c r="Y209" s="23"/>
      <c r="Z209" s="26">
        <v>15.893000000000001</v>
      </c>
      <c r="AA209" s="26">
        <v>11.109</v>
      </c>
      <c r="AC209" s="18" t="str">
        <f t="shared" si="38"/>
        <v>·</v>
      </c>
      <c r="AD209" s="19">
        <f t="shared" si="39"/>
        <v>2.3435186124983635E-2</v>
      </c>
      <c r="AE209" s="19">
        <f t="shared" si="40"/>
        <v>5.0082606170270818E-3</v>
      </c>
      <c r="AF209" s="19">
        <f t="shared" si="41"/>
        <v>1.8314521668148055E-2</v>
      </c>
      <c r="AG209" s="20"/>
      <c r="AH209" s="19">
        <f t="shared" si="42"/>
        <v>4.4131080051675514E-2</v>
      </c>
      <c r="AI209" s="21">
        <v>10469175</v>
      </c>
      <c r="AJ209" s="22">
        <v>462016</v>
      </c>
      <c r="AK209" s="22">
        <v>98736</v>
      </c>
      <c r="AL209" s="22">
        <v>361064</v>
      </c>
      <c r="AM209" s="23"/>
      <c r="AN209" s="24">
        <v>68.088440500000004</v>
      </c>
      <c r="AO209" s="24">
        <v>70.939423599999998</v>
      </c>
      <c r="AP209" s="24">
        <v>28.966238400000002</v>
      </c>
      <c r="AQ209" s="24">
        <v>42.446032700000004</v>
      </c>
      <c r="AR209" s="24">
        <v>44.321969899999999</v>
      </c>
      <c r="AS209" s="25"/>
      <c r="AT209" s="26">
        <v>15.89</v>
      </c>
      <c r="AU209" s="26">
        <v>10.738</v>
      </c>
      <c r="AW209" s="27">
        <f t="shared" si="43"/>
        <v>-6.2957338034397292E-4</v>
      </c>
      <c r="AX209" s="27" t="e">
        <f t="array" ref="AX209">AVERAGE(AK209:AK214/AJ209:AJ214) - AVERAGE(Q209:Q214/P209:P214)</f>
        <v>#DIV/0!</v>
      </c>
      <c r="AZ209" s="28">
        <f>IF( OR(ISBLANK(Q209:Q214),ISBLANK(AK209:AK214), ISBLANK(T209:T214),ISBLANK(AN209:AN214)), "·", bdRateExtend( Q209:Q214,T209:T214, AK209:AK214,AN209:AN214))</f>
        <v>3.7719268041600529E-3</v>
      </c>
      <c r="BA209" s="28">
        <f>IF( OR(ISBLANK(Q209:Q214),ISBLANK(AK209:AK214), ISBLANK(U209:U214),ISBLANK(AO209:AO214)), "·", bdRateExtend( Q209:Q214,U209:U214, AK209:AK214,AO209:AO214))</f>
        <v>4.9732140165674732E-3</v>
      </c>
      <c r="BB209" s="28">
        <f>IF( OR(ISBLANK(R209:R214),ISBLANK(AL209:AL214), ISBLANK(V209:V214),ISBLANK(AP209:AP214)), "·", bdRateExtend( R209:R214,V209:V214, AL209:AL214,AP209:AP214))</f>
        <v>0</v>
      </c>
      <c r="BC209" s="28">
        <f>IF( OR(ISBLANK(R209:R214),ISBLANK(AL209:AL214), ISBLANK(W209:W214),ISBLANK(AQ209:AQ214)), "·", bdRateExtend( R209:R214,W209:W214, AL209:AL214,AQ209:AQ214))</f>
        <v>0</v>
      </c>
      <c r="BD209" s="28">
        <f>IF( OR(ISBLANK(R209:R214),ISBLANK(AL209:AL214), ISBLANK(X209:X214),ISBLANK(AR209:AR214)), "·", bdRateExtend( R209:R214,X209:X214, AL209:AL214,AR209:AR214))</f>
        <v>0</v>
      </c>
      <c r="BE209" s="29"/>
      <c r="BG209" s="28">
        <f>IF( OR(ISBLANK(P209:P214),ISBLANK(AJ209:AJ214), ISBLANK(T209:T214),ISBLANK(AN209:AN214)), "·", bdRateExtend( P209:P214,T209:T214, AJ209:AJ214,AN209:AN214))</f>
        <v>4.169645119631582E-4</v>
      </c>
      <c r="BH209" s="28">
        <f>IF( OR(ISBLANK(P209:P214),ISBLANK(AJ209:AJ214), ISBLANK(U209:U214),ISBLANK(AO209:AO214)), "·", bdRateExtend( P209:P214,U209:U214, AJ209:AJ214,AO209:AO214))</f>
        <v>4.0924269279596359E-4</v>
      </c>
      <c r="BI209" s="28">
        <f>IF( OR(ISBLANK(P209:P214),ISBLANK(AJ209:AJ214), ISBLANK(V209:V214),ISBLANK(AP209:AP214)), "·", bdRateExtend( P209:P214,V209:V214, AJ209:AJ214,AP209:AP214))</f>
        <v>3.4655292757035383E-4</v>
      </c>
      <c r="BJ209" s="28">
        <f>IF( OR(ISBLANK(P209:P214),ISBLANK(AJ209:AJ214), ISBLANK(W209:W214),ISBLANK(AQ209:AQ214)), "·", bdRateExtend( P209:P214,W209:W214, AJ209:AJ214,AQ209:AQ214))</f>
        <v>3.4566284522985491E-4</v>
      </c>
      <c r="BK209" s="28">
        <f>IF( OR(ISBLANK(P209:P214),ISBLANK(AJ209:AJ214), ISBLANK(X209:X214),ISBLANK(AR209:AR214)), "·", bdRateExtend( P209:P214,X209:X214, AJ209:AJ214,AR209:AR214))</f>
        <v>3.530745035202898E-4</v>
      </c>
      <c r="BL209" s="29"/>
    </row>
    <row r="210" spans="1:64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>
        <f t="shared" si="34"/>
        <v>8.2795369874827468E-2</v>
      </c>
      <c r="K210" s="34">
        <f t="shared" si="35"/>
        <v>1.704155832706768E-2</v>
      </c>
      <c r="L210" s="34">
        <f t="shared" si="36"/>
        <v>6.5668595640323735E-2</v>
      </c>
      <c r="M210" s="35"/>
      <c r="N210" s="34">
        <f t="shared" si="37"/>
        <v>0.14756760886103587</v>
      </c>
      <c r="O210" s="36">
        <v>11061235</v>
      </c>
      <c r="P210" s="37">
        <v>1632280</v>
      </c>
      <c r="Q210" s="37">
        <v>335968</v>
      </c>
      <c r="R210" s="37">
        <v>1294632</v>
      </c>
      <c r="S210" s="38"/>
      <c r="T210" s="39">
        <v>74.167904199999995</v>
      </c>
      <c r="U210" s="39">
        <v>76.876211600000005</v>
      </c>
      <c r="V210" s="39">
        <v>30.760033</v>
      </c>
      <c r="W210" s="39">
        <v>43.418811900000001</v>
      </c>
      <c r="X210" s="39">
        <v>45.271216600000002</v>
      </c>
      <c r="Y210" s="38"/>
      <c r="Z210" s="41">
        <v>18.471</v>
      </c>
      <c r="AA210" s="41">
        <v>12.904999999999999</v>
      </c>
      <c r="AC210" s="33" t="str">
        <f t="shared" si="38"/>
        <v>·</v>
      </c>
      <c r="AD210" s="34">
        <f t="shared" si="39"/>
        <v>8.2828238867695664E-2</v>
      </c>
      <c r="AE210" s="34">
        <f t="shared" si="40"/>
        <v>1.7021674615332605E-2</v>
      </c>
      <c r="AF210" s="34">
        <f t="shared" si="41"/>
        <v>6.5668595640323735E-2</v>
      </c>
      <c r="AG210" s="35"/>
      <c r="AH210" s="34">
        <f t="shared" si="42"/>
        <v>0.14762619183120149</v>
      </c>
      <c r="AI210" s="36">
        <v>11061235</v>
      </c>
      <c r="AJ210" s="37">
        <v>1632928</v>
      </c>
      <c r="AK210" s="37">
        <v>335576</v>
      </c>
      <c r="AL210" s="37">
        <v>1294632</v>
      </c>
      <c r="AM210" s="38"/>
      <c r="AN210" s="39">
        <v>74.167904199999995</v>
      </c>
      <c r="AO210" s="39">
        <v>76.876211600000005</v>
      </c>
      <c r="AP210" s="39">
        <v>30.760033</v>
      </c>
      <c r="AQ210" s="39">
        <v>43.418811900000001</v>
      </c>
      <c r="AR210" s="39">
        <v>45.271216600000002</v>
      </c>
      <c r="AS210" s="40"/>
      <c r="AT210" s="41">
        <v>18.298999999999999</v>
      </c>
      <c r="AU210" s="41">
        <v>13.202</v>
      </c>
      <c r="AW210" s="42">
        <f t="shared" si="43"/>
        <v>-3.217387267877847E-4</v>
      </c>
      <c r="AX210" s="42"/>
      <c r="AZ210" s="43"/>
      <c r="BA210" s="43"/>
      <c r="BB210" s="43"/>
      <c r="BC210" s="43"/>
      <c r="BD210" s="43"/>
      <c r="BE210" s="44"/>
      <c r="BG210" s="43"/>
      <c r="BH210" s="43"/>
      <c r="BI210" s="43"/>
      <c r="BJ210" s="43"/>
      <c r="BK210" s="43"/>
      <c r="BL210" s="44"/>
    </row>
    <row r="211" spans="1:64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>
        <f t="shared" si="34"/>
        <v>0.29622997216939767</v>
      </c>
      <c r="K211" s="19">
        <f t="shared" si="35"/>
        <v>6.5891374369763694E-2</v>
      </c>
      <c r="L211" s="19">
        <f t="shared" si="36"/>
        <v>0.23025338189219793</v>
      </c>
      <c r="M211" s="20"/>
      <c r="N211" s="19">
        <f t="shared" si="37"/>
        <v>0.50831185217060704</v>
      </c>
      <c r="O211" s="21">
        <v>11489136</v>
      </c>
      <c r="P211" s="22">
        <v>5840064</v>
      </c>
      <c r="Q211" s="22">
        <v>1299024</v>
      </c>
      <c r="R211" s="22">
        <v>4539360</v>
      </c>
      <c r="S211" s="23"/>
      <c r="T211" s="24">
        <v>78.595939200000004</v>
      </c>
      <c r="U211" s="24">
        <v>81.030003899999997</v>
      </c>
      <c r="V211" s="24">
        <v>32.837046899999997</v>
      </c>
      <c r="W211" s="24">
        <v>44.445515</v>
      </c>
      <c r="X211" s="24">
        <v>46.198992199999999</v>
      </c>
      <c r="Y211" s="23"/>
      <c r="Z211" s="26">
        <v>26.283999999999999</v>
      </c>
      <c r="AA211" s="26">
        <v>18.234999999999999</v>
      </c>
      <c r="AC211" s="18" t="str">
        <f t="shared" si="38"/>
        <v>·</v>
      </c>
      <c r="AD211" s="19">
        <f t="shared" si="39"/>
        <v>0.2963119417565504</v>
      </c>
      <c r="AE211" s="19">
        <f t="shared" si="40"/>
        <v>6.6770315586461196E-2</v>
      </c>
      <c r="AF211" s="19">
        <f t="shared" si="41"/>
        <v>0.23025338189219793</v>
      </c>
      <c r="AG211" s="20"/>
      <c r="AH211" s="19">
        <f t="shared" si="42"/>
        <v>0.50845250678554066</v>
      </c>
      <c r="AI211" s="21">
        <v>11489136</v>
      </c>
      <c r="AJ211" s="22">
        <v>5841680</v>
      </c>
      <c r="AK211" s="22">
        <v>1316352</v>
      </c>
      <c r="AL211" s="22">
        <v>4539360</v>
      </c>
      <c r="AM211" s="23"/>
      <c r="AN211" s="24">
        <v>78.595939200000004</v>
      </c>
      <c r="AO211" s="24">
        <v>81.030003899999997</v>
      </c>
      <c r="AP211" s="24">
        <v>32.837046899999997</v>
      </c>
      <c r="AQ211" s="24">
        <v>44.445515</v>
      </c>
      <c r="AR211" s="24">
        <v>46.198992199999999</v>
      </c>
      <c r="AS211" s="25"/>
      <c r="AT211" s="26">
        <v>25.192</v>
      </c>
      <c r="AU211" s="26">
        <v>17.672999999999998</v>
      </c>
      <c r="AW211" s="27">
        <f t="shared" si="43"/>
        <v>2.9047376752981691E-3</v>
      </c>
      <c r="AX211" s="27"/>
      <c r="AZ211" s="28"/>
      <c r="BA211" s="28"/>
      <c r="BB211" s="28"/>
      <c r="BC211" s="28"/>
      <c r="BD211" s="28"/>
      <c r="BE211" s="29"/>
      <c r="BG211" s="28"/>
      <c r="BH211" s="28"/>
      <c r="BI211" s="28"/>
      <c r="BJ211" s="28"/>
      <c r="BK211" s="28"/>
      <c r="BL211" s="29"/>
    </row>
    <row r="212" spans="1:64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>
        <f t="shared" si="34"/>
        <v>0.89061457864614135</v>
      </c>
      <c r="K212" s="34">
        <f t="shared" si="35"/>
        <v>0.23761928261495563</v>
      </c>
      <c r="L212" s="34">
        <f t="shared" si="36"/>
        <v>0.65291413802410381</v>
      </c>
      <c r="M212" s="35"/>
      <c r="N212" s="34">
        <f t="shared" si="37"/>
        <v>1.4663395502653347</v>
      </c>
      <c r="O212" s="36">
        <v>11974127</v>
      </c>
      <c r="P212" s="37">
        <v>17558136</v>
      </c>
      <c r="Q212" s="37">
        <v>4684576</v>
      </c>
      <c r="R212" s="37">
        <v>12871960</v>
      </c>
      <c r="S212" s="38"/>
      <c r="T212" s="39">
        <v>80.267802099999997</v>
      </c>
      <c r="U212" s="39">
        <v>83.192602100000002</v>
      </c>
      <c r="V212" s="39">
        <v>34.986443999999999</v>
      </c>
      <c r="W212" s="39">
        <v>45.641981399999999</v>
      </c>
      <c r="X212" s="39">
        <v>47.2264518</v>
      </c>
      <c r="Y212" s="38"/>
      <c r="Z212" s="41">
        <v>47.438000000000002</v>
      </c>
      <c r="AA212" s="41">
        <v>30.879000000000001</v>
      </c>
      <c r="AC212" s="33" t="str">
        <f t="shared" si="38"/>
        <v>·</v>
      </c>
      <c r="AD212" s="34">
        <f t="shared" si="39"/>
        <v>0.89075660515853483</v>
      </c>
      <c r="AE212" s="34">
        <f t="shared" si="40"/>
        <v>0.25018010737102891</v>
      </c>
      <c r="AF212" s="34">
        <f t="shared" si="41"/>
        <v>0.65291413802410381</v>
      </c>
      <c r="AG212" s="35"/>
      <c r="AH212" s="34">
        <f t="shared" si="42"/>
        <v>1.4665733877718183</v>
      </c>
      <c r="AI212" s="36">
        <v>11974127</v>
      </c>
      <c r="AJ212" s="37">
        <v>17560936</v>
      </c>
      <c r="AK212" s="37">
        <v>4932208</v>
      </c>
      <c r="AL212" s="37">
        <v>12871960</v>
      </c>
      <c r="AM212" s="38"/>
      <c r="AN212" s="39">
        <v>80.267802099999997</v>
      </c>
      <c r="AO212" s="39">
        <v>83.192602100000002</v>
      </c>
      <c r="AP212" s="39">
        <v>34.986443999999999</v>
      </c>
      <c r="AQ212" s="39">
        <v>45.641981399999999</v>
      </c>
      <c r="AR212" s="39">
        <v>47.2264518</v>
      </c>
      <c r="AS212" s="40"/>
      <c r="AT212" s="41">
        <v>45.094000000000001</v>
      </c>
      <c r="AU212" s="41">
        <v>29.097000000000001</v>
      </c>
      <c r="AW212" s="42">
        <f t="shared" si="43"/>
        <v>1.4058758006074923E-2</v>
      </c>
      <c r="AX212" s="42"/>
      <c r="AZ212" s="43"/>
      <c r="BA212" s="43"/>
      <c r="BB212" s="43"/>
      <c r="BC212" s="43"/>
      <c r="BD212" s="43"/>
      <c r="BE212" s="44"/>
      <c r="BG212" s="43"/>
      <c r="BH212" s="43"/>
      <c r="BI212" s="43"/>
      <c r="BJ212" s="43"/>
      <c r="BK212" s="43"/>
      <c r="BL212" s="44"/>
    </row>
    <row r="213" spans="1:64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4"/>
      <c r="X213" s="24"/>
      <c r="Y213" s="23"/>
      <c r="Z213" s="26"/>
      <c r="AA213" s="26"/>
      <c r="AC213" s="18" t="str">
        <f t="shared" si="38"/>
        <v>·</v>
      </c>
      <c r="AD213" s="19" t="str">
        <f t="shared" si="39"/>
        <v>·</v>
      </c>
      <c r="AE213" s="19" t="str">
        <f t="shared" si="40"/>
        <v>·</v>
      </c>
      <c r="AF213" s="19" t="str">
        <f t="shared" si="41"/>
        <v>·</v>
      </c>
      <c r="AG213" s="20"/>
      <c r="AH213" s="19" t="str">
        <f t="shared" si="42"/>
        <v>·</v>
      </c>
      <c r="AI213" s="21"/>
      <c r="AJ213" s="22"/>
      <c r="AK213" s="22"/>
      <c r="AL213" s="22"/>
      <c r="AM213" s="23"/>
      <c r="AN213" s="24"/>
      <c r="AO213" s="24"/>
      <c r="AP213" s="24"/>
      <c r="AQ213" s="24"/>
      <c r="AR213" s="24"/>
      <c r="AS213" s="25"/>
      <c r="AT213" s="26"/>
      <c r="AU213" s="26"/>
      <c r="AW213" s="27" t="e">
        <f t="shared" si="43"/>
        <v>#DIV/0!</v>
      </c>
      <c r="AX213" s="27"/>
      <c r="AZ213" s="28"/>
      <c r="BA213" s="28"/>
      <c r="BB213" s="28"/>
      <c r="BC213" s="28"/>
      <c r="BD213" s="28"/>
      <c r="BE213" s="29"/>
      <c r="BG213" s="28"/>
      <c r="BH213" s="28"/>
      <c r="BI213" s="28"/>
      <c r="BJ213" s="28"/>
      <c r="BK213" s="28"/>
      <c r="BL213" s="29"/>
    </row>
    <row r="214" spans="1:64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4"/>
      <c r="X214" s="54"/>
      <c r="Y214" s="53"/>
      <c r="Z214" s="56"/>
      <c r="AA214" s="56"/>
      <c r="AC214" s="48" t="str">
        <f t="shared" si="38"/>
        <v>·</v>
      </c>
      <c r="AD214" s="49" t="str">
        <f t="shared" si="39"/>
        <v>·</v>
      </c>
      <c r="AE214" s="49" t="str">
        <f t="shared" si="40"/>
        <v>·</v>
      </c>
      <c r="AF214" s="49" t="str">
        <f t="shared" si="41"/>
        <v>·</v>
      </c>
      <c r="AG214" s="50"/>
      <c r="AH214" s="49" t="str">
        <f t="shared" si="42"/>
        <v>·</v>
      </c>
      <c r="AI214" s="51"/>
      <c r="AJ214" s="52"/>
      <c r="AK214" s="52"/>
      <c r="AL214" s="52"/>
      <c r="AM214" s="53"/>
      <c r="AN214" s="54"/>
      <c r="AO214" s="54"/>
      <c r="AP214" s="54"/>
      <c r="AQ214" s="54"/>
      <c r="AR214" s="54"/>
      <c r="AS214" s="55"/>
      <c r="AT214" s="56"/>
      <c r="AU214" s="56"/>
      <c r="AW214" s="57" t="e">
        <f t="shared" si="43"/>
        <v>#DIV/0!</v>
      </c>
      <c r="AX214" s="57"/>
      <c r="AZ214" s="58"/>
      <c r="BA214" s="58"/>
      <c r="BB214" s="58"/>
      <c r="BC214" s="58"/>
      <c r="BD214" s="58"/>
      <c r="BE214" s="59"/>
      <c r="BG214" s="58"/>
      <c r="BH214" s="58"/>
      <c r="BI214" s="58"/>
      <c r="BJ214" s="58"/>
      <c r="BK214" s="58"/>
      <c r="BL214" s="59"/>
    </row>
    <row r="215" spans="1:64" x14ac:dyDescent="0.15">
      <c r="A215" s="15"/>
      <c r="B215" s="15" t="s">
        <v>1045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>
        <f t="shared" si="34"/>
        <v>4.9838786837558768E-2</v>
      </c>
      <c r="K215" s="19">
        <f t="shared" si="35"/>
        <v>1.5041971606543489E-2</v>
      </c>
      <c r="L215" s="19">
        <f t="shared" si="36"/>
        <v>3.4576484608391238E-2</v>
      </c>
      <c r="M215" s="20"/>
      <c r="N215" s="19">
        <f t="shared" si="37"/>
        <v>6.1011442679891205E-2</v>
      </c>
      <c r="O215" s="21">
        <v>2966001</v>
      </c>
      <c r="P215" s="22">
        <v>180960</v>
      </c>
      <c r="Q215" s="22">
        <v>54616</v>
      </c>
      <c r="R215" s="22">
        <v>125544</v>
      </c>
      <c r="S215" s="23"/>
      <c r="T215" s="24">
        <v>60.2619057</v>
      </c>
      <c r="U215" s="24">
        <v>64.108186200000006</v>
      </c>
      <c r="V215" s="24">
        <v>28.129732300000001</v>
      </c>
      <c r="W215" s="24">
        <v>43.1284037</v>
      </c>
      <c r="X215" s="24">
        <v>46.572836799999997</v>
      </c>
      <c r="Y215" s="23"/>
      <c r="Z215" s="26">
        <v>6.59</v>
      </c>
      <c r="AA215" s="26">
        <v>3.839</v>
      </c>
      <c r="AC215" s="18" t="str">
        <f t="shared" si="38"/>
        <v>·</v>
      </c>
      <c r="AD215" s="19">
        <f t="shared" si="39"/>
        <v>4.9863023206047415E-2</v>
      </c>
      <c r="AE215" s="19">
        <f t="shared" si="40"/>
        <v>1.5094850955973259E-2</v>
      </c>
      <c r="AF215" s="19">
        <f t="shared" si="41"/>
        <v>3.4576484608391238E-2</v>
      </c>
      <c r="AG215" s="20"/>
      <c r="AH215" s="19">
        <f t="shared" si="42"/>
        <v>6.1041112258559592E-2</v>
      </c>
      <c r="AI215" s="21">
        <v>2966001</v>
      </c>
      <c r="AJ215" s="22">
        <v>181048</v>
      </c>
      <c r="AK215" s="22">
        <v>54808</v>
      </c>
      <c r="AL215" s="22">
        <v>125544</v>
      </c>
      <c r="AM215" s="23"/>
      <c r="AN215" s="24">
        <v>60.2619057</v>
      </c>
      <c r="AO215" s="24">
        <v>64.108186200000006</v>
      </c>
      <c r="AP215" s="24">
        <v>28.129732300000001</v>
      </c>
      <c r="AQ215" s="24">
        <v>43.1284037</v>
      </c>
      <c r="AR215" s="24">
        <v>46.572836799999997</v>
      </c>
      <c r="AS215" s="25"/>
      <c r="AT215" s="26">
        <v>6.1829999999999998</v>
      </c>
      <c r="AU215" s="26">
        <v>3.6669999999999998</v>
      </c>
      <c r="AW215" s="27">
        <f t="shared" si="43"/>
        <v>9.1379355274318064E-4</v>
      </c>
      <c r="AX215" s="27" t="e">
        <f t="array" ref="AX215">AVERAGE(AK215:AK220/AJ215:AJ220) - AVERAGE(Q215:Q220/P215:P220)</f>
        <v>#DIV/0!</v>
      </c>
      <c r="AZ215" s="28">
        <f>IF( OR(ISBLANK(Q215:Q220),ISBLANK(AK215:AK220), ISBLANK(T215:T220),ISBLANK(AN215:AN220)), "·", bdRateExtend( Q215:Q220,T215:T220, AK215:AK220,AN215:AN220))</f>
        <v>9.6861566789059328E-3</v>
      </c>
      <c r="BA215" s="28">
        <f>IF( OR(ISBLANK(Q215:Q220),ISBLANK(AK215:AK220), ISBLANK(U215:U220),ISBLANK(AO215:AO220)), "·", bdRateExtend( Q215:Q220,U215:U220, AK215:AK220,AO215:AO220))</f>
        <v>8.1346578462386798E-3</v>
      </c>
      <c r="BB215" s="28">
        <f>IF( OR(ISBLANK(R215:R220),ISBLANK(AL215:AL220), ISBLANK(V215:V220),ISBLANK(AP215:AP220)), "·", bdRateExtend( R215:R220,V215:V220, AL215:AL220,AP215:AP220))</f>
        <v>0</v>
      </c>
      <c r="BC215" s="28">
        <f>IF( OR(ISBLANK(R215:R220),ISBLANK(AL215:AL220), ISBLANK(W215:W220),ISBLANK(AQ215:AQ220)), "·", bdRateExtend( R215:R220,W215:W220, AL215:AL220,AQ215:AQ220))</f>
        <v>0</v>
      </c>
      <c r="BD215" s="28">
        <f>IF( OR(ISBLANK(R215:R220),ISBLANK(AL215:AL220), ISBLANK(X215:X220),ISBLANK(AR215:AR220)), "·", bdRateExtend( R215:R220,X215:X220, AL215:AL220,AR215:AR220))</f>
        <v>0</v>
      </c>
      <c r="BE215" s="29"/>
      <c r="BG215" s="28">
        <f>IF( OR(ISBLANK(P215:P220),ISBLANK(AJ215:AJ220), ISBLANK(T215:T220),ISBLANK(AN215:AN220)), "·", bdRateExtend( P215:P220,T215:T220, AJ215:AJ220,AN215:AN220))</f>
        <v>3.3614963624239991E-4</v>
      </c>
      <c r="BH215" s="28">
        <f>IF( OR(ISBLANK(P215:P220),ISBLANK(AJ215:AJ220), ISBLANK(U215:U220),ISBLANK(AO215:AO220)), "·", bdRateExtend( P215:P220,U215:U220, AJ215:AJ220,AO215:AO220))</f>
        <v>3.7417731902622542E-4</v>
      </c>
      <c r="BI215" s="28">
        <f>IF( OR(ISBLANK(P215:P220),ISBLANK(AJ215:AJ220), ISBLANK(V215:V220),ISBLANK(AP215:AP220)), "·", bdRateExtend( P215:P220,V215:V220, AJ215:AJ220,AP215:AP220))</f>
        <v>3.0806746036438071E-4</v>
      </c>
      <c r="BJ215" s="28">
        <f>IF( OR(ISBLANK(P215:P220),ISBLANK(AJ215:AJ220), ISBLANK(W215:W220),ISBLANK(AQ215:AQ220)), "·", bdRateExtend( P215:P220,W215:W220, AJ215:AJ220,AQ215:AQ220))</f>
        <v>3.1524010601136077E-4</v>
      </c>
      <c r="BK215" s="28">
        <f>IF( OR(ISBLANK(P215:P220),ISBLANK(AJ215:AJ220), ISBLANK(X215:X220),ISBLANK(AR215:AR220)), "·", bdRateExtend( P215:P220,X215:X220, AJ215:AJ220,AR215:AR220))</f>
        <v>3.0712138053523574E-4</v>
      </c>
      <c r="BL215" s="29"/>
    </row>
    <row r="216" spans="1:64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>
        <f t="shared" si="34"/>
        <v>0.15951937077980791</v>
      </c>
      <c r="K216" s="34">
        <f t="shared" si="35"/>
        <v>4.8831875892166886E-2</v>
      </c>
      <c r="L216" s="34">
        <f t="shared" si="36"/>
        <v>0.11046716426501697</v>
      </c>
      <c r="M216" s="35"/>
      <c r="N216" s="34">
        <f t="shared" si="37"/>
        <v>0.18626261742713182</v>
      </c>
      <c r="O216" s="36">
        <v>3109588</v>
      </c>
      <c r="P216" s="37">
        <v>579200</v>
      </c>
      <c r="Q216" s="37">
        <v>177304</v>
      </c>
      <c r="R216" s="37">
        <v>401096</v>
      </c>
      <c r="S216" s="38"/>
      <c r="T216" s="39">
        <v>66.021077399999996</v>
      </c>
      <c r="U216" s="39">
        <v>70.589765600000007</v>
      </c>
      <c r="V216" s="39">
        <v>30.098733800000002</v>
      </c>
      <c r="W216" s="39">
        <v>44.279817700000002</v>
      </c>
      <c r="X216" s="39">
        <v>47.231478500000001</v>
      </c>
      <c r="Y216" s="38"/>
      <c r="Z216" s="41">
        <v>7.5119999999999996</v>
      </c>
      <c r="AA216" s="41">
        <v>4.3860000000000001</v>
      </c>
      <c r="AC216" s="33" t="str">
        <f t="shared" si="38"/>
        <v>·</v>
      </c>
      <c r="AD216" s="34">
        <f t="shared" si="39"/>
        <v>0.15956784351678521</v>
      </c>
      <c r="AE216" s="34">
        <f t="shared" si="40"/>
        <v>4.9345246242880912E-2</v>
      </c>
      <c r="AF216" s="34">
        <f t="shared" si="41"/>
        <v>0.11046716426501697</v>
      </c>
      <c r="AG216" s="35"/>
      <c r="AH216" s="34">
        <f t="shared" si="42"/>
        <v>0.18631921656502404</v>
      </c>
      <c r="AI216" s="36">
        <v>3109588</v>
      </c>
      <c r="AJ216" s="37">
        <v>579376</v>
      </c>
      <c r="AK216" s="37">
        <v>179168</v>
      </c>
      <c r="AL216" s="37">
        <v>401096</v>
      </c>
      <c r="AM216" s="38"/>
      <c r="AN216" s="39">
        <v>66.021077399999996</v>
      </c>
      <c r="AO216" s="39">
        <v>70.589765600000007</v>
      </c>
      <c r="AP216" s="39">
        <v>30.098733800000002</v>
      </c>
      <c r="AQ216" s="39">
        <v>44.279817700000002</v>
      </c>
      <c r="AR216" s="39">
        <v>47.231478500000001</v>
      </c>
      <c r="AS216" s="40"/>
      <c r="AT216" s="41">
        <v>7.59</v>
      </c>
      <c r="AU216" s="41">
        <v>4.3079999999999998</v>
      </c>
      <c r="AW216" s="42">
        <f t="shared" si="43"/>
        <v>3.1242631623032979E-3</v>
      </c>
      <c r="AX216" s="42"/>
      <c r="AZ216" s="43"/>
      <c r="BA216" s="43"/>
      <c r="BB216" s="43"/>
      <c r="BC216" s="43"/>
      <c r="BD216" s="43"/>
      <c r="BE216" s="44"/>
      <c r="BG216" s="43"/>
      <c r="BH216" s="43"/>
      <c r="BI216" s="43"/>
      <c r="BJ216" s="43"/>
      <c r="BK216" s="43"/>
      <c r="BL216" s="44"/>
    </row>
    <row r="217" spans="1:64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>
        <f t="shared" si="34"/>
        <v>0.60848928380704881</v>
      </c>
      <c r="K217" s="19">
        <f t="shared" si="35"/>
        <v>0.19751098003887183</v>
      </c>
      <c r="L217" s="19">
        <f t="shared" si="36"/>
        <v>0.4107579731455529</v>
      </c>
      <c r="M217" s="20"/>
      <c r="N217" s="19">
        <f t="shared" si="37"/>
        <v>0.51310403640411373</v>
      </c>
      <c r="O217" s="21">
        <v>4305887</v>
      </c>
      <c r="P217" s="22">
        <v>2209368</v>
      </c>
      <c r="Q217" s="22">
        <v>717144</v>
      </c>
      <c r="R217" s="22">
        <v>1491424</v>
      </c>
      <c r="S217" s="23"/>
      <c r="T217" s="24">
        <v>70.0934065</v>
      </c>
      <c r="U217" s="24">
        <v>72.997808000000006</v>
      </c>
      <c r="V217" s="24">
        <v>32.720010799999997</v>
      </c>
      <c r="W217" s="24">
        <v>45.5907506</v>
      </c>
      <c r="X217" s="24">
        <v>48.126238499999999</v>
      </c>
      <c r="Y217" s="23"/>
      <c r="Z217" s="26">
        <v>13.01</v>
      </c>
      <c r="AA217" s="26">
        <v>7.4649999999999999</v>
      </c>
      <c r="AC217" s="18" t="str">
        <f t="shared" si="38"/>
        <v>·</v>
      </c>
      <c r="AD217" s="19">
        <f t="shared" si="39"/>
        <v>0.60862588879307566</v>
      </c>
      <c r="AE217" s="19">
        <f t="shared" si="40"/>
        <v>0.20096356089539061</v>
      </c>
      <c r="AF217" s="19">
        <f t="shared" si="41"/>
        <v>0.4107579731455529</v>
      </c>
      <c r="AG217" s="20"/>
      <c r="AH217" s="19">
        <f t="shared" si="42"/>
        <v>0.51321922753662597</v>
      </c>
      <c r="AI217" s="21">
        <v>4305887</v>
      </c>
      <c r="AJ217" s="22">
        <v>2209864</v>
      </c>
      <c r="AK217" s="22">
        <v>729680</v>
      </c>
      <c r="AL217" s="22">
        <v>1491424</v>
      </c>
      <c r="AM217" s="23"/>
      <c r="AN217" s="24">
        <v>70.0934065</v>
      </c>
      <c r="AO217" s="24">
        <v>72.997808000000006</v>
      </c>
      <c r="AP217" s="24">
        <v>32.720010799999997</v>
      </c>
      <c r="AQ217" s="24">
        <v>45.5907506</v>
      </c>
      <c r="AR217" s="24">
        <v>48.126238499999999</v>
      </c>
      <c r="AS217" s="25"/>
      <c r="AT217" s="26">
        <v>12.355</v>
      </c>
      <c r="AU217" s="26">
        <v>7.3079999999999998</v>
      </c>
      <c r="AW217" s="27">
        <f t="shared" si="43"/>
        <v>5.5998931080961656E-3</v>
      </c>
      <c r="AX217" s="27"/>
      <c r="AZ217" s="28"/>
      <c r="BA217" s="28"/>
      <c r="BB217" s="28"/>
      <c r="BC217" s="28"/>
      <c r="BD217" s="28"/>
      <c r="BE217" s="29"/>
      <c r="BG217" s="28"/>
      <c r="BH217" s="28"/>
      <c r="BI217" s="28"/>
      <c r="BJ217" s="28"/>
      <c r="BK217" s="28"/>
      <c r="BL217" s="29"/>
    </row>
    <row r="218" spans="1:64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9"/>
      <c r="X218" s="39"/>
      <c r="Y218" s="38"/>
      <c r="Z218" s="41"/>
      <c r="AA218" s="41"/>
      <c r="AC218" s="33" t="str">
        <f t="shared" si="38"/>
        <v>·</v>
      </c>
      <c r="AD218" s="34" t="str">
        <f t="shared" si="39"/>
        <v>·</v>
      </c>
      <c r="AE218" s="34" t="str">
        <f t="shared" si="40"/>
        <v>·</v>
      </c>
      <c r="AF218" s="34" t="str">
        <f t="shared" si="41"/>
        <v>·</v>
      </c>
      <c r="AG218" s="35"/>
      <c r="AH218" s="34" t="str">
        <f t="shared" si="42"/>
        <v>·</v>
      </c>
      <c r="AI218" s="36"/>
      <c r="AJ218" s="37"/>
      <c r="AK218" s="37"/>
      <c r="AL218" s="37"/>
      <c r="AM218" s="38"/>
      <c r="AN218" s="39"/>
      <c r="AO218" s="39"/>
      <c r="AP218" s="39"/>
      <c r="AQ218" s="39"/>
      <c r="AR218" s="39"/>
      <c r="AS218" s="40"/>
      <c r="AT218" s="41"/>
      <c r="AU218" s="41"/>
      <c r="AW218" s="42" t="e">
        <f t="shared" si="43"/>
        <v>#DIV/0!</v>
      </c>
      <c r="AX218" s="42"/>
      <c r="AZ218" s="43"/>
      <c r="BA218" s="43"/>
      <c r="BB218" s="43"/>
      <c r="BC218" s="43"/>
      <c r="BD218" s="43"/>
      <c r="BE218" s="44"/>
      <c r="BG218" s="43"/>
      <c r="BH218" s="43"/>
      <c r="BI218" s="43"/>
      <c r="BJ218" s="43"/>
      <c r="BK218" s="43"/>
      <c r="BL218" s="44"/>
    </row>
    <row r="219" spans="1:64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4"/>
      <c r="X219" s="24"/>
      <c r="Y219" s="23"/>
      <c r="Z219" s="26"/>
      <c r="AA219" s="26"/>
      <c r="AC219" s="18" t="str">
        <f t="shared" si="38"/>
        <v>·</v>
      </c>
      <c r="AD219" s="19" t="str">
        <f t="shared" si="39"/>
        <v>·</v>
      </c>
      <c r="AE219" s="19" t="str">
        <f t="shared" si="40"/>
        <v>·</v>
      </c>
      <c r="AF219" s="19" t="str">
        <f t="shared" si="41"/>
        <v>·</v>
      </c>
      <c r="AG219" s="20"/>
      <c r="AH219" s="19" t="str">
        <f t="shared" si="42"/>
        <v>·</v>
      </c>
      <c r="AI219" s="21"/>
      <c r="AJ219" s="22"/>
      <c r="AK219" s="22"/>
      <c r="AL219" s="22"/>
      <c r="AM219" s="23"/>
      <c r="AN219" s="24"/>
      <c r="AO219" s="24"/>
      <c r="AP219" s="24"/>
      <c r="AQ219" s="24"/>
      <c r="AR219" s="24"/>
      <c r="AS219" s="25"/>
      <c r="AT219" s="26"/>
      <c r="AU219" s="26"/>
      <c r="AW219" s="27" t="e">
        <f t="shared" si="43"/>
        <v>#DIV/0!</v>
      </c>
      <c r="AX219" s="27"/>
      <c r="AZ219" s="28"/>
      <c r="BA219" s="28"/>
      <c r="BB219" s="28"/>
      <c r="BC219" s="28"/>
      <c r="BD219" s="28"/>
      <c r="BE219" s="29"/>
      <c r="BG219" s="28"/>
      <c r="BH219" s="28"/>
      <c r="BI219" s="28"/>
      <c r="BJ219" s="28"/>
      <c r="BK219" s="28"/>
      <c r="BL219" s="29"/>
    </row>
    <row r="220" spans="1:64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4"/>
      <c r="X220" s="54"/>
      <c r="Y220" s="53"/>
      <c r="Z220" s="56"/>
      <c r="AA220" s="56"/>
      <c r="AC220" s="48" t="str">
        <f t="shared" si="38"/>
        <v>·</v>
      </c>
      <c r="AD220" s="49" t="str">
        <f t="shared" si="39"/>
        <v>·</v>
      </c>
      <c r="AE220" s="49" t="str">
        <f t="shared" si="40"/>
        <v>·</v>
      </c>
      <c r="AF220" s="49" t="str">
        <f t="shared" si="41"/>
        <v>·</v>
      </c>
      <c r="AG220" s="50"/>
      <c r="AH220" s="49" t="str">
        <f t="shared" si="42"/>
        <v>·</v>
      </c>
      <c r="AI220" s="51"/>
      <c r="AJ220" s="52"/>
      <c r="AK220" s="52"/>
      <c r="AL220" s="52"/>
      <c r="AM220" s="53"/>
      <c r="AN220" s="54"/>
      <c r="AO220" s="54"/>
      <c r="AP220" s="54"/>
      <c r="AQ220" s="54"/>
      <c r="AR220" s="54"/>
      <c r="AS220" s="55"/>
      <c r="AT220" s="56"/>
      <c r="AU220" s="56"/>
      <c r="AW220" s="57" t="e">
        <f t="shared" si="43"/>
        <v>#DIV/0!</v>
      </c>
      <c r="AX220" s="57"/>
      <c r="AZ220" s="58"/>
      <c r="BA220" s="58"/>
      <c r="BB220" s="58"/>
      <c r="BC220" s="58"/>
      <c r="BD220" s="58"/>
      <c r="BE220" s="59"/>
      <c r="BG220" s="58"/>
      <c r="BH220" s="58"/>
      <c r="BI220" s="58"/>
      <c r="BJ220" s="58"/>
      <c r="BK220" s="58"/>
      <c r="BL220" s="59"/>
    </row>
    <row r="221" spans="1:64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>
        <f t="shared" si="34"/>
        <v>8.6393921334030246E-2</v>
      </c>
      <c r="K221" s="19">
        <f t="shared" si="35"/>
        <v>2.6319097309091471E-2</v>
      </c>
      <c r="L221" s="19">
        <f t="shared" si="36"/>
        <v>5.9955043983872761E-2</v>
      </c>
      <c r="M221" s="20"/>
      <c r="N221" s="19">
        <f t="shared" si="37"/>
        <v>0.10576102471594098</v>
      </c>
      <c r="O221" s="21">
        <v>11457302</v>
      </c>
      <c r="P221" s="22">
        <v>1211736</v>
      </c>
      <c r="Q221" s="22">
        <v>369144</v>
      </c>
      <c r="R221" s="22">
        <v>840912</v>
      </c>
      <c r="S221" s="23"/>
      <c r="T221" s="24">
        <v>67.644423399999994</v>
      </c>
      <c r="U221" s="24">
        <v>70.735707500000004</v>
      </c>
      <c r="V221" s="24">
        <v>26.181012200000001</v>
      </c>
      <c r="W221" s="24">
        <v>39.668319099999998</v>
      </c>
      <c r="X221" s="24">
        <v>44.117538799999998</v>
      </c>
      <c r="Y221" s="23"/>
      <c r="Z221" s="26">
        <v>37.814</v>
      </c>
      <c r="AA221" s="26">
        <v>13.891999999999999</v>
      </c>
      <c r="AC221" s="18" t="str">
        <f t="shared" si="38"/>
        <v>·</v>
      </c>
      <c r="AD221" s="19">
        <f t="shared" si="39"/>
        <v>8.6427573821758322E-2</v>
      </c>
      <c r="AE221" s="19">
        <f t="shared" si="40"/>
        <v>2.6496485846098761E-2</v>
      </c>
      <c r="AF221" s="19">
        <f t="shared" si="41"/>
        <v>5.9955043983872761E-2</v>
      </c>
      <c r="AG221" s="20"/>
      <c r="AH221" s="19">
        <f t="shared" si="42"/>
        <v>0.10580222115119249</v>
      </c>
      <c r="AI221" s="21">
        <v>11457302</v>
      </c>
      <c r="AJ221" s="22">
        <v>1212208</v>
      </c>
      <c r="AK221" s="22">
        <v>371632</v>
      </c>
      <c r="AL221" s="22">
        <v>840912</v>
      </c>
      <c r="AM221" s="23"/>
      <c r="AN221" s="24">
        <v>67.644423399999994</v>
      </c>
      <c r="AO221" s="24">
        <v>70.735707500000004</v>
      </c>
      <c r="AP221" s="24">
        <v>26.181012200000001</v>
      </c>
      <c r="AQ221" s="24">
        <v>39.668319099999998</v>
      </c>
      <c r="AR221" s="24">
        <v>44.117538799999998</v>
      </c>
      <c r="AS221" s="25"/>
      <c r="AT221" s="26">
        <v>37.122999999999998</v>
      </c>
      <c r="AU221" s="26">
        <v>13.422000000000001</v>
      </c>
      <c r="AW221" s="27">
        <f t="shared" si="43"/>
        <v>1.9338344820528652E-3</v>
      </c>
      <c r="AX221" s="27" t="e">
        <f t="array" ref="AX221">AVERAGE(AK221:AK226/AJ221:AJ226) - AVERAGE(Q221:Q226/P221:P226)</f>
        <v>#DIV/0!</v>
      </c>
      <c r="AZ221" s="28">
        <f>IF( OR(ISBLANK(Q221:Q226),ISBLANK(AK221:AK226), ISBLANK(T221:T226),ISBLANK(AN221:AN226)), "·", bdRateExtend( Q221:Q226,T221:T226, AK221:AK226,AN221:AN226))</f>
        <v>1.0857498688611411E-2</v>
      </c>
      <c r="BA221" s="28">
        <f>IF( OR(ISBLANK(Q221:Q226),ISBLANK(AK221:AK226), ISBLANK(U221:U226),ISBLANK(AO221:AO226)), "·", bdRateExtend( Q221:Q226,U221:U226, AK221:AK226,AO221:AO226))</f>
        <v>1.0542450171341367E-2</v>
      </c>
      <c r="BB221" s="28">
        <f>IF( OR(ISBLANK(R221:R226),ISBLANK(AL221:AL226), ISBLANK(V221:V226),ISBLANK(AP221:AP226)), "·", bdRateExtend( R221:R226,V221:V226, AL221:AL226,AP221:AP226))</f>
        <v>0</v>
      </c>
      <c r="BC221" s="28">
        <f>IF( OR(ISBLANK(R221:R226),ISBLANK(AL221:AL226), ISBLANK(W221:W226),ISBLANK(AQ221:AQ226)), "·", bdRateExtend( R221:R226,W221:W226, AL221:AL226,AQ221:AQ226))</f>
        <v>0</v>
      </c>
      <c r="BD221" s="28">
        <f>IF( OR(ISBLANK(R221:R226),ISBLANK(AL221:AL226), ISBLANK(X221:X226),ISBLANK(AR221:AR226)), "·", bdRateExtend( R221:R226,X221:X226, AL221:AL226,AR221:AR226))</f>
        <v>0</v>
      </c>
      <c r="BE221" s="29"/>
      <c r="BG221" s="28">
        <f>IF( OR(ISBLANK(P221:P226),ISBLANK(AJ221:AJ226), ISBLANK(T221:T226),ISBLANK(AN221:AN226)), "·", bdRateExtend( P221:P226,T221:T226, AJ221:AJ226,AN221:AN226))</f>
        <v>2.7668154394522304E-4</v>
      </c>
      <c r="BH221" s="28">
        <f>IF( OR(ISBLANK(P221:P226),ISBLANK(AJ221:AJ226), ISBLANK(U221:U226),ISBLANK(AO221:AO226)), "·", bdRateExtend( P221:P226,U221:U226, AJ221:AJ226,AO221:AO226))</f>
        <v>2.8090471466213351E-4</v>
      </c>
      <c r="BI221" s="28">
        <f>IF( OR(ISBLANK(P221:P226),ISBLANK(AJ221:AJ226), ISBLANK(V221:V226),ISBLANK(AP221:AP226)), "·", bdRateExtend( P221:P226,V221:V226, AJ221:AJ226,AP221:AP226))</f>
        <v>2.513658903697813E-4</v>
      </c>
      <c r="BJ221" s="28">
        <f>IF( OR(ISBLANK(P221:P226),ISBLANK(AJ221:AJ226), ISBLANK(W221:W226),ISBLANK(AQ221:AQ226)), "·", bdRateExtend( P221:P226,W221:W226, AJ221:AJ226,AQ221:AQ226))</f>
        <v>2.4432950970609824E-4</v>
      </c>
      <c r="BK221" s="28">
        <f>IF( OR(ISBLANK(P221:P226),ISBLANK(AJ221:AJ226), ISBLANK(X221:X226),ISBLANK(AR221:AR226)), "·", bdRateExtend( P221:P226,X221:X226, AJ221:AJ226,AR221:AR226))</f>
        <v>2.4726580484135674E-4</v>
      </c>
      <c r="BL221" s="29"/>
    </row>
    <row r="222" spans="1:64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>
        <f t="shared" si="34"/>
        <v>0.32309981620180483</v>
      </c>
      <c r="K222" s="34">
        <f t="shared" si="35"/>
        <v>9.2211809042951051E-2</v>
      </c>
      <c r="L222" s="34">
        <f t="shared" si="36"/>
        <v>0.23076822711778777</v>
      </c>
      <c r="M222" s="35"/>
      <c r="N222" s="34">
        <f t="shared" si="37"/>
        <v>0.35672408604539146</v>
      </c>
      <c r="O222" s="36">
        <v>12703667</v>
      </c>
      <c r="P222" s="37">
        <v>4531704</v>
      </c>
      <c r="Q222" s="37">
        <v>1293336</v>
      </c>
      <c r="R222" s="37">
        <v>3236688</v>
      </c>
      <c r="S222" s="38"/>
      <c r="T222" s="39">
        <v>71.407872699999999</v>
      </c>
      <c r="U222" s="39">
        <v>75.626333700000004</v>
      </c>
      <c r="V222" s="39">
        <v>28.281639299999998</v>
      </c>
      <c r="W222" s="39">
        <v>41.253201699999998</v>
      </c>
      <c r="X222" s="39">
        <v>45.491869600000001</v>
      </c>
      <c r="Y222" s="38"/>
      <c r="Z222" s="41">
        <v>47.201000000000001</v>
      </c>
      <c r="AA222" s="41">
        <v>17.719000000000001</v>
      </c>
      <c r="AC222" s="33" t="str">
        <f t="shared" si="38"/>
        <v>·</v>
      </c>
      <c r="AD222" s="34">
        <f t="shared" si="39"/>
        <v>0.32317852880021963</v>
      </c>
      <c r="AE222" s="34">
        <f t="shared" si="40"/>
        <v>9.3275569883846873E-2</v>
      </c>
      <c r="AF222" s="34">
        <f t="shared" si="41"/>
        <v>0.23076822711778777</v>
      </c>
      <c r="AG222" s="35"/>
      <c r="AH222" s="34">
        <f t="shared" si="42"/>
        <v>0.3568109900865632</v>
      </c>
      <c r="AI222" s="36">
        <v>12703667</v>
      </c>
      <c r="AJ222" s="37">
        <v>4532808</v>
      </c>
      <c r="AK222" s="37">
        <v>1308256</v>
      </c>
      <c r="AL222" s="37">
        <v>3236688</v>
      </c>
      <c r="AM222" s="38"/>
      <c r="AN222" s="39">
        <v>71.407872699999999</v>
      </c>
      <c r="AO222" s="39">
        <v>75.626333700000004</v>
      </c>
      <c r="AP222" s="39">
        <v>28.281639299999998</v>
      </c>
      <c r="AQ222" s="39">
        <v>41.253201699999998</v>
      </c>
      <c r="AR222" s="39">
        <v>45.491869600000001</v>
      </c>
      <c r="AS222" s="40"/>
      <c r="AT222" s="41">
        <v>45.783999999999999</v>
      </c>
      <c r="AU222" s="41">
        <v>17.425000000000001</v>
      </c>
      <c r="AW222" s="42">
        <f t="shared" si="43"/>
        <v>3.2220472170343406E-3</v>
      </c>
      <c r="AX222" s="42"/>
      <c r="AZ222" s="43"/>
      <c r="BA222" s="43"/>
      <c r="BB222" s="43"/>
      <c r="BC222" s="43"/>
      <c r="BD222" s="43"/>
      <c r="BE222" s="44"/>
      <c r="BG222" s="43"/>
      <c r="BH222" s="43"/>
      <c r="BI222" s="43"/>
      <c r="BJ222" s="43"/>
      <c r="BK222" s="43"/>
      <c r="BL222" s="44"/>
    </row>
    <row r="223" spans="1:64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>
        <f t="shared" si="34"/>
        <v>1.0905356727421052</v>
      </c>
      <c r="K223" s="19">
        <f t="shared" si="35"/>
        <v>0.36960070966822428</v>
      </c>
      <c r="L223" s="19">
        <f t="shared" si="36"/>
        <v>0.72082088684429424</v>
      </c>
      <c r="M223" s="20"/>
      <c r="N223" s="19">
        <f t="shared" si="37"/>
        <v>1.0508747787967214</v>
      </c>
      <c r="O223" s="21">
        <v>14555051</v>
      </c>
      <c r="P223" s="22">
        <v>15295536</v>
      </c>
      <c r="Q223" s="22">
        <v>5183912</v>
      </c>
      <c r="R223" s="22">
        <v>10110024</v>
      </c>
      <c r="S223" s="23"/>
      <c r="T223" s="24">
        <v>73.446510599999996</v>
      </c>
      <c r="U223" s="24">
        <v>78.018283400000001</v>
      </c>
      <c r="V223" s="24">
        <v>30.425154500000001</v>
      </c>
      <c r="W223" s="24">
        <v>43.1786745</v>
      </c>
      <c r="X223" s="24">
        <v>47.044965900000001</v>
      </c>
      <c r="Y223" s="23"/>
      <c r="Z223" s="26">
        <v>90.143000000000001</v>
      </c>
      <c r="AA223" s="26">
        <v>29.140999999999998</v>
      </c>
      <c r="AC223" s="18" t="str">
        <f t="shared" si="38"/>
        <v>·</v>
      </c>
      <c r="AD223" s="19">
        <f t="shared" si="39"/>
        <v>1.0906982313692664</v>
      </c>
      <c r="AE223" s="19">
        <f t="shared" si="40"/>
        <v>0.37792884480920003</v>
      </c>
      <c r="AF223" s="19">
        <f t="shared" si="41"/>
        <v>0.72082088684429424</v>
      </c>
      <c r="AG223" s="20"/>
      <c r="AH223" s="19">
        <f t="shared" si="42"/>
        <v>1.0510314254481141</v>
      </c>
      <c r="AI223" s="21">
        <v>14555051</v>
      </c>
      <c r="AJ223" s="22">
        <v>15297816</v>
      </c>
      <c r="AK223" s="22">
        <v>5300720</v>
      </c>
      <c r="AL223" s="22">
        <v>10110024</v>
      </c>
      <c r="AM223" s="23"/>
      <c r="AN223" s="24">
        <v>73.446510599999996</v>
      </c>
      <c r="AO223" s="24">
        <v>78.018283400000001</v>
      </c>
      <c r="AP223" s="24">
        <v>30.425154500000001</v>
      </c>
      <c r="AQ223" s="24">
        <v>43.1786745</v>
      </c>
      <c r="AR223" s="24">
        <v>47.044965900000001</v>
      </c>
      <c r="AS223" s="25"/>
      <c r="AT223" s="26">
        <v>87.641999999999996</v>
      </c>
      <c r="AU223" s="26">
        <v>27.219000000000001</v>
      </c>
      <c r="AW223" s="27">
        <f t="shared" si="43"/>
        <v>7.5850873099355121E-3</v>
      </c>
      <c r="AX223" s="27"/>
      <c r="AZ223" s="28"/>
      <c r="BA223" s="28"/>
      <c r="BB223" s="28"/>
      <c r="BC223" s="28"/>
      <c r="BD223" s="28"/>
      <c r="BE223" s="29"/>
      <c r="BG223" s="28"/>
      <c r="BH223" s="28"/>
      <c r="BI223" s="28"/>
      <c r="BJ223" s="28"/>
      <c r="BK223" s="28"/>
      <c r="BL223" s="29"/>
    </row>
    <row r="224" spans="1:64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9"/>
      <c r="X224" s="39"/>
      <c r="Y224" s="38"/>
      <c r="Z224" s="41"/>
      <c r="AA224" s="41"/>
      <c r="AC224" s="33" t="str">
        <f t="shared" si="38"/>
        <v>·</v>
      </c>
      <c r="AD224" s="34" t="str">
        <f t="shared" si="39"/>
        <v>·</v>
      </c>
      <c r="AE224" s="34">
        <f t="shared" si="40"/>
        <v>0.14976041496369275</v>
      </c>
      <c r="AF224" s="34" t="str">
        <f t="shared" si="41"/>
        <v>·</v>
      </c>
      <c r="AG224" s="35"/>
      <c r="AH224" s="34" t="str">
        <f t="shared" si="42"/>
        <v>·</v>
      </c>
      <c r="AI224" s="36"/>
      <c r="AJ224" s="37"/>
      <c r="AK224" s="37">
        <v>2100496</v>
      </c>
      <c r="AL224" s="37"/>
      <c r="AM224" s="38"/>
      <c r="AN224" s="39"/>
      <c r="AO224" s="39"/>
      <c r="AP224" s="39"/>
      <c r="AQ224" s="39"/>
      <c r="AR224" s="39"/>
      <c r="AS224" s="40"/>
      <c r="AT224" s="41"/>
      <c r="AU224" s="41"/>
      <c r="AW224" s="42" t="e">
        <f t="shared" si="43"/>
        <v>#DIV/0!</v>
      </c>
      <c r="AX224" s="42"/>
      <c r="AZ224" s="43"/>
      <c r="BA224" s="43"/>
      <c r="BB224" s="43"/>
      <c r="BC224" s="43"/>
      <c r="BD224" s="43"/>
      <c r="BE224" s="44"/>
      <c r="BG224" s="43"/>
      <c r="BH224" s="43"/>
      <c r="BI224" s="43"/>
      <c r="BJ224" s="43"/>
      <c r="BK224" s="43"/>
      <c r="BL224" s="44"/>
    </row>
    <row r="225" spans="1:64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4"/>
      <c r="X225" s="24"/>
      <c r="Y225" s="23"/>
      <c r="Z225" s="26"/>
      <c r="AA225" s="26"/>
      <c r="AC225" s="18" t="str">
        <f t="shared" si="38"/>
        <v>·</v>
      </c>
      <c r="AD225" s="19" t="str">
        <f t="shared" si="39"/>
        <v>·</v>
      </c>
      <c r="AE225" s="19">
        <f t="shared" si="40"/>
        <v>0</v>
      </c>
      <c r="AF225" s="19" t="str">
        <f t="shared" si="41"/>
        <v>·</v>
      </c>
      <c r="AG225" s="20"/>
      <c r="AH225" s="19" t="str">
        <f t="shared" si="42"/>
        <v>·</v>
      </c>
      <c r="AI225" s="21"/>
      <c r="AJ225" s="22"/>
      <c r="AK225" s="22">
        <v>0</v>
      </c>
      <c r="AL225" s="22"/>
      <c r="AM225" s="23"/>
      <c r="AN225" s="24"/>
      <c r="AO225" s="24"/>
      <c r="AP225" s="24"/>
      <c r="AQ225" s="24"/>
      <c r="AR225" s="24"/>
      <c r="AS225" s="25"/>
      <c r="AT225" s="26"/>
      <c r="AU225" s="26"/>
      <c r="AW225" s="27" t="e">
        <f t="shared" si="43"/>
        <v>#DIV/0!</v>
      </c>
      <c r="AX225" s="27"/>
      <c r="AZ225" s="28"/>
      <c r="BA225" s="28"/>
      <c r="BB225" s="28"/>
      <c r="BC225" s="28"/>
      <c r="BD225" s="28"/>
      <c r="BE225" s="29"/>
      <c r="BG225" s="28"/>
      <c r="BH225" s="28"/>
      <c r="BI225" s="28"/>
      <c r="BJ225" s="28"/>
      <c r="BK225" s="28"/>
      <c r="BL225" s="29"/>
    </row>
    <row r="226" spans="1:64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4"/>
      <c r="X226" s="54"/>
      <c r="Y226" s="53"/>
      <c r="Z226" s="56"/>
      <c r="AA226" s="56"/>
      <c r="AC226" s="48" t="str">
        <f t="shared" si="38"/>
        <v>·</v>
      </c>
      <c r="AD226" s="49" t="str">
        <f t="shared" si="39"/>
        <v>·</v>
      </c>
      <c r="AE226" s="49">
        <f t="shared" si="40"/>
        <v>0</v>
      </c>
      <c r="AF226" s="49" t="str">
        <f t="shared" si="41"/>
        <v>·</v>
      </c>
      <c r="AG226" s="50"/>
      <c r="AH226" s="49" t="str">
        <f t="shared" si="42"/>
        <v>·</v>
      </c>
      <c r="AI226" s="51"/>
      <c r="AJ226" s="52"/>
      <c r="AK226" s="52">
        <v>0</v>
      </c>
      <c r="AL226" s="52"/>
      <c r="AM226" s="53"/>
      <c r="AN226" s="54"/>
      <c r="AO226" s="54"/>
      <c r="AP226" s="54"/>
      <c r="AQ226" s="54"/>
      <c r="AR226" s="54"/>
      <c r="AS226" s="55"/>
      <c r="AT226" s="56"/>
      <c r="AU226" s="56"/>
      <c r="AW226" s="57" t="e">
        <f t="shared" si="43"/>
        <v>#DIV/0!</v>
      </c>
      <c r="AX226" s="57"/>
      <c r="AZ226" s="58"/>
      <c r="BA226" s="58"/>
      <c r="BB226" s="58"/>
      <c r="BC226" s="58"/>
      <c r="BD226" s="58"/>
      <c r="BE226" s="59"/>
      <c r="BG226" s="58"/>
      <c r="BH226" s="58"/>
      <c r="BI226" s="58"/>
      <c r="BJ226" s="58"/>
      <c r="BK226" s="58"/>
      <c r="BL226" s="59"/>
    </row>
    <row r="227" spans="1:64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>
        <f t="shared" si="34"/>
        <v>5.3594855668089095E-2</v>
      </c>
      <c r="K227" s="19">
        <f t="shared" si="35"/>
        <v>9.1292335630905105E-3</v>
      </c>
      <c r="L227" s="19">
        <f t="shared" si="36"/>
        <v>4.4305656561576638E-2</v>
      </c>
      <c r="M227" s="20"/>
      <c r="N227" s="19">
        <f t="shared" si="37"/>
        <v>9.1523135344849071E-2</v>
      </c>
      <c r="O227" s="21">
        <v>2928571</v>
      </c>
      <c r="P227" s="22">
        <v>268032</v>
      </c>
      <c r="Q227" s="22">
        <v>45656</v>
      </c>
      <c r="R227" s="22">
        <v>221576</v>
      </c>
      <c r="S227" s="23"/>
      <c r="T227" s="24">
        <v>61.587062500000002</v>
      </c>
      <c r="U227" s="24">
        <v>65.001511399999998</v>
      </c>
      <c r="V227" s="24">
        <v>25.919647300000001</v>
      </c>
      <c r="W227" s="24">
        <v>39.056271600000002</v>
      </c>
      <c r="X227" s="24">
        <v>40.992395999999999</v>
      </c>
      <c r="Y227" s="23"/>
      <c r="Z227" s="26">
        <v>5.6360000000000001</v>
      </c>
      <c r="AA227" s="26">
        <v>3.0579999999999998</v>
      </c>
      <c r="AC227" s="18" t="str">
        <f t="shared" si="38"/>
        <v>·</v>
      </c>
      <c r="AD227" s="19">
        <f t="shared" si="39"/>
        <v>5.3626848776773484E-2</v>
      </c>
      <c r="AE227" s="19">
        <f t="shared" si="40"/>
        <v>9.1068383870114376E-3</v>
      </c>
      <c r="AF227" s="19">
        <f t="shared" si="41"/>
        <v>4.4305656561576638E-2</v>
      </c>
      <c r="AG227" s="20"/>
      <c r="AH227" s="19">
        <f t="shared" si="42"/>
        <v>9.1577769499185779E-2</v>
      </c>
      <c r="AI227" s="21">
        <v>2928571</v>
      </c>
      <c r="AJ227" s="22">
        <v>268192</v>
      </c>
      <c r="AK227" s="22">
        <v>45544</v>
      </c>
      <c r="AL227" s="22">
        <v>221576</v>
      </c>
      <c r="AM227" s="23"/>
      <c r="AN227" s="24">
        <v>61.587062500000002</v>
      </c>
      <c r="AO227" s="24">
        <v>65.001511399999998</v>
      </c>
      <c r="AP227" s="24">
        <v>25.919647300000001</v>
      </c>
      <c r="AQ227" s="24">
        <v>39.056271600000002</v>
      </c>
      <c r="AR227" s="24">
        <v>40.992395999999999</v>
      </c>
      <c r="AS227" s="25"/>
      <c r="AT227" s="26">
        <v>5.7140000000000004</v>
      </c>
      <c r="AU227" s="26">
        <v>3.0739999999999998</v>
      </c>
      <c r="AW227" s="27">
        <f t="shared" si="43"/>
        <v>-5.192327109563577E-4</v>
      </c>
      <c r="AX227" s="27" t="e">
        <f t="array" ref="AX227">AVERAGE(AK227:AK232/AJ227:AJ232) - AVERAGE(Q227:Q232/P227:P232)</f>
        <v>#DIV/0!</v>
      </c>
      <c r="AZ227" s="28">
        <f>IF( OR(ISBLANK(Q227:Q232),ISBLANK(AK227:AK232), ISBLANK(T227:T232),ISBLANK(AN227:AN232)), "·", bdRateExtend( Q227:Q232,T227:T232, AK227:AK232,AN227:AN232))</f>
        <v>1.3349389886843088E-3</v>
      </c>
      <c r="BA227" s="28">
        <f>IF( OR(ISBLANK(Q227:Q232),ISBLANK(AK227:AK232), ISBLANK(U227:U232),ISBLANK(AO227:AO232)), "·", bdRateExtend( Q227:Q232,U227:U232, AK227:AK232,AO227:AO232))</f>
        <v>1.1229864126582889E-3</v>
      </c>
      <c r="BB227" s="28">
        <f>IF( OR(ISBLANK(R227:R232),ISBLANK(AL227:AL232), ISBLANK(V227:V232),ISBLANK(AP227:AP232)), "·", bdRateExtend( R227:R232,V227:V232, AL227:AL232,AP227:AP232))</f>
        <v>0</v>
      </c>
      <c r="BC227" s="28">
        <f>IF( OR(ISBLANK(R227:R232),ISBLANK(AL227:AL232), ISBLANK(W227:W232),ISBLANK(AQ227:AQ232)), "·", bdRateExtend( R227:R232,W227:W232, AL227:AL232,AQ227:AQ232))</f>
        <v>0</v>
      </c>
      <c r="BD227" s="28">
        <f>IF( OR(ISBLANK(R227:R232),ISBLANK(AL227:AL232), ISBLANK(X227:X232),ISBLANK(AR227:AR232)), "·", bdRateExtend( R227:R232,X227:X232, AL227:AL232,AR227:AR232))</f>
        <v>0</v>
      </c>
      <c r="BE227" s="29"/>
      <c r="BG227" s="28">
        <f>IF( OR(ISBLANK(P227:P232),ISBLANK(AJ227:AJ232), ISBLANK(T227:T232),ISBLANK(AN227:AN232)), "·", bdRateExtend( P227:P232,T227:T232, AJ227:AJ232,AN227:AN232))</f>
        <v>4.3587180963533534E-4</v>
      </c>
      <c r="BH227" s="28">
        <f>IF( OR(ISBLANK(P227:P232),ISBLANK(AJ227:AJ232), ISBLANK(U227:U232),ISBLANK(AO227:AO232)), "·", bdRateExtend( P227:P232,U227:U232, AJ227:AJ232,AO227:AO232))</f>
        <v>4.2419208598154512E-4</v>
      </c>
      <c r="BI227" s="28">
        <f>IF( OR(ISBLANK(P227:P232),ISBLANK(AJ227:AJ232), ISBLANK(V227:V232),ISBLANK(AP227:AP232)), "·", bdRateExtend( P227:P232,V227:V232, AJ227:AJ232,AP227:AP232))</f>
        <v>3.9690888500376609E-4</v>
      </c>
      <c r="BJ227" s="28">
        <f>IF( OR(ISBLANK(P227:P232),ISBLANK(AJ227:AJ232), ISBLANK(W227:W232),ISBLANK(AQ227:AQ232)), "·", bdRateExtend( P227:P232,W227:W232, AJ227:AJ232,AQ227:AQ232))</f>
        <v>3.8412689898992269E-4</v>
      </c>
      <c r="BK227" s="28">
        <f>IF( OR(ISBLANK(P227:P232),ISBLANK(AJ227:AJ232), ISBLANK(X227:X232),ISBLANK(AR227:AR232)), "·", bdRateExtend( P227:P232,X227:X232, AJ227:AJ232,AR227:AR232))</f>
        <v>3.8024192397356771E-4</v>
      </c>
      <c r="BL227" s="29"/>
    </row>
    <row r="228" spans="1:64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>
        <f t="shared" si="34"/>
        <v>0.18196400495333306</v>
      </c>
      <c r="K228" s="34">
        <f t="shared" si="35"/>
        <v>3.3119266110079891E-2</v>
      </c>
      <c r="L228" s="34">
        <f t="shared" si="36"/>
        <v>0.14868477329983121</v>
      </c>
      <c r="M228" s="35"/>
      <c r="N228" s="34">
        <f t="shared" si="37"/>
        <v>0.2687911228418815</v>
      </c>
      <c r="O228" s="36">
        <v>3385588</v>
      </c>
      <c r="P228" s="37">
        <v>910016</v>
      </c>
      <c r="Q228" s="37">
        <v>165632</v>
      </c>
      <c r="R228" s="37">
        <v>743584</v>
      </c>
      <c r="S228" s="38"/>
      <c r="T228" s="39">
        <v>67.040953500000001</v>
      </c>
      <c r="U228" s="39">
        <v>69.787085200000007</v>
      </c>
      <c r="V228" s="39">
        <v>28.162225800000002</v>
      </c>
      <c r="W228" s="39">
        <v>40.224779900000001</v>
      </c>
      <c r="X228" s="39">
        <v>41.780496200000002</v>
      </c>
      <c r="Y228" s="38"/>
      <c r="Z228" s="41">
        <v>7.7759999999999998</v>
      </c>
      <c r="AA228" s="41">
        <v>4.2770000000000001</v>
      </c>
      <c r="AC228" s="33" t="str">
        <f t="shared" si="38"/>
        <v>·</v>
      </c>
      <c r="AD228" s="34">
        <f t="shared" si="39"/>
        <v>0.18203279013700449</v>
      </c>
      <c r="AE228" s="34">
        <f t="shared" si="40"/>
        <v>3.3162456806803811E-2</v>
      </c>
      <c r="AF228" s="34">
        <f t="shared" si="41"/>
        <v>0.14868477329983121</v>
      </c>
      <c r="AG228" s="35"/>
      <c r="AH228" s="34">
        <f t="shared" si="42"/>
        <v>0.26889273000731334</v>
      </c>
      <c r="AI228" s="36">
        <v>3385588</v>
      </c>
      <c r="AJ228" s="37">
        <v>910360</v>
      </c>
      <c r="AK228" s="37">
        <v>165848</v>
      </c>
      <c r="AL228" s="37">
        <v>743584</v>
      </c>
      <c r="AM228" s="38"/>
      <c r="AN228" s="39">
        <v>67.040953500000001</v>
      </c>
      <c r="AO228" s="39">
        <v>69.787085200000007</v>
      </c>
      <c r="AP228" s="39">
        <v>28.162225800000002</v>
      </c>
      <c r="AQ228" s="39">
        <v>40.224779900000001</v>
      </c>
      <c r="AR228" s="39">
        <v>41.780496200000002</v>
      </c>
      <c r="AS228" s="40"/>
      <c r="AT228" s="41">
        <v>7.6829999999999998</v>
      </c>
      <c r="AU228" s="41">
        <v>4.1980000000000004</v>
      </c>
      <c r="AW228" s="42">
        <f t="shared" si="43"/>
        <v>1.6849220593684322E-4</v>
      </c>
      <c r="AX228" s="42"/>
      <c r="AZ228" s="43"/>
      <c r="BA228" s="43"/>
      <c r="BB228" s="43"/>
      <c r="BC228" s="43"/>
      <c r="BD228" s="43"/>
      <c r="BE228" s="44"/>
      <c r="BG228" s="43"/>
      <c r="BH228" s="43"/>
      <c r="BI228" s="43"/>
      <c r="BJ228" s="43"/>
      <c r="BK228" s="43"/>
      <c r="BL228" s="44"/>
    </row>
    <row r="229" spans="1:64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>
        <f t="shared" si="34"/>
        <v>0.59590844132173926</v>
      </c>
      <c r="K229" s="19">
        <f t="shared" si="35"/>
        <v>0.15186808761392795</v>
      </c>
      <c r="L229" s="19">
        <f t="shared" si="36"/>
        <v>0.44388038816438941</v>
      </c>
      <c r="M229" s="20"/>
      <c r="N229" s="19">
        <f t="shared" si="37"/>
        <v>0.79097033062376365</v>
      </c>
      <c r="O229" s="21">
        <v>3767757</v>
      </c>
      <c r="P229" s="22">
        <v>2980184</v>
      </c>
      <c r="Q229" s="22">
        <v>759504</v>
      </c>
      <c r="R229" s="22">
        <v>2219880</v>
      </c>
      <c r="S229" s="23"/>
      <c r="T229" s="24">
        <v>69.597974600000001</v>
      </c>
      <c r="U229" s="24">
        <v>72.418960900000002</v>
      </c>
      <c r="V229" s="24">
        <v>29.9857926</v>
      </c>
      <c r="W229" s="24">
        <v>41.370947999999999</v>
      </c>
      <c r="X229" s="24">
        <v>42.5988708</v>
      </c>
      <c r="Y229" s="23"/>
      <c r="Z229" s="26">
        <v>12.901999999999999</v>
      </c>
      <c r="AA229" s="26">
        <v>6.0119999999999996</v>
      </c>
      <c r="AC229" s="18" t="str">
        <f t="shared" si="38"/>
        <v>·</v>
      </c>
      <c r="AD229" s="19">
        <f t="shared" si="39"/>
        <v>0.59602041720213461</v>
      </c>
      <c r="AE229" s="19">
        <f t="shared" si="40"/>
        <v>0.15418758799354618</v>
      </c>
      <c r="AF229" s="19">
        <f t="shared" si="41"/>
        <v>0.44388038816438941</v>
      </c>
      <c r="AG229" s="20"/>
      <c r="AH229" s="19">
        <f t="shared" si="42"/>
        <v>0.79111896016648631</v>
      </c>
      <c r="AI229" s="21">
        <v>3767757</v>
      </c>
      <c r="AJ229" s="22">
        <v>2980744</v>
      </c>
      <c r="AK229" s="22">
        <v>771104</v>
      </c>
      <c r="AL229" s="22">
        <v>2219880</v>
      </c>
      <c r="AM229" s="23"/>
      <c r="AN229" s="24">
        <v>69.597974600000001</v>
      </c>
      <c r="AO229" s="24">
        <v>72.418960900000002</v>
      </c>
      <c r="AP229" s="24">
        <v>29.9857926</v>
      </c>
      <c r="AQ229" s="24">
        <v>41.370947999999999</v>
      </c>
      <c r="AR229" s="24">
        <v>42.5988708</v>
      </c>
      <c r="AS229" s="25"/>
      <c r="AT229" s="26">
        <v>12.683</v>
      </c>
      <c r="AU229" s="26">
        <v>5.9169999999999998</v>
      </c>
      <c r="AW229" s="27">
        <f t="shared" si="43"/>
        <v>3.8437662637749725E-3</v>
      </c>
      <c r="AX229" s="27"/>
      <c r="AZ229" s="28"/>
      <c r="BA229" s="28"/>
      <c r="BB229" s="28"/>
      <c r="BC229" s="28"/>
      <c r="BD229" s="28"/>
      <c r="BE229" s="29"/>
      <c r="BG229" s="28"/>
      <c r="BH229" s="28"/>
      <c r="BI229" s="28"/>
      <c r="BJ229" s="28"/>
      <c r="BK229" s="28"/>
      <c r="BL229" s="29"/>
    </row>
    <row r="230" spans="1:64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9"/>
      <c r="X230" s="39"/>
      <c r="Y230" s="38"/>
      <c r="Z230" s="41"/>
      <c r="AA230" s="41"/>
      <c r="AC230" s="33" t="str">
        <f t="shared" si="38"/>
        <v>·</v>
      </c>
      <c r="AD230" s="34" t="str">
        <f t="shared" si="39"/>
        <v>·</v>
      </c>
      <c r="AE230" s="34" t="str">
        <f t="shared" si="40"/>
        <v>·</v>
      </c>
      <c r="AF230" s="34" t="str">
        <f t="shared" si="41"/>
        <v>·</v>
      </c>
      <c r="AG230" s="35"/>
      <c r="AH230" s="34" t="str">
        <f t="shared" si="42"/>
        <v>·</v>
      </c>
      <c r="AI230" s="36"/>
      <c r="AJ230" s="37"/>
      <c r="AK230" s="37"/>
      <c r="AL230" s="37"/>
      <c r="AM230" s="38"/>
      <c r="AN230" s="39"/>
      <c r="AO230" s="39"/>
      <c r="AP230" s="39"/>
      <c r="AQ230" s="39"/>
      <c r="AR230" s="39"/>
      <c r="AS230" s="40"/>
      <c r="AT230" s="41"/>
      <c r="AU230" s="41"/>
      <c r="AW230" s="42" t="e">
        <f t="shared" si="43"/>
        <v>#DIV/0!</v>
      </c>
      <c r="AX230" s="42"/>
      <c r="AZ230" s="43"/>
      <c r="BA230" s="43"/>
      <c r="BB230" s="43"/>
      <c r="BC230" s="43"/>
      <c r="BD230" s="43"/>
      <c r="BE230" s="44"/>
      <c r="BG230" s="43"/>
      <c r="BH230" s="43"/>
      <c r="BI230" s="43"/>
      <c r="BJ230" s="43"/>
      <c r="BK230" s="43"/>
      <c r="BL230" s="44"/>
    </row>
    <row r="231" spans="1:64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4"/>
      <c r="X231" s="24"/>
      <c r="Y231" s="23"/>
      <c r="Z231" s="26"/>
      <c r="AA231" s="26"/>
      <c r="AC231" s="18" t="str">
        <f t="shared" si="38"/>
        <v>·</v>
      </c>
      <c r="AD231" s="19" t="str">
        <f t="shared" si="39"/>
        <v>·</v>
      </c>
      <c r="AE231" s="19" t="str">
        <f t="shared" si="40"/>
        <v>·</v>
      </c>
      <c r="AF231" s="19" t="str">
        <f t="shared" si="41"/>
        <v>·</v>
      </c>
      <c r="AG231" s="20"/>
      <c r="AH231" s="19" t="str">
        <f t="shared" si="42"/>
        <v>·</v>
      </c>
      <c r="AI231" s="21"/>
      <c r="AJ231" s="22"/>
      <c r="AK231" s="22"/>
      <c r="AL231" s="22"/>
      <c r="AM231" s="23"/>
      <c r="AN231" s="24"/>
      <c r="AO231" s="24"/>
      <c r="AP231" s="24"/>
      <c r="AQ231" s="24"/>
      <c r="AR231" s="24"/>
      <c r="AS231" s="25"/>
      <c r="AT231" s="26"/>
      <c r="AU231" s="26"/>
      <c r="AW231" s="27" t="e">
        <f t="shared" si="43"/>
        <v>#DIV/0!</v>
      </c>
      <c r="AX231" s="27"/>
      <c r="AZ231" s="28"/>
      <c r="BA231" s="28"/>
      <c r="BB231" s="28"/>
      <c r="BC231" s="28"/>
      <c r="BD231" s="28"/>
      <c r="BE231" s="29"/>
      <c r="BG231" s="28"/>
      <c r="BH231" s="28"/>
      <c r="BI231" s="28"/>
      <c r="BJ231" s="28"/>
      <c r="BK231" s="28"/>
      <c r="BL231" s="29"/>
    </row>
    <row r="232" spans="1:64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4"/>
      <c r="X232" s="54"/>
      <c r="Y232" s="53"/>
      <c r="Z232" s="56"/>
      <c r="AA232" s="56"/>
      <c r="AC232" s="48" t="str">
        <f t="shared" si="38"/>
        <v>·</v>
      </c>
      <c r="AD232" s="49" t="str">
        <f t="shared" si="39"/>
        <v>·</v>
      </c>
      <c r="AE232" s="49" t="str">
        <f t="shared" si="40"/>
        <v>·</v>
      </c>
      <c r="AF232" s="49" t="str">
        <f t="shared" si="41"/>
        <v>·</v>
      </c>
      <c r="AG232" s="50"/>
      <c r="AH232" s="49" t="str">
        <f t="shared" si="42"/>
        <v>·</v>
      </c>
      <c r="AI232" s="51"/>
      <c r="AJ232" s="52"/>
      <c r="AK232" s="52"/>
      <c r="AL232" s="52"/>
      <c r="AM232" s="53"/>
      <c r="AN232" s="54"/>
      <c r="AO232" s="54"/>
      <c r="AP232" s="54"/>
      <c r="AQ232" s="54"/>
      <c r="AR232" s="54"/>
      <c r="AS232" s="55"/>
      <c r="AT232" s="56"/>
      <c r="AU232" s="56"/>
      <c r="AW232" s="57" t="e">
        <f t="shared" si="43"/>
        <v>#DIV/0!</v>
      </c>
      <c r="AX232" s="57"/>
      <c r="AZ232" s="58"/>
      <c r="BA232" s="58"/>
      <c r="BB232" s="58"/>
      <c r="BC232" s="58"/>
      <c r="BD232" s="58"/>
      <c r="BE232" s="59"/>
      <c r="BG232" s="58"/>
      <c r="BH232" s="58"/>
      <c r="BI232" s="58"/>
      <c r="BJ232" s="58"/>
      <c r="BK232" s="58"/>
      <c r="BL232" s="59"/>
    </row>
    <row r="233" spans="1:64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>
        <f t="shared" si="34"/>
        <v>2.1332209974589008E-2</v>
      </c>
      <c r="K233" s="19">
        <f t="shared" si="35"/>
        <v>1.1059864552420274E-3</v>
      </c>
      <c r="L233" s="19">
        <f t="shared" si="36"/>
        <v>2.0195175172899441E-2</v>
      </c>
      <c r="M233" s="20"/>
      <c r="N233" s="19">
        <f t="shared" si="37"/>
        <v>0.12158565125244303</v>
      </c>
      <c r="O233" s="21">
        <v>12657941</v>
      </c>
      <c r="P233" s="22">
        <v>1539024</v>
      </c>
      <c r="Q233" s="22">
        <v>79792</v>
      </c>
      <c r="R233" s="22">
        <v>1456992</v>
      </c>
      <c r="S233" s="23"/>
      <c r="T233" s="24">
        <v>67.459634899999998</v>
      </c>
      <c r="U233" s="24">
        <v>72.899014300000005</v>
      </c>
      <c r="V233" s="24">
        <v>23.443165400000002</v>
      </c>
      <c r="W233" s="24">
        <v>37.358382200000001</v>
      </c>
      <c r="X233" s="24">
        <v>38.3365054</v>
      </c>
      <c r="Y233" s="23"/>
      <c r="Z233" s="26">
        <v>16.306999999999999</v>
      </c>
      <c r="AA233" s="26">
        <v>12.619</v>
      </c>
      <c r="AC233" s="18" t="str">
        <f t="shared" si="38"/>
        <v>·</v>
      </c>
      <c r="AD233" s="19">
        <f t="shared" si="39"/>
        <v>2.1341857139378063E-2</v>
      </c>
      <c r="AE233" s="19">
        <f t="shared" si="40"/>
        <v>1.0836981779707574E-3</v>
      </c>
      <c r="AF233" s="19">
        <f t="shared" si="41"/>
        <v>2.0195175172899441E-2</v>
      </c>
      <c r="AG233" s="20"/>
      <c r="AH233" s="19">
        <f t="shared" si="42"/>
        <v>0.1216406364984637</v>
      </c>
      <c r="AI233" s="21">
        <v>12657941</v>
      </c>
      <c r="AJ233" s="22">
        <v>1539720</v>
      </c>
      <c r="AK233" s="22">
        <v>78184</v>
      </c>
      <c r="AL233" s="22">
        <v>1456992</v>
      </c>
      <c r="AM233" s="23"/>
      <c r="AN233" s="24">
        <v>67.459634899999998</v>
      </c>
      <c r="AO233" s="24">
        <v>72.899014300000005</v>
      </c>
      <c r="AP233" s="24">
        <v>23.443165400000002</v>
      </c>
      <c r="AQ233" s="24">
        <v>37.358382200000001</v>
      </c>
      <c r="AR233" s="24">
        <v>38.3365054</v>
      </c>
      <c r="AS233" s="25"/>
      <c r="AT233" s="26">
        <v>15.571</v>
      </c>
      <c r="AU233" s="26">
        <v>12.323</v>
      </c>
      <c r="AW233" s="27">
        <f t="shared" si="43"/>
        <v>-1.0677816149888761E-3</v>
      </c>
      <c r="AX233" s="27" t="e">
        <f t="array" ref="AX233">AVERAGE(AK233:AK238/AJ233:AJ238) - AVERAGE(Q233:Q238/P233:P238)</f>
        <v>#DIV/0!</v>
      </c>
      <c r="AZ233" s="28">
        <f>IF( OR(ISBLANK(Q233:Q238),ISBLANK(AK233:AK238), ISBLANK(T233:T238),ISBLANK(AN233:AN238)), "·", bdRateExtend( Q233:Q238,T233:T238, AK233:AK238,AN233:AN238))</f>
        <v>-1.8813607623330619E-2</v>
      </c>
      <c r="BA233" s="28">
        <f>IF( OR(ISBLANK(Q233:Q238),ISBLANK(AK233:AK238), ISBLANK(U233:U238),ISBLANK(AO233:AO238)), "·", bdRateExtend( Q233:Q238,U233:U238, AK233:AK238,AO233:AO238))</f>
        <v>-1.8465383052702955E-2</v>
      </c>
      <c r="BB233" s="28">
        <f>IF( OR(ISBLANK(R233:R238),ISBLANK(AL233:AL238), ISBLANK(V233:V238),ISBLANK(AP233:AP238)), "·", bdRateExtend( R233:R238,V233:V238, AL233:AL238,AP233:AP238))</f>
        <v>0</v>
      </c>
      <c r="BC233" s="28">
        <f>IF( OR(ISBLANK(R233:R238),ISBLANK(AL233:AL238), ISBLANK(W233:W238),ISBLANK(AQ233:AQ238)), "·", bdRateExtend( R233:R238,W233:W238, AL233:AL238,AQ233:AQ238))</f>
        <v>0</v>
      </c>
      <c r="BD233" s="28">
        <f>IF( OR(ISBLANK(R233:R238),ISBLANK(AL233:AL238), ISBLANK(X233:X238),ISBLANK(AR233:AR238)), "·", bdRateExtend( R233:R238,X233:X238, AL233:AL238,AR233:AR238))</f>
        <v>0</v>
      </c>
      <c r="BE233" s="29"/>
      <c r="BG233" s="28">
        <f>IF( OR(ISBLANK(P233:P238),ISBLANK(AJ233:AJ238), ISBLANK(T233:T238),ISBLANK(AN233:AN238)), "·", bdRateExtend( P233:P238,T233:T238, AJ233:AJ238,AN233:AN238))</f>
        <v>2.5088985404941866E-4</v>
      </c>
      <c r="BH233" s="28">
        <f>IF( OR(ISBLANK(P233:P238),ISBLANK(AJ233:AJ238), ISBLANK(U233:U238),ISBLANK(AO233:AO238)), "·", bdRateExtend( P233:P238,U233:U238, AJ233:AJ238,AO233:AO238))</f>
        <v>2.6326156332689976E-4</v>
      </c>
      <c r="BI233" s="28">
        <f>IF( OR(ISBLANK(P233:P238),ISBLANK(AJ233:AJ238), ISBLANK(V233:V238),ISBLANK(AP233:AP238)), "·", bdRateExtend( P233:P238,V233:V238, AJ233:AJ238,AP233:AP238))</f>
        <v>2.4568652061351948E-4</v>
      </c>
      <c r="BJ233" s="28">
        <f>IF( OR(ISBLANK(P233:P238),ISBLANK(AJ233:AJ238), ISBLANK(W233:W238),ISBLANK(AQ233:AQ238)), "·", bdRateExtend( P233:P238,W233:W238, AJ233:AJ238,AQ233:AQ238))</f>
        <v>2.1230014767303906E-4</v>
      </c>
      <c r="BK233" s="28">
        <f>IF( OR(ISBLANK(P233:P238),ISBLANK(AJ233:AJ238), ISBLANK(X233:X238),ISBLANK(AR233:AR238)), "·", bdRateExtend( P233:P238,X233:X238, AJ233:AJ238,AR233:AR238))</f>
        <v>2.1762577378381387E-4</v>
      </c>
      <c r="BL233" s="29"/>
    </row>
    <row r="234" spans="1:64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>
        <f t="shared" si="34"/>
        <v>7.5623681233612905E-2</v>
      </c>
      <c r="K234" s="34">
        <f t="shared" si="35"/>
        <v>3.46266683756194E-3</v>
      </c>
      <c r="L234" s="34">
        <f t="shared" si="36"/>
        <v>7.2129966049603422E-2</v>
      </c>
      <c r="M234" s="35"/>
      <c r="N234" s="34">
        <f t="shared" si="37"/>
        <v>0.4247318097650345</v>
      </c>
      <c r="O234" s="36">
        <v>12845546</v>
      </c>
      <c r="P234" s="37">
        <v>5455912</v>
      </c>
      <c r="Q234" s="37">
        <v>249816</v>
      </c>
      <c r="R234" s="37">
        <v>5203856</v>
      </c>
      <c r="S234" s="38"/>
      <c r="T234" s="39">
        <v>72.975370600000005</v>
      </c>
      <c r="U234" s="39">
        <v>77.5680251</v>
      </c>
      <c r="V234" s="39">
        <v>25.018633900000001</v>
      </c>
      <c r="W234" s="39">
        <v>38.519336299999999</v>
      </c>
      <c r="X234" s="39">
        <v>39.734424599999997</v>
      </c>
      <c r="Y234" s="38"/>
      <c r="Z234" s="41">
        <v>18.54</v>
      </c>
      <c r="AA234" s="41">
        <v>14.558</v>
      </c>
      <c r="AC234" s="33" t="str">
        <f t="shared" si="38"/>
        <v>·</v>
      </c>
      <c r="AD234" s="34">
        <f t="shared" si="39"/>
        <v>7.5644306206610196E-2</v>
      </c>
      <c r="AE234" s="34">
        <f t="shared" si="40"/>
        <v>3.3545520597535409E-3</v>
      </c>
      <c r="AF234" s="34">
        <f t="shared" si="41"/>
        <v>7.2129966049603422E-2</v>
      </c>
      <c r="AG234" s="35"/>
      <c r="AH234" s="34">
        <f t="shared" si="42"/>
        <v>0.42484764758150412</v>
      </c>
      <c r="AI234" s="36">
        <v>12845546</v>
      </c>
      <c r="AJ234" s="37">
        <v>5457400</v>
      </c>
      <c r="AK234" s="37">
        <v>242016</v>
      </c>
      <c r="AL234" s="37">
        <v>5203856</v>
      </c>
      <c r="AM234" s="38"/>
      <c r="AN234" s="39">
        <v>72.975370600000005</v>
      </c>
      <c r="AO234" s="39">
        <v>77.5680251</v>
      </c>
      <c r="AP234" s="39">
        <v>25.018633900000001</v>
      </c>
      <c r="AQ234" s="39">
        <v>38.519336299999999</v>
      </c>
      <c r="AR234" s="39">
        <v>39.734424599999997</v>
      </c>
      <c r="AS234" s="40"/>
      <c r="AT234" s="41">
        <v>17.763999999999999</v>
      </c>
      <c r="AU234" s="41">
        <v>13.603999999999999</v>
      </c>
      <c r="AW234" s="42">
        <f t="shared" si="43"/>
        <v>-1.4417364927032522E-3</v>
      </c>
      <c r="AX234" s="42"/>
      <c r="AZ234" s="43"/>
      <c r="BA234" s="43"/>
      <c r="BB234" s="43"/>
      <c r="BC234" s="43"/>
      <c r="BD234" s="43"/>
      <c r="BE234" s="44"/>
      <c r="BG234" s="43"/>
      <c r="BH234" s="43"/>
      <c r="BI234" s="43"/>
      <c r="BJ234" s="43"/>
      <c r="BK234" s="43"/>
      <c r="BL234" s="44"/>
    </row>
    <row r="235" spans="1:64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>
        <f t="shared" si="34"/>
        <v>0.23626893462270279</v>
      </c>
      <c r="K235" s="19">
        <f t="shared" si="35"/>
        <v>1.5170443848171424E-2</v>
      </c>
      <c r="L235" s="19">
        <f t="shared" si="36"/>
        <v>0.22106744242808382</v>
      </c>
      <c r="M235" s="20"/>
      <c r="N235" s="19">
        <f t="shared" si="37"/>
        <v>1.1895529962432858</v>
      </c>
      <c r="O235" s="21">
        <v>14329544</v>
      </c>
      <c r="P235" s="22">
        <v>17045752</v>
      </c>
      <c r="Q235" s="22">
        <v>1094480</v>
      </c>
      <c r="R235" s="22">
        <v>15949032</v>
      </c>
      <c r="S235" s="23"/>
      <c r="T235" s="24">
        <v>78.738511299999999</v>
      </c>
      <c r="U235" s="24">
        <v>80.6285898</v>
      </c>
      <c r="V235" s="24">
        <v>26.400218599999999</v>
      </c>
      <c r="W235" s="24">
        <v>39.970201099999997</v>
      </c>
      <c r="X235" s="24">
        <v>41.392204100000001</v>
      </c>
      <c r="Y235" s="23"/>
      <c r="Z235" s="26">
        <v>24.061</v>
      </c>
      <c r="AA235" s="26">
        <v>19.619</v>
      </c>
      <c r="AC235" s="18" t="str">
        <f t="shared" si="38"/>
        <v>·</v>
      </c>
      <c r="AD235" s="19">
        <f t="shared" si="39"/>
        <v>0.23630419667331107</v>
      </c>
      <c r="AE235" s="19">
        <f t="shared" si="40"/>
        <v>1.5031946045625074E-2</v>
      </c>
      <c r="AF235" s="19">
        <f t="shared" si="41"/>
        <v>0.22106744242808382</v>
      </c>
      <c r="AG235" s="20"/>
      <c r="AH235" s="19">
        <f t="shared" si="42"/>
        <v>1.1897305315507598</v>
      </c>
      <c r="AI235" s="21">
        <v>14329544</v>
      </c>
      <c r="AJ235" s="22">
        <v>17048296</v>
      </c>
      <c r="AK235" s="22">
        <v>1084488</v>
      </c>
      <c r="AL235" s="22">
        <v>15949032</v>
      </c>
      <c r="AM235" s="23"/>
      <c r="AN235" s="24">
        <v>78.738511299999999</v>
      </c>
      <c r="AO235" s="24">
        <v>80.6285898</v>
      </c>
      <c r="AP235" s="24">
        <v>26.400218599999999</v>
      </c>
      <c r="AQ235" s="24">
        <v>39.970201099999997</v>
      </c>
      <c r="AR235" s="24">
        <v>41.392204100000001</v>
      </c>
      <c r="AS235" s="25"/>
      <c r="AT235" s="26">
        <v>23.242999999999999</v>
      </c>
      <c r="AU235" s="26">
        <v>19.154</v>
      </c>
      <c r="AW235" s="27">
        <f t="shared" si="43"/>
        <v>-5.9568100533576029E-4</v>
      </c>
      <c r="AX235" s="27"/>
      <c r="AZ235" s="28"/>
      <c r="BA235" s="28"/>
      <c r="BB235" s="28"/>
      <c r="BC235" s="28"/>
      <c r="BD235" s="28"/>
      <c r="BE235" s="29"/>
      <c r="BG235" s="28"/>
      <c r="BH235" s="28"/>
      <c r="BI235" s="28"/>
      <c r="BJ235" s="28"/>
      <c r="BK235" s="28"/>
      <c r="BL235" s="29"/>
    </row>
    <row r="236" spans="1:64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>
        <f t="shared" si="34"/>
        <v>0.54304411766275418</v>
      </c>
      <c r="K236" s="34">
        <f t="shared" si="35"/>
        <v>5.9951030381652511E-2</v>
      </c>
      <c r="L236" s="34">
        <f t="shared" si="36"/>
        <v>0.48306425667368613</v>
      </c>
      <c r="M236" s="35"/>
      <c r="N236" s="34">
        <f t="shared" si="37"/>
        <v>2.5787873171070772</v>
      </c>
      <c r="O236" s="36">
        <v>15192496</v>
      </c>
      <c r="P236" s="37">
        <v>39178216</v>
      </c>
      <c r="Q236" s="37">
        <v>4325200</v>
      </c>
      <c r="R236" s="37">
        <v>34850936</v>
      </c>
      <c r="S236" s="38"/>
      <c r="T236" s="39">
        <v>81.322508999999997</v>
      </c>
      <c r="U236" s="39">
        <v>82.667553799999993</v>
      </c>
      <c r="V236" s="39">
        <v>27.359781099999999</v>
      </c>
      <c r="W236" s="39">
        <v>41.480946199999998</v>
      </c>
      <c r="X236" s="39">
        <v>43.002332600000003</v>
      </c>
      <c r="Y236" s="38"/>
      <c r="Z236" s="41">
        <v>39.058</v>
      </c>
      <c r="AA236" s="41">
        <v>34.292000000000002</v>
      </c>
      <c r="AC236" s="33" t="str">
        <f t="shared" si="38"/>
        <v>·</v>
      </c>
      <c r="AD236" s="34">
        <f t="shared" si="39"/>
        <v>0.54308669825216804</v>
      </c>
      <c r="AE236" s="34">
        <f t="shared" si="40"/>
        <v>6.2598012803256928E-2</v>
      </c>
      <c r="AF236" s="34">
        <f t="shared" si="41"/>
        <v>0.48306425667368613</v>
      </c>
      <c r="AG236" s="35"/>
      <c r="AH236" s="34">
        <f t="shared" si="42"/>
        <v>2.5789895221956947</v>
      </c>
      <c r="AI236" s="36">
        <v>15192496</v>
      </c>
      <c r="AJ236" s="37">
        <v>39181288</v>
      </c>
      <c r="AK236" s="37">
        <v>4516168</v>
      </c>
      <c r="AL236" s="37">
        <v>34850936</v>
      </c>
      <c r="AM236" s="38"/>
      <c r="AN236" s="39">
        <v>81.322508999999997</v>
      </c>
      <c r="AO236" s="39">
        <v>82.667553799999993</v>
      </c>
      <c r="AP236" s="39">
        <v>27.359781099999999</v>
      </c>
      <c r="AQ236" s="39">
        <v>41.480946199999998</v>
      </c>
      <c r="AR236" s="39">
        <v>43.002332600000003</v>
      </c>
      <c r="AS236" s="40"/>
      <c r="AT236" s="41">
        <v>38.393000000000001</v>
      </c>
      <c r="AU236" s="41">
        <v>31.917999999999999</v>
      </c>
      <c r="AW236" s="42">
        <f t="shared" si="43"/>
        <v>4.8653034857980559E-3</v>
      </c>
      <c r="AX236" s="42"/>
      <c r="AZ236" s="43"/>
      <c r="BA236" s="43"/>
      <c r="BB236" s="43"/>
      <c r="BC236" s="43"/>
      <c r="BD236" s="43"/>
      <c r="BE236" s="44"/>
      <c r="BG236" s="43"/>
      <c r="BH236" s="43"/>
      <c r="BI236" s="43"/>
      <c r="BJ236" s="43"/>
      <c r="BK236" s="43"/>
      <c r="BL236" s="44"/>
    </row>
    <row r="237" spans="1:64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4"/>
      <c r="X237" s="24"/>
      <c r="Y237" s="23"/>
      <c r="Z237" s="26"/>
      <c r="AA237" s="26"/>
      <c r="AC237" s="18" t="str">
        <f t="shared" si="38"/>
        <v>·</v>
      </c>
      <c r="AD237" s="19" t="str">
        <f t="shared" si="39"/>
        <v>·</v>
      </c>
      <c r="AE237" s="19" t="str">
        <f t="shared" si="40"/>
        <v>·</v>
      </c>
      <c r="AF237" s="19" t="str">
        <f t="shared" si="41"/>
        <v>·</v>
      </c>
      <c r="AG237" s="20"/>
      <c r="AH237" s="19" t="str">
        <f t="shared" si="42"/>
        <v>·</v>
      </c>
      <c r="AI237" s="21"/>
      <c r="AJ237" s="22"/>
      <c r="AK237" s="22"/>
      <c r="AL237" s="22"/>
      <c r="AM237" s="23"/>
      <c r="AN237" s="24"/>
      <c r="AO237" s="24"/>
      <c r="AP237" s="24"/>
      <c r="AQ237" s="24"/>
      <c r="AR237" s="24"/>
      <c r="AS237" s="25"/>
      <c r="AT237" s="26"/>
      <c r="AU237" s="26"/>
      <c r="AW237" s="27" t="e">
        <f t="shared" si="43"/>
        <v>#DIV/0!</v>
      </c>
      <c r="AX237" s="27"/>
      <c r="AZ237" s="28"/>
      <c r="BA237" s="28"/>
      <c r="BB237" s="28"/>
      <c r="BC237" s="28"/>
      <c r="BD237" s="28"/>
      <c r="BE237" s="29"/>
      <c r="BG237" s="28"/>
      <c r="BH237" s="28"/>
      <c r="BI237" s="28"/>
      <c r="BJ237" s="28"/>
      <c r="BK237" s="28"/>
      <c r="BL237" s="29"/>
    </row>
    <row r="238" spans="1:64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4"/>
      <c r="X238" s="54"/>
      <c r="Y238" s="53"/>
      <c r="Z238" s="56"/>
      <c r="AA238" s="56"/>
      <c r="AC238" s="48" t="str">
        <f t="shared" si="38"/>
        <v>·</v>
      </c>
      <c r="AD238" s="49" t="str">
        <f t="shared" si="39"/>
        <v>·</v>
      </c>
      <c r="AE238" s="49" t="str">
        <f t="shared" si="40"/>
        <v>·</v>
      </c>
      <c r="AF238" s="49" t="str">
        <f t="shared" si="41"/>
        <v>·</v>
      </c>
      <c r="AG238" s="50"/>
      <c r="AH238" s="49" t="str">
        <f t="shared" si="42"/>
        <v>·</v>
      </c>
      <c r="AI238" s="51"/>
      <c r="AJ238" s="52"/>
      <c r="AK238" s="52"/>
      <c r="AL238" s="52"/>
      <c r="AM238" s="53"/>
      <c r="AN238" s="54"/>
      <c r="AO238" s="54"/>
      <c r="AP238" s="54"/>
      <c r="AQ238" s="54"/>
      <c r="AR238" s="54"/>
      <c r="AS238" s="55"/>
      <c r="AT238" s="56"/>
      <c r="AU238" s="56"/>
      <c r="AW238" s="57" t="e">
        <f t="shared" si="43"/>
        <v>#DIV/0!</v>
      </c>
      <c r="AX238" s="57"/>
      <c r="AZ238" s="58"/>
      <c r="BA238" s="58"/>
      <c r="BB238" s="58"/>
      <c r="BC238" s="58"/>
      <c r="BD238" s="58"/>
      <c r="BE238" s="59"/>
      <c r="BG238" s="58"/>
      <c r="BH238" s="58"/>
      <c r="BI238" s="58"/>
      <c r="BJ238" s="58"/>
      <c r="BK238" s="58"/>
      <c r="BL238" s="59"/>
    </row>
    <row r="239" spans="1:64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>
        <f t="shared" si="34"/>
        <v>5.0795892065627617E-2</v>
      </c>
      <c r="K239" s="19">
        <f t="shared" si="35"/>
        <v>7.3073924074480213E-4</v>
      </c>
      <c r="L239" s="19">
        <f t="shared" si="36"/>
        <v>4.9950974818516437E-2</v>
      </c>
      <c r="M239" s="20"/>
      <c r="N239" s="19">
        <f t="shared" si="37"/>
        <v>0.52116443437853877</v>
      </c>
      <c r="O239" s="21">
        <v>409744</v>
      </c>
      <c r="P239" s="22">
        <v>213544</v>
      </c>
      <c r="Q239" s="22">
        <v>3072</v>
      </c>
      <c r="R239" s="22">
        <v>209992</v>
      </c>
      <c r="S239" s="23"/>
      <c r="T239" s="24">
        <v>50.359291900000002</v>
      </c>
      <c r="U239" s="24">
        <v>55.305787199999997</v>
      </c>
      <c r="V239" s="24">
        <v>15.7305302</v>
      </c>
      <c r="W239" s="24">
        <v>35.058159099999997</v>
      </c>
      <c r="X239" s="24">
        <v>32.125098000000001</v>
      </c>
      <c r="Y239" s="23"/>
      <c r="Z239" s="26">
        <v>0.499</v>
      </c>
      <c r="AA239" s="26">
        <v>0.436</v>
      </c>
      <c r="AC239" s="18" t="str">
        <f t="shared" si="38"/>
        <v>·</v>
      </c>
      <c r="AD239" s="19">
        <f t="shared" si="39"/>
        <v>5.0799697999173159E-2</v>
      </c>
      <c r="AE239" s="19">
        <f t="shared" si="40"/>
        <v>7.3454517429034796E-4</v>
      </c>
      <c r="AF239" s="19">
        <f t="shared" si="41"/>
        <v>4.9950974818516437E-2</v>
      </c>
      <c r="AG239" s="20"/>
      <c r="AH239" s="19">
        <f t="shared" si="42"/>
        <v>0.52120348315045495</v>
      </c>
      <c r="AI239" s="21">
        <v>409744</v>
      </c>
      <c r="AJ239" s="22">
        <v>213560</v>
      </c>
      <c r="AK239" s="22">
        <v>3088</v>
      </c>
      <c r="AL239" s="22">
        <v>209992</v>
      </c>
      <c r="AM239" s="23"/>
      <c r="AN239" s="24">
        <v>50.359291900000002</v>
      </c>
      <c r="AO239" s="24">
        <v>55.305787199999997</v>
      </c>
      <c r="AP239" s="24">
        <v>15.7305302</v>
      </c>
      <c r="AQ239" s="24">
        <v>35.058159099999997</v>
      </c>
      <c r="AR239" s="24">
        <v>32.125098000000001</v>
      </c>
      <c r="AS239" s="25"/>
      <c r="AT239" s="26">
        <v>0.51500000000000001</v>
      </c>
      <c r="AU239" s="26">
        <v>0.45200000000000001</v>
      </c>
      <c r="AW239" s="27">
        <f t="shared" si="43"/>
        <v>7.384260767721168E-5</v>
      </c>
      <c r="AX239" s="27" t="e">
        <f t="array" ref="AX239">AVERAGE(AK239:AK244/AJ239:AJ244) - AVERAGE(Q239:Q244/P239:P244)</f>
        <v>#DIV/0!</v>
      </c>
      <c r="AZ239" s="28">
        <f>IF( OR(ISBLANK(Q239:Q244),ISBLANK(AK239:AK244), ISBLANK(T239:T244),ISBLANK(AN239:AN244)), "·", bdRateExtend( Q239:Q244,T239:T244, AK239:AK244,AN239:AN244))</f>
        <v>3.3565862762081622E-3</v>
      </c>
      <c r="BA239" s="28">
        <f>IF( OR(ISBLANK(Q239:Q244),ISBLANK(AK239:AK244), ISBLANK(U239:U244),ISBLANK(AO239:AO244)), "·", bdRateExtend( Q239:Q244,U239:U244, AK239:AK244,AO239:AO244))</f>
        <v>4.1539008131743493E-3</v>
      </c>
      <c r="BB239" s="28">
        <f>IF( OR(ISBLANK(R239:R244),ISBLANK(AL239:AL244), ISBLANK(V239:V244),ISBLANK(AP239:AP244)), "·", bdRateExtend( R239:R244,V239:V244, AL239:AL244,AP239:AP244))</f>
        <v>0</v>
      </c>
      <c r="BC239" s="28">
        <f>IF( OR(ISBLANK(R239:R244),ISBLANK(AL239:AL244), ISBLANK(W239:W244),ISBLANK(AQ239:AQ244)), "·", bdRateExtend( R239:R244,W239:W244, AL239:AL244,AQ239:AQ244))</f>
        <v>0</v>
      </c>
      <c r="BD239" s="28">
        <f>IF( OR(ISBLANK(R239:R244),ISBLANK(AL239:AL244), ISBLANK(X239:X244),ISBLANK(AR239:AR244)), "·", bdRateExtend( R239:R244,X239:X244, AL239:AL244,AR239:AR244))</f>
        <v>0</v>
      </c>
      <c r="BE239" s="29"/>
      <c r="BG239" s="28">
        <f>IF( OR(ISBLANK(P239:P244),ISBLANK(AJ239:AJ244), ISBLANK(T239:T244),ISBLANK(AN239:AN244)), "·", bdRateExtend( P239:P244,T239:T244, AJ239:AJ244,AN239:AN244))</f>
        <v>4.0307183301280247E-5</v>
      </c>
      <c r="BH239" s="28">
        <f>IF( OR(ISBLANK(P239:P244),ISBLANK(AJ239:AJ244), ISBLANK(U239:U244),ISBLANK(AO239:AO244)), "·", bdRateExtend( P239:P244,U239:U244, AJ239:AJ244,AO239:AO244))</f>
        <v>4.1345360760836058E-5</v>
      </c>
      <c r="BI239" s="28">
        <f>IF( OR(ISBLANK(P239:P244),ISBLANK(AJ239:AJ244), ISBLANK(V239:V244),ISBLANK(AP239:AP244)), "·", bdRateExtend( P239:P244,V239:V244, AJ239:AJ244,AP239:AP244))</f>
        <v>4.2229690057293823E-5</v>
      </c>
      <c r="BJ239" s="28">
        <f>IF( OR(ISBLANK(P239:P244),ISBLANK(AJ239:AJ244), ISBLANK(W239:W244),ISBLANK(AQ239:AQ244)), "·", bdRateExtend( P239:P244,W239:W244, AJ239:AJ244,AQ239:AQ244))</f>
        <v>4.3324581130654849E-5</v>
      </c>
      <c r="BK239" s="28">
        <f>IF( OR(ISBLANK(P239:P244),ISBLANK(AJ239:AJ244), ISBLANK(X239:X244),ISBLANK(AR239:AR244)), "·", bdRateExtend( P239:P244,X239:X244, AJ239:AJ244,AR239:AR244))</f>
        <v>4.2909391996026613E-5</v>
      </c>
      <c r="BL239" s="29"/>
    </row>
    <row r="240" spans="1:64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>
        <f t="shared" si="34"/>
        <v>0.1760891273517696</v>
      </c>
      <c r="K240" s="34">
        <f t="shared" si="35"/>
        <v>3.2673939488511074E-3</v>
      </c>
      <c r="L240" s="34">
        <f t="shared" si="36"/>
        <v>0.17270755539655211</v>
      </c>
      <c r="M240" s="35"/>
      <c r="N240" s="34">
        <f t="shared" si="37"/>
        <v>1.486424294509078</v>
      </c>
      <c r="O240" s="36">
        <v>498022</v>
      </c>
      <c r="P240" s="37">
        <v>740272</v>
      </c>
      <c r="Q240" s="37">
        <v>13736</v>
      </c>
      <c r="R240" s="37">
        <v>726056</v>
      </c>
      <c r="S240" s="38"/>
      <c r="T240" s="39">
        <v>55.110064899999998</v>
      </c>
      <c r="U240" s="39">
        <v>59.143869100000003</v>
      </c>
      <c r="V240" s="39">
        <v>16.392826400000001</v>
      </c>
      <c r="W240" s="39">
        <v>35.566255499999997</v>
      </c>
      <c r="X240" s="39">
        <v>32.818310099999998</v>
      </c>
      <c r="Y240" s="38"/>
      <c r="Z240" s="41">
        <v>0.71699999999999997</v>
      </c>
      <c r="AA240" s="41">
        <v>0.59299999999999997</v>
      </c>
      <c r="AC240" s="33" t="str">
        <f t="shared" si="38"/>
        <v>·</v>
      </c>
      <c r="AD240" s="34">
        <f t="shared" si="39"/>
        <v>0.17609293328531514</v>
      </c>
      <c r="AE240" s="34">
        <f t="shared" si="40"/>
        <v>3.2654909820783347E-3</v>
      </c>
      <c r="AF240" s="34">
        <f t="shared" si="41"/>
        <v>0.17270755539655211</v>
      </c>
      <c r="AG240" s="35"/>
      <c r="AH240" s="34">
        <f t="shared" si="42"/>
        <v>1.4864564216038649</v>
      </c>
      <c r="AI240" s="36">
        <v>498022</v>
      </c>
      <c r="AJ240" s="37">
        <v>740288</v>
      </c>
      <c r="AK240" s="37">
        <v>13728</v>
      </c>
      <c r="AL240" s="37">
        <v>726056</v>
      </c>
      <c r="AM240" s="38"/>
      <c r="AN240" s="39">
        <v>55.110064899999998</v>
      </c>
      <c r="AO240" s="39">
        <v>59.143869100000003</v>
      </c>
      <c r="AP240" s="39">
        <v>16.392826400000001</v>
      </c>
      <c r="AQ240" s="39">
        <v>35.566255499999997</v>
      </c>
      <c r="AR240" s="39">
        <v>32.818310099999998</v>
      </c>
      <c r="AS240" s="40"/>
      <c r="AT240" s="41">
        <v>0.70199999999999996</v>
      </c>
      <c r="AU240" s="41">
        <v>0.60899999999999999</v>
      </c>
      <c r="AW240" s="42">
        <f t="shared" si="43"/>
        <v>-1.1207645496245922E-5</v>
      </c>
      <c r="AX240" s="42"/>
      <c r="AZ240" s="43"/>
      <c r="BA240" s="43"/>
      <c r="BB240" s="43"/>
      <c r="BC240" s="43"/>
      <c r="BD240" s="43"/>
      <c r="BE240" s="44"/>
      <c r="BG240" s="43"/>
      <c r="BH240" s="43"/>
      <c r="BI240" s="43"/>
      <c r="BJ240" s="43"/>
      <c r="BK240" s="43"/>
      <c r="BL240" s="44"/>
    </row>
    <row r="241" spans="1:64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>
        <f t="shared" si="34"/>
        <v>0.47670078844670816</v>
      </c>
      <c r="K241" s="19">
        <f t="shared" si="35"/>
        <v>1.6983978446998331E-2</v>
      </c>
      <c r="L241" s="19">
        <f t="shared" si="36"/>
        <v>0.45960263199334345</v>
      </c>
      <c r="M241" s="20"/>
      <c r="N241" s="19">
        <f t="shared" si="37"/>
        <v>2.8886239904751885</v>
      </c>
      <c r="O241" s="21">
        <v>693767</v>
      </c>
      <c r="P241" s="22">
        <v>2004032</v>
      </c>
      <c r="Q241" s="22">
        <v>71400</v>
      </c>
      <c r="R241" s="22">
        <v>1932152</v>
      </c>
      <c r="S241" s="23"/>
      <c r="T241" s="24">
        <v>58.080359199999997</v>
      </c>
      <c r="U241" s="24">
        <v>61.284763699999999</v>
      </c>
      <c r="V241" s="24">
        <v>16.902063600000002</v>
      </c>
      <c r="W241" s="24">
        <v>36.408613899999999</v>
      </c>
      <c r="X241" s="24">
        <v>33.801622299999998</v>
      </c>
      <c r="Y241" s="23"/>
      <c r="Z241" s="26">
        <v>1.234</v>
      </c>
      <c r="AA241" s="26">
        <v>1.0620000000000001</v>
      </c>
      <c r="AC241" s="18" t="str">
        <f t="shared" si="38"/>
        <v>·</v>
      </c>
      <c r="AD241" s="19">
        <f t="shared" si="39"/>
        <v>0.47672552701475418</v>
      </c>
      <c r="AE241" s="19">
        <f t="shared" si="40"/>
        <v>1.707532085209143E-2</v>
      </c>
      <c r="AF241" s="19">
        <f t="shared" si="41"/>
        <v>0.45960263199334345</v>
      </c>
      <c r="AG241" s="20"/>
      <c r="AH241" s="19">
        <f t="shared" si="42"/>
        <v>2.88877389671172</v>
      </c>
      <c r="AI241" s="21">
        <v>693767</v>
      </c>
      <c r="AJ241" s="22">
        <v>2004136</v>
      </c>
      <c r="AK241" s="22">
        <v>71784</v>
      </c>
      <c r="AL241" s="22">
        <v>1932152</v>
      </c>
      <c r="AM241" s="23"/>
      <c r="AN241" s="24">
        <v>58.080359199999997</v>
      </c>
      <c r="AO241" s="24">
        <v>61.284763699999999</v>
      </c>
      <c r="AP241" s="24">
        <v>16.902063600000002</v>
      </c>
      <c r="AQ241" s="24">
        <v>36.408613899999999</v>
      </c>
      <c r="AR241" s="24">
        <v>33.801622299999998</v>
      </c>
      <c r="AS241" s="25"/>
      <c r="AT241" s="26">
        <v>1.2030000000000001</v>
      </c>
      <c r="AU241" s="26">
        <v>1.0149999999999999</v>
      </c>
      <c r="AW241" s="27">
        <f t="shared" si="43"/>
        <v>1.8975492179442582E-4</v>
      </c>
      <c r="AX241" s="27"/>
      <c r="AZ241" s="28"/>
      <c r="BA241" s="28"/>
      <c r="BB241" s="28"/>
      <c r="BC241" s="28"/>
      <c r="BD241" s="28"/>
      <c r="BE241" s="29"/>
      <c r="BG241" s="28"/>
      <c r="BH241" s="28"/>
      <c r="BI241" s="28"/>
      <c r="BJ241" s="28"/>
      <c r="BK241" s="28"/>
      <c r="BL241" s="29"/>
    </row>
    <row r="242" spans="1:64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>
        <f t="shared" si="34"/>
        <v>1.0319826868083013</v>
      </c>
      <c r="K242" s="34">
        <f t="shared" si="35"/>
        <v>7.6019716638732707E-2</v>
      </c>
      <c r="L242" s="34">
        <f t="shared" si="36"/>
        <v>0.95584879216320229</v>
      </c>
      <c r="M242" s="35"/>
      <c r="N242" s="34">
        <f t="shared" si="37"/>
        <v>4.8424415262608616</v>
      </c>
      <c r="O242" s="36">
        <v>895915</v>
      </c>
      <c r="P242" s="37">
        <v>4338416</v>
      </c>
      <c r="Q242" s="37">
        <v>319584</v>
      </c>
      <c r="R242" s="37">
        <v>4018352</v>
      </c>
      <c r="S242" s="38"/>
      <c r="T242" s="39">
        <v>60.4728043</v>
      </c>
      <c r="U242" s="39">
        <v>64.090328</v>
      </c>
      <c r="V242" s="39">
        <v>17.6215233</v>
      </c>
      <c r="W242" s="39">
        <v>37.610865500000003</v>
      </c>
      <c r="X242" s="39">
        <v>35.119750600000003</v>
      </c>
      <c r="Y242" s="38"/>
      <c r="Z242" s="41">
        <v>2.327</v>
      </c>
      <c r="AA242" s="41">
        <v>1.9830000000000001</v>
      </c>
      <c r="AC242" s="33" t="str">
        <f t="shared" si="38"/>
        <v>·</v>
      </c>
      <c r="AD242" s="34">
        <f t="shared" si="39"/>
        <v>1.0320207461437567</v>
      </c>
      <c r="AE242" s="34">
        <f t="shared" si="40"/>
        <v>7.7184332303669723E-2</v>
      </c>
      <c r="AF242" s="34">
        <f t="shared" si="41"/>
        <v>0.95584879216320229</v>
      </c>
      <c r="AG242" s="35"/>
      <c r="AH242" s="34">
        <f t="shared" si="42"/>
        <v>4.8426201146314103</v>
      </c>
      <c r="AI242" s="36">
        <v>895915</v>
      </c>
      <c r="AJ242" s="37">
        <v>4338576</v>
      </c>
      <c r="AK242" s="37">
        <v>324480</v>
      </c>
      <c r="AL242" s="37">
        <v>4018352</v>
      </c>
      <c r="AM242" s="38"/>
      <c r="AN242" s="39">
        <v>60.4728043</v>
      </c>
      <c r="AO242" s="39">
        <v>64.090328</v>
      </c>
      <c r="AP242" s="39">
        <v>17.6215233</v>
      </c>
      <c r="AQ242" s="39">
        <v>37.610865500000003</v>
      </c>
      <c r="AR242" s="39">
        <v>35.119750600000003</v>
      </c>
      <c r="AS242" s="40"/>
      <c r="AT242" s="41">
        <v>2.3109999999999999</v>
      </c>
      <c r="AU242" s="41">
        <v>1.9370000000000001</v>
      </c>
      <c r="AW242" s="42">
        <f t="shared" si="43"/>
        <v>1.1257642599071527E-3</v>
      </c>
      <c r="AX242" s="42"/>
      <c r="AZ242" s="43"/>
      <c r="BA242" s="43"/>
      <c r="BB242" s="43"/>
      <c r="BC242" s="43"/>
      <c r="BD242" s="43"/>
      <c r="BE242" s="44"/>
      <c r="BG242" s="43"/>
      <c r="BH242" s="43"/>
      <c r="BI242" s="43"/>
      <c r="BJ242" s="43"/>
      <c r="BK242" s="43"/>
      <c r="BL242" s="44"/>
    </row>
    <row r="243" spans="1:64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4"/>
      <c r="X243" s="24"/>
      <c r="Y243" s="23"/>
      <c r="Z243" s="26"/>
      <c r="AA243" s="26"/>
      <c r="AC243" s="18" t="str">
        <f t="shared" si="38"/>
        <v>·</v>
      </c>
      <c r="AD243" s="19" t="str">
        <f t="shared" si="39"/>
        <v>·</v>
      </c>
      <c r="AE243" s="19" t="str">
        <f t="shared" si="40"/>
        <v>·</v>
      </c>
      <c r="AF243" s="19" t="str">
        <f t="shared" si="41"/>
        <v>·</v>
      </c>
      <c r="AG243" s="20"/>
      <c r="AH243" s="19" t="str">
        <f t="shared" si="42"/>
        <v>·</v>
      </c>
      <c r="AI243" s="21"/>
      <c r="AJ243" s="22"/>
      <c r="AK243" s="22"/>
      <c r="AL243" s="22"/>
      <c r="AM243" s="23"/>
      <c r="AN243" s="24"/>
      <c r="AO243" s="24"/>
      <c r="AP243" s="24"/>
      <c r="AQ243" s="24"/>
      <c r="AR243" s="24"/>
      <c r="AS243" s="25"/>
      <c r="AT243" s="26"/>
      <c r="AU243" s="26"/>
      <c r="AW243" s="27" t="e">
        <f t="shared" si="43"/>
        <v>#DIV/0!</v>
      </c>
      <c r="AX243" s="27"/>
      <c r="AZ243" s="28"/>
      <c r="BA243" s="28"/>
      <c r="BB243" s="28"/>
      <c r="BC243" s="28"/>
      <c r="BD243" s="28"/>
      <c r="BE243" s="29"/>
      <c r="BG243" s="28"/>
      <c r="BH243" s="28"/>
      <c r="BI243" s="28"/>
      <c r="BJ243" s="28"/>
      <c r="BK243" s="28"/>
      <c r="BL243" s="29"/>
    </row>
    <row r="244" spans="1:64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4"/>
      <c r="X244" s="54"/>
      <c r="Y244" s="53"/>
      <c r="Z244" s="56"/>
      <c r="AA244" s="56"/>
      <c r="AC244" s="48" t="str">
        <f t="shared" si="38"/>
        <v>·</v>
      </c>
      <c r="AD244" s="49" t="str">
        <f t="shared" si="39"/>
        <v>·</v>
      </c>
      <c r="AE244" s="49" t="str">
        <f t="shared" si="40"/>
        <v>·</v>
      </c>
      <c r="AF244" s="49" t="str">
        <f t="shared" si="41"/>
        <v>·</v>
      </c>
      <c r="AG244" s="50"/>
      <c r="AH244" s="49" t="str">
        <f t="shared" si="42"/>
        <v>·</v>
      </c>
      <c r="AI244" s="51"/>
      <c r="AJ244" s="52"/>
      <c r="AK244" s="52"/>
      <c r="AL244" s="52"/>
      <c r="AM244" s="53"/>
      <c r="AN244" s="54"/>
      <c r="AO244" s="54"/>
      <c r="AP244" s="54"/>
      <c r="AQ244" s="54"/>
      <c r="AR244" s="54"/>
      <c r="AS244" s="55"/>
      <c r="AT244" s="56"/>
      <c r="AU244" s="56"/>
      <c r="AW244" s="57" t="e">
        <f t="shared" si="43"/>
        <v>#DIV/0!</v>
      </c>
      <c r="AX244" s="57"/>
      <c r="AZ244" s="58"/>
      <c r="BA244" s="58"/>
      <c r="BB244" s="58"/>
      <c r="BC244" s="58"/>
      <c r="BD244" s="58"/>
      <c r="BE244" s="59"/>
      <c r="BG244" s="58"/>
      <c r="BH244" s="58"/>
      <c r="BI244" s="58"/>
      <c r="BJ244" s="58"/>
      <c r="BK244" s="58"/>
      <c r="BL244" s="59"/>
    </row>
    <row r="245" spans="1:64" x14ac:dyDescent="0.15">
      <c r="A245" s="15"/>
      <c r="B245" s="15" t="s">
        <v>1046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>
        <f t="shared" si="34"/>
        <v>0.15024871585042812</v>
      </c>
      <c r="K245" s="19">
        <f t="shared" si="35"/>
        <v>9.7210444185630001E-3</v>
      </c>
      <c r="L245" s="19">
        <f t="shared" si="36"/>
        <v>0.14005270183486693</v>
      </c>
      <c r="M245" s="20"/>
      <c r="N245" s="19">
        <f t="shared" si="37"/>
        <v>0.31713343456094439</v>
      </c>
      <c r="O245" s="21">
        <v>478789</v>
      </c>
      <c r="P245" s="22">
        <v>151840</v>
      </c>
      <c r="Q245" s="22">
        <v>9824</v>
      </c>
      <c r="R245" s="22">
        <v>141536</v>
      </c>
      <c r="S245" s="23"/>
      <c r="T245" s="24">
        <v>52.200437999999998</v>
      </c>
      <c r="U245" s="24">
        <v>56.662706200000002</v>
      </c>
      <c r="V245" s="24">
        <v>19.2298078</v>
      </c>
      <c r="W245" s="24">
        <v>31.040065899999998</v>
      </c>
      <c r="X245" s="24">
        <v>33.512925799999998</v>
      </c>
      <c r="Y245" s="23"/>
      <c r="Z245" s="26">
        <v>1.1559999999999999</v>
      </c>
      <c r="AA245" s="26">
        <v>0.57799999999999996</v>
      </c>
      <c r="AC245" s="18" t="str">
        <f t="shared" si="38"/>
        <v>·</v>
      </c>
      <c r="AD245" s="19">
        <f t="shared" si="39"/>
        <v>0.15027246433027802</v>
      </c>
      <c r="AE245" s="19">
        <f t="shared" si="40"/>
        <v>9.768541378262819E-3</v>
      </c>
      <c r="AF245" s="19">
        <f t="shared" si="41"/>
        <v>0.14005270183486693</v>
      </c>
      <c r="AG245" s="20"/>
      <c r="AH245" s="19">
        <f t="shared" si="42"/>
        <v>0.31718356102583811</v>
      </c>
      <c r="AI245" s="21">
        <v>478789</v>
      </c>
      <c r="AJ245" s="22">
        <v>151864</v>
      </c>
      <c r="AK245" s="22">
        <v>9872</v>
      </c>
      <c r="AL245" s="22">
        <v>141536</v>
      </c>
      <c r="AM245" s="23"/>
      <c r="AN245" s="24">
        <v>52.200437999999998</v>
      </c>
      <c r="AO245" s="24">
        <v>56.662706200000002</v>
      </c>
      <c r="AP245" s="24">
        <v>19.2298078</v>
      </c>
      <c r="AQ245" s="24">
        <v>31.040065899999998</v>
      </c>
      <c r="AR245" s="24">
        <v>33.512925799999998</v>
      </c>
      <c r="AS245" s="25"/>
      <c r="AT245" s="26">
        <v>1.125</v>
      </c>
      <c r="AU245" s="26">
        <v>0.624</v>
      </c>
      <c r="AW245" s="27">
        <f t="shared" si="43"/>
        <v>3.0584738704980685E-4</v>
      </c>
      <c r="AX245" s="27" t="e">
        <f t="array" ref="AX245">AVERAGE(AK245:AK250/AJ245:AJ250) - AVERAGE(Q245:Q250/P245:P250)</f>
        <v>#DIV/0!</v>
      </c>
      <c r="AZ245" s="28">
        <f>IF( OR(ISBLANK(Q245:Q250),ISBLANK(AK245:AK250), ISBLANK(T245:T250),ISBLANK(AN245:AN250)), "·", bdRateExtend( Q245:Q250,T245:T250, AK245:AK250,AN245:AN250))</f>
        <v>1.0961076411648785E-2</v>
      </c>
      <c r="BA245" s="28">
        <f>IF( OR(ISBLANK(Q245:Q250),ISBLANK(AK245:AK250), ISBLANK(U245:U250),ISBLANK(AO245:AO250)), "·", bdRateExtend( Q245:Q250,U245:U250, AK245:AK250,AO245:AO250))</f>
        <v>1.1005316893887063E-2</v>
      </c>
      <c r="BB245" s="28">
        <f>IF( OR(ISBLANK(R245:R250),ISBLANK(AL245:AL250), ISBLANK(V245:V250),ISBLANK(AP245:AP250)), "·", bdRateExtend( R245:R250,V245:V250, AL245:AL250,AP245:AP250))</f>
        <v>0</v>
      </c>
      <c r="BC245" s="28">
        <f>IF( OR(ISBLANK(R245:R250),ISBLANK(AL245:AL250), ISBLANK(W245:W250),ISBLANK(AQ245:AQ250)), "·", bdRateExtend( R245:R250,W245:W250, AL245:AL250,AQ245:AQ250))</f>
        <v>0</v>
      </c>
      <c r="BD245" s="28">
        <f>IF( OR(ISBLANK(R245:R250),ISBLANK(AL245:AL250), ISBLANK(X245:X250),ISBLANK(AR245:AR250)), "·", bdRateExtend( R245:R250,X245:X250, AL245:AL250,AR245:AR250))</f>
        <v>0</v>
      </c>
      <c r="BE245" s="29"/>
      <c r="BG245" s="28">
        <f>IF( OR(ISBLANK(P245:P250),ISBLANK(AJ245:AJ250), ISBLANK(T245:T250),ISBLANK(AN245:AN250)), "·", bdRateExtend( P245:P250,T245:T250, AJ245:AJ250,AN245:AN250))</f>
        <v>1.0687904583650543E-4</v>
      </c>
      <c r="BH245" s="28">
        <f>IF( OR(ISBLANK(P245:P250),ISBLANK(AJ245:AJ250), ISBLANK(U245:U250),ISBLANK(AO245:AO250)), "·", bdRateExtend( P245:P250,U245:U250, AJ245:AJ250,AO245:AO250))</f>
        <v>1.0658931909279801E-4</v>
      </c>
      <c r="BI245" s="28">
        <f>IF( OR(ISBLANK(P245:P250),ISBLANK(AJ245:AJ250), ISBLANK(V245:V250),ISBLANK(AP245:AP250)), "·", bdRateExtend( P245:P250,V245:V250, AJ245:AJ250,AP245:AP250))</f>
        <v>9.9144850569832244E-5</v>
      </c>
      <c r="BJ245" s="28">
        <f>IF( OR(ISBLANK(P245:P250),ISBLANK(AJ245:AJ250), ISBLANK(W245:W250),ISBLANK(AQ245:AQ250)), "·", bdRateExtend( P245:P250,W245:W250, AJ245:AJ250,AQ245:AQ250))</f>
        <v>9.8241726801395757E-5</v>
      </c>
      <c r="BK245" s="28">
        <f>IF( OR(ISBLANK(P245:P250),ISBLANK(AJ245:AJ250), ISBLANK(X245:X250),ISBLANK(AR245:AR250)), "·", bdRateExtend( P245:P250,X245:X250, AJ245:AJ250,AR245:AR250))</f>
        <v>9.2788051915704273E-5</v>
      </c>
      <c r="BL245" s="29"/>
    </row>
    <row r="246" spans="1:64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>
        <f t="shared" si="34"/>
        <v>0.55181176163254964</v>
      </c>
      <c r="K246" s="34">
        <f t="shared" si="35"/>
        <v>3.9018752393401482E-2</v>
      </c>
      <c r="L246" s="34">
        <f t="shared" si="36"/>
        <v>0.51231803964214995</v>
      </c>
      <c r="M246" s="35"/>
      <c r="N246" s="34">
        <f t="shared" si="37"/>
        <v>0.95502287132290609</v>
      </c>
      <c r="O246" s="36">
        <v>583919</v>
      </c>
      <c r="P246" s="37">
        <v>557656</v>
      </c>
      <c r="Q246" s="37">
        <v>39432</v>
      </c>
      <c r="R246" s="37">
        <v>517744</v>
      </c>
      <c r="S246" s="38"/>
      <c r="T246" s="39">
        <v>58.294127799999998</v>
      </c>
      <c r="U246" s="39">
        <v>61.820855000000002</v>
      </c>
      <c r="V246" s="39">
        <v>21.628024</v>
      </c>
      <c r="W246" s="39">
        <v>33.109469300000001</v>
      </c>
      <c r="X246" s="39">
        <v>34.939733099999998</v>
      </c>
      <c r="Y246" s="38"/>
      <c r="Z246" s="41">
        <v>1.452</v>
      </c>
      <c r="AA246" s="41">
        <v>0.79600000000000004</v>
      </c>
      <c r="AC246" s="33" t="str">
        <f t="shared" si="38"/>
        <v>·</v>
      </c>
      <c r="AD246" s="34">
        <f t="shared" si="39"/>
        <v>0.55186717475219949</v>
      </c>
      <c r="AE246" s="34">
        <f t="shared" si="40"/>
        <v>3.9454141190649827E-2</v>
      </c>
      <c r="AF246" s="34">
        <f t="shared" si="41"/>
        <v>0.51231803964214995</v>
      </c>
      <c r="AG246" s="35"/>
      <c r="AH246" s="34">
        <f t="shared" si="42"/>
        <v>0.95511877503557852</v>
      </c>
      <c r="AI246" s="36">
        <v>583919</v>
      </c>
      <c r="AJ246" s="37">
        <v>557712</v>
      </c>
      <c r="AK246" s="37">
        <v>39872</v>
      </c>
      <c r="AL246" s="37">
        <v>517744</v>
      </c>
      <c r="AM246" s="38"/>
      <c r="AN246" s="39">
        <v>58.294127799999998</v>
      </c>
      <c r="AO246" s="39">
        <v>61.820855000000002</v>
      </c>
      <c r="AP246" s="39">
        <v>21.628024</v>
      </c>
      <c r="AQ246" s="39">
        <v>33.109469300000001</v>
      </c>
      <c r="AR246" s="39">
        <v>34.939733099999998</v>
      </c>
      <c r="AS246" s="40"/>
      <c r="AT246" s="41">
        <v>1.577</v>
      </c>
      <c r="AU246" s="41">
        <v>0.71799999999999997</v>
      </c>
      <c r="AW246" s="42">
        <f t="shared" si="43"/>
        <v>7.8183762500246001E-4</v>
      </c>
      <c r="AX246" s="42"/>
      <c r="AZ246" s="43"/>
      <c r="BA246" s="43"/>
      <c r="BB246" s="43"/>
      <c r="BC246" s="43"/>
      <c r="BD246" s="43"/>
      <c r="BE246" s="44"/>
      <c r="BG246" s="43"/>
      <c r="BH246" s="43"/>
      <c r="BI246" s="43"/>
      <c r="BJ246" s="43"/>
      <c r="BK246" s="43"/>
      <c r="BL246" s="44"/>
    </row>
    <row r="247" spans="1:64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>
        <f t="shared" si="34"/>
        <v>1.9295244070054058</v>
      </c>
      <c r="K247" s="19">
        <f t="shared" si="35"/>
        <v>0.19095361031317318</v>
      </c>
      <c r="L247" s="19">
        <f t="shared" si="36"/>
        <v>1.7380958270952345</v>
      </c>
      <c r="M247" s="20"/>
      <c r="N247" s="19">
        <f t="shared" si="37"/>
        <v>2.0299523003474933</v>
      </c>
      <c r="O247" s="21">
        <v>960594</v>
      </c>
      <c r="P247" s="22">
        <v>1949960</v>
      </c>
      <c r="Q247" s="22">
        <v>192976</v>
      </c>
      <c r="R247" s="22">
        <v>1756504</v>
      </c>
      <c r="S247" s="23"/>
      <c r="T247" s="24">
        <v>62.948207400000001</v>
      </c>
      <c r="U247" s="24">
        <v>65.826142599999997</v>
      </c>
      <c r="V247" s="24">
        <v>24.479623100000001</v>
      </c>
      <c r="W247" s="24">
        <v>35.698995699999998</v>
      </c>
      <c r="X247" s="24">
        <v>37.350443800000001</v>
      </c>
      <c r="Y247" s="23"/>
      <c r="Z247" s="26">
        <v>3.1240000000000001</v>
      </c>
      <c r="AA247" s="26">
        <v>1.6080000000000001</v>
      </c>
      <c r="AC247" s="18" t="str">
        <f t="shared" si="38"/>
        <v>·</v>
      </c>
      <c r="AD247" s="19">
        <f t="shared" si="39"/>
        <v>1.9296273170847553</v>
      </c>
      <c r="AE247" s="19">
        <f t="shared" si="40"/>
        <v>0.19488002564835824</v>
      </c>
      <c r="AF247" s="19">
        <f t="shared" si="41"/>
        <v>1.7380958270952345</v>
      </c>
      <c r="AG247" s="20"/>
      <c r="AH247" s="19">
        <f t="shared" si="42"/>
        <v>2.0300605666910267</v>
      </c>
      <c r="AI247" s="21">
        <v>960594</v>
      </c>
      <c r="AJ247" s="22">
        <v>1950064</v>
      </c>
      <c r="AK247" s="22">
        <v>196944</v>
      </c>
      <c r="AL247" s="22">
        <v>1756504</v>
      </c>
      <c r="AM247" s="23"/>
      <c r="AN247" s="24">
        <v>62.948207400000001</v>
      </c>
      <c r="AO247" s="24">
        <v>65.826142599999997</v>
      </c>
      <c r="AP247" s="24">
        <v>24.479623100000001</v>
      </c>
      <c r="AQ247" s="24">
        <v>35.698995699999998</v>
      </c>
      <c r="AR247" s="24">
        <v>37.350443800000001</v>
      </c>
      <c r="AS247" s="25"/>
      <c r="AT247" s="26">
        <v>3.1240000000000001</v>
      </c>
      <c r="AU247" s="26">
        <v>1.484</v>
      </c>
      <c r="AW247" s="27">
        <f t="shared" si="43"/>
        <v>2.0295271004148047E-3</v>
      </c>
      <c r="AX247" s="27"/>
      <c r="AZ247" s="28"/>
      <c r="BA247" s="28"/>
      <c r="BB247" s="28"/>
      <c r="BC247" s="28"/>
      <c r="BD247" s="28"/>
      <c r="BE247" s="29"/>
      <c r="BG247" s="28"/>
      <c r="BH247" s="28"/>
      <c r="BI247" s="28"/>
      <c r="BJ247" s="28"/>
      <c r="BK247" s="28"/>
      <c r="BL247" s="29"/>
    </row>
    <row r="248" spans="1:64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9"/>
      <c r="X248" s="39"/>
      <c r="Y248" s="38"/>
      <c r="Z248" s="41"/>
      <c r="AA248" s="41"/>
      <c r="AC248" s="33" t="str">
        <f t="shared" si="38"/>
        <v>·</v>
      </c>
      <c r="AD248" s="34" t="str">
        <f t="shared" si="39"/>
        <v>·</v>
      </c>
      <c r="AE248" s="34" t="str">
        <f t="shared" si="40"/>
        <v>·</v>
      </c>
      <c r="AF248" s="34" t="str">
        <f t="shared" si="41"/>
        <v>·</v>
      </c>
      <c r="AG248" s="35"/>
      <c r="AH248" s="34" t="str">
        <f t="shared" si="42"/>
        <v>·</v>
      </c>
      <c r="AI248" s="36"/>
      <c r="AJ248" s="37"/>
      <c r="AK248" s="37"/>
      <c r="AL248" s="37"/>
      <c r="AM248" s="38"/>
      <c r="AN248" s="39"/>
      <c r="AO248" s="39"/>
      <c r="AP248" s="39"/>
      <c r="AQ248" s="39"/>
      <c r="AR248" s="39"/>
      <c r="AS248" s="40"/>
      <c r="AT248" s="41"/>
      <c r="AU248" s="41"/>
      <c r="AW248" s="42" t="e">
        <f t="shared" si="43"/>
        <v>#DIV/0!</v>
      </c>
      <c r="AX248" s="42"/>
      <c r="AZ248" s="43"/>
      <c r="BA248" s="43"/>
      <c r="BB248" s="43"/>
      <c r="BC248" s="43"/>
      <c r="BD248" s="43"/>
      <c r="BE248" s="44"/>
      <c r="BG248" s="43"/>
      <c r="BH248" s="43"/>
      <c r="BI248" s="43"/>
      <c r="BJ248" s="43"/>
      <c r="BK248" s="43"/>
      <c r="BL248" s="44"/>
    </row>
    <row r="249" spans="1:64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4"/>
      <c r="X249" s="24"/>
      <c r="Y249" s="23"/>
      <c r="Z249" s="26"/>
      <c r="AA249" s="26"/>
      <c r="AC249" s="18" t="str">
        <f t="shared" si="38"/>
        <v>·</v>
      </c>
      <c r="AD249" s="19" t="str">
        <f t="shared" si="39"/>
        <v>·</v>
      </c>
      <c r="AE249" s="19" t="str">
        <f t="shared" si="40"/>
        <v>·</v>
      </c>
      <c r="AF249" s="19" t="str">
        <f t="shared" si="41"/>
        <v>·</v>
      </c>
      <c r="AG249" s="20"/>
      <c r="AH249" s="19" t="str">
        <f t="shared" si="42"/>
        <v>·</v>
      </c>
      <c r="AI249" s="21"/>
      <c r="AJ249" s="22"/>
      <c r="AK249" s="22"/>
      <c r="AL249" s="22"/>
      <c r="AM249" s="23"/>
      <c r="AN249" s="24"/>
      <c r="AO249" s="24"/>
      <c r="AP249" s="24"/>
      <c r="AQ249" s="24"/>
      <c r="AR249" s="24"/>
      <c r="AS249" s="25"/>
      <c r="AT249" s="26"/>
      <c r="AU249" s="26"/>
      <c r="AW249" s="27" t="e">
        <f t="shared" si="43"/>
        <v>#DIV/0!</v>
      </c>
      <c r="AX249" s="27"/>
      <c r="AZ249" s="28"/>
      <c r="BA249" s="28"/>
      <c r="BB249" s="28"/>
      <c r="BC249" s="28"/>
      <c r="BD249" s="28"/>
      <c r="BE249" s="29"/>
      <c r="BG249" s="28"/>
      <c r="BH249" s="28"/>
      <c r="BI249" s="28"/>
      <c r="BJ249" s="28"/>
      <c r="BK249" s="28"/>
      <c r="BL249" s="29"/>
    </row>
    <row r="250" spans="1:64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4"/>
      <c r="X250" s="54"/>
      <c r="Y250" s="53"/>
      <c r="Z250" s="56"/>
      <c r="AA250" s="56"/>
      <c r="AC250" s="48" t="str">
        <f t="shared" si="38"/>
        <v>·</v>
      </c>
      <c r="AD250" s="49" t="str">
        <f t="shared" si="39"/>
        <v>·</v>
      </c>
      <c r="AE250" s="49" t="str">
        <f t="shared" si="40"/>
        <v>·</v>
      </c>
      <c r="AF250" s="49" t="str">
        <f t="shared" si="41"/>
        <v>·</v>
      </c>
      <c r="AG250" s="50"/>
      <c r="AH250" s="49" t="str">
        <f t="shared" si="42"/>
        <v>·</v>
      </c>
      <c r="AI250" s="51"/>
      <c r="AJ250" s="52"/>
      <c r="AK250" s="52"/>
      <c r="AL250" s="52"/>
      <c r="AM250" s="53"/>
      <c r="AN250" s="54"/>
      <c r="AO250" s="54"/>
      <c r="AP250" s="54"/>
      <c r="AQ250" s="54"/>
      <c r="AR250" s="54"/>
      <c r="AS250" s="55"/>
      <c r="AT250" s="56"/>
      <c r="AU250" s="56"/>
      <c r="AW250" s="57" t="e">
        <f t="shared" si="43"/>
        <v>#DIV/0!</v>
      </c>
      <c r="AX250" s="57"/>
      <c r="AZ250" s="58"/>
      <c r="BA250" s="58"/>
      <c r="BB250" s="58"/>
      <c r="BC250" s="58"/>
      <c r="BD250" s="58"/>
      <c r="BE250" s="59"/>
      <c r="BG250" s="58"/>
      <c r="BH250" s="58"/>
      <c r="BI250" s="58"/>
      <c r="BJ250" s="58"/>
      <c r="BK250" s="58"/>
      <c r="BL250" s="59"/>
    </row>
    <row r="251" spans="1:64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>
        <f t="shared" si="34"/>
        <v>8.3162264737563954E-2</v>
      </c>
      <c r="K251" s="19">
        <f t="shared" si="35"/>
        <v>3.2857069579974238E-3</v>
      </c>
      <c r="L251" s="19">
        <f t="shared" si="36"/>
        <v>7.982216147212387E-2</v>
      </c>
      <c r="M251" s="20"/>
      <c r="N251" s="19">
        <f t="shared" si="37"/>
        <v>0.1949320740776786</v>
      </c>
      <c r="O251" s="21">
        <v>20077681</v>
      </c>
      <c r="P251" s="22">
        <v>3913784</v>
      </c>
      <c r="Q251" s="22">
        <v>154632</v>
      </c>
      <c r="R251" s="22">
        <v>3756592</v>
      </c>
      <c r="S251" s="23"/>
      <c r="T251" s="24">
        <v>64.920308599999998</v>
      </c>
      <c r="U251" s="24">
        <v>67.0900386</v>
      </c>
      <c r="V251" s="24">
        <v>21.996480699999999</v>
      </c>
      <c r="W251" s="24">
        <v>35.410786199999997</v>
      </c>
      <c r="X251" s="24">
        <v>38.4098355</v>
      </c>
      <c r="Y251" s="23"/>
      <c r="Z251" s="26">
        <v>26.568000000000001</v>
      </c>
      <c r="AA251" s="26">
        <v>20.884</v>
      </c>
      <c r="AC251" s="18" t="str">
        <f t="shared" si="38"/>
        <v>·</v>
      </c>
      <c r="AD251" s="19">
        <f t="shared" si="39"/>
        <v>8.316702441446519E-2</v>
      </c>
      <c r="AE251" s="19">
        <f t="shared" si="40"/>
        <v>3.2741477426658583E-3</v>
      </c>
      <c r="AF251" s="19">
        <f t="shared" si="41"/>
        <v>7.982216147212387E-2</v>
      </c>
      <c r="AG251" s="20"/>
      <c r="AH251" s="19">
        <f t="shared" si="42"/>
        <v>0.19494323074462633</v>
      </c>
      <c r="AI251" s="21">
        <v>20077681</v>
      </c>
      <c r="AJ251" s="22">
        <v>3914008</v>
      </c>
      <c r="AK251" s="22">
        <v>154088</v>
      </c>
      <c r="AL251" s="22">
        <v>3756592</v>
      </c>
      <c r="AM251" s="23"/>
      <c r="AN251" s="24">
        <v>64.920308599999998</v>
      </c>
      <c r="AO251" s="24">
        <v>67.0900386</v>
      </c>
      <c r="AP251" s="24">
        <v>21.996480699999999</v>
      </c>
      <c r="AQ251" s="24">
        <v>35.410786199999997</v>
      </c>
      <c r="AR251" s="24">
        <v>38.4098355</v>
      </c>
      <c r="AS251" s="25"/>
      <c r="AT251" s="26">
        <v>26.539000000000001</v>
      </c>
      <c r="AU251" s="26">
        <v>20.895</v>
      </c>
      <c r="AW251" s="27">
        <f t="shared" si="43"/>
        <v>-1.4124911039833238E-4</v>
      </c>
      <c r="AX251" s="27" t="e">
        <f t="array" ref="AX251">AVERAGE(AK251:AK256/AJ251:AJ256) - AVERAGE(Q251:Q256/P251:P256)</f>
        <v>#DIV/0!</v>
      </c>
      <c r="AZ251" s="28">
        <f>IF( OR(ISBLANK(Q251:Q256),ISBLANK(AK251:AK256), ISBLANK(T251:T256),ISBLANK(AN251:AN256)), "·", bdRateExtend( Q251:Q256,T251:T256, AK251:AK256,AN251:AN256))</f>
        <v>-2.0669378679229022E-2</v>
      </c>
      <c r="BA251" s="28">
        <f>IF( OR(ISBLANK(Q251:Q256),ISBLANK(AK251:AK256), ISBLANK(U251:U256),ISBLANK(AO251:AO256)), "·", bdRateExtend( Q251:Q256,U251:U256, AK251:AK256,AO251:AO256))</f>
        <v>-1.9760574208017467E-2</v>
      </c>
      <c r="BB251" s="28">
        <f>IF( OR(ISBLANK(R251:R256),ISBLANK(AL251:AL256), ISBLANK(V251:V256),ISBLANK(AP251:AP256)), "·", bdRateExtend( R251:R256,V251:V256, AL251:AL256,AP251:AP256))</f>
        <v>0</v>
      </c>
      <c r="BC251" s="28">
        <f>IF( OR(ISBLANK(R251:R256),ISBLANK(AL251:AL256), ISBLANK(W251:W256),ISBLANK(AQ251:AQ256)), "·", bdRateExtend( R251:R256,W251:W256, AL251:AL256,AQ251:AQ256))</f>
        <v>0</v>
      </c>
      <c r="BD251" s="28">
        <f>IF( OR(ISBLANK(R251:R256),ISBLANK(AL251:AL256), ISBLANK(X251:X256),ISBLANK(AR251:AR256)), "·", bdRateExtend( R251:R256,X251:X256, AL251:AL256,AR251:AR256))</f>
        <v>0</v>
      </c>
      <c r="BE251" s="29"/>
      <c r="BG251" s="28">
        <f>IF( OR(ISBLANK(P251:P256),ISBLANK(AJ251:AJ256), ISBLANK(T251:T256),ISBLANK(AN251:AN256)), "·", bdRateExtend( P251:P256,T251:T256, AJ251:AJ256,AN251:AN256))</f>
        <v>9.9209906207819998E-5</v>
      </c>
      <c r="BH251" s="28">
        <f>IF( OR(ISBLANK(P251:P256),ISBLANK(AJ251:AJ256), ISBLANK(U251:U256),ISBLANK(AO251:AO256)), "·", bdRateExtend( P251:P256,U251:U256, AJ251:AJ256,AO251:AO256))</f>
        <v>1.0039242482084987E-4</v>
      </c>
      <c r="BI251" s="28">
        <f>IF( OR(ISBLANK(P251:P256),ISBLANK(AJ251:AJ256), ISBLANK(V251:V256),ISBLANK(AP251:AP256)), "·", bdRateExtend( P251:P256,V251:V256, AJ251:AJ256,AP251:AP256))</f>
        <v>1.0060540647938154E-4</v>
      </c>
      <c r="BJ251" s="28">
        <f>IF( OR(ISBLANK(P251:P256),ISBLANK(AJ251:AJ256), ISBLANK(W251:W256),ISBLANK(AQ251:AQ256)), "·", bdRateExtend( P251:P256,W251:W256, AJ251:AJ256,AQ251:AQ256))</f>
        <v>1.0511236235699606E-4</v>
      </c>
      <c r="BK251" s="28">
        <f>IF( OR(ISBLANK(P251:P256),ISBLANK(AJ251:AJ256), ISBLANK(X251:X256),ISBLANK(AR251:AR256)), "·", bdRateExtend( P251:P256,X251:X256, AJ251:AJ256,AR251:AR256))</f>
        <v>1.04883912487308E-4</v>
      </c>
      <c r="BL251" s="29"/>
    </row>
    <row r="252" spans="1:64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>
        <f t="shared" si="34"/>
        <v>0.18028840157258025</v>
      </c>
      <c r="K252" s="34">
        <f t="shared" si="35"/>
        <v>1.0613739512827521E-2</v>
      </c>
      <c r="L252" s="34">
        <f t="shared" si="36"/>
        <v>0.16962536540613282</v>
      </c>
      <c r="M252" s="35"/>
      <c r="N252" s="34">
        <f t="shared" si="37"/>
        <v>0.48465287635437848</v>
      </c>
      <c r="O252" s="36">
        <v>17506831</v>
      </c>
      <c r="P252" s="37">
        <v>8484736</v>
      </c>
      <c r="Q252" s="37">
        <v>499504</v>
      </c>
      <c r="R252" s="37">
        <v>7982912</v>
      </c>
      <c r="S252" s="38"/>
      <c r="T252" s="39">
        <v>71.376576499999999</v>
      </c>
      <c r="U252" s="39">
        <v>73.955725599999994</v>
      </c>
      <c r="V252" s="39">
        <v>24.542880799999999</v>
      </c>
      <c r="W252" s="39">
        <v>37.504543300000002</v>
      </c>
      <c r="X252" s="39">
        <v>40.268058099999998</v>
      </c>
      <c r="Y252" s="38"/>
      <c r="Z252" s="41">
        <v>26.228000000000002</v>
      </c>
      <c r="AA252" s="41">
        <v>18.699000000000002</v>
      </c>
      <c r="AC252" s="33" t="str">
        <f t="shared" si="38"/>
        <v>·</v>
      </c>
      <c r="AD252" s="34">
        <f t="shared" si="39"/>
        <v>0.18030557040711684</v>
      </c>
      <c r="AE252" s="34">
        <f t="shared" si="40"/>
        <v>1.0354337121710336E-2</v>
      </c>
      <c r="AF252" s="34">
        <f t="shared" si="41"/>
        <v>0.16962536540613282</v>
      </c>
      <c r="AG252" s="35"/>
      <c r="AH252" s="34">
        <f t="shared" si="42"/>
        <v>0.48469902976729484</v>
      </c>
      <c r="AI252" s="36">
        <v>17506831</v>
      </c>
      <c r="AJ252" s="37">
        <v>8485544</v>
      </c>
      <c r="AK252" s="37">
        <v>487296</v>
      </c>
      <c r="AL252" s="37">
        <v>7982912</v>
      </c>
      <c r="AM252" s="38"/>
      <c r="AN252" s="39">
        <v>71.376576499999999</v>
      </c>
      <c r="AO252" s="39">
        <v>73.955725599999994</v>
      </c>
      <c r="AP252" s="39">
        <v>24.542880799999999</v>
      </c>
      <c r="AQ252" s="39">
        <v>37.504543300000002</v>
      </c>
      <c r="AR252" s="39">
        <v>40.268058099999998</v>
      </c>
      <c r="AS252" s="40"/>
      <c r="AT252" s="41">
        <v>26.417000000000002</v>
      </c>
      <c r="AU252" s="41">
        <v>18.497</v>
      </c>
      <c r="AW252" s="42">
        <f t="shared" si="43"/>
        <v>-1.4442878008710316E-3</v>
      </c>
      <c r="AX252" s="42"/>
      <c r="AZ252" s="43"/>
      <c r="BA252" s="43"/>
      <c r="BB252" s="43"/>
      <c r="BC252" s="43"/>
      <c r="BD252" s="43"/>
      <c r="BE252" s="44"/>
      <c r="BG252" s="43"/>
      <c r="BH252" s="43"/>
      <c r="BI252" s="43"/>
      <c r="BJ252" s="43"/>
      <c r="BK252" s="43"/>
      <c r="BL252" s="44"/>
    </row>
    <row r="253" spans="1:64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>
        <f t="shared" si="34"/>
        <v>0.39340089496374764</v>
      </c>
      <c r="K253" s="19">
        <f t="shared" si="35"/>
        <v>3.4831145574760525E-2</v>
      </c>
      <c r="L253" s="19">
        <f t="shared" si="36"/>
        <v>0.35852215261997478</v>
      </c>
      <c r="M253" s="20"/>
      <c r="N253" s="19">
        <f t="shared" si="37"/>
        <v>1.1143199573537694</v>
      </c>
      <c r="O253" s="21">
        <v>16614833</v>
      </c>
      <c r="P253" s="22">
        <v>18514240</v>
      </c>
      <c r="Q253" s="22">
        <v>1639224</v>
      </c>
      <c r="R253" s="22">
        <v>16872776</v>
      </c>
      <c r="S253" s="23"/>
      <c r="T253" s="24">
        <v>77.220964699999996</v>
      </c>
      <c r="U253" s="24">
        <v>79.367673600000003</v>
      </c>
      <c r="V253" s="24">
        <v>26.919003400000001</v>
      </c>
      <c r="W253" s="24">
        <v>40.205762999999997</v>
      </c>
      <c r="X253" s="24">
        <v>42.606909000000002</v>
      </c>
      <c r="Y253" s="23"/>
      <c r="Z253" s="26">
        <v>31.37</v>
      </c>
      <c r="AA253" s="26">
        <v>20.9</v>
      </c>
      <c r="AC253" s="18" t="str">
        <f t="shared" si="38"/>
        <v>·</v>
      </c>
      <c r="AD253" s="19">
        <f t="shared" si="39"/>
        <v>0.39345019161736755</v>
      </c>
      <c r="AE253" s="19">
        <f t="shared" si="40"/>
        <v>3.3789286298772821E-2</v>
      </c>
      <c r="AF253" s="19">
        <f t="shared" si="41"/>
        <v>0.35852215261997478</v>
      </c>
      <c r="AG253" s="20"/>
      <c r="AH253" s="19">
        <f t="shared" si="42"/>
        <v>1.1144595916191273</v>
      </c>
      <c r="AI253" s="21">
        <v>16614833</v>
      </c>
      <c r="AJ253" s="22">
        <v>18516560</v>
      </c>
      <c r="AK253" s="22">
        <v>1590192</v>
      </c>
      <c r="AL253" s="22">
        <v>16872776</v>
      </c>
      <c r="AM253" s="23"/>
      <c r="AN253" s="24">
        <v>77.220964699999996</v>
      </c>
      <c r="AO253" s="24">
        <v>79.367673600000003</v>
      </c>
      <c r="AP253" s="24">
        <v>26.919003400000001</v>
      </c>
      <c r="AQ253" s="24">
        <v>40.205762999999997</v>
      </c>
      <c r="AR253" s="24">
        <v>42.606909000000002</v>
      </c>
      <c r="AS253" s="25"/>
      <c r="AT253" s="26">
        <v>31.184999999999999</v>
      </c>
      <c r="AU253" s="26">
        <v>20.512</v>
      </c>
      <c r="AW253" s="27">
        <f t="shared" si="43"/>
        <v>-2.6591013363452543E-3</v>
      </c>
      <c r="AX253" s="27"/>
      <c r="AZ253" s="28"/>
      <c r="BA253" s="28"/>
      <c r="BB253" s="28"/>
      <c r="BC253" s="28"/>
      <c r="BD253" s="28"/>
      <c r="BE253" s="29"/>
      <c r="BG253" s="28"/>
      <c r="BH253" s="28"/>
      <c r="BI253" s="28"/>
      <c r="BJ253" s="28"/>
      <c r="BK253" s="28"/>
      <c r="BL253" s="29"/>
    </row>
    <row r="254" spans="1:64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>
        <f t="shared" si="34"/>
        <v>0.77408342328201907</v>
      </c>
      <c r="K254" s="34">
        <f t="shared" si="35"/>
        <v>0.10319217505717668</v>
      </c>
      <c r="L254" s="34">
        <f t="shared" si="36"/>
        <v>0.67084195157122251</v>
      </c>
      <c r="M254" s="35"/>
      <c r="N254" s="34">
        <f t="shared" si="37"/>
        <v>2.0715502237625532</v>
      </c>
      <c r="O254" s="36">
        <v>17585829</v>
      </c>
      <c r="P254" s="37">
        <v>36429928</v>
      </c>
      <c r="Q254" s="37">
        <v>4856432</v>
      </c>
      <c r="R254" s="37">
        <v>31571176</v>
      </c>
      <c r="S254" s="38"/>
      <c r="T254" s="39">
        <v>80.5656508</v>
      </c>
      <c r="U254" s="39">
        <v>84.302645900000002</v>
      </c>
      <c r="V254" s="39">
        <v>28.5720396</v>
      </c>
      <c r="W254" s="39">
        <v>42.533124600000001</v>
      </c>
      <c r="X254" s="39">
        <v>44.622329899999997</v>
      </c>
      <c r="Y254" s="38"/>
      <c r="Z254" s="41">
        <v>57.399000000000001</v>
      </c>
      <c r="AA254" s="41">
        <v>37.79</v>
      </c>
      <c r="AC254" s="33" t="str">
        <f t="shared" si="38"/>
        <v>·</v>
      </c>
      <c r="AD254" s="34">
        <f t="shared" si="39"/>
        <v>0.77416841751239818</v>
      </c>
      <c r="AE254" s="34">
        <f t="shared" si="40"/>
        <v>0.10383269157731401</v>
      </c>
      <c r="AF254" s="34">
        <f t="shared" si="41"/>
        <v>0.67084195157122251</v>
      </c>
      <c r="AG254" s="35"/>
      <c r="AH254" s="34">
        <f t="shared" si="42"/>
        <v>2.0717776796305709</v>
      </c>
      <c r="AI254" s="36">
        <v>17585829</v>
      </c>
      <c r="AJ254" s="37">
        <v>36433928</v>
      </c>
      <c r="AK254" s="37">
        <v>4886576</v>
      </c>
      <c r="AL254" s="37">
        <v>31571176</v>
      </c>
      <c r="AM254" s="38"/>
      <c r="AN254" s="39">
        <v>80.5656508</v>
      </c>
      <c r="AO254" s="39">
        <v>84.302645900000002</v>
      </c>
      <c r="AP254" s="39">
        <v>28.5720396</v>
      </c>
      <c r="AQ254" s="39">
        <v>42.533124600000001</v>
      </c>
      <c r="AR254" s="39">
        <v>44.622329899999997</v>
      </c>
      <c r="AS254" s="40"/>
      <c r="AT254" s="41">
        <v>55.884999999999998</v>
      </c>
      <c r="AU254" s="41">
        <v>36.575000000000003</v>
      </c>
      <c r="AW254" s="42">
        <f t="shared" si="43"/>
        <v>8.1272501221490989E-4</v>
      </c>
      <c r="AX254" s="42"/>
      <c r="AZ254" s="43"/>
      <c r="BA254" s="43"/>
      <c r="BB254" s="43"/>
      <c r="BC254" s="43"/>
      <c r="BD254" s="43"/>
      <c r="BE254" s="44"/>
      <c r="BG254" s="43"/>
      <c r="BH254" s="43"/>
      <c r="BI254" s="43"/>
      <c r="BJ254" s="43"/>
      <c r="BK254" s="43"/>
      <c r="BL254" s="44"/>
    </row>
    <row r="255" spans="1:64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4"/>
      <c r="X255" s="24"/>
      <c r="Y255" s="23"/>
      <c r="Z255" s="26"/>
      <c r="AA255" s="26"/>
      <c r="AC255" s="18" t="str">
        <f t="shared" si="38"/>
        <v>·</v>
      </c>
      <c r="AD255" s="19" t="str">
        <f t="shared" si="39"/>
        <v>·</v>
      </c>
      <c r="AE255" s="19" t="str">
        <f t="shared" si="40"/>
        <v>·</v>
      </c>
      <c r="AF255" s="19" t="str">
        <f t="shared" si="41"/>
        <v>·</v>
      </c>
      <c r="AG255" s="20"/>
      <c r="AH255" s="19" t="str">
        <f t="shared" si="42"/>
        <v>·</v>
      </c>
      <c r="AI255" s="21"/>
      <c r="AJ255" s="22"/>
      <c r="AK255" s="22"/>
      <c r="AL255" s="22"/>
      <c r="AM255" s="23"/>
      <c r="AN255" s="24"/>
      <c r="AO255" s="24"/>
      <c r="AP255" s="24"/>
      <c r="AQ255" s="24"/>
      <c r="AR255" s="24"/>
      <c r="AS255" s="25"/>
      <c r="AT255" s="26"/>
      <c r="AU255" s="26"/>
      <c r="AW255" s="27" t="e">
        <f t="shared" si="43"/>
        <v>#DIV/0!</v>
      </c>
      <c r="AX255" s="27"/>
      <c r="AZ255" s="28"/>
      <c r="BA255" s="28"/>
      <c r="BB255" s="28"/>
      <c r="BC255" s="28"/>
      <c r="BD255" s="28"/>
      <c r="BE255" s="29"/>
      <c r="BG255" s="28"/>
      <c r="BH255" s="28"/>
      <c r="BI255" s="28"/>
      <c r="BJ255" s="28"/>
      <c r="BK255" s="28"/>
      <c r="BL255" s="29"/>
    </row>
    <row r="256" spans="1:64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4"/>
      <c r="X256" s="54"/>
      <c r="Y256" s="53"/>
      <c r="Z256" s="56"/>
      <c r="AA256" s="56"/>
      <c r="AC256" s="48" t="str">
        <f t="shared" si="38"/>
        <v>·</v>
      </c>
      <c r="AD256" s="49" t="str">
        <f t="shared" si="39"/>
        <v>·</v>
      </c>
      <c r="AE256" s="49" t="str">
        <f t="shared" si="40"/>
        <v>·</v>
      </c>
      <c r="AF256" s="49" t="str">
        <f t="shared" si="41"/>
        <v>·</v>
      </c>
      <c r="AG256" s="50"/>
      <c r="AH256" s="49" t="str">
        <f t="shared" si="42"/>
        <v>·</v>
      </c>
      <c r="AI256" s="51"/>
      <c r="AJ256" s="52"/>
      <c r="AK256" s="52"/>
      <c r="AL256" s="52"/>
      <c r="AM256" s="53"/>
      <c r="AN256" s="54"/>
      <c r="AO256" s="54"/>
      <c r="AP256" s="54"/>
      <c r="AQ256" s="54"/>
      <c r="AR256" s="54"/>
      <c r="AS256" s="55"/>
      <c r="AT256" s="56"/>
      <c r="AU256" s="56"/>
      <c r="AW256" s="57" t="e">
        <f t="shared" si="43"/>
        <v>#DIV/0!</v>
      </c>
      <c r="AX256" s="57"/>
      <c r="AZ256" s="58"/>
      <c r="BA256" s="58"/>
      <c r="BB256" s="58"/>
      <c r="BC256" s="58"/>
      <c r="BD256" s="58"/>
      <c r="BE256" s="59"/>
      <c r="BG256" s="58"/>
      <c r="BH256" s="58"/>
      <c r="BI256" s="58"/>
      <c r="BJ256" s="58"/>
      <c r="BK256" s="58"/>
      <c r="BL256" s="59"/>
    </row>
    <row r="257" spans="1:64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>
        <f t="shared" si="34"/>
        <v>9.0578797902920213E-2</v>
      </c>
      <c r="K257" s="19">
        <f t="shared" si="35"/>
        <v>4.6752927997048424E-3</v>
      </c>
      <c r="L257" s="19">
        <f t="shared" si="36"/>
        <v>8.5838987795329988E-2</v>
      </c>
      <c r="M257" s="20"/>
      <c r="N257" s="19">
        <f t="shared" si="37"/>
        <v>0.20986461628610684</v>
      </c>
      <c r="O257" s="21">
        <v>18731352</v>
      </c>
      <c r="P257" s="22">
        <v>3931048</v>
      </c>
      <c r="Q257" s="22">
        <v>202904</v>
      </c>
      <c r="R257" s="22">
        <v>3725344</v>
      </c>
      <c r="S257" s="23"/>
      <c r="T257" s="24">
        <v>65.353019500000002</v>
      </c>
      <c r="U257" s="24">
        <v>66.960304100000002</v>
      </c>
      <c r="V257" s="24">
        <v>22.316514099999999</v>
      </c>
      <c r="W257" s="24">
        <v>34.767052100000001</v>
      </c>
      <c r="X257" s="24">
        <v>36.228940899999998</v>
      </c>
      <c r="Y257" s="23"/>
      <c r="Z257" s="26">
        <v>30.597000000000001</v>
      </c>
      <c r="AA257" s="26">
        <v>18.242000000000001</v>
      </c>
      <c r="AC257" s="18" t="str">
        <f t="shared" si="38"/>
        <v>·</v>
      </c>
      <c r="AD257" s="19">
        <f t="shared" si="39"/>
        <v>9.0588198996354938E-2</v>
      </c>
      <c r="AE257" s="19">
        <f t="shared" si="40"/>
        <v>4.6218356017426769E-3</v>
      </c>
      <c r="AF257" s="19">
        <f t="shared" si="41"/>
        <v>8.5838987795329988E-2</v>
      </c>
      <c r="AG257" s="20"/>
      <c r="AH257" s="19">
        <f t="shared" si="42"/>
        <v>0.20988639794927777</v>
      </c>
      <c r="AI257" s="21">
        <v>18731352</v>
      </c>
      <c r="AJ257" s="22">
        <v>3931456</v>
      </c>
      <c r="AK257" s="22">
        <v>200584</v>
      </c>
      <c r="AL257" s="22">
        <v>3725344</v>
      </c>
      <c r="AM257" s="23"/>
      <c r="AN257" s="24">
        <v>65.353019500000002</v>
      </c>
      <c r="AO257" s="24">
        <v>66.960304100000002</v>
      </c>
      <c r="AP257" s="24">
        <v>22.316514099999999</v>
      </c>
      <c r="AQ257" s="24">
        <v>34.767052100000001</v>
      </c>
      <c r="AR257" s="24">
        <v>36.228940899999998</v>
      </c>
      <c r="AS257" s="25"/>
      <c r="AT257" s="26">
        <v>30.629000000000001</v>
      </c>
      <c r="AU257" s="26">
        <v>18.413</v>
      </c>
      <c r="AW257" s="27">
        <f t="shared" si="43"/>
        <v>-5.9546875939962829E-4</v>
      </c>
      <c r="AX257" s="27" t="e">
        <f t="array" ref="AX257">AVERAGE(AK257:AK262/AJ257:AJ262) - AVERAGE(Q257:Q262/P257:P262)</f>
        <v>#DIV/0!</v>
      </c>
      <c r="AZ257" s="28">
        <f>IF( OR(ISBLANK(Q257:Q262),ISBLANK(AK257:AK262), ISBLANK(T257:T262),ISBLANK(AN257:AN262)), "·", bdRateExtend( Q257:Q262,T257:T262, AK257:AK262,AN257:AN262))</f>
        <v>-2.4476327838027334E-2</v>
      </c>
      <c r="BA257" s="28">
        <f>IF( OR(ISBLANK(Q257:Q262),ISBLANK(AK257:AK262), ISBLANK(U257:U262),ISBLANK(AO257:AO262)), "·", bdRateExtend( Q257:Q262,U257:U262, AK257:AK262,AO257:AO262))</f>
        <v>-2.3579481114275991E-2</v>
      </c>
      <c r="BB257" s="28">
        <f>IF( OR(ISBLANK(R257:R262),ISBLANK(AL257:AL262), ISBLANK(V257:V262),ISBLANK(AP257:AP262)), "·", bdRateExtend( R257:R262,V257:V262, AL257:AL262,AP257:AP262))</f>
        <v>0</v>
      </c>
      <c r="BC257" s="28">
        <f>IF( OR(ISBLANK(R257:R262),ISBLANK(AL257:AL262), ISBLANK(W257:W262),ISBLANK(AQ257:AQ262)), "·", bdRateExtend( R257:R262,W257:W262, AL257:AL262,AQ257:AQ262))</f>
        <v>0</v>
      </c>
      <c r="BD257" s="28">
        <f>IF( OR(ISBLANK(R257:R262),ISBLANK(AL257:AL262), ISBLANK(X257:X262),ISBLANK(AR257:AR262)), "·", bdRateExtend( R257:R262,X257:X262, AL257:AL262,AR257:AR262))</f>
        <v>0</v>
      </c>
      <c r="BE257" s="29"/>
      <c r="BG257" s="28">
        <f>IF( OR(ISBLANK(P257:P262),ISBLANK(AJ257:AJ262), ISBLANK(T257:T262),ISBLANK(AN257:AN262)), "·", bdRateExtend( P257:P262,T257:T262, AJ257:AJ262,AN257:AN262))</f>
        <v>1.3659632367768459E-4</v>
      </c>
      <c r="BH257" s="28">
        <f>IF( OR(ISBLANK(P257:P262),ISBLANK(AJ257:AJ262), ISBLANK(U257:U262),ISBLANK(AO257:AO262)), "·", bdRateExtend( P257:P262,U257:U262, AJ257:AJ262,AO257:AO262))</f>
        <v>1.368341729048872E-4</v>
      </c>
      <c r="BI257" s="28">
        <f>IF( OR(ISBLANK(P257:P262),ISBLANK(AJ257:AJ262), ISBLANK(V257:V262),ISBLANK(AP257:AP262)), "·", bdRateExtend( P257:P262,V257:V262, AJ257:AJ262,AP257:AP262))</f>
        <v>1.3843851194694778E-4</v>
      </c>
      <c r="BJ257" s="28">
        <f>IF( OR(ISBLANK(P257:P262),ISBLANK(AJ257:AJ262), ISBLANK(W257:W262),ISBLANK(AQ257:AQ262)), "·", bdRateExtend( P257:P262,W257:W262, AJ257:AJ262,AQ257:AQ262))</f>
        <v>1.4063076924086815E-4</v>
      </c>
      <c r="BK257" s="28">
        <f>IF( OR(ISBLANK(P257:P262),ISBLANK(AJ257:AJ262), ISBLANK(X257:X262),ISBLANK(AR257:AR262)), "·", bdRateExtend( P257:P262,X257:X262, AJ257:AJ262,AR257:AR262))</f>
        <v>1.4051193505970616E-4</v>
      </c>
      <c r="BL257" s="29"/>
    </row>
    <row r="258" spans="1:64" outlineLevel="1" x14ac:dyDescent="0.1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>
        <f t="shared" si="34"/>
        <v>0.21386399986525098</v>
      </c>
      <c r="K258" s="34">
        <f t="shared" si="35"/>
        <v>1.4517131614870291E-2</v>
      </c>
      <c r="L258" s="34">
        <f t="shared" si="36"/>
        <v>0.19928235094249533</v>
      </c>
      <c r="M258" s="35"/>
      <c r="N258" s="34">
        <f t="shared" si="37"/>
        <v>0.51763460299500474</v>
      </c>
      <c r="O258" s="36">
        <v>17930656</v>
      </c>
      <c r="P258" s="37">
        <v>9281528</v>
      </c>
      <c r="Q258" s="37">
        <v>630032</v>
      </c>
      <c r="R258" s="37">
        <v>8648696</v>
      </c>
      <c r="S258" s="38"/>
      <c r="T258" s="39">
        <v>71.512857600000004</v>
      </c>
      <c r="U258" s="39">
        <v>74.049237500000004</v>
      </c>
      <c r="V258" s="39">
        <v>24.712095999999999</v>
      </c>
      <c r="W258" s="39">
        <v>37.078712400000001</v>
      </c>
      <c r="X258" s="39">
        <v>38.5206029</v>
      </c>
      <c r="Y258" s="38"/>
      <c r="Z258" s="41">
        <v>32.74</v>
      </c>
      <c r="AA258" s="41">
        <v>18.771000000000001</v>
      </c>
      <c r="AC258" s="33" t="str">
        <f t="shared" si="38"/>
        <v>·</v>
      </c>
      <c r="AD258" s="34">
        <f t="shared" si="39"/>
        <v>0.21389220314555518</v>
      </c>
      <c r="AE258" s="34">
        <f t="shared" si="40"/>
        <v>1.4021270019979859E-2</v>
      </c>
      <c r="AF258" s="34">
        <f t="shared" si="41"/>
        <v>0.19928235094249533</v>
      </c>
      <c r="AG258" s="35"/>
      <c r="AH258" s="34">
        <f t="shared" si="42"/>
        <v>0.51770286597434023</v>
      </c>
      <c r="AI258" s="36">
        <v>17930656</v>
      </c>
      <c r="AJ258" s="37">
        <v>9282752</v>
      </c>
      <c r="AK258" s="37">
        <v>608512</v>
      </c>
      <c r="AL258" s="37">
        <v>8648696</v>
      </c>
      <c r="AM258" s="38"/>
      <c r="AN258" s="39">
        <v>71.512857600000004</v>
      </c>
      <c r="AO258" s="39">
        <v>74.049237500000004</v>
      </c>
      <c r="AP258" s="39">
        <v>24.712095999999999</v>
      </c>
      <c r="AQ258" s="39">
        <v>37.078712400000001</v>
      </c>
      <c r="AR258" s="39">
        <v>38.5206029</v>
      </c>
      <c r="AS258" s="40"/>
      <c r="AT258" s="41">
        <v>32.942</v>
      </c>
      <c r="AU258" s="41">
        <v>18.427</v>
      </c>
      <c r="AW258" s="42">
        <f t="shared" si="43"/>
        <v>-2.3272285382438668E-3</v>
      </c>
      <c r="AX258" s="42"/>
      <c r="AZ258" s="43"/>
      <c r="BA258" s="43"/>
      <c r="BB258" s="43"/>
      <c r="BC258" s="43"/>
      <c r="BD258" s="43"/>
      <c r="BE258" s="44"/>
      <c r="BG258" s="43"/>
      <c r="BH258" s="43"/>
      <c r="BI258" s="43"/>
      <c r="BJ258" s="43"/>
      <c r="BK258" s="43"/>
      <c r="BL258" s="44"/>
    </row>
    <row r="259" spans="1:64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>
        <f t="shared" si="34"/>
        <v>0.49086906127109647</v>
      </c>
      <c r="K259" s="19">
        <f t="shared" si="35"/>
        <v>4.9889759506435219E-2</v>
      </c>
      <c r="L259" s="19">
        <f t="shared" si="36"/>
        <v>0.4409147844567759</v>
      </c>
      <c r="M259" s="20"/>
      <c r="N259" s="19">
        <f t="shared" si="37"/>
        <v>1.1435697109158471</v>
      </c>
      <c r="O259" s="21">
        <v>18628797</v>
      </c>
      <c r="P259" s="22">
        <v>21303328</v>
      </c>
      <c r="Q259" s="22">
        <v>2165176</v>
      </c>
      <c r="R259" s="22">
        <v>19135352</v>
      </c>
      <c r="S259" s="23"/>
      <c r="T259" s="24">
        <v>76.778334400000006</v>
      </c>
      <c r="U259" s="24">
        <v>79.591677000000004</v>
      </c>
      <c r="V259" s="24">
        <v>27.033839400000002</v>
      </c>
      <c r="W259" s="24">
        <v>39.787417699999999</v>
      </c>
      <c r="X259" s="24">
        <v>41.196331700000002</v>
      </c>
      <c r="Y259" s="23"/>
      <c r="Z259" s="26">
        <v>44.362000000000002</v>
      </c>
      <c r="AA259" s="26">
        <v>25.399000000000001</v>
      </c>
      <c r="AC259" s="18" t="str">
        <f t="shared" si="38"/>
        <v>·</v>
      </c>
      <c r="AD259" s="19">
        <f t="shared" si="39"/>
        <v>0.49095164342518977</v>
      </c>
      <c r="AE259" s="19">
        <f t="shared" si="40"/>
        <v>4.8834625019761303E-2</v>
      </c>
      <c r="AF259" s="19">
        <f t="shared" si="41"/>
        <v>0.4409147844567759</v>
      </c>
      <c r="AG259" s="20"/>
      <c r="AH259" s="19">
        <f t="shared" si="42"/>
        <v>1.1437621012242498</v>
      </c>
      <c r="AI259" s="21">
        <v>18628797</v>
      </c>
      <c r="AJ259" s="22">
        <v>21306912</v>
      </c>
      <c r="AK259" s="22">
        <v>2119384</v>
      </c>
      <c r="AL259" s="22">
        <v>19135352</v>
      </c>
      <c r="AM259" s="23"/>
      <c r="AN259" s="24">
        <v>76.778334400000006</v>
      </c>
      <c r="AO259" s="24">
        <v>79.591677000000004</v>
      </c>
      <c r="AP259" s="24">
        <v>27.033839400000002</v>
      </c>
      <c r="AQ259" s="24">
        <v>39.787417699999999</v>
      </c>
      <c r="AR259" s="24">
        <v>41.196331700000002</v>
      </c>
      <c r="AS259" s="25"/>
      <c r="AT259" s="26">
        <v>43.850999999999999</v>
      </c>
      <c r="AU259" s="26">
        <v>24.992999999999999</v>
      </c>
      <c r="AW259" s="27">
        <f t="shared" si="43"/>
        <v>-2.1662576868185235E-3</v>
      </c>
      <c r="AX259" s="27"/>
      <c r="AZ259" s="28"/>
      <c r="BA259" s="28"/>
      <c r="BB259" s="28"/>
      <c r="BC259" s="28"/>
      <c r="BD259" s="28"/>
      <c r="BE259" s="29"/>
      <c r="BG259" s="28"/>
      <c r="BH259" s="28"/>
      <c r="BI259" s="28"/>
      <c r="BJ259" s="28"/>
      <c r="BK259" s="28"/>
      <c r="BL259" s="29"/>
    </row>
    <row r="260" spans="1:64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>
        <f t="shared" si="34"/>
        <v>1.0946343789184905</v>
      </c>
      <c r="K260" s="34">
        <f t="shared" si="35"/>
        <v>0.15684931754628603</v>
      </c>
      <c r="L260" s="34">
        <f t="shared" si="36"/>
        <v>0.93772054406431893</v>
      </c>
      <c r="M260" s="35"/>
      <c r="N260" s="34">
        <f t="shared" si="37"/>
        <v>2.0476400159720725</v>
      </c>
      <c r="O260" s="36">
        <v>23200496</v>
      </c>
      <c r="P260" s="37">
        <v>47506264</v>
      </c>
      <c r="Q260" s="37">
        <v>6807136</v>
      </c>
      <c r="R260" s="37">
        <v>40696328</v>
      </c>
      <c r="S260" s="38"/>
      <c r="T260" s="39">
        <v>80.154251200000004</v>
      </c>
      <c r="U260" s="39">
        <v>84.522926200000001</v>
      </c>
      <c r="V260" s="39">
        <v>28.820902400000001</v>
      </c>
      <c r="W260" s="39">
        <v>42.203665200000003</v>
      </c>
      <c r="X260" s="39">
        <v>43.5179799</v>
      </c>
      <c r="Y260" s="38"/>
      <c r="Z260" s="41">
        <v>84.427000000000007</v>
      </c>
      <c r="AA260" s="41">
        <v>52.694000000000003</v>
      </c>
      <c r="AC260" s="33" t="str">
        <f t="shared" si="38"/>
        <v>·</v>
      </c>
      <c r="AD260" s="34">
        <f t="shared" si="39"/>
        <v>1.0947580678144648</v>
      </c>
      <c r="AE260" s="34">
        <f t="shared" si="40"/>
        <v>0.1560275513789918</v>
      </c>
      <c r="AF260" s="34">
        <f t="shared" si="41"/>
        <v>0.93772054406431893</v>
      </c>
      <c r="AG260" s="35"/>
      <c r="AH260" s="34">
        <f t="shared" si="42"/>
        <v>2.0478713903357928</v>
      </c>
      <c r="AI260" s="36">
        <v>23200496</v>
      </c>
      <c r="AJ260" s="37">
        <v>47511632</v>
      </c>
      <c r="AK260" s="37">
        <v>6771472</v>
      </c>
      <c r="AL260" s="37">
        <v>40696328</v>
      </c>
      <c r="AM260" s="38"/>
      <c r="AN260" s="39">
        <v>80.154251200000004</v>
      </c>
      <c r="AO260" s="39">
        <v>84.522926200000001</v>
      </c>
      <c r="AP260" s="39">
        <v>28.820902400000001</v>
      </c>
      <c r="AQ260" s="39">
        <v>42.203665200000003</v>
      </c>
      <c r="AR260" s="39">
        <v>43.5179799</v>
      </c>
      <c r="AS260" s="40"/>
      <c r="AT260" s="41">
        <v>80.677999999999997</v>
      </c>
      <c r="AU260" s="41">
        <v>50.052</v>
      </c>
      <c r="AW260" s="42">
        <f t="shared" si="43"/>
        <v>-7.6682646026371426E-4</v>
      </c>
      <c r="AX260" s="42"/>
      <c r="AZ260" s="43"/>
      <c r="BA260" s="43"/>
      <c r="BB260" s="43"/>
      <c r="BC260" s="43"/>
      <c r="BD260" s="43"/>
      <c r="BE260" s="44"/>
      <c r="BG260" s="43"/>
      <c r="BH260" s="43"/>
      <c r="BI260" s="43"/>
      <c r="BJ260" s="43"/>
      <c r="BK260" s="43"/>
      <c r="BL260" s="44"/>
    </row>
    <row r="261" spans="1:64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4"/>
      <c r="X261" s="24"/>
      <c r="Y261" s="23"/>
      <c r="Z261" s="26"/>
      <c r="AA261" s="26"/>
      <c r="AC261" s="18" t="str">
        <f t="shared" ref="AC261:AC342" si="49">IF(OR(ISBLANK(AJ261),ISBLANK(G261)),"·",AJ261*G261/F261/1000000)</f>
        <v>·</v>
      </c>
      <c r="AD261" s="19" t="str">
        <f t="shared" ref="AD261:AD342" si="50">IF(ISBLANK(AJ261),"·",AJ261/D261)</f>
        <v>·</v>
      </c>
      <c r="AE261" s="19" t="str">
        <f t="shared" ref="AE261:AE342" si="51">IF(AK261="","·",AK261/D261)</f>
        <v>·</v>
      </c>
      <c r="AF261" s="19" t="str">
        <f t="shared" ref="AF261:AF298" si="52">IF(ISBLANK(AL261),"·",AL261/D261)</f>
        <v>·</v>
      </c>
      <c r="AG261" s="20"/>
      <c r="AH261" s="19" t="str">
        <f t="shared" ref="AH261:AH342" si="53">IF(ISBLANK(AJ261),"·",AJ261/AI261)</f>
        <v>·</v>
      </c>
      <c r="AI261" s="21"/>
      <c r="AJ261" s="22"/>
      <c r="AK261" s="22"/>
      <c r="AL261" s="22"/>
      <c r="AM261" s="23"/>
      <c r="AN261" s="24"/>
      <c r="AO261" s="24"/>
      <c r="AP261" s="24"/>
      <c r="AQ261" s="24"/>
      <c r="AR261" s="24"/>
      <c r="AS261" s="25"/>
      <c r="AT261" s="26"/>
      <c r="AU261" s="26"/>
      <c r="AW261" s="27" t="e">
        <f t="shared" ref="AW261:AW342" si="54">(AK261/AJ261) - (Q261/P261)</f>
        <v>#DIV/0!</v>
      </c>
      <c r="AX261" s="27"/>
      <c r="AZ261" s="28"/>
      <c r="BA261" s="28"/>
      <c r="BB261" s="28"/>
      <c r="BC261" s="28"/>
      <c r="BD261" s="28"/>
      <c r="BE261" s="29"/>
      <c r="BG261" s="28"/>
      <c r="BH261" s="28"/>
      <c r="BI261" s="28"/>
      <c r="BJ261" s="28"/>
      <c r="BK261" s="28"/>
      <c r="BL261" s="29"/>
    </row>
    <row r="262" spans="1:64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4"/>
      <c r="X262" s="54"/>
      <c r="Y262" s="53"/>
      <c r="Z262" s="56"/>
      <c r="AA262" s="56"/>
      <c r="AC262" s="48" t="str">
        <f t="shared" si="49"/>
        <v>·</v>
      </c>
      <c r="AD262" s="49" t="str">
        <f t="shared" si="50"/>
        <v>·</v>
      </c>
      <c r="AE262" s="49" t="str">
        <f t="shared" si="51"/>
        <v>·</v>
      </c>
      <c r="AF262" s="49" t="str">
        <f t="shared" si="52"/>
        <v>·</v>
      </c>
      <c r="AG262" s="50"/>
      <c r="AH262" s="49" t="str">
        <f t="shared" si="53"/>
        <v>·</v>
      </c>
      <c r="AI262" s="51"/>
      <c r="AJ262" s="52"/>
      <c r="AK262" s="52"/>
      <c r="AL262" s="52"/>
      <c r="AM262" s="53"/>
      <c r="AN262" s="54"/>
      <c r="AO262" s="54"/>
      <c r="AP262" s="54"/>
      <c r="AQ262" s="54"/>
      <c r="AR262" s="54"/>
      <c r="AS262" s="55"/>
      <c r="AT262" s="56"/>
      <c r="AU262" s="56"/>
      <c r="AW262" s="57" t="e">
        <f t="shared" si="54"/>
        <v>#DIV/0!</v>
      </c>
      <c r="AX262" s="57"/>
      <c r="AZ262" s="58"/>
      <c r="BA262" s="58"/>
      <c r="BB262" s="58"/>
      <c r="BC262" s="58"/>
      <c r="BD262" s="58"/>
      <c r="BE262" s="59"/>
      <c r="BG262" s="58"/>
      <c r="BH262" s="58"/>
      <c r="BI262" s="58"/>
      <c r="BJ262" s="58"/>
      <c r="BK262" s="58"/>
      <c r="BL262" s="59"/>
    </row>
    <row r="263" spans="1:64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>
        <f t="shared" si="45"/>
        <v>9.9302641002148487E-2</v>
      </c>
      <c r="K263" s="19">
        <f t="shared" si="46"/>
        <v>3.3447626058741393E-3</v>
      </c>
      <c r="L263" s="19">
        <f t="shared" si="47"/>
        <v>9.4997659466358325E-2</v>
      </c>
      <c r="M263" s="20"/>
      <c r="N263" s="19">
        <f t="shared" si="48"/>
        <v>0.27712027153767138</v>
      </c>
      <c r="O263" s="21">
        <v>179128</v>
      </c>
      <c r="P263" s="22">
        <v>49640</v>
      </c>
      <c r="Q263" s="22">
        <v>1672</v>
      </c>
      <c r="R263" s="22">
        <v>47488</v>
      </c>
      <c r="S263" s="23"/>
      <c r="T263" s="24">
        <v>46.8989306</v>
      </c>
      <c r="U263" s="24">
        <v>50.293195099999998</v>
      </c>
      <c r="V263" s="24">
        <v>20.624364199999999</v>
      </c>
      <c r="W263" s="24">
        <v>29.540520900000001</v>
      </c>
      <c r="X263" s="24">
        <v>32.144945800000002</v>
      </c>
      <c r="Y263" s="23"/>
      <c r="Z263" s="26">
        <v>0.28000000000000003</v>
      </c>
      <c r="AA263" s="26">
        <v>0.187</v>
      </c>
      <c r="AC263" s="18" t="str">
        <f t="shared" si="49"/>
        <v>·</v>
      </c>
      <c r="AD263" s="19">
        <f t="shared" si="50"/>
        <v>9.9254630055652687E-2</v>
      </c>
      <c r="AE263" s="19">
        <f t="shared" si="51"/>
        <v>3.3447626058741393E-3</v>
      </c>
      <c r="AF263" s="19">
        <f t="shared" si="52"/>
        <v>9.4997659466358325E-2</v>
      </c>
      <c r="AG263" s="20"/>
      <c r="AH263" s="19">
        <f t="shared" si="53"/>
        <v>0.27698628913402706</v>
      </c>
      <c r="AI263" s="21">
        <v>179128</v>
      </c>
      <c r="AJ263" s="22">
        <v>49616</v>
      </c>
      <c r="AK263" s="22">
        <v>1672</v>
      </c>
      <c r="AL263" s="22">
        <v>47488</v>
      </c>
      <c r="AM263" s="23"/>
      <c r="AN263" s="24">
        <v>46.8989306</v>
      </c>
      <c r="AO263" s="24">
        <v>50.293195099999998</v>
      </c>
      <c r="AP263" s="24">
        <v>20.624364199999999</v>
      </c>
      <c r="AQ263" s="24">
        <v>29.540520900000001</v>
      </c>
      <c r="AR263" s="24">
        <v>32.144945800000002</v>
      </c>
      <c r="AS263" s="25"/>
      <c r="AT263" s="26">
        <v>0.249</v>
      </c>
      <c r="AU263" s="26">
        <v>0.218</v>
      </c>
      <c r="AW263" s="27">
        <f t="shared" si="54"/>
        <v>1.6292734973333278E-5</v>
      </c>
      <c r="AX263" s="27" t="e">
        <f t="array" ref="AX263">AVERAGE(AK263:AK268/AJ263:AJ268) - AVERAGE(Q263:Q268/P263:P268)</f>
        <v>#DIV/0!</v>
      </c>
      <c r="AZ263" s="28">
        <f>IF( OR(ISBLANK(Q263:Q268),ISBLANK(AK263:AK268), ISBLANK(T263:T268),ISBLANK(AN263:AN268)), "·", bdRateExtend( Q263:Q268,T263:T268, AK263:AK268,AN263:AN268))</f>
        <v>2.8122861431341128E-3</v>
      </c>
      <c r="BA263" s="28">
        <f>IF( OR(ISBLANK(Q263:Q268),ISBLANK(AK263:AK268), ISBLANK(U263:U268),ISBLANK(AO263:AO268)), "·", bdRateExtend( Q263:Q268,U263:U268, AK263:AK268,AO263:AO268))</f>
        <v>3.316913053098336E-3</v>
      </c>
      <c r="BB263" s="28">
        <f>IF( OR(ISBLANK(R263:R268),ISBLANK(AL263:AL268), ISBLANK(V263:V268),ISBLANK(AP263:AP268)), "·", bdRateExtend( R263:R268,V263:V268, AL263:AL268,AP263:AP268))</f>
        <v>0</v>
      </c>
      <c r="BC263" s="28">
        <f>IF( OR(ISBLANK(R263:R268),ISBLANK(AL263:AL268), ISBLANK(W263:W268),ISBLANK(AQ263:AQ268)), "·", bdRateExtend( R263:R268,W263:W268, AL263:AL268,AQ263:AQ268))</f>
        <v>0</v>
      </c>
      <c r="BD263" s="28">
        <f>IF( OR(ISBLANK(R263:R268),ISBLANK(AL263:AL268), ISBLANK(X263:X268),ISBLANK(AR263:AR268)), "·", bdRateExtend( R263:R268,X263:X268, AL263:AL268,AR263:AR268))</f>
        <v>0</v>
      </c>
      <c r="BE263" s="29"/>
      <c r="BG263" s="28">
        <f>IF( OR(ISBLANK(P263:P268),ISBLANK(AJ263:AJ268), ISBLANK(T263:T268),ISBLANK(AN263:AN268)), "·", bdRateExtend( P263:P268,T263:T268, AJ263:AJ268,AN263:AN268))</f>
        <v>-2.9117121335020535E-5</v>
      </c>
      <c r="BH263" s="28">
        <f>IF( OR(ISBLANK(P263:P268),ISBLANK(AJ263:AJ268), ISBLANK(U263:U268),ISBLANK(AO263:AO268)), "·", bdRateExtend( P263:P268,U263:U268, AJ263:AJ268,AO263:AO268))</f>
        <v>-1.6466754446886611E-5</v>
      </c>
      <c r="BI263" s="28">
        <f>IF( OR(ISBLANK(P263:P268),ISBLANK(AJ263:AJ268), ISBLANK(V263:V268),ISBLANK(AP263:AP268)), "·", bdRateExtend( P263:P268,V263:V268, AJ263:AJ268,AP263:AP268))</f>
        <v>9.7650783661418217E-6</v>
      </c>
      <c r="BJ263" s="28">
        <f>IF( OR(ISBLANK(P263:P268),ISBLANK(AJ263:AJ268), ISBLANK(W263:W268),ISBLANK(AQ263:AQ268)), "·", bdRateExtend( P263:P268,W263:W268, AJ263:AJ268,AQ263:AQ268))</f>
        <v>2.2895326042826625E-5</v>
      </c>
      <c r="BK263" s="28">
        <f>IF( OR(ISBLANK(P263:P268),ISBLANK(AJ263:AJ268), ISBLANK(X263:X268),ISBLANK(AR263:AR268)), "·", bdRateExtend( P263:P268,X263:X268, AJ263:AJ268,AR263:AR268))</f>
        <v>3.8647725857821058E-5</v>
      </c>
      <c r="BL263" s="29"/>
    </row>
    <row r="264" spans="1:64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>
        <f t="shared" si="45"/>
        <v>0.30398930956258025</v>
      </c>
      <c r="K264" s="34">
        <f t="shared" si="46"/>
        <v>1.1890711082126726E-2</v>
      </c>
      <c r="L264" s="34">
        <f t="shared" si="47"/>
        <v>0.29113837955053751</v>
      </c>
      <c r="M264" s="35"/>
      <c r="N264" s="34">
        <f t="shared" si="48"/>
        <v>0.80375324627240652</v>
      </c>
      <c r="O264" s="36">
        <v>189063</v>
      </c>
      <c r="P264" s="37">
        <v>151960</v>
      </c>
      <c r="Q264" s="37">
        <v>5944</v>
      </c>
      <c r="R264" s="37">
        <v>145536</v>
      </c>
      <c r="S264" s="38"/>
      <c r="T264" s="39">
        <v>55.431299000000003</v>
      </c>
      <c r="U264" s="39">
        <v>57.8345713</v>
      </c>
      <c r="V264" s="39">
        <v>23.4699566</v>
      </c>
      <c r="W264" s="39">
        <v>32.443091600000002</v>
      </c>
      <c r="X264" s="39">
        <v>34.227623700000002</v>
      </c>
      <c r="Y264" s="38"/>
      <c r="Z264" s="41">
        <v>0.32800000000000001</v>
      </c>
      <c r="AA264" s="41">
        <v>0.26500000000000001</v>
      </c>
      <c r="AC264" s="33" t="str">
        <f t="shared" si="49"/>
        <v>·</v>
      </c>
      <c r="AD264" s="34">
        <f t="shared" si="50"/>
        <v>0.30402131686024414</v>
      </c>
      <c r="AE264" s="34">
        <f t="shared" si="51"/>
        <v>1.1906714730958659E-2</v>
      </c>
      <c r="AF264" s="34">
        <f t="shared" si="52"/>
        <v>0.29113837955053751</v>
      </c>
      <c r="AG264" s="35"/>
      <c r="AH264" s="34">
        <f t="shared" si="53"/>
        <v>0.80383787414777086</v>
      </c>
      <c r="AI264" s="36">
        <v>189063</v>
      </c>
      <c r="AJ264" s="37">
        <v>151976</v>
      </c>
      <c r="AK264" s="37">
        <v>5952</v>
      </c>
      <c r="AL264" s="37">
        <v>145536</v>
      </c>
      <c r="AM264" s="38"/>
      <c r="AN264" s="39">
        <v>55.431299000000003</v>
      </c>
      <c r="AO264" s="39">
        <v>57.8345713</v>
      </c>
      <c r="AP264" s="39">
        <v>23.4699566</v>
      </c>
      <c r="AQ264" s="39">
        <v>32.443091600000002</v>
      </c>
      <c r="AR264" s="39">
        <v>34.227623700000002</v>
      </c>
      <c r="AS264" s="40"/>
      <c r="AT264" s="41">
        <v>0.28100000000000003</v>
      </c>
      <c r="AU264" s="41">
        <v>0.25</v>
      </c>
      <c r="AW264" s="42">
        <f t="shared" si="54"/>
        <v>4.8521813262571156E-5</v>
      </c>
      <c r="AX264" s="42"/>
      <c r="AZ264" s="43"/>
      <c r="BA264" s="43"/>
      <c r="BB264" s="43"/>
      <c r="BC264" s="43"/>
      <c r="BD264" s="43"/>
      <c r="BE264" s="44"/>
      <c r="BG264" s="43"/>
      <c r="BH264" s="43"/>
      <c r="BI264" s="43"/>
      <c r="BJ264" s="43"/>
      <c r="BK264" s="43"/>
      <c r="BL264" s="44"/>
    </row>
    <row r="265" spans="1:64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>
        <f t="shared" si="45"/>
        <v>0.83873523163281227</v>
      </c>
      <c r="K265" s="19">
        <f t="shared" si="46"/>
        <v>4.8859139883893531E-2</v>
      </c>
      <c r="L265" s="19">
        <f t="shared" si="47"/>
        <v>0.78891587281900277</v>
      </c>
      <c r="M265" s="20"/>
      <c r="N265" s="19">
        <f t="shared" si="48"/>
        <v>1.8942184753979119</v>
      </c>
      <c r="O265" s="21">
        <v>221343</v>
      </c>
      <c r="P265" s="22">
        <v>419272</v>
      </c>
      <c r="Q265" s="22">
        <v>24424</v>
      </c>
      <c r="R265" s="22">
        <v>394368</v>
      </c>
      <c r="S265" s="23"/>
      <c r="T265" s="24">
        <v>60.203992599999999</v>
      </c>
      <c r="U265" s="24">
        <v>62.684333700000003</v>
      </c>
      <c r="V265" s="24">
        <v>25.650928400000002</v>
      </c>
      <c r="W265" s="24">
        <v>34.962989100000001</v>
      </c>
      <c r="X265" s="24">
        <v>36.452720999999997</v>
      </c>
      <c r="Y265" s="23"/>
      <c r="Z265" s="26">
        <v>0.46800000000000003</v>
      </c>
      <c r="AA265" s="26">
        <v>0.34200000000000003</v>
      </c>
      <c r="AC265" s="18" t="str">
        <f t="shared" si="49"/>
        <v>·</v>
      </c>
      <c r="AD265" s="19">
        <f t="shared" si="50"/>
        <v>0.83884725717463582</v>
      </c>
      <c r="AE265" s="19">
        <f t="shared" si="51"/>
        <v>4.9355252997683473E-2</v>
      </c>
      <c r="AF265" s="19">
        <f t="shared" si="52"/>
        <v>0.78891587281900277</v>
      </c>
      <c r="AG265" s="20"/>
      <c r="AH265" s="19">
        <f t="shared" si="53"/>
        <v>1.8944714763963622</v>
      </c>
      <c r="AI265" s="21">
        <v>221343</v>
      </c>
      <c r="AJ265" s="22">
        <v>419328</v>
      </c>
      <c r="AK265" s="22">
        <v>24672</v>
      </c>
      <c r="AL265" s="22">
        <v>394368</v>
      </c>
      <c r="AM265" s="23"/>
      <c r="AN265" s="24">
        <v>60.203992599999999</v>
      </c>
      <c r="AO265" s="24">
        <v>62.684333700000003</v>
      </c>
      <c r="AP265" s="24">
        <v>25.650928400000002</v>
      </c>
      <c r="AQ265" s="24">
        <v>34.962989100000001</v>
      </c>
      <c r="AR265" s="24">
        <v>36.452720999999997</v>
      </c>
      <c r="AS265" s="25"/>
      <c r="AT265" s="26">
        <v>0.42099999999999999</v>
      </c>
      <c r="AU265" s="26">
        <v>0.35899999999999999</v>
      </c>
      <c r="AW265" s="27">
        <f t="shared" si="54"/>
        <v>5.8364290533383795E-4</v>
      </c>
      <c r="AX265" s="27"/>
      <c r="AZ265" s="28"/>
      <c r="BA265" s="28"/>
      <c r="BB265" s="28"/>
      <c r="BC265" s="28"/>
      <c r="BD265" s="28"/>
      <c r="BE265" s="29"/>
      <c r="BG265" s="28"/>
      <c r="BH265" s="28"/>
      <c r="BI265" s="28"/>
      <c r="BJ265" s="28"/>
      <c r="BK265" s="28"/>
      <c r="BL265" s="29"/>
    </row>
    <row r="266" spans="1:64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>
        <f t="shared" si="45"/>
        <v>2.0133710485990806</v>
      </c>
      <c r="K266" s="34">
        <f t="shared" si="46"/>
        <v>0.20068575635244837</v>
      </c>
      <c r="L266" s="34">
        <f t="shared" si="47"/>
        <v>1.8117250733167163</v>
      </c>
      <c r="M266" s="35"/>
      <c r="N266" s="34">
        <f t="shared" si="48"/>
        <v>3.6080416421698667</v>
      </c>
      <c r="O266" s="36">
        <v>278948</v>
      </c>
      <c r="P266" s="37">
        <v>1006456</v>
      </c>
      <c r="Q266" s="37">
        <v>100320</v>
      </c>
      <c r="R266" s="37">
        <v>905656</v>
      </c>
      <c r="S266" s="38"/>
      <c r="T266" s="39">
        <v>61.758085800000003</v>
      </c>
      <c r="U266" s="39">
        <v>64.425036000000006</v>
      </c>
      <c r="V266" s="39">
        <v>27.2224775</v>
      </c>
      <c r="W266" s="39">
        <v>37.170701700000002</v>
      </c>
      <c r="X266" s="39">
        <v>38.6224366</v>
      </c>
      <c r="Y266" s="38"/>
      <c r="Z266" s="41">
        <v>0.78</v>
      </c>
      <c r="AA266" s="41">
        <v>0.60899999999999999</v>
      </c>
      <c r="AC266" s="33" t="str">
        <f t="shared" si="49"/>
        <v>·</v>
      </c>
      <c r="AD266" s="34">
        <f t="shared" si="50"/>
        <v>2.0134670704920721</v>
      </c>
      <c r="AE266" s="34">
        <f t="shared" si="51"/>
        <v>0.20486270869758305</v>
      </c>
      <c r="AF266" s="34">
        <f t="shared" si="52"/>
        <v>1.8117250733167163</v>
      </c>
      <c r="AG266" s="35"/>
      <c r="AH266" s="34">
        <f t="shared" si="53"/>
        <v>3.6082137172519611</v>
      </c>
      <c r="AI266" s="36">
        <v>278948</v>
      </c>
      <c r="AJ266" s="37">
        <v>1006504</v>
      </c>
      <c r="AK266" s="37">
        <v>102408</v>
      </c>
      <c r="AL266" s="37">
        <v>905656</v>
      </c>
      <c r="AM266" s="38"/>
      <c r="AN266" s="39">
        <v>61.758085800000003</v>
      </c>
      <c r="AO266" s="39">
        <v>64.425036000000006</v>
      </c>
      <c r="AP266" s="39">
        <v>27.2224775</v>
      </c>
      <c r="AQ266" s="39">
        <v>37.170701700000002</v>
      </c>
      <c r="AR266" s="39">
        <v>38.6224366</v>
      </c>
      <c r="AS266" s="40"/>
      <c r="AT266" s="41">
        <v>0.749</v>
      </c>
      <c r="AU266" s="41">
        <v>0.63900000000000001</v>
      </c>
      <c r="AW266" s="42">
        <f t="shared" si="54"/>
        <v>2.0697538495104834E-3</v>
      </c>
      <c r="AX266" s="42"/>
      <c r="AZ266" s="43"/>
      <c r="BA266" s="43"/>
      <c r="BB266" s="43"/>
      <c r="BC266" s="43"/>
      <c r="BD266" s="43"/>
      <c r="BE266" s="44"/>
      <c r="BG266" s="43"/>
      <c r="BH266" s="43"/>
      <c r="BI266" s="43"/>
      <c r="BJ266" s="43"/>
      <c r="BK266" s="43"/>
      <c r="BL266" s="44"/>
    </row>
    <row r="267" spans="1:64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4"/>
      <c r="X267" s="24"/>
      <c r="Y267" s="23"/>
      <c r="Z267" s="26"/>
      <c r="AA267" s="26"/>
      <c r="AC267" s="18" t="str">
        <f t="shared" si="49"/>
        <v>·</v>
      </c>
      <c r="AD267" s="19" t="str">
        <f t="shared" si="50"/>
        <v>·</v>
      </c>
      <c r="AE267" s="19" t="str">
        <f t="shared" si="51"/>
        <v>·</v>
      </c>
      <c r="AF267" s="19" t="str">
        <f t="shared" si="52"/>
        <v>·</v>
      </c>
      <c r="AG267" s="20"/>
      <c r="AH267" s="19" t="str">
        <f t="shared" si="53"/>
        <v>·</v>
      </c>
      <c r="AI267" s="21"/>
      <c r="AJ267" s="22"/>
      <c r="AK267" s="22"/>
      <c r="AL267" s="22"/>
      <c r="AM267" s="23"/>
      <c r="AN267" s="24"/>
      <c r="AO267" s="24"/>
      <c r="AP267" s="24"/>
      <c r="AQ267" s="24"/>
      <c r="AR267" s="24"/>
      <c r="AS267" s="25"/>
      <c r="AT267" s="26"/>
      <c r="AU267" s="26"/>
      <c r="AW267" s="27" t="e">
        <f t="shared" si="54"/>
        <v>#DIV/0!</v>
      </c>
      <c r="AX267" s="27"/>
      <c r="AZ267" s="28"/>
      <c r="BA267" s="28"/>
      <c r="BB267" s="28"/>
      <c r="BC267" s="28"/>
      <c r="BD267" s="28"/>
      <c r="BE267" s="29"/>
      <c r="BG267" s="28"/>
      <c r="BH267" s="28"/>
      <c r="BI267" s="28"/>
      <c r="BJ267" s="28"/>
      <c r="BK267" s="28"/>
      <c r="BL267" s="29"/>
    </row>
    <row r="268" spans="1:64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4"/>
      <c r="X268" s="54"/>
      <c r="Y268" s="53"/>
      <c r="Z268" s="56"/>
      <c r="AA268" s="56"/>
      <c r="AC268" s="48" t="str">
        <f t="shared" si="49"/>
        <v>·</v>
      </c>
      <c r="AD268" s="49" t="str">
        <f t="shared" si="50"/>
        <v>·</v>
      </c>
      <c r="AE268" s="49" t="str">
        <f t="shared" si="51"/>
        <v>·</v>
      </c>
      <c r="AF268" s="49" t="str">
        <f t="shared" si="52"/>
        <v>·</v>
      </c>
      <c r="AG268" s="50"/>
      <c r="AH268" s="49" t="str">
        <f t="shared" si="53"/>
        <v>·</v>
      </c>
      <c r="AI268" s="51"/>
      <c r="AJ268" s="52"/>
      <c r="AK268" s="52"/>
      <c r="AL268" s="52"/>
      <c r="AM268" s="53"/>
      <c r="AN268" s="54"/>
      <c r="AO268" s="54"/>
      <c r="AP268" s="54"/>
      <c r="AQ268" s="54"/>
      <c r="AR268" s="54"/>
      <c r="AS268" s="55"/>
      <c r="AT268" s="56"/>
      <c r="AU268" s="56"/>
      <c r="AW268" s="57" t="e">
        <f t="shared" si="54"/>
        <v>#DIV/0!</v>
      </c>
      <c r="AX268" s="57"/>
      <c r="AZ268" s="58"/>
      <c r="BA268" s="58"/>
      <c r="BB268" s="58"/>
      <c r="BC268" s="58"/>
      <c r="BD268" s="58"/>
      <c r="BE268" s="59"/>
      <c r="BG268" s="58"/>
      <c r="BH268" s="58"/>
      <c r="BI268" s="58"/>
      <c r="BJ268" s="58"/>
      <c r="BK268" s="58"/>
      <c r="BL268" s="59"/>
    </row>
    <row r="269" spans="1:64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>
        <f t="shared" si="45"/>
        <v>3.0101664550185134E-2</v>
      </c>
      <c r="K269" s="19">
        <f t="shared" si="46"/>
        <v>4.0258896937978563E-3</v>
      </c>
      <c r="L269" s="19">
        <f t="shared" si="47"/>
        <v>2.603694272704046E-2</v>
      </c>
      <c r="M269" s="20"/>
      <c r="N269" s="19">
        <f t="shared" si="48"/>
        <v>0.11064729373622076</v>
      </c>
      <c r="O269" s="21">
        <v>17374415</v>
      </c>
      <c r="P269" s="22">
        <v>1922432</v>
      </c>
      <c r="Q269" s="22">
        <v>257112</v>
      </c>
      <c r="R269" s="22">
        <v>1662840</v>
      </c>
      <c r="S269" s="23"/>
      <c r="T269" s="24">
        <v>67.267676800000004</v>
      </c>
      <c r="U269" s="24">
        <v>70.884035100000006</v>
      </c>
      <c r="V269" s="24">
        <v>27.092221800000001</v>
      </c>
      <c r="W269" s="24">
        <v>38.986384600000001</v>
      </c>
      <c r="X269" s="24">
        <v>37.439812500000002</v>
      </c>
      <c r="Y269" s="23"/>
      <c r="Z269" s="26">
        <v>28.305</v>
      </c>
      <c r="AA269" s="26">
        <v>16.919</v>
      </c>
      <c r="AC269" s="18" t="str">
        <f t="shared" si="49"/>
        <v>·</v>
      </c>
      <c r="AD269" s="19">
        <f t="shared" si="50"/>
        <v>3.0105297233253062E-2</v>
      </c>
      <c r="AE269" s="19">
        <f t="shared" si="51"/>
        <v>4.0315266157998136E-3</v>
      </c>
      <c r="AF269" s="19">
        <f t="shared" si="52"/>
        <v>2.603694272704046E-2</v>
      </c>
      <c r="AG269" s="20"/>
      <c r="AH269" s="19">
        <f t="shared" si="53"/>
        <v>0.11066064670378831</v>
      </c>
      <c r="AI269" s="21">
        <v>17374415</v>
      </c>
      <c r="AJ269" s="22">
        <v>1922664</v>
      </c>
      <c r="AK269" s="22">
        <v>257472</v>
      </c>
      <c r="AL269" s="22">
        <v>1662840</v>
      </c>
      <c r="AM269" s="23"/>
      <c r="AN269" s="24">
        <v>67.267676800000004</v>
      </c>
      <c r="AO269" s="24">
        <v>70.884035100000006</v>
      </c>
      <c r="AP269" s="24">
        <v>27.092221800000001</v>
      </c>
      <c r="AQ269" s="24">
        <v>38.986384600000001</v>
      </c>
      <c r="AR269" s="24">
        <v>37.439812500000002</v>
      </c>
      <c r="AS269" s="25"/>
      <c r="AT269" s="26">
        <v>28.475999999999999</v>
      </c>
      <c r="AU269" s="26">
        <v>16.794</v>
      </c>
      <c r="AW269" s="27">
        <f t="shared" si="54"/>
        <v>1.7110197238656699E-4</v>
      </c>
      <c r="AX269" s="27" t="e">
        <f t="array" ref="AX269">AVERAGE(AK269:AK274/AJ269:AJ274) - AVERAGE(Q269:Q274/P269:P274)</f>
        <v>#DIV/0!</v>
      </c>
      <c r="AZ269" s="28">
        <f>IF( OR(ISBLANK(Q269:Q274),ISBLANK(AK269:AK274), ISBLANK(T269:T274),ISBLANK(AN269:AN274)), "·", bdRateExtend( Q269:Q274,T269:T274, AK269:AK274,AN269:AN274))</f>
        <v>5.9114044914427843E-3</v>
      </c>
      <c r="BA269" s="28">
        <f>IF( OR(ISBLANK(Q269:Q274),ISBLANK(AK269:AK274), ISBLANK(U269:U274),ISBLANK(AO269:AO274)), "·", bdRateExtend( Q269:Q274,U269:U274, AK269:AK274,AO269:AO274))</f>
        <v>6.0618577683808628E-3</v>
      </c>
      <c r="BB269" s="28">
        <f>IF( OR(ISBLANK(R269:R274),ISBLANK(AL269:AL274), ISBLANK(V269:V274),ISBLANK(AP269:AP274)), "·", bdRateExtend( R269:R274,V269:V274, AL269:AL274,AP269:AP274))</f>
        <v>0</v>
      </c>
      <c r="BC269" s="28">
        <f>IF( OR(ISBLANK(R269:R274),ISBLANK(AL269:AL274), ISBLANK(W269:W274),ISBLANK(AQ269:AQ274)), "·", bdRateExtend( R269:R274,W269:W274, AL269:AL274,AQ269:AQ274))</f>
        <v>0</v>
      </c>
      <c r="BD269" s="28">
        <f>IF( OR(ISBLANK(R269:R274),ISBLANK(AL269:AL274), ISBLANK(X269:X274),ISBLANK(AR269:AR274)), "·", bdRateExtend( R269:R274,X269:X274, AL269:AL274,AR269:AR274))</f>
        <v>0</v>
      </c>
      <c r="BE269" s="29"/>
      <c r="BG269" s="28">
        <f>IF( OR(ISBLANK(P269:P274),ISBLANK(AJ269:AJ274), ISBLANK(T269:T274),ISBLANK(AN269:AN274)), "·", bdRateExtend( P269:P274,T269:T274, AJ269:AJ274,AN269:AN274))</f>
        <v>2.3905783294653205E-4</v>
      </c>
      <c r="BH269" s="28">
        <f>IF( OR(ISBLANK(P269:P274),ISBLANK(AJ269:AJ274), ISBLANK(U269:U274),ISBLANK(AO269:AO274)), "·", bdRateExtend( P269:P274,U269:U274, AJ269:AJ274,AO269:AO274))</f>
        <v>2.3703604237601539E-4</v>
      </c>
      <c r="BI269" s="28">
        <f>IF( OR(ISBLANK(P269:P274),ISBLANK(AJ269:AJ274), ISBLANK(V269:V274),ISBLANK(AP269:AP274)), "·", bdRateExtend( P269:P274,V269:V274, AJ269:AJ274,AP269:AP274))</f>
        <v>2.3940714076342573E-4</v>
      </c>
      <c r="BJ269" s="28">
        <f>IF( OR(ISBLANK(P269:P274),ISBLANK(AJ269:AJ274), ISBLANK(W269:W274),ISBLANK(AQ269:AQ274)), "·", bdRateExtend( P269:P274,W269:W274, AJ269:AJ274,AQ269:AQ274))</f>
        <v>2.4014400033012251E-4</v>
      </c>
      <c r="BK269" s="28">
        <f>IF( OR(ISBLANK(P269:P274),ISBLANK(AJ269:AJ274), ISBLANK(X269:X274),ISBLANK(AR269:AR274)), "·", bdRateExtend( P269:P274,X269:X274, AJ269:AJ274,AR269:AR274))</f>
        <v>2.407740396621616E-4</v>
      </c>
      <c r="BL269" s="29"/>
    </row>
    <row r="270" spans="1:64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>
        <f t="shared" si="45"/>
        <v>6.9994036293103093E-2</v>
      </c>
      <c r="K270" s="34">
        <f t="shared" si="46"/>
        <v>1.1727052532871828E-2</v>
      </c>
      <c r="L270" s="34">
        <f t="shared" si="47"/>
        <v>5.8228151630884455E-2</v>
      </c>
      <c r="M270" s="35"/>
      <c r="N270" s="34">
        <f t="shared" si="48"/>
        <v>0.29805208235680525</v>
      </c>
      <c r="O270" s="36">
        <v>14997862</v>
      </c>
      <c r="P270" s="37">
        <v>4470144</v>
      </c>
      <c r="Q270" s="37">
        <v>748944</v>
      </c>
      <c r="R270" s="37">
        <v>3718720</v>
      </c>
      <c r="S270" s="38"/>
      <c r="T270" s="39">
        <v>72.223116899999994</v>
      </c>
      <c r="U270" s="39">
        <v>76.594861100000003</v>
      </c>
      <c r="V270" s="39">
        <v>29.576706300000001</v>
      </c>
      <c r="W270" s="39">
        <v>41.752726799999998</v>
      </c>
      <c r="X270" s="39">
        <v>39.938677200000001</v>
      </c>
      <c r="Y270" s="38"/>
      <c r="Z270" s="41">
        <v>27.847000000000001</v>
      </c>
      <c r="AA270" s="41">
        <v>15.039</v>
      </c>
      <c r="AC270" s="33" t="str">
        <f t="shared" si="49"/>
        <v>·</v>
      </c>
      <c r="AD270" s="34">
        <f t="shared" si="50"/>
        <v>7.0013327092843122E-2</v>
      </c>
      <c r="AE270" s="34">
        <f t="shared" si="51"/>
        <v>1.1714651304467522E-2</v>
      </c>
      <c r="AF270" s="34">
        <f t="shared" si="52"/>
        <v>5.8228151630884455E-2</v>
      </c>
      <c r="AG270" s="35"/>
      <c r="AH270" s="34">
        <f t="shared" si="53"/>
        <v>0.29813422739854523</v>
      </c>
      <c r="AI270" s="36">
        <v>14997862</v>
      </c>
      <c r="AJ270" s="37">
        <v>4471376</v>
      </c>
      <c r="AK270" s="37">
        <v>748152</v>
      </c>
      <c r="AL270" s="37">
        <v>3718720</v>
      </c>
      <c r="AM270" s="38"/>
      <c r="AN270" s="39">
        <v>72.223116899999994</v>
      </c>
      <c r="AO270" s="39">
        <v>76.594861100000003</v>
      </c>
      <c r="AP270" s="39">
        <v>29.576706300000001</v>
      </c>
      <c r="AQ270" s="39">
        <v>41.752726799999998</v>
      </c>
      <c r="AR270" s="39">
        <v>39.938677200000001</v>
      </c>
      <c r="AS270" s="40"/>
      <c r="AT270" s="41">
        <v>27.896999999999998</v>
      </c>
      <c r="AU270" s="41">
        <v>15.041</v>
      </c>
      <c r="AW270" s="42">
        <f t="shared" si="54"/>
        <v>-2.2329003648147161E-4</v>
      </c>
      <c r="AX270" s="42"/>
      <c r="AZ270" s="43"/>
      <c r="BA270" s="43"/>
      <c r="BB270" s="43"/>
      <c r="BC270" s="43"/>
      <c r="BD270" s="43"/>
      <c r="BE270" s="44"/>
      <c r="BG270" s="43"/>
      <c r="BH270" s="43"/>
      <c r="BI270" s="43"/>
      <c r="BJ270" s="43"/>
      <c r="BK270" s="43"/>
      <c r="BL270" s="44"/>
    </row>
    <row r="271" spans="1:64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>
        <f t="shared" si="45"/>
        <v>0.19354597170600238</v>
      </c>
      <c r="K271" s="19">
        <f t="shared" si="46"/>
        <v>4.6793342187580765E-2</v>
      </c>
      <c r="L271" s="19">
        <f t="shared" si="47"/>
        <v>0.14671254473974105</v>
      </c>
      <c r="M271" s="20"/>
      <c r="N271" s="19">
        <f t="shared" si="48"/>
        <v>0.72964527325164552</v>
      </c>
      <c r="O271" s="21">
        <v>16940758</v>
      </c>
      <c r="P271" s="22">
        <v>12360744</v>
      </c>
      <c r="Q271" s="22">
        <v>2988440</v>
      </c>
      <c r="R271" s="22">
        <v>9369744</v>
      </c>
      <c r="S271" s="23"/>
      <c r="T271" s="24">
        <v>76.638013400000006</v>
      </c>
      <c r="U271" s="24">
        <v>80.999489400000002</v>
      </c>
      <c r="V271" s="24">
        <v>32.016514399999998</v>
      </c>
      <c r="W271" s="24">
        <v>44.695193799999998</v>
      </c>
      <c r="X271" s="24">
        <v>42.8268512</v>
      </c>
      <c r="Y271" s="23"/>
      <c r="Z271" s="26">
        <v>44.287999999999997</v>
      </c>
      <c r="AA271" s="26">
        <v>23.521999999999998</v>
      </c>
      <c r="AC271" s="18" t="str">
        <f t="shared" si="49"/>
        <v>·</v>
      </c>
      <c r="AD271" s="19">
        <f t="shared" si="50"/>
        <v>0.19359457450015261</v>
      </c>
      <c r="AE271" s="19">
        <f t="shared" si="51"/>
        <v>4.727548691614817E-2</v>
      </c>
      <c r="AF271" s="19">
        <f t="shared" si="52"/>
        <v>0.14671254473974105</v>
      </c>
      <c r="AG271" s="20"/>
      <c r="AH271" s="19">
        <f t="shared" si="53"/>
        <v>0.72982849999982291</v>
      </c>
      <c r="AI271" s="21">
        <v>16940758</v>
      </c>
      <c r="AJ271" s="22">
        <v>12363848</v>
      </c>
      <c r="AK271" s="22">
        <v>3019232</v>
      </c>
      <c r="AL271" s="22">
        <v>9369744</v>
      </c>
      <c r="AM271" s="23"/>
      <c r="AN271" s="24">
        <v>76.638013400000006</v>
      </c>
      <c r="AO271" s="24">
        <v>80.999489400000002</v>
      </c>
      <c r="AP271" s="24">
        <v>32.016514399999998</v>
      </c>
      <c r="AQ271" s="24">
        <v>44.695193799999998</v>
      </c>
      <c r="AR271" s="24">
        <v>42.8268512</v>
      </c>
      <c r="AS271" s="25"/>
      <c r="AT271" s="26">
        <v>43.774999999999999</v>
      </c>
      <c r="AU271" s="26">
        <v>23.35</v>
      </c>
      <c r="AW271" s="27">
        <f t="shared" si="54"/>
        <v>2.4297896745660852E-3</v>
      </c>
      <c r="AX271" s="27"/>
      <c r="AZ271" s="28"/>
      <c r="BA271" s="28"/>
      <c r="BB271" s="28"/>
      <c r="BC271" s="28"/>
      <c r="BD271" s="28"/>
      <c r="BE271" s="29"/>
      <c r="BG271" s="28"/>
      <c r="BH271" s="28"/>
      <c r="BI271" s="28"/>
      <c r="BJ271" s="28"/>
      <c r="BK271" s="28"/>
      <c r="BL271" s="29"/>
    </row>
    <row r="272" spans="1:64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>
        <f t="shared" si="45"/>
        <v>0.49727598092972919</v>
      </c>
      <c r="K272" s="34">
        <f t="shared" si="46"/>
        <v>0.16141138255204474</v>
      </c>
      <c r="L272" s="34">
        <f t="shared" si="47"/>
        <v>0.33582576624833765</v>
      </c>
      <c r="M272" s="35"/>
      <c r="N272" s="34">
        <f t="shared" si="48"/>
        <v>1.5538285440296691</v>
      </c>
      <c r="O272" s="36">
        <v>20438775</v>
      </c>
      <c r="P272" s="37">
        <v>31758352</v>
      </c>
      <c r="Q272" s="37">
        <v>10308480</v>
      </c>
      <c r="R272" s="37">
        <v>21447392</v>
      </c>
      <c r="S272" s="38"/>
      <c r="T272" s="39">
        <v>79.332207100000005</v>
      </c>
      <c r="U272" s="39">
        <v>84.097035500000004</v>
      </c>
      <c r="V272" s="39">
        <v>34.065140700000001</v>
      </c>
      <c r="W272" s="39">
        <v>47.244600200000001</v>
      </c>
      <c r="X272" s="39">
        <v>45.469904800000002</v>
      </c>
      <c r="Y272" s="38"/>
      <c r="Z272" s="41">
        <v>82.587000000000003</v>
      </c>
      <c r="AA272" s="41">
        <v>46.73</v>
      </c>
      <c r="AC272" s="33" t="str">
        <f t="shared" si="49"/>
        <v>·</v>
      </c>
      <c r="AD272" s="34">
        <f t="shared" si="50"/>
        <v>0.49738120347376569</v>
      </c>
      <c r="AE272" s="34">
        <f t="shared" si="51"/>
        <v>0.16824045092494921</v>
      </c>
      <c r="AF272" s="34">
        <f t="shared" si="52"/>
        <v>0.33582576624833765</v>
      </c>
      <c r="AG272" s="35"/>
      <c r="AH272" s="34">
        <f t="shared" si="53"/>
        <v>1.5541573308576468</v>
      </c>
      <c r="AI272" s="36">
        <v>20438775</v>
      </c>
      <c r="AJ272" s="37">
        <v>31765072</v>
      </c>
      <c r="AK272" s="37">
        <v>10744616</v>
      </c>
      <c r="AL272" s="37">
        <v>21447392</v>
      </c>
      <c r="AM272" s="38"/>
      <c r="AN272" s="39">
        <v>79.332207100000005</v>
      </c>
      <c r="AO272" s="39">
        <v>84.097035500000004</v>
      </c>
      <c r="AP272" s="39">
        <v>34.065140700000001</v>
      </c>
      <c r="AQ272" s="39">
        <v>47.244600200000001</v>
      </c>
      <c r="AR272" s="39">
        <v>45.469904800000002</v>
      </c>
      <c r="AS272" s="40"/>
      <c r="AT272" s="41">
        <v>81.102999999999994</v>
      </c>
      <c r="AU272" s="41">
        <v>45.570999999999998</v>
      </c>
      <c r="AW272" s="42">
        <f t="shared" si="54"/>
        <v>1.3661380886261842E-2</v>
      </c>
      <c r="AX272" s="42"/>
      <c r="AZ272" s="43"/>
      <c r="BA272" s="43"/>
      <c r="BB272" s="43"/>
      <c r="BC272" s="43"/>
      <c r="BD272" s="43"/>
      <c r="BE272" s="44"/>
      <c r="BG272" s="43"/>
      <c r="BH272" s="43"/>
      <c r="BI272" s="43"/>
      <c r="BJ272" s="43"/>
      <c r="BK272" s="43"/>
      <c r="BL272" s="44"/>
    </row>
    <row r="273" spans="1:64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4"/>
      <c r="X273" s="24"/>
      <c r="Y273" s="23"/>
      <c r="Z273" s="26"/>
      <c r="AA273" s="26"/>
      <c r="AC273" s="18" t="str">
        <f t="shared" si="49"/>
        <v>·</v>
      </c>
      <c r="AD273" s="19" t="str">
        <f t="shared" si="50"/>
        <v>·</v>
      </c>
      <c r="AE273" s="19" t="str">
        <f t="shared" si="51"/>
        <v>·</v>
      </c>
      <c r="AF273" s="19" t="str">
        <f t="shared" si="52"/>
        <v>·</v>
      </c>
      <c r="AG273" s="20"/>
      <c r="AH273" s="19" t="str">
        <f t="shared" si="53"/>
        <v>·</v>
      </c>
      <c r="AI273" s="21"/>
      <c r="AJ273" s="22"/>
      <c r="AK273" s="22"/>
      <c r="AL273" s="22"/>
      <c r="AM273" s="23"/>
      <c r="AN273" s="24"/>
      <c r="AO273" s="24"/>
      <c r="AP273" s="24"/>
      <c r="AQ273" s="24"/>
      <c r="AR273" s="24"/>
      <c r="AS273" s="25"/>
      <c r="AT273" s="26"/>
      <c r="AU273" s="26"/>
      <c r="AW273" s="27" t="e">
        <f t="shared" si="54"/>
        <v>#DIV/0!</v>
      </c>
      <c r="AX273" s="27"/>
      <c r="AZ273" s="28"/>
      <c r="BA273" s="28"/>
      <c r="BB273" s="28"/>
      <c r="BC273" s="28"/>
      <c r="BD273" s="28"/>
      <c r="BE273" s="29"/>
      <c r="BG273" s="28"/>
      <c r="BH273" s="28"/>
      <c r="BI273" s="28"/>
      <c r="BJ273" s="28"/>
      <c r="BK273" s="28"/>
      <c r="BL273" s="29"/>
    </row>
    <row r="274" spans="1:64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4"/>
      <c r="X274" s="54"/>
      <c r="Y274" s="53"/>
      <c r="Z274" s="56"/>
      <c r="AA274" s="56"/>
      <c r="AC274" s="48" t="str">
        <f t="shared" si="49"/>
        <v>·</v>
      </c>
      <c r="AD274" s="49" t="str">
        <f t="shared" si="50"/>
        <v>·</v>
      </c>
      <c r="AE274" s="49" t="str">
        <f t="shared" si="51"/>
        <v>·</v>
      </c>
      <c r="AF274" s="49" t="str">
        <f t="shared" si="52"/>
        <v>·</v>
      </c>
      <c r="AG274" s="50"/>
      <c r="AH274" s="49" t="str">
        <f t="shared" si="53"/>
        <v>·</v>
      </c>
      <c r="AI274" s="51"/>
      <c r="AJ274" s="52"/>
      <c r="AK274" s="52"/>
      <c r="AL274" s="52"/>
      <c r="AM274" s="53"/>
      <c r="AN274" s="54"/>
      <c r="AO274" s="54"/>
      <c r="AP274" s="54"/>
      <c r="AQ274" s="54"/>
      <c r="AR274" s="54"/>
      <c r="AS274" s="55"/>
      <c r="AT274" s="56"/>
      <c r="AU274" s="56"/>
      <c r="AW274" s="57" t="e">
        <f t="shared" si="54"/>
        <v>#DIV/0!</v>
      </c>
      <c r="AX274" s="57"/>
      <c r="AZ274" s="58"/>
      <c r="BA274" s="58"/>
      <c r="BB274" s="58"/>
      <c r="BC274" s="58"/>
      <c r="BD274" s="58"/>
      <c r="BE274" s="59"/>
      <c r="BG274" s="58"/>
      <c r="BH274" s="58"/>
      <c r="BI274" s="58"/>
      <c r="BJ274" s="58"/>
      <c r="BK274" s="58"/>
      <c r="BL274" s="59"/>
    </row>
    <row r="275" spans="1:64" x14ac:dyDescent="0.15">
      <c r="A275" s="15"/>
      <c r="B275" s="15" t="s">
        <v>1047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>
        <f t="shared" si="45"/>
        <v>0.24631142275372106</v>
      </c>
      <c r="K275" s="19">
        <f t="shared" si="46"/>
        <v>3.568670052497204E-2</v>
      </c>
      <c r="L275" s="19">
        <f t="shared" si="47"/>
        <v>0.21582395014340369</v>
      </c>
      <c r="M275" s="20"/>
      <c r="N275" s="19">
        <f t="shared" si="48"/>
        <v>0.30522271465192435</v>
      </c>
      <c r="O275" s="21">
        <v>1614218</v>
      </c>
      <c r="P275" s="22">
        <v>492696</v>
      </c>
      <c r="Q275" s="22">
        <v>71384</v>
      </c>
      <c r="R275" s="22">
        <v>431712</v>
      </c>
      <c r="S275" s="23"/>
      <c r="T275" s="24">
        <v>60.251482199999998</v>
      </c>
      <c r="U275" s="24">
        <v>61.134673499999998</v>
      </c>
      <c r="V275" s="24">
        <v>25.0195936</v>
      </c>
      <c r="W275" s="24">
        <v>36.1083377</v>
      </c>
      <c r="X275" s="24">
        <v>35.021937000000001</v>
      </c>
      <c r="Y275" s="23"/>
      <c r="Z275" s="26">
        <v>8.7650000000000006</v>
      </c>
      <c r="AA275" s="26">
        <v>1.9039999999999999</v>
      </c>
      <c r="AC275" s="18" t="str">
        <f t="shared" si="49"/>
        <v>·</v>
      </c>
      <c r="AD275" s="19">
        <f t="shared" si="50"/>
        <v>0.24641540731201417</v>
      </c>
      <c r="AE275" s="19">
        <f t="shared" si="51"/>
        <v>3.6378597778229931E-2</v>
      </c>
      <c r="AF275" s="19">
        <f t="shared" si="52"/>
        <v>0.21582395014340369</v>
      </c>
      <c r="AG275" s="20"/>
      <c r="AH275" s="19">
        <f t="shared" si="53"/>
        <v>0.30535156961451304</v>
      </c>
      <c r="AI275" s="21">
        <v>1614218</v>
      </c>
      <c r="AJ275" s="22">
        <v>492904</v>
      </c>
      <c r="AK275" s="22">
        <v>72768</v>
      </c>
      <c r="AL275" s="22">
        <v>431712</v>
      </c>
      <c r="AM275" s="23"/>
      <c r="AN275" s="24">
        <v>60.251482199999998</v>
      </c>
      <c r="AO275" s="24">
        <v>61.134673499999998</v>
      </c>
      <c r="AP275" s="24">
        <v>25.0195936</v>
      </c>
      <c r="AQ275" s="24">
        <v>36.1083377</v>
      </c>
      <c r="AR275" s="24">
        <v>35.021937000000001</v>
      </c>
      <c r="AS275" s="25"/>
      <c r="AT275" s="26">
        <v>8.7330000000000005</v>
      </c>
      <c r="AU275" s="26">
        <v>1.9359999999999999</v>
      </c>
      <c r="AW275" s="27">
        <f t="shared" si="54"/>
        <v>2.7467093587119074E-3</v>
      </c>
      <c r="AX275" s="27" t="e">
        <f t="array" ref="AX275">AVERAGE(AK275:AK280/AJ275:AJ280) - AVERAGE(Q275:Q280/P275:P280)</f>
        <v>#DIV/0!</v>
      </c>
      <c r="AZ275" s="28">
        <f>IF( OR(ISBLANK(Q275:Q280),ISBLANK(AK275:AK280), ISBLANK(T275:T280),ISBLANK(AN275:AN280)), "·", bdRateExtend( Q275:Q280,T275:T280, AK275:AK280,AN275:AN280))</f>
        <v>1.968362378180899E-2</v>
      </c>
      <c r="BA275" s="28">
        <f>IF( OR(ISBLANK(Q275:Q280),ISBLANK(AK275:AK280), ISBLANK(U275:U280),ISBLANK(AO275:AO280)), "·", bdRateExtend( Q275:Q280,U275:U280, AK275:AK280,AO275:AO280))</f>
        <v>1.9683623781806769E-2</v>
      </c>
      <c r="BB275" s="28">
        <f>IF( OR(ISBLANK(R275:R280),ISBLANK(AL275:AL280), ISBLANK(V275:V280),ISBLANK(AP275:AP280)), "·", bdRateExtend( R275:R280,V275:V280, AL275:AL280,AP275:AP280))</f>
        <v>0</v>
      </c>
      <c r="BC275" s="28">
        <f>IF( OR(ISBLANK(R275:R280),ISBLANK(AL275:AL280), ISBLANK(W275:W280),ISBLANK(AQ275:AQ280)), "·", bdRateExtend( R275:R280,W275:W280, AL275:AL280,AQ275:AQ280))</f>
        <v>0</v>
      </c>
      <c r="BD275" s="28">
        <f>IF( OR(ISBLANK(R275:R280),ISBLANK(AL275:AL280), ISBLANK(X275:X280),ISBLANK(AR275:AR280)), "·", bdRateExtend( R275:R280,X275:X280, AL275:AL280,AR275:AR280))</f>
        <v>0</v>
      </c>
      <c r="BE275" s="29"/>
      <c r="BG275" s="28">
        <f>IF( OR(ISBLANK(P275:P280),ISBLANK(AJ275:AJ280), ISBLANK(T275:T280),ISBLANK(AN275:AN280)), "·", bdRateExtend( P275:P280,T275:T280, AJ275:AJ280,AN275:AN280))</f>
        <v>3.4145005672403528E-4</v>
      </c>
      <c r="BH275" s="28">
        <f>IF( OR(ISBLANK(P275:P280),ISBLANK(AJ275:AJ280), ISBLANK(U275:U280),ISBLANK(AO275:AO280)), "·", bdRateExtend( P275:P280,U275:U280, AJ275:AJ280,AO275:AO280))</f>
        <v>3.4145005672270301E-4</v>
      </c>
      <c r="BI275" s="28">
        <f>IF( OR(ISBLANK(P275:P280),ISBLANK(AJ275:AJ280), ISBLANK(V275:V280),ISBLANK(AP275:AP280)), "·", bdRateExtend( P275:P280,V275:V280, AJ275:AJ280,AP275:AP280))</f>
        <v>3.414500567231471E-4</v>
      </c>
      <c r="BJ275" s="28">
        <f>IF( OR(ISBLANK(P275:P280),ISBLANK(AJ275:AJ280), ISBLANK(W275:W280),ISBLANK(AQ275:AQ280)), "·", bdRateExtend( P275:P280,W275:W280, AJ275:AJ280,AQ275:AQ280))</f>
        <v>3.4145005672536755E-4</v>
      </c>
      <c r="BK275" s="28">
        <f>IF( OR(ISBLANK(P275:P280),ISBLANK(AJ275:AJ280), ISBLANK(X275:X280),ISBLANK(AR275:AR280)), "·", bdRateExtend( P275:P280,X275:X280, AJ275:AJ280,AR275:AR280))</f>
        <v>3.4145005672403528E-4</v>
      </c>
      <c r="BL275" s="29"/>
    </row>
    <row r="276" spans="1:64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>
        <f t="shared" si="45"/>
        <v>0.62888661033836479</v>
      </c>
      <c r="K276" s="34">
        <f t="shared" si="46"/>
        <v>0.14252683476503739</v>
      </c>
      <c r="L276" s="34">
        <f t="shared" si="47"/>
        <v>0.50707669911018216</v>
      </c>
      <c r="M276" s="35"/>
      <c r="N276" s="34">
        <f t="shared" si="48"/>
        <v>0.76405174094542561</v>
      </c>
      <c r="O276" s="36">
        <v>1646433</v>
      </c>
      <c r="P276" s="37">
        <v>1257960</v>
      </c>
      <c r="Q276" s="37">
        <v>285096</v>
      </c>
      <c r="R276" s="37">
        <v>1014304</v>
      </c>
      <c r="S276" s="38"/>
      <c r="T276" s="39">
        <v>65.193117000000001</v>
      </c>
      <c r="U276" s="39">
        <v>68.409656499999997</v>
      </c>
      <c r="V276" s="39">
        <v>27.545340800000002</v>
      </c>
      <c r="W276" s="39">
        <v>38.862092699999998</v>
      </c>
      <c r="X276" s="39">
        <v>37.684565800000001</v>
      </c>
      <c r="Y276" s="38"/>
      <c r="Z276" s="41">
        <v>12.013999999999999</v>
      </c>
      <c r="AA276" s="41">
        <v>2.56</v>
      </c>
      <c r="AC276" s="33" t="str">
        <f t="shared" si="49"/>
        <v>·</v>
      </c>
      <c r="AD276" s="34">
        <f t="shared" si="50"/>
        <v>0.6290505859879808</v>
      </c>
      <c r="AE276" s="34">
        <f t="shared" si="51"/>
        <v>0.14537441189983288</v>
      </c>
      <c r="AF276" s="34">
        <f t="shared" si="52"/>
        <v>0.50707669911018216</v>
      </c>
      <c r="AG276" s="35"/>
      <c r="AH276" s="34">
        <f t="shared" si="53"/>
        <v>0.76425095949850375</v>
      </c>
      <c r="AI276" s="36">
        <v>1646433</v>
      </c>
      <c r="AJ276" s="37">
        <v>1258288</v>
      </c>
      <c r="AK276" s="37">
        <v>290792</v>
      </c>
      <c r="AL276" s="37">
        <v>1014304</v>
      </c>
      <c r="AM276" s="38"/>
      <c r="AN276" s="39">
        <v>65.193117000000001</v>
      </c>
      <c r="AO276" s="39">
        <v>68.409656499999997</v>
      </c>
      <c r="AP276" s="39">
        <v>27.545340800000002</v>
      </c>
      <c r="AQ276" s="39">
        <v>38.862092699999998</v>
      </c>
      <c r="AR276" s="39">
        <v>37.684565800000001</v>
      </c>
      <c r="AS276" s="40"/>
      <c r="AT276" s="41">
        <v>11.531000000000001</v>
      </c>
      <c r="AU276" s="41">
        <v>2.4830000000000001</v>
      </c>
      <c r="AW276" s="42">
        <f t="shared" si="54"/>
        <v>4.4677086486568374E-3</v>
      </c>
      <c r="AX276" s="42"/>
      <c r="AZ276" s="43"/>
      <c r="BA276" s="43"/>
      <c r="BB276" s="43"/>
      <c r="BC276" s="43"/>
      <c r="BD276" s="43"/>
      <c r="BE276" s="44"/>
      <c r="BG276" s="43"/>
      <c r="BH276" s="43"/>
      <c r="BI276" s="43"/>
      <c r="BJ276" s="43"/>
      <c r="BK276" s="43"/>
      <c r="BL276" s="44"/>
    </row>
    <row r="277" spans="1:64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4"/>
      <c r="X277" s="24"/>
      <c r="Y277" s="23"/>
      <c r="Z277" s="26"/>
      <c r="AA277" s="26"/>
      <c r="AC277" s="18" t="str">
        <f t="shared" si="49"/>
        <v>·</v>
      </c>
      <c r="AD277" s="19" t="str">
        <f t="shared" si="50"/>
        <v>·</v>
      </c>
      <c r="AE277" s="19" t="str">
        <f t="shared" si="51"/>
        <v>·</v>
      </c>
      <c r="AF277" s="19" t="str">
        <f t="shared" si="52"/>
        <v>·</v>
      </c>
      <c r="AG277" s="20"/>
      <c r="AH277" s="19" t="str">
        <f t="shared" si="53"/>
        <v>·</v>
      </c>
      <c r="AI277" s="21"/>
      <c r="AJ277" s="22"/>
      <c r="AK277" s="22"/>
      <c r="AL277" s="22"/>
      <c r="AM277" s="23"/>
      <c r="AN277" s="24"/>
      <c r="AO277" s="24"/>
      <c r="AP277" s="24"/>
      <c r="AQ277" s="24"/>
      <c r="AR277" s="24"/>
      <c r="AS277" s="25"/>
      <c r="AT277" s="26"/>
      <c r="AU277" s="26"/>
      <c r="AW277" s="27" t="e">
        <f t="shared" si="54"/>
        <v>#DIV/0!</v>
      </c>
      <c r="AX277" s="27"/>
      <c r="AZ277" s="28"/>
      <c r="BA277" s="28"/>
      <c r="BB277" s="28"/>
      <c r="BC277" s="28"/>
      <c r="BD277" s="28"/>
      <c r="BE277" s="29"/>
      <c r="BG277" s="28"/>
      <c r="BH277" s="28"/>
      <c r="BI277" s="28"/>
      <c r="BJ277" s="28"/>
      <c r="BK277" s="28"/>
      <c r="BL277" s="29"/>
    </row>
    <row r="278" spans="1:64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9"/>
      <c r="X278" s="39"/>
      <c r="Y278" s="38"/>
      <c r="Z278" s="41"/>
      <c r="AA278" s="41"/>
      <c r="AC278" s="33" t="str">
        <f t="shared" si="49"/>
        <v>·</v>
      </c>
      <c r="AD278" s="34" t="str">
        <f t="shared" si="50"/>
        <v>·</v>
      </c>
      <c r="AE278" s="34" t="str">
        <f t="shared" si="51"/>
        <v>·</v>
      </c>
      <c r="AF278" s="34" t="str">
        <f t="shared" si="52"/>
        <v>·</v>
      </c>
      <c r="AG278" s="35"/>
      <c r="AH278" s="34" t="str">
        <f t="shared" si="53"/>
        <v>·</v>
      </c>
      <c r="AI278" s="36"/>
      <c r="AJ278" s="37"/>
      <c r="AK278" s="37"/>
      <c r="AL278" s="37"/>
      <c r="AM278" s="38"/>
      <c r="AN278" s="39"/>
      <c r="AO278" s="39"/>
      <c r="AP278" s="39"/>
      <c r="AQ278" s="39"/>
      <c r="AR278" s="39"/>
      <c r="AS278" s="40"/>
      <c r="AT278" s="41"/>
      <c r="AU278" s="41"/>
      <c r="AW278" s="42" t="e">
        <f t="shared" si="54"/>
        <v>#DIV/0!</v>
      </c>
      <c r="AX278" s="42"/>
      <c r="AZ278" s="43"/>
      <c r="BA278" s="43"/>
      <c r="BB278" s="43"/>
      <c r="BC278" s="43"/>
      <c r="BD278" s="43"/>
      <c r="BE278" s="44"/>
      <c r="BG278" s="43"/>
      <c r="BH278" s="43"/>
      <c r="BI278" s="43"/>
      <c r="BJ278" s="43"/>
      <c r="BK278" s="43"/>
      <c r="BL278" s="44"/>
    </row>
    <row r="279" spans="1:64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4"/>
      <c r="X279" s="24"/>
      <c r="Y279" s="23"/>
      <c r="Z279" s="26"/>
      <c r="AA279" s="26"/>
      <c r="AC279" s="18" t="str">
        <f t="shared" si="49"/>
        <v>·</v>
      </c>
      <c r="AD279" s="19" t="str">
        <f t="shared" si="50"/>
        <v>·</v>
      </c>
      <c r="AE279" s="19" t="str">
        <f t="shared" si="51"/>
        <v>·</v>
      </c>
      <c r="AF279" s="19" t="str">
        <f t="shared" si="52"/>
        <v>·</v>
      </c>
      <c r="AG279" s="20"/>
      <c r="AH279" s="19" t="str">
        <f t="shared" si="53"/>
        <v>·</v>
      </c>
      <c r="AI279" s="21"/>
      <c r="AJ279" s="22"/>
      <c r="AK279" s="22"/>
      <c r="AL279" s="22"/>
      <c r="AM279" s="23"/>
      <c r="AN279" s="24"/>
      <c r="AO279" s="24"/>
      <c r="AP279" s="24"/>
      <c r="AQ279" s="24"/>
      <c r="AR279" s="24"/>
      <c r="AS279" s="25"/>
      <c r="AT279" s="26"/>
      <c r="AU279" s="26"/>
      <c r="AW279" s="27" t="e">
        <f t="shared" si="54"/>
        <v>#DIV/0!</v>
      </c>
      <c r="AX279" s="27"/>
      <c r="AZ279" s="28"/>
      <c r="BA279" s="28"/>
      <c r="BB279" s="28"/>
      <c r="BC279" s="28"/>
      <c r="BD279" s="28"/>
      <c r="BE279" s="29"/>
      <c r="BG279" s="28"/>
      <c r="BH279" s="28"/>
      <c r="BI279" s="28"/>
      <c r="BJ279" s="28"/>
      <c r="BK279" s="28"/>
      <c r="BL279" s="29"/>
    </row>
    <row r="280" spans="1:64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4"/>
      <c r="X280" s="54"/>
      <c r="Y280" s="53"/>
      <c r="Z280" s="56"/>
      <c r="AA280" s="56"/>
      <c r="AC280" s="48" t="str">
        <f t="shared" si="49"/>
        <v>·</v>
      </c>
      <c r="AD280" s="49" t="str">
        <f t="shared" si="50"/>
        <v>·</v>
      </c>
      <c r="AE280" s="49" t="str">
        <f t="shared" si="51"/>
        <v>·</v>
      </c>
      <c r="AF280" s="49" t="str">
        <f t="shared" si="52"/>
        <v>·</v>
      </c>
      <c r="AG280" s="50"/>
      <c r="AH280" s="49" t="str">
        <f t="shared" si="53"/>
        <v>·</v>
      </c>
      <c r="AI280" s="51"/>
      <c r="AJ280" s="52"/>
      <c r="AK280" s="52"/>
      <c r="AL280" s="52"/>
      <c r="AM280" s="53"/>
      <c r="AN280" s="54"/>
      <c r="AO280" s="54"/>
      <c r="AP280" s="54"/>
      <c r="AQ280" s="54"/>
      <c r="AR280" s="54"/>
      <c r="AS280" s="55"/>
      <c r="AT280" s="56"/>
      <c r="AU280" s="56"/>
      <c r="AW280" s="57" t="e">
        <f t="shared" si="54"/>
        <v>#DIV/0!</v>
      </c>
      <c r="AX280" s="57"/>
      <c r="AZ280" s="58"/>
      <c r="BA280" s="58"/>
      <c r="BB280" s="58"/>
      <c r="BC280" s="58"/>
      <c r="BD280" s="58"/>
      <c r="BE280" s="59"/>
      <c r="BG280" s="58"/>
      <c r="BH280" s="58"/>
      <c r="BI280" s="58"/>
      <c r="BJ280" s="58"/>
      <c r="BK280" s="58"/>
      <c r="BL280" s="59"/>
    </row>
    <row r="281" spans="1:64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4"/>
      <c r="Y281" s="24"/>
      <c r="Z281" s="26"/>
      <c r="AA281" s="26"/>
      <c r="AC281" s="18" t="str">
        <f t="shared" si="49"/>
        <v>·</v>
      </c>
      <c r="AD281" s="19" t="str">
        <f t="shared" si="50"/>
        <v>·</v>
      </c>
      <c r="AE281" s="19" t="str">
        <f t="shared" si="51"/>
        <v>·</v>
      </c>
      <c r="AF281" s="19" t="str">
        <f t="shared" si="52"/>
        <v>·</v>
      </c>
      <c r="AG281" s="19" t="str">
        <f t="shared" ref="AG281:AG312" si="56">IF(ISBLANK(AK281),"·",AM281/D281)</f>
        <v>·</v>
      </c>
      <c r="AH281" s="19" t="str">
        <f t="shared" si="53"/>
        <v>·</v>
      </c>
      <c r="AI281" s="21"/>
      <c r="AJ281" s="22"/>
      <c r="AK281" s="22"/>
      <c r="AL281" s="22"/>
      <c r="AM281" s="22"/>
      <c r="AN281" s="24"/>
      <c r="AO281" s="24"/>
      <c r="AP281" s="24"/>
      <c r="AQ281" s="24"/>
      <c r="AR281" s="24"/>
      <c r="AS281" s="24"/>
      <c r="AT281" s="26"/>
      <c r="AU281" s="26"/>
      <c r="AW281" s="27" t="e">
        <f t="shared" si="54"/>
        <v>#DIV/0!</v>
      </c>
      <c r="AX281" s="27" t="e">
        <f t="array" ref="AX281">AVERAGE(AK281:AK286/AJ281:AJ286) - AVERAGE(Q281:Q286/P281:P286)</f>
        <v>#DIV/0!</v>
      </c>
      <c r="AZ281" s="28" t="str">
        <f>IF( OR(ISBLANK(Q281:Q286),ISBLANK(AK281:AK286), ISBLANK(T281:T286),ISBLANK(AN281:AN286)), "·", bdRateExtend( Q281:Q286,T281:T286, AK281:AK286,AN281:AN286))</f>
        <v>·</v>
      </c>
      <c r="BA281" s="28" t="str">
        <f>IF( OR(ISBLANK(Q281:Q286),ISBLANK(AK281:AK286), ISBLANK(U281:U286),ISBLANK(AO281:AO286)), "·", bdRateExtend( Q281:Q286,U281:U286, AK281:AK286,AO281:AO286))</f>
        <v>·</v>
      </c>
      <c r="BB281" s="28" t="str">
        <f>IF( OR(ISBLANK(R281:R286),ISBLANK(AL281:AL286), ISBLANK(V281:V286),ISBLANK(AP281:AP286)), "·", bdRateExtend( R281:R286,V281:V286, AL281:AL286,AP281:AP286))</f>
        <v>·</v>
      </c>
      <c r="BC281" s="28" t="str">
        <f>IF( OR(ISBLANK(R281:R286),ISBLANK(AL281:AL286), ISBLANK(W281:W286),ISBLANK(AQ281:AQ286)), "·", bdRateExtend( R281:R286,W281:W286, AL281:AL286,AQ281:AQ286))</f>
        <v>·</v>
      </c>
      <c r="BD281" s="28" t="str">
        <f>IF( OR(ISBLANK(R281:R286),ISBLANK(AL281:AL286), ISBLANK(X281:X286),ISBLANK(AR281:AR286)), "·", bdRateExtend( R281:R286,X281:X286, AL281:AL286,AR281:AR286))</f>
        <v>·</v>
      </c>
      <c r="BE281" s="28" t="str">
        <f>IF( OR(ISBLANK(S281:S286),ISBLANK(AM281:AM286), ISBLANK(Y281:Y286),ISBLANK(AS281:AS286)), "·", bdRateExtend( S281:S286,Y281:Y286, AM281:AM286,AS281:AS286))</f>
        <v>·</v>
      </c>
      <c r="BG281" s="28" t="str">
        <f>IF( OR(ISBLANK(P281:P286),ISBLANK(AJ281:AJ286), ISBLANK(T281:T286),ISBLANK(AN281:AN286)), "·", bdRateExtend( P281:P286,T281:T286, AJ281:AJ286,AN281:AN286))</f>
        <v>·</v>
      </c>
      <c r="BH281" s="28" t="str">
        <f>IF( OR(ISBLANK(P281:P286),ISBLANK(AJ281:AJ286), ISBLANK(U281:U286),ISBLANK(AO281:AO286)), "·", bdRateExtend( P281:P286,U281:U286, AJ281:AJ286,AO281:AO286))</f>
        <v>·</v>
      </c>
      <c r="BI281" s="28" t="str">
        <f>IF( OR(ISBLANK(P281:P286),ISBLANK(AJ281:AJ286), ISBLANK(V281:V286),ISBLANK(AP281:AP286)), "·", bdRateExtend( P281:P286,V281:V286, AJ281:AJ286,AP281:AP286))</f>
        <v>·</v>
      </c>
      <c r="BJ281" s="28" t="str">
        <f>IF( OR(ISBLANK(P281:P286),ISBLANK(AJ281:AJ286), ISBLANK(W281:W286),ISBLANK(AQ281:AQ286)), "·", bdRateExtend( P281:P286,W281:W286, AJ281:AJ286,AQ281:AQ286))</f>
        <v>·</v>
      </c>
      <c r="BK281" s="28" t="str">
        <f>IF( OR(ISBLANK(P281:P286),ISBLANK(AJ281:AJ286), ISBLANK(X281:X286),ISBLANK(AR281:AR286)), "·", bdRateExtend( P281:P286,X281:X286, AJ281:AJ286,AR281:AR286))</f>
        <v>·</v>
      </c>
      <c r="BL281" s="28" t="str">
        <f>IF( OR(ISBLANK(P281:P286),ISBLANK(AJ281:AJ286), ISBLANK(Y281:Y286),ISBLANK(AS281:AS286)), "·", bdRateExtend( P281:P286,Y281:Y286, AJ281:AJ286,AS281:AS286))</f>
        <v>·</v>
      </c>
    </row>
    <row r="282" spans="1:64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39"/>
      <c r="Y282" s="39"/>
      <c r="Z282" s="41"/>
      <c r="AA282" s="41"/>
      <c r="AC282" s="33" t="str">
        <f t="shared" si="49"/>
        <v>·</v>
      </c>
      <c r="AD282" s="34" t="str">
        <f t="shared" si="50"/>
        <v>·</v>
      </c>
      <c r="AE282" s="34" t="str">
        <f t="shared" si="51"/>
        <v>·</v>
      </c>
      <c r="AF282" s="34" t="str">
        <f t="shared" si="52"/>
        <v>·</v>
      </c>
      <c r="AG282" s="34" t="str">
        <f t="shared" si="56"/>
        <v>·</v>
      </c>
      <c r="AH282" s="34" t="str">
        <f t="shared" si="53"/>
        <v>·</v>
      </c>
      <c r="AI282" s="36"/>
      <c r="AJ282" s="37"/>
      <c r="AK282" s="37"/>
      <c r="AL282" s="37"/>
      <c r="AM282" s="37"/>
      <c r="AN282" s="39"/>
      <c r="AO282" s="39"/>
      <c r="AP282" s="39"/>
      <c r="AQ282" s="39"/>
      <c r="AR282" s="39"/>
      <c r="AS282" s="39"/>
      <c r="AT282" s="41"/>
      <c r="AU282" s="41"/>
      <c r="AW282" s="42" t="e">
        <f t="shared" si="54"/>
        <v>#DIV/0!</v>
      </c>
      <c r="AX282" s="42"/>
      <c r="AZ282" s="43"/>
      <c r="BA282" s="43"/>
      <c r="BB282" s="43"/>
      <c r="BC282" s="43"/>
      <c r="BD282" s="43"/>
      <c r="BE282" s="43"/>
      <c r="BG282" s="43"/>
      <c r="BH282" s="43"/>
      <c r="BI282" s="43"/>
      <c r="BJ282" s="43"/>
      <c r="BK282" s="43"/>
      <c r="BL282" s="43"/>
    </row>
    <row r="283" spans="1:64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4"/>
      <c r="Y283" s="24"/>
      <c r="Z283" s="26"/>
      <c r="AA283" s="26"/>
      <c r="AC283" s="18" t="str">
        <f t="shared" si="49"/>
        <v>·</v>
      </c>
      <c r="AD283" s="19" t="str">
        <f t="shared" si="50"/>
        <v>·</v>
      </c>
      <c r="AE283" s="19" t="str">
        <f t="shared" si="51"/>
        <v>·</v>
      </c>
      <c r="AF283" s="19" t="str">
        <f t="shared" si="52"/>
        <v>·</v>
      </c>
      <c r="AG283" s="19" t="str">
        <f t="shared" si="56"/>
        <v>·</v>
      </c>
      <c r="AH283" s="19" t="str">
        <f t="shared" si="53"/>
        <v>·</v>
      </c>
      <c r="AI283" s="21"/>
      <c r="AJ283" s="22"/>
      <c r="AK283" s="22"/>
      <c r="AL283" s="22"/>
      <c r="AM283" s="22"/>
      <c r="AN283" s="24"/>
      <c r="AO283" s="24"/>
      <c r="AP283" s="24"/>
      <c r="AQ283" s="24"/>
      <c r="AR283" s="24"/>
      <c r="AS283" s="24"/>
      <c r="AT283" s="26"/>
      <c r="AU283" s="26"/>
      <c r="AW283" s="27" t="e">
        <f t="shared" si="54"/>
        <v>#DIV/0!</v>
      </c>
      <c r="AX283" s="27"/>
      <c r="AZ283" s="28"/>
      <c r="BA283" s="28"/>
      <c r="BB283" s="28"/>
      <c r="BC283" s="28"/>
      <c r="BD283" s="28"/>
      <c r="BE283" s="28"/>
      <c r="BG283" s="28"/>
      <c r="BH283" s="28"/>
      <c r="BI283" s="28"/>
      <c r="BJ283" s="28"/>
      <c r="BK283" s="28"/>
      <c r="BL283" s="28"/>
    </row>
    <row r="284" spans="1:64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39"/>
      <c r="Y284" s="39"/>
      <c r="Z284" s="41"/>
      <c r="AA284" s="41"/>
      <c r="AC284" s="33" t="str">
        <f t="shared" si="49"/>
        <v>·</v>
      </c>
      <c r="AD284" s="34" t="str">
        <f t="shared" si="50"/>
        <v>·</v>
      </c>
      <c r="AE284" s="34" t="str">
        <f t="shared" si="51"/>
        <v>·</v>
      </c>
      <c r="AF284" s="34" t="str">
        <f t="shared" si="52"/>
        <v>·</v>
      </c>
      <c r="AG284" s="34" t="str">
        <f t="shared" si="56"/>
        <v>·</v>
      </c>
      <c r="AH284" s="34" t="str">
        <f t="shared" si="53"/>
        <v>·</v>
      </c>
      <c r="AI284" s="36"/>
      <c r="AJ284" s="37"/>
      <c r="AK284" s="37"/>
      <c r="AL284" s="37"/>
      <c r="AM284" s="37"/>
      <c r="AN284" s="39"/>
      <c r="AO284" s="39"/>
      <c r="AP284" s="39"/>
      <c r="AQ284" s="39"/>
      <c r="AR284" s="39"/>
      <c r="AS284" s="39"/>
      <c r="AT284" s="41"/>
      <c r="AU284" s="41"/>
      <c r="AW284" s="42" t="e">
        <f t="shared" si="54"/>
        <v>#DIV/0!</v>
      </c>
      <c r="AX284" s="42"/>
      <c r="AZ284" s="43"/>
      <c r="BA284" s="43"/>
      <c r="BB284" s="43"/>
      <c r="BC284" s="43"/>
      <c r="BD284" s="43"/>
      <c r="BE284" s="43"/>
      <c r="BG284" s="43"/>
      <c r="BH284" s="43"/>
      <c r="BI284" s="43"/>
      <c r="BJ284" s="43"/>
      <c r="BK284" s="43"/>
      <c r="BL284" s="43"/>
    </row>
    <row r="285" spans="1:64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4"/>
      <c r="Y285" s="24"/>
      <c r="Z285" s="26"/>
      <c r="AA285" s="26"/>
      <c r="AC285" s="18" t="str">
        <f t="shared" si="49"/>
        <v>·</v>
      </c>
      <c r="AD285" s="19" t="str">
        <f t="shared" si="50"/>
        <v>·</v>
      </c>
      <c r="AE285" s="19" t="str">
        <f t="shared" si="51"/>
        <v>·</v>
      </c>
      <c r="AF285" s="19" t="str">
        <f t="shared" si="52"/>
        <v>·</v>
      </c>
      <c r="AG285" s="19" t="str">
        <f t="shared" si="56"/>
        <v>·</v>
      </c>
      <c r="AH285" s="19" t="str">
        <f t="shared" si="53"/>
        <v>·</v>
      </c>
      <c r="AI285" s="21"/>
      <c r="AJ285" s="22"/>
      <c r="AK285" s="22"/>
      <c r="AL285" s="22"/>
      <c r="AM285" s="22"/>
      <c r="AN285" s="24"/>
      <c r="AO285" s="24"/>
      <c r="AP285" s="24"/>
      <c r="AQ285" s="24"/>
      <c r="AR285" s="24"/>
      <c r="AS285" s="24"/>
      <c r="AT285" s="26"/>
      <c r="AU285" s="26"/>
      <c r="AW285" s="27" t="e">
        <f t="shared" si="54"/>
        <v>#DIV/0!</v>
      </c>
      <c r="AX285" s="27"/>
      <c r="AZ285" s="28"/>
      <c r="BA285" s="28"/>
      <c r="BB285" s="28"/>
      <c r="BC285" s="28"/>
      <c r="BD285" s="28"/>
      <c r="BE285" s="28"/>
      <c r="BG285" s="28"/>
      <c r="BH285" s="28"/>
      <c r="BI285" s="28"/>
      <c r="BJ285" s="28"/>
      <c r="BK285" s="28"/>
      <c r="BL285" s="28"/>
    </row>
    <row r="286" spans="1:64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4"/>
      <c r="Y286" s="54"/>
      <c r="Z286" s="56"/>
      <c r="AA286" s="56"/>
      <c r="AC286" s="48" t="str">
        <f t="shared" si="49"/>
        <v>·</v>
      </c>
      <c r="AD286" s="49" t="str">
        <f t="shared" si="50"/>
        <v>·</v>
      </c>
      <c r="AE286" s="49" t="str">
        <f t="shared" si="51"/>
        <v>·</v>
      </c>
      <c r="AF286" s="49" t="str">
        <f t="shared" si="52"/>
        <v>·</v>
      </c>
      <c r="AG286" s="49" t="str">
        <f t="shared" si="56"/>
        <v>·</v>
      </c>
      <c r="AH286" s="49" t="str">
        <f t="shared" si="53"/>
        <v>·</v>
      </c>
      <c r="AI286" s="51"/>
      <c r="AJ286" s="52"/>
      <c r="AK286" s="52"/>
      <c r="AL286" s="52"/>
      <c r="AM286" s="52"/>
      <c r="AN286" s="54"/>
      <c r="AO286" s="54"/>
      <c r="AP286" s="54"/>
      <c r="AQ286" s="54"/>
      <c r="AR286" s="54"/>
      <c r="AS286" s="54"/>
      <c r="AT286" s="56"/>
      <c r="AU286" s="56"/>
      <c r="AW286" s="57" t="e">
        <f t="shared" si="54"/>
        <v>#DIV/0!</v>
      </c>
      <c r="AX286" s="57"/>
      <c r="AZ286" s="58"/>
      <c r="BA286" s="58"/>
      <c r="BB286" s="58"/>
      <c r="BC286" s="58"/>
      <c r="BD286" s="58"/>
      <c r="BE286" s="58"/>
      <c r="BG286" s="58"/>
      <c r="BH286" s="58"/>
      <c r="BI286" s="58"/>
      <c r="BJ286" s="58"/>
      <c r="BK286" s="58"/>
      <c r="BL286" s="58"/>
    </row>
    <row r="287" spans="1:64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4"/>
      <c r="Y287" s="24"/>
      <c r="Z287" s="26"/>
      <c r="AA287" s="26"/>
      <c r="AC287" s="18" t="str">
        <f t="shared" si="49"/>
        <v>·</v>
      </c>
      <c r="AD287" s="19" t="str">
        <f t="shared" si="50"/>
        <v>·</v>
      </c>
      <c r="AE287" s="19" t="str">
        <f t="shared" si="51"/>
        <v>·</v>
      </c>
      <c r="AF287" s="19" t="str">
        <f t="shared" si="52"/>
        <v>·</v>
      </c>
      <c r="AG287" s="19" t="str">
        <f t="shared" si="56"/>
        <v>·</v>
      </c>
      <c r="AH287" s="19" t="str">
        <f t="shared" si="53"/>
        <v>·</v>
      </c>
      <c r="AI287" s="21"/>
      <c r="AJ287" s="22"/>
      <c r="AK287" s="22"/>
      <c r="AL287" s="22"/>
      <c r="AM287" s="22"/>
      <c r="AN287" s="24"/>
      <c r="AO287" s="24"/>
      <c r="AP287" s="24"/>
      <c r="AQ287" s="24"/>
      <c r="AR287" s="24"/>
      <c r="AS287" s="24"/>
      <c r="AT287" s="26"/>
      <c r="AU287" s="26"/>
      <c r="AW287" s="27" t="e">
        <f t="shared" si="54"/>
        <v>#DIV/0!</v>
      </c>
      <c r="AX287" s="27" t="e">
        <f t="array" ref="AX287">AVERAGE(AK287:AK292/AJ287:AJ292) - AVERAGE(Q287:Q292/P287:P292)</f>
        <v>#DIV/0!</v>
      </c>
      <c r="AZ287" s="28" t="str">
        <f>IF( OR(ISBLANK(Q287:Q292),ISBLANK(AK287:AK292), ISBLANK(T287:T292),ISBLANK(AN287:AN292)), "·", bdRateExtend( Q287:Q292,T287:T292, AK287:AK292,AN287:AN292))</f>
        <v>·</v>
      </c>
      <c r="BA287" s="28" t="str">
        <f>IF( OR(ISBLANK(Q287:Q292),ISBLANK(AK287:AK292), ISBLANK(U287:U292),ISBLANK(AO287:AO292)), "·", bdRateExtend( Q287:Q292,U287:U292, AK287:AK292,AO287:AO292))</f>
        <v>·</v>
      </c>
      <c r="BB287" s="28" t="str">
        <f>IF( OR(ISBLANK(R287:R292),ISBLANK(AL287:AL292), ISBLANK(V287:V292),ISBLANK(AP287:AP292)), "·", bdRateExtend( R287:R292,V287:V292, AL287:AL292,AP287:AP292))</f>
        <v>·</v>
      </c>
      <c r="BC287" s="28" t="str">
        <f>IF( OR(ISBLANK(R287:R292),ISBLANK(AL287:AL292), ISBLANK(W287:W292),ISBLANK(AQ287:AQ292)), "·", bdRateExtend( R287:R292,W287:W292, AL287:AL292,AQ287:AQ292))</f>
        <v>·</v>
      </c>
      <c r="BD287" s="28" t="str">
        <f>IF( OR(ISBLANK(R287:R292),ISBLANK(AL287:AL292), ISBLANK(X287:X292),ISBLANK(AR287:AR292)), "·", bdRateExtend( R287:R292,X287:X292, AL287:AL292,AR287:AR292))</f>
        <v>·</v>
      </c>
      <c r="BE287" s="28" t="str">
        <f>IF( OR(ISBLANK(S287:S292),ISBLANK(AM287:AM292), ISBLANK(Y287:Y292),ISBLANK(AS287:AS292)), "·", bdRateExtend( S287:S292,Y287:Y292, AM287:AM292,AS287:AS292))</f>
        <v>·</v>
      </c>
      <c r="BG287" s="28" t="str">
        <f>IF( OR(ISBLANK(P287:P292),ISBLANK(AJ287:AJ292), ISBLANK(T287:T292),ISBLANK(AN287:AN292)), "·", bdRateExtend( P287:P292,T287:T292, AJ287:AJ292,AN287:AN292))</f>
        <v>·</v>
      </c>
      <c r="BH287" s="28" t="str">
        <f>IF( OR(ISBLANK(P287:P292),ISBLANK(AJ287:AJ292), ISBLANK(U287:U292),ISBLANK(AO287:AO292)), "·", bdRateExtend( P287:P292,U287:U292, AJ287:AJ292,AO287:AO292))</f>
        <v>·</v>
      </c>
      <c r="BI287" s="28" t="str">
        <f>IF( OR(ISBLANK(P287:P292),ISBLANK(AJ287:AJ292), ISBLANK(V287:V292),ISBLANK(AP287:AP292)), "·", bdRateExtend( P287:P292,V287:V292, AJ287:AJ292,AP287:AP292))</f>
        <v>·</v>
      </c>
      <c r="BJ287" s="28" t="str">
        <f>IF( OR(ISBLANK(P287:P292),ISBLANK(AJ287:AJ292), ISBLANK(W287:W292),ISBLANK(AQ287:AQ292)), "·", bdRateExtend( P287:P292,W287:W292, AJ287:AJ292,AQ287:AQ292))</f>
        <v>·</v>
      </c>
      <c r="BK287" s="28" t="str">
        <f>IF( OR(ISBLANK(P287:P292),ISBLANK(AJ287:AJ292), ISBLANK(X287:X292),ISBLANK(AR287:AR292)), "·", bdRateExtend( P287:P292,X287:X292, AJ287:AJ292,AR287:AR292))</f>
        <v>·</v>
      </c>
      <c r="BL287" s="28" t="str">
        <f>IF( OR(ISBLANK(P287:P292),ISBLANK(AJ287:AJ292), ISBLANK(Y287:Y292),ISBLANK(AS287:AS292)), "·", bdRateExtend( P287:P292,Y287:Y292, AJ287:AJ292,AS287:AS292))</f>
        <v>·</v>
      </c>
    </row>
    <row r="288" spans="1:64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39"/>
      <c r="Y288" s="39"/>
      <c r="Z288" s="41"/>
      <c r="AA288" s="41"/>
      <c r="AC288" s="33" t="str">
        <f t="shared" si="49"/>
        <v>·</v>
      </c>
      <c r="AD288" s="34" t="str">
        <f t="shared" si="50"/>
        <v>·</v>
      </c>
      <c r="AE288" s="34" t="str">
        <f t="shared" si="51"/>
        <v>·</v>
      </c>
      <c r="AF288" s="34" t="str">
        <f t="shared" si="52"/>
        <v>·</v>
      </c>
      <c r="AG288" s="34" t="str">
        <f t="shared" si="56"/>
        <v>·</v>
      </c>
      <c r="AH288" s="34" t="str">
        <f t="shared" si="53"/>
        <v>·</v>
      </c>
      <c r="AI288" s="36"/>
      <c r="AJ288" s="37"/>
      <c r="AK288" s="37"/>
      <c r="AL288" s="37"/>
      <c r="AM288" s="37"/>
      <c r="AN288" s="39"/>
      <c r="AO288" s="39"/>
      <c r="AP288" s="39"/>
      <c r="AQ288" s="39"/>
      <c r="AR288" s="39"/>
      <c r="AS288" s="39"/>
      <c r="AT288" s="41"/>
      <c r="AU288" s="41"/>
      <c r="AW288" s="42" t="e">
        <f t="shared" si="54"/>
        <v>#DIV/0!</v>
      </c>
      <c r="AX288" s="42"/>
      <c r="AZ288" s="43"/>
      <c r="BA288" s="43"/>
      <c r="BB288" s="43"/>
      <c r="BC288" s="43"/>
      <c r="BD288" s="43"/>
      <c r="BE288" s="43"/>
      <c r="BG288" s="43"/>
      <c r="BH288" s="43"/>
      <c r="BI288" s="43"/>
      <c r="BJ288" s="43"/>
      <c r="BK288" s="43"/>
      <c r="BL288" s="43"/>
    </row>
    <row r="289" spans="1:64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4"/>
      <c r="Y289" s="24"/>
      <c r="Z289" s="26"/>
      <c r="AA289" s="26"/>
      <c r="AC289" s="18" t="str">
        <f t="shared" si="49"/>
        <v>·</v>
      </c>
      <c r="AD289" s="19" t="str">
        <f t="shared" si="50"/>
        <v>·</v>
      </c>
      <c r="AE289" s="19" t="str">
        <f t="shared" si="51"/>
        <v>·</v>
      </c>
      <c r="AF289" s="19" t="str">
        <f t="shared" si="52"/>
        <v>·</v>
      </c>
      <c r="AG289" s="19" t="str">
        <f t="shared" si="56"/>
        <v>·</v>
      </c>
      <c r="AH289" s="19" t="str">
        <f t="shared" si="53"/>
        <v>·</v>
      </c>
      <c r="AI289" s="21"/>
      <c r="AJ289" s="22"/>
      <c r="AK289" s="22"/>
      <c r="AL289" s="22"/>
      <c r="AM289" s="22"/>
      <c r="AN289" s="24"/>
      <c r="AO289" s="24"/>
      <c r="AP289" s="24"/>
      <c r="AQ289" s="24"/>
      <c r="AR289" s="24"/>
      <c r="AS289" s="24"/>
      <c r="AT289" s="26"/>
      <c r="AU289" s="26"/>
      <c r="AW289" s="27" t="e">
        <f t="shared" si="54"/>
        <v>#DIV/0!</v>
      </c>
      <c r="AX289" s="27"/>
      <c r="AZ289" s="28"/>
      <c r="BA289" s="28"/>
      <c r="BB289" s="28"/>
      <c r="BC289" s="28"/>
      <c r="BD289" s="28"/>
      <c r="BE289" s="28"/>
      <c r="BG289" s="28"/>
      <c r="BH289" s="28"/>
      <c r="BI289" s="28"/>
      <c r="BJ289" s="28"/>
      <c r="BK289" s="28"/>
      <c r="BL289" s="28"/>
    </row>
    <row r="290" spans="1:64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39"/>
      <c r="Y290" s="39"/>
      <c r="Z290" s="41"/>
      <c r="AA290" s="41"/>
      <c r="AC290" s="33" t="str">
        <f t="shared" si="49"/>
        <v>·</v>
      </c>
      <c r="AD290" s="34" t="str">
        <f t="shared" si="50"/>
        <v>·</v>
      </c>
      <c r="AE290" s="34" t="str">
        <f t="shared" si="51"/>
        <v>·</v>
      </c>
      <c r="AF290" s="34" t="str">
        <f t="shared" si="52"/>
        <v>·</v>
      </c>
      <c r="AG290" s="34" t="str">
        <f t="shared" si="56"/>
        <v>·</v>
      </c>
      <c r="AH290" s="34" t="str">
        <f t="shared" si="53"/>
        <v>·</v>
      </c>
      <c r="AI290" s="36"/>
      <c r="AJ290" s="37"/>
      <c r="AK290" s="37"/>
      <c r="AL290" s="37"/>
      <c r="AM290" s="37"/>
      <c r="AN290" s="39"/>
      <c r="AO290" s="39"/>
      <c r="AP290" s="39"/>
      <c r="AQ290" s="39"/>
      <c r="AR290" s="39"/>
      <c r="AS290" s="39"/>
      <c r="AT290" s="41"/>
      <c r="AU290" s="41"/>
      <c r="AW290" s="42" t="e">
        <f t="shared" si="54"/>
        <v>#DIV/0!</v>
      </c>
      <c r="AX290" s="42"/>
      <c r="AZ290" s="43"/>
      <c r="BA290" s="43"/>
      <c r="BB290" s="43"/>
      <c r="BC290" s="43"/>
      <c r="BD290" s="43"/>
      <c r="BE290" s="43"/>
      <c r="BG290" s="43"/>
      <c r="BH290" s="43"/>
      <c r="BI290" s="43"/>
      <c r="BJ290" s="43"/>
      <c r="BK290" s="43"/>
      <c r="BL290" s="43"/>
    </row>
    <row r="291" spans="1:64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4"/>
      <c r="Y291" s="24"/>
      <c r="Z291" s="26"/>
      <c r="AA291" s="26"/>
      <c r="AC291" s="18" t="str">
        <f t="shared" si="49"/>
        <v>·</v>
      </c>
      <c r="AD291" s="19" t="str">
        <f t="shared" si="50"/>
        <v>·</v>
      </c>
      <c r="AE291" s="19" t="str">
        <f t="shared" si="51"/>
        <v>·</v>
      </c>
      <c r="AF291" s="19" t="str">
        <f t="shared" si="52"/>
        <v>·</v>
      </c>
      <c r="AG291" s="19" t="str">
        <f t="shared" si="56"/>
        <v>·</v>
      </c>
      <c r="AH291" s="19" t="str">
        <f t="shared" si="53"/>
        <v>·</v>
      </c>
      <c r="AI291" s="21"/>
      <c r="AJ291" s="22"/>
      <c r="AK291" s="22"/>
      <c r="AL291" s="22"/>
      <c r="AM291" s="22"/>
      <c r="AN291" s="24"/>
      <c r="AO291" s="24"/>
      <c r="AP291" s="24"/>
      <c r="AQ291" s="24"/>
      <c r="AR291" s="24"/>
      <c r="AS291" s="24"/>
      <c r="AT291" s="26"/>
      <c r="AU291" s="26"/>
      <c r="AW291" s="27" t="e">
        <f t="shared" si="54"/>
        <v>#DIV/0!</v>
      </c>
      <c r="AX291" s="27"/>
      <c r="AZ291" s="28"/>
      <c r="BA291" s="28"/>
      <c r="BB291" s="28"/>
      <c r="BC291" s="28"/>
      <c r="BD291" s="28"/>
      <c r="BE291" s="28"/>
      <c r="BG291" s="28"/>
      <c r="BH291" s="28"/>
      <c r="BI291" s="28"/>
      <c r="BJ291" s="28"/>
      <c r="BK291" s="28"/>
      <c r="BL291" s="28"/>
    </row>
    <row r="292" spans="1:64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4"/>
      <c r="Y292" s="54"/>
      <c r="Z292" s="56"/>
      <c r="AA292" s="56"/>
      <c r="AC292" s="48" t="str">
        <f t="shared" si="49"/>
        <v>·</v>
      </c>
      <c r="AD292" s="49" t="str">
        <f t="shared" si="50"/>
        <v>·</v>
      </c>
      <c r="AE292" s="49" t="str">
        <f t="shared" si="51"/>
        <v>·</v>
      </c>
      <c r="AF292" s="49" t="str">
        <f t="shared" si="52"/>
        <v>·</v>
      </c>
      <c r="AG292" s="49" t="str">
        <f t="shared" si="56"/>
        <v>·</v>
      </c>
      <c r="AH292" s="49" t="str">
        <f t="shared" si="53"/>
        <v>·</v>
      </c>
      <c r="AI292" s="51"/>
      <c r="AJ292" s="52"/>
      <c r="AK292" s="52"/>
      <c r="AL292" s="52"/>
      <c r="AM292" s="52"/>
      <c r="AN292" s="54"/>
      <c r="AO292" s="54"/>
      <c r="AP292" s="54"/>
      <c r="AQ292" s="54"/>
      <c r="AR292" s="54"/>
      <c r="AS292" s="54"/>
      <c r="AT292" s="56"/>
      <c r="AU292" s="56"/>
      <c r="AW292" s="57" t="e">
        <f t="shared" si="54"/>
        <v>#DIV/0!</v>
      </c>
      <c r="AX292" s="57"/>
      <c r="AZ292" s="58"/>
      <c r="BA292" s="58"/>
      <c r="BB292" s="58"/>
      <c r="BC292" s="58"/>
      <c r="BD292" s="58"/>
      <c r="BE292" s="58"/>
      <c r="BG292" s="58"/>
      <c r="BH292" s="58"/>
      <c r="BI292" s="58"/>
      <c r="BJ292" s="58"/>
      <c r="BK292" s="58"/>
      <c r="BL292" s="58"/>
    </row>
    <row r="293" spans="1:64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4"/>
      <c r="Y293" s="24"/>
      <c r="Z293" s="26"/>
      <c r="AA293" s="26"/>
      <c r="AC293" s="18" t="str">
        <f t="shared" si="49"/>
        <v>·</v>
      </c>
      <c r="AD293" s="19" t="str">
        <f t="shared" si="50"/>
        <v>·</v>
      </c>
      <c r="AE293" s="19" t="str">
        <f t="shared" si="51"/>
        <v>·</v>
      </c>
      <c r="AF293" s="19" t="str">
        <f t="shared" si="52"/>
        <v>·</v>
      </c>
      <c r="AG293" s="19" t="str">
        <f t="shared" si="56"/>
        <v>·</v>
      </c>
      <c r="AH293" s="19" t="str">
        <f t="shared" si="53"/>
        <v>·</v>
      </c>
      <c r="AI293" s="21"/>
      <c r="AJ293" s="22"/>
      <c r="AK293" s="22"/>
      <c r="AL293" s="22"/>
      <c r="AM293" s="22"/>
      <c r="AN293" s="24"/>
      <c r="AO293" s="24"/>
      <c r="AP293" s="24"/>
      <c r="AQ293" s="24"/>
      <c r="AR293" s="24"/>
      <c r="AS293" s="24"/>
      <c r="AT293" s="26"/>
      <c r="AU293" s="26"/>
      <c r="AW293" s="27" t="e">
        <f t="shared" si="54"/>
        <v>#DIV/0!</v>
      </c>
      <c r="AX293" s="27" t="e">
        <f t="array" ref="AX293">AVERAGE(AK293:AK298/AJ293:AJ298) - AVERAGE(Q293:Q298/P293:P298)</f>
        <v>#DIV/0!</v>
      </c>
      <c r="AZ293" s="28" t="str">
        <f>IF( OR(ISBLANK(Q293:Q298),ISBLANK(AK293:AK298), ISBLANK(T293:T298),ISBLANK(AN293:AN298)), "·", bdRateExtend( Q293:Q298,T293:T298, AK293:AK298,AN293:AN298))</f>
        <v>·</v>
      </c>
      <c r="BA293" s="28" t="str">
        <f>IF( OR(ISBLANK(Q293:Q298),ISBLANK(AK293:AK298), ISBLANK(U293:U298),ISBLANK(AO293:AO298)), "·", bdRateExtend( Q293:Q298,U293:U298, AK293:AK298,AO293:AO298))</f>
        <v>·</v>
      </c>
      <c r="BB293" s="28" t="str">
        <f>IF( OR(ISBLANK(R293:R298),ISBLANK(AL293:AL298), ISBLANK(V293:V298),ISBLANK(AP293:AP298)), "·", bdRateExtend( R293:R298,V293:V298, AL293:AL298,AP293:AP298))</f>
        <v>·</v>
      </c>
      <c r="BC293" s="28" t="str">
        <f>IF( OR(ISBLANK(R293:R298),ISBLANK(AL293:AL298), ISBLANK(W293:W298),ISBLANK(AQ293:AQ298)), "·", bdRateExtend( R293:R298,W293:W298, AL293:AL298,AQ293:AQ298))</f>
        <v>·</v>
      </c>
      <c r="BD293" s="28" t="str">
        <f>IF( OR(ISBLANK(R293:R298),ISBLANK(AL293:AL298), ISBLANK(X293:X298),ISBLANK(AR293:AR298)), "·", bdRateExtend( R293:R298,X293:X298, AL293:AL298,AR293:AR298))</f>
        <v>·</v>
      </c>
      <c r="BE293" s="28" t="str">
        <f>IF( OR(ISBLANK(S293:S298),ISBLANK(AM293:AM298), ISBLANK(Y293:Y298),ISBLANK(AS293:AS298)), "·", bdRateExtend( S293:S298,Y293:Y298, AM293:AM298,AS293:AS298))</f>
        <v>·</v>
      </c>
      <c r="BG293" s="28" t="str">
        <f>IF( OR(ISBLANK(P293:P298),ISBLANK(AJ293:AJ298), ISBLANK(T293:T298),ISBLANK(AN293:AN298)), "·", bdRateExtend( P293:P298,T293:T298, AJ293:AJ298,AN293:AN298))</f>
        <v>·</v>
      </c>
      <c r="BH293" s="28" t="str">
        <f>IF( OR(ISBLANK(P293:P298),ISBLANK(AJ293:AJ298), ISBLANK(U293:U298),ISBLANK(AO293:AO298)), "·", bdRateExtend( P293:P298,U293:U298, AJ293:AJ298,AO293:AO298))</f>
        <v>·</v>
      </c>
      <c r="BI293" s="28" t="str">
        <f>IF( OR(ISBLANK(P293:P298),ISBLANK(AJ293:AJ298), ISBLANK(V293:V298),ISBLANK(AP293:AP298)), "·", bdRateExtend( P293:P298,V293:V298, AJ293:AJ298,AP293:AP298))</f>
        <v>·</v>
      </c>
      <c r="BJ293" s="28" t="str">
        <f>IF( OR(ISBLANK(P293:P298),ISBLANK(AJ293:AJ298), ISBLANK(W293:W298),ISBLANK(AQ293:AQ298)), "·", bdRateExtend( P293:P298,W293:W298, AJ293:AJ298,AQ293:AQ298))</f>
        <v>·</v>
      </c>
      <c r="BK293" s="28" t="str">
        <f>IF( OR(ISBLANK(P293:P298),ISBLANK(AJ293:AJ298), ISBLANK(X293:X298),ISBLANK(AR293:AR298)), "·", bdRateExtend( P293:P298,X293:X298, AJ293:AJ298,AR293:AR298))</f>
        <v>·</v>
      </c>
      <c r="BL293" s="28" t="str">
        <f>IF( OR(ISBLANK(P293:P298),ISBLANK(AJ293:AJ298), ISBLANK(Y293:Y298),ISBLANK(AS293:AS298)), "·", bdRateExtend( P293:P298,Y293:Y298, AJ293:AJ298,AS293:AS298))</f>
        <v>·</v>
      </c>
    </row>
    <row r="294" spans="1:64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39"/>
      <c r="Y294" s="39"/>
      <c r="Z294" s="41"/>
      <c r="AA294" s="41"/>
      <c r="AC294" s="33" t="str">
        <f t="shared" si="49"/>
        <v>·</v>
      </c>
      <c r="AD294" s="34" t="str">
        <f t="shared" si="50"/>
        <v>·</v>
      </c>
      <c r="AE294" s="34" t="str">
        <f t="shared" si="51"/>
        <v>·</v>
      </c>
      <c r="AF294" s="34" t="str">
        <f t="shared" si="52"/>
        <v>·</v>
      </c>
      <c r="AG294" s="34" t="str">
        <f t="shared" si="56"/>
        <v>·</v>
      </c>
      <c r="AH294" s="34" t="str">
        <f t="shared" si="53"/>
        <v>·</v>
      </c>
      <c r="AI294" s="36"/>
      <c r="AJ294" s="37"/>
      <c r="AK294" s="37"/>
      <c r="AL294" s="37"/>
      <c r="AM294" s="37"/>
      <c r="AN294" s="39"/>
      <c r="AO294" s="39"/>
      <c r="AP294" s="39"/>
      <c r="AQ294" s="39"/>
      <c r="AR294" s="39"/>
      <c r="AS294" s="39"/>
      <c r="AT294" s="41"/>
      <c r="AU294" s="41"/>
      <c r="AW294" s="42" t="e">
        <f t="shared" si="54"/>
        <v>#DIV/0!</v>
      </c>
      <c r="AX294" s="42"/>
      <c r="AZ294" s="43"/>
      <c r="BA294" s="43"/>
      <c r="BB294" s="43"/>
      <c r="BC294" s="43"/>
      <c r="BD294" s="43"/>
      <c r="BE294" s="43"/>
      <c r="BG294" s="43"/>
      <c r="BH294" s="43"/>
      <c r="BI294" s="43"/>
      <c r="BJ294" s="43"/>
      <c r="BK294" s="43"/>
      <c r="BL294" s="43"/>
    </row>
    <row r="295" spans="1:64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4"/>
      <c r="Y295" s="24"/>
      <c r="Z295" s="26"/>
      <c r="AA295" s="26"/>
      <c r="AC295" s="18" t="str">
        <f t="shared" si="49"/>
        <v>·</v>
      </c>
      <c r="AD295" s="19" t="str">
        <f t="shared" si="50"/>
        <v>·</v>
      </c>
      <c r="AE295" s="19" t="str">
        <f t="shared" si="51"/>
        <v>·</v>
      </c>
      <c r="AF295" s="19" t="str">
        <f t="shared" si="52"/>
        <v>·</v>
      </c>
      <c r="AG295" s="19" t="str">
        <f t="shared" si="56"/>
        <v>·</v>
      </c>
      <c r="AH295" s="19" t="str">
        <f t="shared" si="53"/>
        <v>·</v>
      </c>
      <c r="AI295" s="21"/>
      <c r="AJ295" s="22"/>
      <c r="AK295" s="22"/>
      <c r="AL295" s="22"/>
      <c r="AM295" s="22"/>
      <c r="AN295" s="24"/>
      <c r="AO295" s="24"/>
      <c r="AP295" s="24"/>
      <c r="AQ295" s="24"/>
      <c r="AR295" s="24"/>
      <c r="AS295" s="24"/>
      <c r="AT295" s="26"/>
      <c r="AU295" s="26"/>
      <c r="AW295" s="27" t="e">
        <f t="shared" si="54"/>
        <v>#DIV/0!</v>
      </c>
      <c r="AX295" s="27"/>
      <c r="AZ295" s="28"/>
      <c r="BA295" s="28"/>
      <c r="BB295" s="28"/>
      <c r="BC295" s="28"/>
      <c r="BD295" s="28"/>
      <c r="BE295" s="28"/>
      <c r="BG295" s="28"/>
      <c r="BH295" s="28"/>
      <c r="BI295" s="28"/>
      <c r="BJ295" s="28"/>
      <c r="BK295" s="28"/>
      <c r="BL295" s="28"/>
    </row>
    <row r="296" spans="1:64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39"/>
      <c r="Y296" s="39"/>
      <c r="Z296" s="41"/>
      <c r="AA296" s="41"/>
      <c r="AC296" s="33" t="str">
        <f t="shared" si="49"/>
        <v>·</v>
      </c>
      <c r="AD296" s="34" t="str">
        <f t="shared" si="50"/>
        <v>·</v>
      </c>
      <c r="AE296" s="34" t="str">
        <f t="shared" si="51"/>
        <v>·</v>
      </c>
      <c r="AF296" s="34" t="str">
        <f t="shared" si="52"/>
        <v>·</v>
      </c>
      <c r="AG296" s="34" t="str">
        <f t="shared" si="56"/>
        <v>·</v>
      </c>
      <c r="AH296" s="34" t="str">
        <f t="shared" si="53"/>
        <v>·</v>
      </c>
      <c r="AI296" s="36"/>
      <c r="AJ296" s="37"/>
      <c r="AK296" s="37"/>
      <c r="AL296" s="37"/>
      <c r="AM296" s="37"/>
      <c r="AN296" s="39"/>
      <c r="AO296" s="39"/>
      <c r="AP296" s="39"/>
      <c r="AQ296" s="39"/>
      <c r="AR296" s="39"/>
      <c r="AS296" s="39"/>
      <c r="AT296" s="41"/>
      <c r="AU296" s="41"/>
      <c r="AW296" s="42" t="e">
        <f t="shared" si="54"/>
        <v>#DIV/0!</v>
      </c>
      <c r="AX296" s="42"/>
      <c r="AZ296" s="43"/>
      <c r="BA296" s="43"/>
      <c r="BB296" s="43"/>
      <c r="BC296" s="43"/>
      <c r="BD296" s="43"/>
      <c r="BE296" s="43"/>
      <c r="BG296" s="43"/>
      <c r="BH296" s="43"/>
      <c r="BI296" s="43"/>
      <c r="BJ296" s="43"/>
      <c r="BK296" s="43"/>
      <c r="BL296" s="43"/>
    </row>
    <row r="297" spans="1:64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4"/>
      <c r="Y297" s="24"/>
      <c r="Z297" s="26"/>
      <c r="AA297" s="26"/>
      <c r="AC297" s="18" t="str">
        <f t="shared" si="49"/>
        <v>·</v>
      </c>
      <c r="AD297" s="19" t="str">
        <f t="shared" si="50"/>
        <v>·</v>
      </c>
      <c r="AE297" s="19" t="str">
        <f t="shared" si="51"/>
        <v>·</v>
      </c>
      <c r="AF297" s="19" t="str">
        <f t="shared" si="52"/>
        <v>·</v>
      </c>
      <c r="AG297" s="19" t="str">
        <f t="shared" si="56"/>
        <v>·</v>
      </c>
      <c r="AH297" s="19" t="str">
        <f t="shared" si="53"/>
        <v>·</v>
      </c>
      <c r="AI297" s="21"/>
      <c r="AJ297" s="22"/>
      <c r="AK297" s="22"/>
      <c r="AL297" s="22"/>
      <c r="AM297" s="22"/>
      <c r="AN297" s="24"/>
      <c r="AO297" s="24"/>
      <c r="AP297" s="24"/>
      <c r="AQ297" s="24"/>
      <c r="AR297" s="24"/>
      <c r="AS297" s="24"/>
      <c r="AT297" s="26"/>
      <c r="AU297" s="26"/>
      <c r="AW297" s="27" t="e">
        <f t="shared" si="54"/>
        <v>#DIV/0!</v>
      </c>
      <c r="AX297" s="27"/>
      <c r="AZ297" s="28"/>
      <c r="BA297" s="28"/>
      <c r="BB297" s="28"/>
      <c r="BC297" s="28"/>
      <c r="BD297" s="28"/>
      <c r="BE297" s="28"/>
      <c r="BG297" s="28"/>
      <c r="BH297" s="28"/>
      <c r="BI297" s="28"/>
      <c r="BJ297" s="28"/>
      <c r="BK297" s="28"/>
      <c r="BL297" s="28"/>
    </row>
    <row r="298" spans="1:64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4"/>
      <c r="Y298" s="54"/>
      <c r="Z298" s="56"/>
      <c r="AA298" s="56"/>
      <c r="AC298" s="48" t="str">
        <f t="shared" si="49"/>
        <v>·</v>
      </c>
      <c r="AD298" s="49" t="str">
        <f t="shared" si="50"/>
        <v>·</v>
      </c>
      <c r="AE298" s="49" t="str">
        <f t="shared" si="51"/>
        <v>·</v>
      </c>
      <c r="AF298" s="49" t="str">
        <f t="shared" si="52"/>
        <v>·</v>
      </c>
      <c r="AG298" s="49" t="str">
        <f t="shared" si="56"/>
        <v>·</v>
      </c>
      <c r="AH298" s="49" t="str">
        <f t="shared" si="53"/>
        <v>·</v>
      </c>
      <c r="AI298" s="51"/>
      <c r="AJ298" s="52"/>
      <c r="AK298" s="52"/>
      <c r="AL298" s="52"/>
      <c r="AM298" s="52"/>
      <c r="AN298" s="54"/>
      <c r="AO298" s="54"/>
      <c r="AP298" s="54"/>
      <c r="AQ298" s="54"/>
      <c r="AR298" s="54"/>
      <c r="AS298" s="54"/>
      <c r="AT298" s="56"/>
      <c r="AU298" s="56"/>
      <c r="AW298" s="57" t="e">
        <f t="shared" si="54"/>
        <v>#DIV/0!</v>
      </c>
      <c r="AX298" s="57"/>
      <c r="AZ298" s="58"/>
      <c r="BA298" s="58"/>
      <c r="BB298" s="58"/>
      <c r="BC298" s="58"/>
      <c r="BD298" s="58"/>
      <c r="BE298" s="58"/>
      <c r="BG298" s="58"/>
      <c r="BH298" s="58"/>
      <c r="BI298" s="58"/>
      <c r="BJ298" s="58"/>
      <c r="BK298" s="58"/>
      <c r="BL298" s="58"/>
    </row>
    <row r="299" spans="1:64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4"/>
      <c r="U299" s="24"/>
      <c r="V299" s="25"/>
      <c r="W299" s="25"/>
      <c r="X299" s="25"/>
      <c r="Y299" s="24"/>
      <c r="Z299" s="26"/>
      <c r="AA299" s="26"/>
      <c r="AC299" s="18" t="str">
        <f t="shared" si="49"/>
        <v>·</v>
      </c>
      <c r="AD299" s="19" t="str">
        <f t="shared" si="50"/>
        <v>·</v>
      </c>
      <c r="AE299" s="19" t="str">
        <f t="shared" si="51"/>
        <v>·</v>
      </c>
      <c r="AF299" s="20"/>
      <c r="AG299" s="19" t="str">
        <f t="shared" si="56"/>
        <v>·</v>
      </c>
      <c r="AH299" s="19" t="str">
        <f t="shared" si="53"/>
        <v>·</v>
      </c>
      <c r="AI299" s="21"/>
      <c r="AJ299" s="22"/>
      <c r="AK299" s="22"/>
      <c r="AL299" s="23"/>
      <c r="AM299" s="22"/>
      <c r="AN299" s="24"/>
      <c r="AO299" s="24"/>
      <c r="AP299" s="25"/>
      <c r="AQ299" s="25"/>
      <c r="AR299" s="25"/>
      <c r="AS299" s="24"/>
      <c r="AT299" s="26"/>
      <c r="AU299" s="26"/>
      <c r="AW299" s="27" t="e">
        <f t="shared" si="54"/>
        <v>#DIV/0!</v>
      </c>
      <c r="AX299" s="27" t="e">
        <f t="array" ref="AX299">AVERAGE(AK299:AK304/AJ299:AJ304) - AVERAGE(Q299:Q304/P299:P304)</f>
        <v>#DIV/0!</v>
      </c>
      <c r="AZ299" s="28" t="str">
        <f>IF( OR(ISBLANK(Q299:Q304),ISBLANK(AK299:AK304), ISBLANK(T299:T304),ISBLANK(AN299:AN304)), "·", bdRateExtend( Q299:Q304,T299:T304, AK299:AK304,AN299:AN304))</f>
        <v>·</v>
      </c>
      <c r="BA299" s="28" t="str">
        <f>IF( OR(ISBLANK(Q299:Q304),ISBLANK(AK299:AK304), ISBLANK(U299:U304),ISBLANK(AO299:AO304)), "·", bdRateExtend( Q299:Q304,U299:U304, AK299:AK304,AO299:AO304))</f>
        <v>·</v>
      </c>
      <c r="BB299" s="29"/>
      <c r="BC299" s="29"/>
      <c r="BD299" s="29"/>
      <c r="BE299" s="28" t="str">
        <f>IF( OR(ISBLANK(S299:S304),ISBLANK(AM299:AM304), ISBLANK(Y299:Y304),ISBLANK(AS299:AS304)), "·", bdRateExtend( S299:S304,Y299:Y304, AM299:AM304,AS299:AS304))</f>
        <v>·</v>
      </c>
      <c r="BG299" s="28" t="str">
        <f>IF( OR(ISBLANK(P299:P304),ISBLANK(AJ299:AJ304), ISBLANK(T299:T304),ISBLANK(AN299:AN304)), "·", bdRateExtend( P299:P304,T299:T304, AJ299:AJ304,AN299:AN304))</f>
        <v>·</v>
      </c>
      <c r="BH299" s="28" t="str">
        <f>IF( OR(ISBLANK(P299:P304),ISBLANK(AJ299:AJ304), ISBLANK(U299:U304),ISBLANK(AO299:AO304)), "·", bdRateExtend( P299:P304,U299:U304, AJ299:AJ304,AO299:AO304))</f>
        <v>·</v>
      </c>
      <c r="BI299" s="29"/>
      <c r="BJ299" s="29"/>
      <c r="BK299" s="29"/>
      <c r="BL299" s="28" t="str">
        <f>IF( OR(ISBLANK(P299:P304),ISBLANK(AJ299:AJ304), ISBLANK(Y299:Y304),ISBLANK(AS299:AS304)), "·", bdRateExtend( P299:P304,Y299:Y304, AJ299:AJ304,AS299:AS304))</f>
        <v>·</v>
      </c>
    </row>
    <row r="300" spans="1:64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9"/>
      <c r="U300" s="39"/>
      <c r="V300" s="40"/>
      <c r="W300" s="40"/>
      <c r="X300" s="40"/>
      <c r="Y300" s="39"/>
      <c r="Z300" s="41"/>
      <c r="AA300" s="41"/>
      <c r="AC300" s="33" t="str">
        <f t="shared" si="49"/>
        <v>·</v>
      </c>
      <c r="AD300" s="34" t="str">
        <f t="shared" si="50"/>
        <v>·</v>
      </c>
      <c r="AE300" s="34" t="str">
        <f t="shared" si="51"/>
        <v>·</v>
      </c>
      <c r="AF300" s="35"/>
      <c r="AG300" s="34" t="str">
        <f t="shared" si="56"/>
        <v>·</v>
      </c>
      <c r="AH300" s="34" t="str">
        <f t="shared" si="53"/>
        <v>·</v>
      </c>
      <c r="AI300" s="36"/>
      <c r="AJ300" s="37"/>
      <c r="AK300" s="37"/>
      <c r="AL300" s="38"/>
      <c r="AM300" s="37"/>
      <c r="AN300" s="39"/>
      <c r="AO300" s="39"/>
      <c r="AP300" s="40"/>
      <c r="AQ300" s="40"/>
      <c r="AR300" s="40"/>
      <c r="AS300" s="39"/>
      <c r="AT300" s="41"/>
      <c r="AU300" s="41"/>
      <c r="AW300" s="42" t="e">
        <f t="shared" si="54"/>
        <v>#DIV/0!</v>
      </c>
      <c r="AX300" s="42"/>
      <c r="AZ300" s="43"/>
      <c r="BA300" s="43"/>
      <c r="BB300" s="44"/>
      <c r="BC300" s="44"/>
      <c r="BD300" s="44"/>
      <c r="BE300" s="43"/>
      <c r="BG300" s="43"/>
      <c r="BH300" s="43"/>
      <c r="BI300" s="44"/>
      <c r="BJ300" s="44"/>
      <c r="BK300" s="44"/>
      <c r="BL300" s="43"/>
    </row>
    <row r="301" spans="1:64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4"/>
      <c r="U301" s="24"/>
      <c r="V301" s="25"/>
      <c r="W301" s="25"/>
      <c r="X301" s="25"/>
      <c r="Y301" s="24"/>
      <c r="Z301" s="26"/>
      <c r="AA301" s="26"/>
      <c r="AC301" s="18" t="str">
        <f t="shared" si="49"/>
        <v>·</v>
      </c>
      <c r="AD301" s="19" t="str">
        <f t="shared" si="50"/>
        <v>·</v>
      </c>
      <c r="AE301" s="19" t="str">
        <f t="shared" si="51"/>
        <v>·</v>
      </c>
      <c r="AF301" s="20"/>
      <c r="AG301" s="19" t="str">
        <f t="shared" si="56"/>
        <v>·</v>
      </c>
      <c r="AH301" s="19" t="str">
        <f t="shared" si="53"/>
        <v>·</v>
      </c>
      <c r="AI301" s="21"/>
      <c r="AJ301" s="22"/>
      <c r="AK301" s="22"/>
      <c r="AL301" s="23"/>
      <c r="AM301" s="22"/>
      <c r="AN301" s="24"/>
      <c r="AO301" s="24"/>
      <c r="AP301" s="25"/>
      <c r="AQ301" s="25"/>
      <c r="AR301" s="25"/>
      <c r="AS301" s="24"/>
      <c r="AT301" s="26"/>
      <c r="AU301" s="26"/>
      <c r="AW301" s="27" t="e">
        <f t="shared" si="54"/>
        <v>#DIV/0!</v>
      </c>
      <c r="AX301" s="27"/>
      <c r="AZ301" s="28"/>
      <c r="BA301" s="28"/>
      <c r="BB301" s="29"/>
      <c r="BC301" s="29"/>
      <c r="BD301" s="29"/>
      <c r="BE301" s="28"/>
      <c r="BG301" s="28"/>
      <c r="BH301" s="28"/>
      <c r="BI301" s="29"/>
      <c r="BJ301" s="29"/>
      <c r="BK301" s="29"/>
      <c r="BL301" s="28"/>
    </row>
    <row r="302" spans="1:64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9"/>
      <c r="U302" s="39"/>
      <c r="V302" s="40"/>
      <c r="W302" s="40"/>
      <c r="X302" s="40"/>
      <c r="Y302" s="39"/>
      <c r="Z302" s="41"/>
      <c r="AA302" s="41"/>
      <c r="AC302" s="33" t="str">
        <f t="shared" si="49"/>
        <v>·</v>
      </c>
      <c r="AD302" s="34" t="str">
        <f t="shared" si="50"/>
        <v>·</v>
      </c>
      <c r="AE302" s="34" t="str">
        <f t="shared" si="51"/>
        <v>·</v>
      </c>
      <c r="AF302" s="35"/>
      <c r="AG302" s="34" t="str">
        <f t="shared" si="56"/>
        <v>·</v>
      </c>
      <c r="AH302" s="34" t="str">
        <f t="shared" si="53"/>
        <v>·</v>
      </c>
      <c r="AI302" s="36"/>
      <c r="AJ302" s="37"/>
      <c r="AK302" s="37"/>
      <c r="AL302" s="38"/>
      <c r="AM302" s="37"/>
      <c r="AN302" s="39"/>
      <c r="AO302" s="39"/>
      <c r="AP302" s="40"/>
      <c r="AQ302" s="40"/>
      <c r="AR302" s="40"/>
      <c r="AS302" s="39"/>
      <c r="AT302" s="41"/>
      <c r="AU302" s="41"/>
      <c r="AW302" s="42" t="e">
        <f t="shared" si="54"/>
        <v>#DIV/0!</v>
      </c>
      <c r="AX302" s="42"/>
      <c r="AZ302" s="43"/>
      <c r="BA302" s="43"/>
      <c r="BB302" s="44"/>
      <c r="BC302" s="44"/>
      <c r="BD302" s="44"/>
      <c r="BE302" s="43"/>
      <c r="BG302" s="43"/>
      <c r="BH302" s="43"/>
      <c r="BI302" s="44"/>
      <c r="BJ302" s="44"/>
      <c r="BK302" s="44"/>
      <c r="BL302" s="43"/>
    </row>
    <row r="303" spans="1:64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4"/>
      <c r="U303" s="24"/>
      <c r="V303" s="25"/>
      <c r="W303" s="25"/>
      <c r="X303" s="25"/>
      <c r="Y303" s="24"/>
      <c r="Z303" s="26"/>
      <c r="AA303" s="26"/>
      <c r="AC303" s="18" t="str">
        <f t="shared" si="49"/>
        <v>·</v>
      </c>
      <c r="AD303" s="19" t="str">
        <f t="shared" si="50"/>
        <v>·</v>
      </c>
      <c r="AE303" s="19" t="str">
        <f t="shared" si="51"/>
        <v>·</v>
      </c>
      <c r="AF303" s="20"/>
      <c r="AG303" s="19" t="str">
        <f t="shared" si="56"/>
        <v>·</v>
      </c>
      <c r="AH303" s="19" t="str">
        <f t="shared" si="53"/>
        <v>·</v>
      </c>
      <c r="AI303" s="21"/>
      <c r="AJ303" s="22"/>
      <c r="AK303" s="22"/>
      <c r="AL303" s="23"/>
      <c r="AM303" s="22"/>
      <c r="AN303" s="24"/>
      <c r="AO303" s="24"/>
      <c r="AP303" s="25"/>
      <c r="AQ303" s="25"/>
      <c r="AR303" s="25"/>
      <c r="AS303" s="24"/>
      <c r="AT303" s="26"/>
      <c r="AU303" s="26"/>
      <c r="AW303" s="27" t="e">
        <f t="shared" si="54"/>
        <v>#DIV/0!</v>
      </c>
      <c r="AX303" s="27"/>
      <c r="AZ303" s="28"/>
      <c r="BA303" s="28"/>
      <c r="BB303" s="29"/>
      <c r="BC303" s="29"/>
      <c r="BD303" s="29"/>
      <c r="BE303" s="28"/>
      <c r="BG303" s="28"/>
      <c r="BH303" s="28"/>
      <c r="BI303" s="29"/>
      <c r="BJ303" s="29"/>
      <c r="BK303" s="29"/>
      <c r="BL303" s="28"/>
    </row>
    <row r="304" spans="1:64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4"/>
      <c r="U304" s="54"/>
      <c r="V304" s="55"/>
      <c r="W304" s="55"/>
      <c r="X304" s="55"/>
      <c r="Y304" s="54"/>
      <c r="Z304" s="56"/>
      <c r="AA304" s="56"/>
      <c r="AC304" s="48" t="str">
        <f t="shared" si="49"/>
        <v>·</v>
      </c>
      <c r="AD304" s="49" t="str">
        <f t="shared" si="50"/>
        <v>·</v>
      </c>
      <c r="AE304" s="49" t="str">
        <f t="shared" si="51"/>
        <v>·</v>
      </c>
      <c r="AF304" s="50"/>
      <c r="AG304" s="49" t="str">
        <f t="shared" si="56"/>
        <v>·</v>
      </c>
      <c r="AH304" s="49" t="str">
        <f t="shared" si="53"/>
        <v>·</v>
      </c>
      <c r="AI304" s="51"/>
      <c r="AJ304" s="52"/>
      <c r="AK304" s="52"/>
      <c r="AL304" s="53"/>
      <c r="AM304" s="52"/>
      <c r="AN304" s="54"/>
      <c r="AO304" s="54"/>
      <c r="AP304" s="55"/>
      <c r="AQ304" s="55"/>
      <c r="AR304" s="55"/>
      <c r="AS304" s="54"/>
      <c r="AT304" s="56"/>
      <c r="AU304" s="56"/>
      <c r="AW304" s="57" t="e">
        <f t="shared" si="54"/>
        <v>#DIV/0!</v>
      </c>
      <c r="AX304" s="57"/>
      <c r="AZ304" s="58"/>
      <c r="BA304" s="58"/>
      <c r="BB304" s="59"/>
      <c r="BC304" s="59"/>
      <c r="BD304" s="59"/>
      <c r="BE304" s="58"/>
      <c r="BG304" s="58"/>
      <c r="BH304" s="58"/>
      <c r="BI304" s="59"/>
      <c r="BJ304" s="59"/>
      <c r="BK304" s="59"/>
      <c r="BL304" s="58"/>
    </row>
    <row r="305" spans="1:64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4"/>
      <c r="U305" s="24"/>
      <c r="V305" s="25"/>
      <c r="W305" s="25"/>
      <c r="X305" s="25"/>
      <c r="Y305" s="24"/>
      <c r="Z305" s="26"/>
      <c r="AA305" s="26"/>
      <c r="AC305" s="18" t="str">
        <f t="shared" si="49"/>
        <v>·</v>
      </c>
      <c r="AD305" s="19" t="str">
        <f t="shared" si="50"/>
        <v>·</v>
      </c>
      <c r="AE305" s="19" t="str">
        <f t="shared" si="51"/>
        <v>·</v>
      </c>
      <c r="AF305" s="20"/>
      <c r="AG305" s="19" t="str">
        <f t="shared" si="56"/>
        <v>·</v>
      </c>
      <c r="AH305" s="19" t="str">
        <f t="shared" si="53"/>
        <v>·</v>
      </c>
      <c r="AI305" s="21"/>
      <c r="AJ305" s="22"/>
      <c r="AK305" s="22"/>
      <c r="AL305" s="23"/>
      <c r="AM305" s="22"/>
      <c r="AN305" s="24"/>
      <c r="AO305" s="24"/>
      <c r="AP305" s="25"/>
      <c r="AQ305" s="25"/>
      <c r="AR305" s="25"/>
      <c r="AS305" s="24"/>
      <c r="AT305" s="26"/>
      <c r="AU305" s="26"/>
      <c r="AW305" s="27" t="e">
        <f t="shared" si="54"/>
        <v>#DIV/0!</v>
      </c>
      <c r="AX305" s="27" t="e">
        <f t="array" ref="AX305">AVERAGE(AK305:AK310/AJ305:AJ310) - AVERAGE(Q305:Q310/P305:P310)</f>
        <v>#DIV/0!</v>
      </c>
      <c r="AZ305" s="28" t="str">
        <f>IF( OR(ISBLANK(Q305:Q310),ISBLANK(AK305:AK310), ISBLANK(T305:T310),ISBLANK(AN305:AN310)), "·", bdRateExtend( Q305:Q310,T305:T310, AK305:AK310,AN305:AN310))</f>
        <v>·</v>
      </c>
      <c r="BA305" s="28" t="str">
        <f>IF( OR(ISBLANK(Q305:Q310),ISBLANK(AK305:AK310), ISBLANK(U305:U310),ISBLANK(AO305:AO310)), "·", bdRateExtend( Q305:Q310,U305:U310, AK305:AK310,AO305:AO310))</f>
        <v>·</v>
      </c>
      <c r="BB305" s="29"/>
      <c r="BC305" s="29"/>
      <c r="BD305" s="29"/>
      <c r="BE305" s="28" t="str">
        <f>IF( OR(ISBLANK(S305:S310),ISBLANK(AM305:AM310), ISBLANK(Y305:Y310),ISBLANK(AS305:AS310)), "·", bdRateExtend( S305:S310,Y305:Y310, AM305:AM310,AS305:AS310))</f>
        <v>·</v>
      </c>
      <c r="BG305" s="28" t="str">
        <f>IF( OR(ISBLANK(P305:P310),ISBLANK(AJ305:AJ310), ISBLANK(T305:T310),ISBLANK(AN305:AN310)), "·", bdRateExtend( P305:P310,T305:T310, AJ305:AJ310,AN305:AN310))</f>
        <v>·</v>
      </c>
      <c r="BH305" s="28" t="str">
        <f>IF( OR(ISBLANK(P305:P310),ISBLANK(AJ305:AJ310), ISBLANK(U305:U310),ISBLANK(AO305:AO310)), "·", bdRateExtend( P305:P310,U305:U310, AJ305:AJ310,AO305:AO310))</f>
        <v>·</v>
      </c>
      <c r="BI305" s="29"/>
      <c r="BJ305" s="29"/>
      <c r="BK305" s="29"/>
      <c r="BL305" s="28" t="str">
        <f>IF( OR(ISBLANK(P305:P310),ISBLANK(AJ305:AJ310), ISBLANK(Y305:Y310),ISBLANK(AS305:AS310)), "·", bdRateExtend( P305:P310,Y305:Y310, AJ305:AJ310,AS305:AS310))</f>
        <v>·</v>
      </c>
    </row>
    <row r="306" spans="1:64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9"/>
      <c r="U306" s="39"/>
      <c r="V306" s="40"/>
      <c r="W306" s="40"/>
      <c r="X306" s="40"/>
      <c r="Y306" s="39"/>
      <c r="Z306" s="41"/>
      <c r="AA306" s="41"/>
      <c r="AC306" s="33" t="str">
        <f t="shared" si="49"/>
        <v>·</v>
      </c>
      <c r="AD306" s="34" t="str">
        <f t="shared" si="50"/>
        <v>·</v>
      </c>
      <c r="AE306" s="34" t="str">
        <f t="shared" si="51"/>
        <v>·</v>
      </c>
      <c r="AF306" s="35"/>
      <c r="AG306" s="34" t="str">
        <f t="shared" si="56"/>
        <v>·</v>
      </c>
      <c r="AH306" s="34" t="str">
        <f t="shared" si="53"/>
        <v>·</v>
      </c>
      <c r="AI306" s="36"/>
      <c r="AJ306" s="37"/>
      <c r="AK306" s="37"/>
      <c r="AL306" s="38"/>
      <c r="AM306" s="37"/>
      <c r="AN306" s="39"/>
      <c r="AO306" s="39"/>
      <c r="AP306" s="40"/>
      <c r="AQ306" s="40"/>
      <c r="AR306" s="40"/>
      <c r="AS306" s="39"/>
      <c r="AT306" s="41"/>
      <c r="AU306" s="41"/>
      <c r="AW306" s="42" t="e">
        <f t="shared" si="54"/>
        <v>#DIV/0!</v>
      </c>
      <c r="AX306" s="42"/>
      <c r="AZ306" s="43"/>
      <c r="BA306" s="43"/>
      <c r="BB306" s="44"/>
      <c r="BC306" s="44"/>
      <c r="BD306" s="44"/>
      <c r="BE306" s="43"/>
      <c r="BG306" s="43"/>
      <c r="BH306" s="43"/>
      <c r="BI306" s="44"/>
      <c r="BJ306" s="44"/>
      <c r="BK306" s="44"/>
      <c r="BL306" s="43"/>
    </row>
    <row r="307" spans="1:64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4"/>
      <c r="U307" s="24"/>
      <c r="V307" s="25"/>
      <c r="W307" s="25"/>
      <c r="X307" s="25"/>
      <c r="Y307" s="24"/>
      <c r="Z307" s="26"/>
      <c r="AA307" s="26"/>
      <c r="AC307" s="18" t="str">
        <f t="shared" si="49"/>
        <v>·</v>
      </c>
      <c r="AD307" s="19" t="str">
        <f t="shared" si="50"/>
        <v>·</v>
      </c>
      <c r="AE307" s="19" t="str">
        <f t="shared" si="51"/>
        <v>·</v>
      </c>
      <c r="AF307" s="20"/>
      <c r="AG307" s="19" t="str">
        <f t="shared" si="56"/>
        <v>·</v>
      </c>
      <c r="AH307" s="19" t="str">
        <f t="shared" si="53"/>
        <v>·</v>
      </c>
      <c r="AI307" s="21"/>
      <c r="AJ307" s="22"/>
      <c r="AK307" s="22"/>
      <c r="AL307" s="23"/>
      <c r="AM307" s="22"/>
      <c r="AN307" s="24"/>
      <c r="AO307" s="24"/>
      <c r="AP307" s="25"/>
      <c r="AQ307" s="25"/>
      <c r="AR307" s="25"/>
      <c r="AS307" s="24"/>
      <c r="AT307" s="26"/>
      <c r="AU307" s="26"/>
      <c r="AW307" s="27" t="e">
        <f t="shared" si="54"/>
        <v>#DIV/0!</v>
      </c>
      <c r="AX307" s="27"/>
      <c r="AZ307" s="28"/>
      <c r="BA307" s="28"/>
      <c r="BB307" s="29"/>
      <c r="BC307" s="29"/>
      <c r="BD307" s="29"/>
      <c r="BE307" s="28"/>
      <c r="BG307" s="28"/>
      <c r="BH307" s="28"/>
      <c r="BI307" s="29"/>
      <c r="BJ307" s="29"/>
      <c r="BK307" s="29"/>
      <c r="BL307" s="28"/>
    </row>
    <row r="308" spans="1:64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9"/>
      <c r="U308" s="39"/>
      <c r="V308" s="40"/>
      <c r="W308" s="40"/>
      <c r="X308" s="40"/>
      <c r="Y308" s="39"/>
      <c r="Z308" s="41"/>
      <c r="AA308" s="41"/>
      <c r="AC308" s="33" t="str">
        <f t="shared" si="49"/>
        <v>·</v>
      </c>
      <c r="AD308" s="34" t="str">
        <f t="shared" si="50"/>
        <v>·</v>
      </c>
      <c r="AE308" s="34" t="str">
        <f t="shared" si="51"/>
        <v>·</v>
      </c>
      <c r="AF308" s="35"/>
      <c r="AG308" s="34" t="str">
        <f t="shared" si="56"/>
        <v>·</v>
      </c>
      <c r="AH308" s="34" t="str">
        <f t="shared" si="53"/>
        <v>·</v>
      </c>
      <c r="AI308" s="36"/>
      <c r="AJ308" s="37"/>
      <c r="AK308" s="37"/>
      <c r="AL308" s="38"/>
      <c r="AM308" s="37"/>
      <c r="AN308" s="39"/>
      <c r="AO308" s="39"/>
      <c r="AP308" s="40"/>
      <c r="AQ308" s="40"/>
      <c r="AR308" s="40"/>
      <c r="AS308" s="39"/>
      <c r="AT308" s="41"/>
      <c r="AU308" s="41"/>
      <c r="AW308" s="42" t="e">
        <f t="shared" si="54"/>
        <v>#DIV/0!</v>
      </c>
      <c r="AX308" s="42"/>
      <c r="AZ308" s="43"/>
      <c r="BA308" s="43"/>
      <c r="BB308" s="44"/>
      <c r="BC308" s="44"/>
      <c r="BD308" s="44"/>
      <c r="BE308" s="43"/>
      <c r="BG308" s="43"/>
      <c r="BH308" s="43"/>
      <c r="BI308" s="44"/>
      <c r="BJ308" s="44"/>
      <c r="BK308" s="44"/>
      <c r="BL308" s="43"/>
    </row>
    <row r="309" spans="1:64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4"/>
      <c r="U309" s="24"/>
      <c r="V309" s="25"/>
      <c r="W309" s="25"/>
      <c r="X309" s="25"/>
      <c r="Y309" s="24"/>
      <c r="Z309" s="26"/>
      <c r="AA309" s="26"/>
      <c r="AC309" s="18" t="str">
        <f t="shared" si="49"/>
        <v>·</v>
      </c>
      <c r="AD309" s="19" t="str">
        <f t="shared" si="50"/>
        <v>·</v>
      </c>
      <c r="AE309" s="19" t="str">
        <f t="shared" si="51"/>
        <v>·</v>
      </c>
      <c r="AF309" s="20"/>
      <c r="AG309" s="19" t="str">
        <f t="shared" si="56"/>
        <v>·</v>
      </c>
      <c r="AH309" s="19" t="str">
        <f t="shared" si="53"/>
        <v>·</v>
      </c>
      <c r="AI309" s="21"/>
      <c r="AJ309" s="22"/>
      <c r="AK309" s="22"/>
      <c r="AL309" s="23"/>
      <c r="AM309" s="22"/>
      <c r="AN309" s="24"/>
      <c r="AO309" s="24"/>
      <c r="AP309" s="25"/>
      <c r="AQ309" s="25"/>
      <c r="AR309" s="25"/>
      <c r="AS309" s="24"/>
      <c r="AT309" s="26"/>
      <c r="AU309" s="26"/>
      <c r="AW309" s="27" t="e">
        <f t="shared" si="54"/>
        <v>#DIV/0!</v>
      </c>
      <c r="AX309" s="27"/>
      <c r="AZ309" s="28"/>
      <c r="BA309" s="28"/>
      <c r="BB309" s="29"/>
      <c r="BC309" s="29"/>
      <c r="BD309" s="29"/>
      <c r="BE309" s="28"/>
      <c r="BG309" s="28"/>
      <c r="BH309" s="28"/>
      <c r="BI309" s="29"/>
      <c r="BJ309" s="29"/>
      <c r="BK309" s="29"/>
      <c r="BL309" s="28"/>
    </row>
    <row r="310" spans="1:64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4"/>
      <c r="U310" s="54"/>
      <c r="V310" s="55"/>
      <c r="W310" s="55"/>
      <c r="X310" s="55"/>
      <c r="Y310" s="54"/>
      <c r="Z310" s="56"/>
      <c r="AA310" s="56"/>
      <c r="AC310" s="48" t="str">
        <f t="shared" si="49"/>
        <v>·</v>
      </c>
      <c r="AD310" s="49" t="str">
        <f t="shared" si="50"/>
        <v>·</v>
      </c>
      <c r="AE310" s="49" t="str">
        <f t="shared" si="51"/>
        <v>·</v>
      </c>
      <c r="AF310" s="50"/>
      <c r="AG310" s="49" t="str">
        <f t="shared" si="56"/>
        <v>·</v>
      </c>
      <c r="AH310" s="49" t="str">
        <f t="shared" si="53"/>
        <v>·</v>
      </c>
      <c r="AI310" s="51"/>
      <c r="AJ310" s="52"/>
      <c r="AK310" s="52"/>
      <c r="AL310" s="53"/>
      <c r="AM310" s="52"/>
      <c r="AN310" s="54"/>
      <c r="AO310" s="54"/>
      <c r="AP310" s="55"/>
      <c r="AQ310" s="55"/>
      <c r="AR310" s="55"/>
      <c r="AS310" s="54"/>
      <c r="AT310" s="56"/>
      <c r="AU310" s="56"/>
      <c r="AW310" s="57" t="e">
        <f t="shared" si="54"/>
        <v>#DIV/0!</v>
      </c>
      <c r="AX310" s="57"/>
      <c r="AZ310" s="58"/>
      <c r="BA310" s="58"/>
      <c r="BB310" s="59"/>
      <c r="BC310" s="59"/>
      <c r="BD310" s="59"/>
      <c r="BE310" s="58"/>
      <c r="BG310" s="58"/>
      <c r="BH310" s="58"/>
      <c r="BI310" s="59"/>
      <c r="BJ310" s="59"/>
      <c r="BK310" s="59"/>
      <c r="BL310" s="58"/>
    </row>
    <row r="311" spans="1:64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4"/>
      <c r="U311" s="24"/>
      <c r="V311" s="25"/>
      <c r="W311" s="25"/>
      <c r="X311" s="25"/>
      <c r="Y311" s="24"/>
      <c r="Z311" s="26"/>
      <c r="AA311" s="26"/>
      <c r="AC311" s="18" t="str">
        <f t="shared" si="49"/>
        <v>·</v>
      </c>
      <c r="AD311" s="19" t="str">
        <f t="shared" si="50"/>
        <v>·</v>
      </c>
      <c r="AE311" s="19" t="str">
        <f t="shared" si="51"/>
        <v>·</v>
      </c>
      <c r="AF311" s="20"/>
      <c r="AG311" s="19" t="str">
        <f t="shared" si="56"/>
        <v>·</v>
      </c>
      <c r="AH311" s="19" t="str">
        <f t="shared" si="53"/>
        <v>·</v>
      </c>
      <c r="AI311" s="21"/>
      <c r="AJ311" s="22"/>
      <c r="AK311" s="22"/>
      <c r="AL311" s="23"/>
      <c r="AM311" s="22"/>
      <c r="AN311" s="24"/>
      <c r="AO311" s="24"/>
      <c r="AP311" s="25"/>
      <c r="AQ311" s="25"/>
      <c r="AR311" s="25"/>
      <c r="AS311" s="24"/>
      <c r="AT311" s="26"/>
      <c r="AU311" s="26"/>
      <c r="AW311" s="27" t="e">
        <f t="shared" si="54"/>
        <v>#DIV/0!</v>
      </c>
      <c r="AX311" s="27" t="e">
        <f t="array" ref="AX311">AVERAGE(AK311:AK316/AJ311:AJ316) - AVERAGE(Q311:Q316/P311:P316)</f>
        <v>#DIV/0!</v>
      </c>
      <c r="AZ311" s="28" t="str">
        <f>IF( OR(ISBLANK(Q311:Q316),ISBLANK(AK311:AK316), ISBLANK(T311:T316),ISBLANK(AN311:AN316)), "·", bdRateExtend( Q311:Q316,T311:T316, AK311:AK316,AN311:AN316))</f>
        <v>·</v>
      </c>
      <c r="BA311" s="28" t="str">
        <f>IF( OR(ISBLANK(Q311:Q316),ISBLANK(AK311:AK316), ISBLANK(U311:U316),ISBLANK(AO311:AO316)), "·", bdRateExtend( Q311:Q316,U311:U316, AK311:AK316,AO311:AO316))</f>
        <v>·</v>
      </c>
      <c r="BB311" s="29"/>
      <c r="BC311" s="29"/>
      <c r="BD311" s="29"/>
      <c r="BE311" s="28" t="str">
        <f>IF( OR(ISBLANK(S311:S316),ISBLANK(AM311:AM316), ISBLANK(Y311:Y316),ISBLANK(AS311:AS316)), "·", bdRateExtend( S311:S316,Y311:Y316, AM311:AM316,AS311:AS316))</f>
        <v>·</v>
      </c>
      <c r="BG311" s="28" t="str">
        <f>IF( OR(ISBLANK(P311:P316),ISBLANK(AJ311:AJ316), ISBLANK(T311:T316),ISBLANK(AN311:AN316)), "·", bdRateExtend( P311:P316,T311:T316, AJ311:AJ316,AN311:AN316))</f>
        <v>·</v>
      </c>
      <c r="BH311" s="28" t="str">
        <f>IF( OR(ISBLANK(P311:P316),ISBLANK(AJ311:AJ316), ISBLANK(U311:U316),ISBLANK(AO311:AO316)), "·", bdRateExtend( P311:P316,U311:U316, AJ311:AJ316,AO311:AO316))</f>
        <v>·</v>
      </c>
      <c r="BI311" s="29"/>
      <c r="BJ311" s="29"/>
      <c r="BK311" s="29"/>
      <c r="BL311" s="28" t="str">
        <f>IF( OR(ISBLANK(P311:P316),ISBLANK(AJ311:AJ316), ISBLANK(Y311:Y316),ISBLANK(AS311:AS316)), "·", bdRateExtend( P311:P316,Y311:Y316, AJ311:AJ316,AS311:AS316))</f>
        <v>·</v>
      </c>
    </row>
    <row r="312" spans="1:64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9"/>
      <c r="U312" s="39"/>
      <c r="V312" s="40"/>
      <c r="W312" s="40"/>
      <c r="X312" s="40"/>
      <c r="Y312" s="39"/>
      <c r="Z312" s="41"/>
      <c r="AA312" s="41"/>
      <c r="AC312" s="33" t="str">
        <f t="shared" si="49"/>
        <v>·</v>
      </c>
      <c r="AD312" s="34" t="str">
        <f t="shared" si="50"/>
        <v>·</v>
      </c>
      <c r="AE312" s="34" t="str">
        <f t="shared" si="51"/>
        <v>·</v>
      </c>
      <c r="AF312" s="35"/>
      <c r="AG312" s="34" t="str">
        <f t="shared" si="56"/>
        <v>·</v>
      </c>
      <c r="AH312" s="34" t="str">
        <f t="shared" si="53"/>
        <v>·</v>
      </c>
      <c r="AI312" s="36"/>
      <c r="AJ312" s="37"/>
      <c r="AK312" s="37"/>
      <c r="AL312" s="38"/>
      <c r="AM312" s="37"/>
      <c r="AN312" s="39"/>
      <c r="AO312" s="39"/>
      <c r="AP312" s="40"/>
      <c r="AQ312" s="40"/>
      <c r="AR312" s="40"/>
      <c r="AS312" s="39"/>
      <c r="AT312" s="41"/>
      <c r="AU312" s="41"/>
      <c r="AW312" s="42" t="e">
        <f t="shared" si="54"/>
        <v>#DIV/0!</v>
      </c>
      <c r="AX312" s="42"/>
      <c r="AZ312" s="43"/>
      <c r="BA312" s="43"/>
      <c r="BB312" s="44"/>
      <c r="BC312" s="44"/>
      <c r="BD312" s="44"/>
      <c r="BE312" s="43"/>
      <c r="BG312" s="43"/>
      <c r="BH312" s="43"/>
      <c r="BI312" s="44"/>
      <c r="BJ312" s="44"/>
      <c r="BK312" s="44"/>
      <c r="BL312" s="43"/>
    </row>
    <row r="313" spans="1:64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4"/>
      <c r="U313" s="24"/>
      <c r="V313" s="25"/>
      <c r="W313" s="25"/>
      <c r="X313" s="25"/>
      <c r="Y313" s="24"/>
      <c r="Z313" s="26"/>
      <c r="AA313" s="26"/>
      <c r="AC313" s="18" t="str">
        <f t="shared" si="49"/>
        <v>·</v>
      </c>
      <c r="AD313" s="19" t="str">
        <f t="shared" si="50"/>
        <v>·</v>
      </c>
      <c r="AE313" s="19" t="str">
        <f t="shared" si="51"/>
        <v>·</v>
      </c>
      <c r="AF313" s="20"/>
      <c r="AG313" s="19" t="str">
        <f t="shared" ref="AG313:AG358" si="58">IF(ISBLANK(AK313),"·",AM313/D313)</f>
        <v>·</v>
      </c>
      <c r="AH313" s="19" t="str">
        <f t="shared" si="53"/>
        <v>·</v>
      </c>
      <c r="AI313" s="21"/>
      <c r="AJ313" s="22"/>
      <c r="AK313" s="22"/>
      <c r="AL313" s="23"/>
      <c r="AM313" s="22"/>
      <c r="AN313" s="24"/>
      <c r="AO313" s="24"/>
      <c r="AP313" s="25"/>
      <c r="AQ313" s="25"/>
      <c r="AR313" s="25"/>
      <c r="AS313" s="24"/>
      <c r="AT313" s="26"/>
      <c r="AU313" s="26"/>
      <c r="AW313" s="27" t="e">
        <f t="shared" si="54"/>
        <v>#DIV/0!</v>
      </c>
      <c r="AX313" s="27"/>
      <c r="AZ313" s="28"/>
      <c r="BA313" s="28"/>
      <c r="BB313" s="29"/>
      <c r="BC313" s="29"/>
      <c r="BD313" s="29"/>
      <c r="BE313" s="28"/>
      <c r="BG313" s="28"/>
      <c r="BH313" s="28"/>
      <c r="BI313" s="29"/>
      <c r="BJ313" s="29"/>
      <c r="BK313" s="29"/>
      <c r="BL313" s="28"/>
    </row>
    <row r="314" spans="1:64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9"/>
      <c r="U314" s="39"/>
      <c r="V314" s="40"/>
      <c r="W314" s="40"/>
      <c r="X314" s="40"/>
      <c r="Y314" s="39"/>
      <c r="Z314" s="41"/>
      <c r="AA314" s="41"/>
      <c r="AC314" s="33" t="str">
        <f t="shared" si="49"/>
        <v>·</v>
      </c>
      <c r="AD314" s="34" t="str">
        <f t="shared" si="50"/>
        <v>·</v>
      </c>
      <c r="AE314" s="34" t="str">
        <f t="shared" si="51"/>
        <v>·</v>
      </c>
      <c r="AF314" s="35"/>
      <c r="AG314" s="34" t="str">
        <f t="shared" si="58"/>
        <v>·</v>
      </c>
      <c r="AH314" s="34" t="str">
        <f t="shared" si="53"/>
        <v>·</v>
      </c>
      <c r="AI314" s="36"/>
      <c r="AJ314" s="37"/>
      <c r="AK314" s="37"/>
      <c r="AL314" s="38"/>
      <c r="AM314" s="37"/>
      <c r="AN314" s="39"/>
      <c r="AO314" s="39"/>
      <c r="AP314" s="40"/>
      <c r="AQ314" s="40"/>
      <c r="AR314" s="40"/>
      <c r="AS314" s="39"/>
      <c r="AT314" s="41"/>
      <c r="AU314" s="41"/>
      <c r="AW314" s="42" t="e">
        <f t="shared" si="54"/>
        <v>#DIV/0!</v>
      </c>
      <c r="AX314" s="42"/>
      <c r="AZ314" s="43"/>
      <c r="BA314" s="43"/>
      <c r="BB314" s="44"/>
      <c r="BC314" s="44"/>
      <c r="BD314" s="44"/>
      <c r="BE314" s="43"/>
      <c r="BG314" s="43"/>
      <c r="BH314" s="43"/>
      <c r="BI314" s="44"/>
      <c r="BJ314" s="44"/>
      <c r="BK314" s="44"/>
      <c r="BL314" s="43"/>
    </row>
    <row r="315" spans="1:64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4"/>
      <c r="U315" s="24"/>
      <c r="V315" s="25"/>
      <c r="W315" s="25"/>
      <c r="X315" s="25"/>
      <c r="Y315" s="24"/>
      <c r="Z315" s="26"/>
      <c r="AA315" s="26"/>
      <c r="AC315" s="18" t="str">
        <f t="shared" si="49"/>
        <v>·</v>
      </c>
      <c r="AD315" s="19" t="str">
        <f t="shared" si="50"/>
        <v>·</v>
      </c>
      <c r="AE315" s="19" t="str">
        <f t="shared" si="51"/>
        <v>·</v>
      </c>
      <c r="AF315" s="20"/>
      <c r="AG315" s="19" t="str">
        <f t="shared" si="58"/>
        <v>·</v>
      </c>
      <c r="AH315" s="19" t="str">
        <f t="shared" si="53"/>
        <v>·</v>
      </c>
      <c r="AI315" s="21"/>
      <c r="AJ315" s="22"/>
      <c r="AK315" s="22"/>
      <c r="AL315" s="23"/>
      <c r="AM315" s="22"/>
      <c r="AN315" s="24"/>
      <c r="AO315" s="24"/>
      <c r="AP315" s="25"/>
      <c r="AQ315" s="25"/>
      <c r="AR315" s="25"/>
      <c r="AS315" s="24"/>
      <c r="AT315" s="26"/>
      <c r="AU315" s="26"/>
      <c r="AW315" s="27" t="e">
        <f t="shared" si="54"/>
        <v>#DIV/0!</v>
      </c>
      <c r="AX315" s="27"/>
      <c r="AZ315" s="28"/>
      <c r="BA315" s="28"/>
      <c r="BB315" s="29"/>
      <c r="BC315" s="29"/>
      <c r="BD315" s="29"/>
      <c r="BE315" s="28"/>
      <c r="BG315" s="28"/>
      <c r="BH315" s="28"/>
      <c r="BI315" s="29"/>
      <c r="BJ315" s="29"/>
      <c r="BK315" s="29"/>
      <c r="BL315" s="28"/>
    </row>
    <row r="316" spans="1:64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4"/>
      <c r="U316" s="54"/>
      <c r="V316" s="55"/>
      <c r="W316" s="55"/>
      <c r="X316" s="55"/>
      <c r="Y316" s="54"/>
      <c r="Z316" s="56"/>
      <c r="AA316" s="56"/>
      <c r="AC316" s="48" t="str">
        <f t="shared" si="49"/>
        <v>·</v>
      </c>
      <c r="AD316" s="49" t="str">
        <f t="shared" si="50"/>
        <v>·</v>
      </c>
      <c r="AE316" s="49" t="str">
        <f t="shared" si="51"/>
        <v>·</v>
      </c>
      <c r="AF316" s="50"/>
      <c r="AG316" s="49" t="str">
        <f t="shared" si="58"/>
        <v>·</v>
      </c>
      <c r="AH316" s="49" t="str">
        <f t="shared" si="53"/>
        <v>·</v>
      </c>
      <c r="AI316" s="51"/>
      <c r="AJ316" s="52"/>
      <c r="AK316" s="52"/>
      <c r="AL316" s="53"/>
      <c r="AM316" s="52"/>
      <c r="AN316" s="54"/>
      <c r="AO316" s="54"/>
      <c r="AP316" s="55"/>
      <c r="AQ316" s="55"/>
      <c r="AR316" s="55"/>
      <c r="AS316" s="54"/>
      <c r="AT316" s="56"/>
      <c r="AU316" s="56"/>
      <c r="AW316" s="57" t="e">
        <f t="shared" si="54"/>
        <v>#DIV/0!</v>
      </c>
      <c r="AX316" s="57"/>
      <c r="AZ316" s="58"/>
      <c r="BA316" s="58"/>
      <c r="BB316" s="59"/>
      <c r="BC316" s="59"/>
      <c r="BD316" s="59"/>
      <c r="BE316" s="58"/>
      <c r="BG316" s="58"/>
      <c r="BH316" s="58"/>
      <c r="BI316" s="59"/>
      <c r="BJ316" s="59"/>
      <c r="BK316" s="59"/>
      <c r="BL316" s="58"/>
    </row>
    <row r="317" spans="1:64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4"/>
      <c r="U317" s="24"/>
      <c r="V317" s="25"/>
      <c r="W317" s="25"/>
      <c r="X317" s="25"/>
      <c r="Y317" s="24"/>
      <c r="Z317" s="26"/>
      <c r="AA317" s="26"/>
      <c r="AC317" s="18" t="str">
        <f t="shared" si="49"/>
        <v>·</v>
      </c>
      <c r="AD317" s="19" t="str">
        <f t="shared" si="50"/>
        <v>·</v>
      </c>
      <c r="AE317" s="19" t="str">
        <f t="shared" si="51"/>
        <v>·</v>
      </c>
      <c r="AF317" s="20"/>
      <c r="AG317" s="19" t="str">
        <f t="shared" si="58"/>
        <v>·</v>
      </c>
      <c r="AH317" s="19" t="str">
        <f t="shared" si="53"/>
        <v>·</v>
      </c>
      <c r="AI317" s="21"/>
      <c r="AJ317" s="22"/>
      <c r="AK317" s="22"/>
      <c r="AL317" s="23"/>
      <c r="AM317" s="22"/>
      <c r="AN317" s="24"/>
      <c r="AO317" s="24"/>
      <c r="AP317" s="25"/>
      <c r="AQ317" s="25"/>
      <c r="AR317" s="25"/>
      <c r="AS317" s="24"/>
      <c r="AT317" s="26"/>
      <c r="AU317" s="26"/>
      <c r="AW317" s="27" t="e">
        <f t="shared" si="54"/>
        <v>#DIV/0!</v>
      </c>
      <c r="AX317" s="27" t="e">
        <f t="array" ref="AX317">AVERAGE(AK317:AK322/AJ317:AJ322) - AVERAGE(Q317:Q322/P317:P322)</f>
        <v>#DIV/0!</v>
      </c>
      <c r="AZ317" s="28" t="str">
        <f>IF( OR(ISBLANK(Q317:Q322),ISBLANK(AK317:AK322), ISBLANK(T317:T322),ISBLANK(AN317:AN322)), "·", bdRateExtend( Q317:Q322,T317:T322, AK317:AK322,AN317:AN322))</f>
        <v>·</v>
      </c>
      <c r="BA317" s="28" t="str">
        <f>IF( OR(ISBLANK(Q317:Q322),ISBLANK(AK317:AK322), ISBLANK(U317:U322),ISBLANK(AO317:AO322)), "·", bdRateExtend( Q317:Q322,U317:U322, AK317:AK322,AO317:AO322))</f>
        <v>·</v>
      </c>
      <c r="BB317" s="29"/>
      <c r="BC317" s="29"/>
      <c r="BD317" s="29"/>
      <c r="BE317" s="28" t="str">
        <f>IF( OR(ISBLANK(S317:S322),ISBLANK(AM317:AM322), ISBLANK(Y317:Y322),ISBLANK(AS317:AS322)), "·", bdRateExtend( S317:S322,Y317:Y322, AM317:AM322,AS317:AS322))</f>
        <v>·</v>
      </c>
      <c r="BG317" s="28" t="str">
        <f>IF( OR(ISBLANK(P317:P322),ISBLANK(AJ317:AJ322), ISBLANK(T317:T322),ISBLANK(AN317:AN322)), "·", bdRateExtend( P317:P322,T317:T322, AJ317:AJ322,AN317:AN322))</f>
        <v>·</v>
      </c>
      <c r="BH317" s="28" t="str">
        <f>IF( OR(ISBLANK(P317:P322),ISBLANK(AJ317:AJ322), ISBLANK(U317:U322),ISBLANK(AO317:AO322)), "·", bdRateExtend( P317:P322,U317:U322, AJ317:AJ322,AO317:AO322))</f>
        <v>·</v>
      </c>
      <c r="BI317" s="29"/>
      <c r="BJ317" s="29"/>
      <c r="BK317" s="29"/>
      <c r="BL317" s="28" t="str">
        <f>IF( OR(ISBLANK(P317:P322),ISBLANK(AJ317:AJ322), ISBLANK(Y317:Y322),ISBLANK(AS317:AS322)), "·", bdRateExtend( P317:P322,Y317:Y322, AJ317:AJ322,AS317:AS322))</f>
        <v>·</v>
      </c>
    </row>
    <row r="318" spans="1:64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9"/>
      <c r="U318" s="39"/>
      <c r="V318" s="40"/>
      <c r="W318" s="40"/>
      <c r="X318" s="40"/>
      <c r="Y318" s="39"/>
      <c r="Z318" s="41"/>
      <c r="AA318" s="41"/>
      <c r="AC318" s="33" t="str">
        <f t="shared" si="49"/>
        <v>·</v>
      </c>
      <c r="AD318" s="34" t="str">
        <f t="shared" si="50"/>
        <v>·</v>
      </c>
      <c r="AE318" s="34" t="str">
        <f t="shared" si="51"/>
        <v>·</v>
      </c>
      <c r="AF318" s="35"/>
      <c r="AG318" s="34" t="str">
        <f t="shared" si="58"/>
        <v>·</v>
      </c>
      <c r="AH318" s="34" t="str">
        <f t="shared" si="53"/>
        <v>·</v>
      </c>
      <c r="AI318" s="36"/>
      <c r="AJ318" s="37"/>
      <c r="AK318" s="37"/>
      <c r="AL318" s="38"/>
      <c r="AM318" s="37"/>
      <c r="AN318" s="39"/>
      <c r="AO318" s="39"/>
      <c r="AP318" s="40"/>
      <c r="AQ318" s="40"/>
      <c r="AR318" s="40"/>
      <c r="AS318" s="39"/>
      <c r="AT318" s="41"/>
      <c r="AU318" s="41"/>
      <c r="AW318" s="42" t="e">
        <f t="shared" si="54"/>
        <v>#DIV/0!</v>
      </c>
      <c r="AX318" s="42"/>
      <c r="AZ318" s="43"/>
      <c r="BA318" s="43"/>
      <c r="BB318" s="44"/>
      <c r="BC318" s="44"/>
      <c r="BD318" s="44"/>
      <c r="BE318" s="43"/>
      <c r="BG318" s="43"/>
      <c r="BH318" s="43"/>
      <c r="BI318" s="44"/>
      <c r="BJ318" s="44"/>
      <c r="BK318" s="44"/>
      <c r="BL318" s="43"/>
    </row>
    <row r="319" spans="1:64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4"/>
      <c r="U319" s="24"/>
      <c r="V319" s="25"/>
      <c r="W319" s="25"/>
      <c r="X319" s="25"/>
      <c r="Y319" s="24"/>
      <c r="Z319" s="26"/>
      <c r="AA319" s="26"/>
      <c r="AC319" s="18" t="str">
        <f t="shared" si="49"/>
        <v>·</v>
      </c>
      <c r="AD319" s="19" t="str">
        <f t="shared" si="50"/>
        <v>·</v>
      </c>
      <c r="AE319" s="19" t="str">
        <f t="shared" si="51"/>
        <v>·</v>
      </c>
      <c r="AF319" s="20"/>
      <c r="AG319" s="19" t="str">
        <f t="shared" si="58"/>
        <v>·</v>
      </c>
      <c r="AH319" s="19" t="str">
        <f t="shared" si="53"/>
        <v>·</v>
      </c>
      <c r="AI319" s="21"/>
      <c r="AJ319" s="22"/>
      <c r="AK319" s="22"/>
      <c r="AL319" s="23"/>
      <c r="AM319" s="22"/>
      <c r="AN319" s="24"/>
      <c r="AO319" s="24"/>
      <c r="AP319" s="25"/>
      <c r="AQ319" s="25"/>
      <c r="AR319" s="25"/>
      <c r="AS319" s="24"/>
      <c r="AT319" s="26"/>
      <c r="AU319" s="26"/>
      <c r="AW319" s="27" t="e">
        <f t="shared" si="54"/>
        <v>#DIV/0!</v>
      </c>
      <c r="AX319" s="27"/>
      <c r="AZ319" s="28"/>
      <c r="BA319" s="28"/>
      <c r="BB319" s="29"/>
      <c r="BC319" s="29"/>
      <c r="BD319" s="29"/>
      <c r="BE319" s="28"/>
      <c r="BG319" s="28"/>
      <c r="BH319" s="28"/>
      <c r="BI319" s="29"/>
      <c r="BJ319" s="29"/>
      <c r="BK319" s="29"/>
      <c r="BL319" s="28"/>
    </row>
    <row r="320" spans="1:64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9"/>
      <c r="U320" s="39"/>
      <c r="V320" s="40"/>
      <c r="W320" s="40"/>
      <c r="X320" s="40"/>
      <c r="Y320" s="39"/>
      <c r="Z320" s="41"/>
      <c r="AA320" s="41"/>
      <c r="AC320" s="33" t="str">
        <f t="shared" si="49"/>
        <v>·</v>
      </c>
      <c r="AD320" s="34" t="str">
        <f t="shared" si="50"/>
        <v>·</v>
      </c>
      <c r="AE320" s="34" t="str">
        <f t="shared" si="51"/>
        <v>·</v>
      </c>
      <c r="AF320" s="35"/>
      <c r="AG320" s="34" t="str">
        <f t="shared" si="58"/>
        <v>·</v>
      </c>
      <c r="AH320" s="34" t="str">
        <f t="shared" si="53"/>
        <v>·</v>
      </c>
      <c r="AI320" s="36"/>
      <c r="AJ320" s="37"/>
      <c r="AK320" s="37"/>
      <c r="AL320" s="38"/>
      <c r="AM320" s="37"/>
      <c r="AN320" s="39"/>
      <c r="AO320" s="39"/>
      <c r="AP320" s="40"/>
      <c r="AQ320" s="40"/>
      <c r="AR320" s="40"/>
      <c r="AS320" s="39"/>
      <c r="AT320" s="41"/>
      <c r="AU320" s="41"/>
      <c r="AW320" s="42" t="e">
        <f t="shared" si="54"/>
        <v>#DIV/0!</v>
      </c>
      <c r="AX320" s="42"/>
      <c r="AZ320" s="43"/>
      <c r="BA320" s="43"/>
      <c r="BB320" s="44"/>
      <c r="BC320" s="44"/>
      <c r="BD320" s="44"/>
      <c r="BE320" s="43"/>
      <c r="BG320" s="43"/>
      <c r="BH320" s="43"/>
      <c r="BI320" s="44"/>
      <c r="BJ320" s="44"/>
      <c r="BK320" s="44"/>
      <c r="BL320" s="43"/>
    </row>
    <row r="321" spans="1:64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4"/>
      <c r="U321" s="24"/>
      <c r="V321" s="25"/>
      <c r="W321" s="25"/>
      <c r="X321" s="25"/>
      <c r="Y321" s="24"/>
      <c r="Z321" s="26"/>
      <c r="AA321" s="26"/>
      <c r="AC321" s="18" t="str">
        <f t="shared" si="49"/>
        <v>·</v>
      </c>
      <c r="AD321" s="19" t="str">
        <f t="shared" si="50"/>
        <v>·</v>
      </c>
      <c r="AE321" s="19" t="str">
        <f t="shared" si="51"/>
        <v>·</v>
      </c>
      <c r="AF321" s="20"/>
      <c r="AG321" s="19" t="str">
        <f t="shared" si="58"/>
        <v>·</v>
      </c>
      <c r="AH321" s="19" t="str">
        <f t="shared" si="53"/>
        <v>·</v>
      </c>
      <c r="AI321" s="21"/>
      <c r="AJ321" s="22"/>
      <c r="AK321" s="22"/>
      <c r="AL321" s="23"/>
      <c r="AM321" s="22"/>
      <c r="AN321" s="24"/>
      <c r="AO321" s="24"/>
      <c r="AP321" s="25"/>
      <c r="AQ321" s="25"/>
      <c r="AR321" s="25"/>
      <c r="AS321" s="24"/>
      <c r="AT321" s="26"/>
      <c r="AU321" s="26"/>
      <c r="AW321" s="27" t="e">
        <f t="shared" si="54"/>
        <v>#DIV/0!</v>
      </c>
      <c r="AX321" s="27"/>
      <c r="AZ321" s="28"/>
      <c r="BA321" s="28"/>
      <c r="BB321" s="29"/>
      <c r="BC321" s="29"/>
      <c r="BD321" s="29"/>
      <c r="BE321" s="28"/>
      <c r="BG321" s="28"/>
      <c r="BH321" s="28"/>
      <c r="BI321" s="29"/>
      <c r="BJ321" s="29"/>
      <c r="BK321" s="29"/>
      <c r="BL321" s="28"/>
    </row>
    <row r="322" spans="1:64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4"/>
      <c r="U322" s="54"/>
      <c r="V322" s="55"/>
      <c r="W322" s="55"/>
      <c r="X322" s="55"/>
      <c r="Y322" s="54"/>
      <c r="Z322" s="56"/>
      <c r="AA322" s="56"/>
      <c r="AC322" s="48" t="str">
        <f t="shared" si="49"/>
        <v>·</v>
      </c>
      <c r="AD322" s="49" t="str">
        <f t="shared" si="50"/>
        <v>·</v>
      </c>
      <c r="AE322" s="49" t="str">
        <f t="shared" si="51"/>
        <v>·</v>
      </c>
      <c r="AF322" s="50"/>
      <c r="AG322" s="49" t="str">
        <f t="shared" si="58"/>
        <v>·</v>
      </c>
      <c r="AH322" s="49" t="str">
        <f t="shared" si="53"/>
        <v>·</v>
      </c>
      <c r="AI322" s="51"/>
      <c r="AJ322" s="52"/>
      <c r="AK322" s="52"/>
      <c r="AL322" s="53"/>
      <c r="AM322" s="52"/>
      <c r="AN322" s="54"/>
      <c r="AO322" s="54"/>
      <c r="AP322" s="55"/>
      <c r="AQ322" s="55"/>
      <c r="AR322" s="55"/>
      <c r="AS322" s="54"/>
      <c r="AT322" s="56"/>
      <c r="AU322" s="56"/>
      <c r="AW322" s="57" t="e">
        <f t="shared" si="54"/>
        <v>#DIV/0!</v>
      </c>
      <c r="AX322" s="57"/>
      <c r="AZ322" s="58"/>
      <c r="BA322" s="58"/>
      <c r="BB322" s="59"/>
      <c r="BC322" s="59"/>
      <c r="BD322" s="59"/>
      <c r="BE322" s="58"/>
      <c r="BG322" s="58"/>
      <c r="BH322" s="58"/>
      <c r="BI322" s="59"/>
      <c r="BJ322" s="59"/>
      <c r="BK322" s="59"/>
      <c r="BL322" s="58"/>
    </row>
    <row r="323" spans="1:64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4"/>
      <c r="U323" s="24"/>
      <c r="V323" s="25"/>
      <c r="W323" s="25"/>
      <c r="X323" s="25"/>
      <c r="Y323" s="24"/>
      <c r="Z323" s="26"/>
      <c r="AA323" s="26"/>
      <c r="AC323" s="18" t="str">
        <f t="shared" ref="AC323:AC340" si="64">IF(OR(ISBLANK(AJ323),ISBLANK(G323)),"·",AJ323*G323/F323/1000000)</f>
        <v>·</v>
      </c>
      <c r="AD323" s="19" t="str">
        <f t="shared" ref="AD323:AD340" si="65">IF(ISBLANK(AJ323),"·",AJ323/D323)</f>
        <v>·</v>
      </c>
      <c r="AE323" s="19" t="str">
        <f t="shared" ref="AE323:AE340" si="66">IF(AK323="","·",AK323/D323)</f>
        <v>·</v>
      </c>
      <c r="AF323" s="20"/>
      <c r="AG323" s="19" t="str">
        <f t="shared" ref="AG323:AG340" si="67">IF(ISBLANK(AK323),"·",AM323/D323)</f>
        <v>·</v>
      </c>
      <c r="AH323" s="19" t="str">
        <f t="shared" ref="AH323:AH340" si="68">IF(ISBLANK(AJ323),"·",AJ323/AI323)</f>
        <v>·</v>
      </c>
      <c r="AI323" s="21"/>
      <c r="AJ323" s="22"/>
      <c r="AK323" s="22"/>
      <c r="AL323" s="23"/>
      <c r="AM323" s="22"/>
      <c r="AN323" s="24"/>
      <c r="AO323" s="24"/>
      <c r="AP323" s="25"/>
      <c r="AQ323" s="25"/>
      <c r="AR323" s="25"/>
      <c r="AS323" s="24"/>
      <c r="AT323" s="26"/>
      <c r="AU323" s="26"/>
      <c r="AW323" s="27" t="e">
        <f t="shared" ref="AW323:AW340" si="69">(AK323/AJ323) - (Q323/P323)</f>
        <v>#DIV/0!</v>
      </c>
      <c r="AX323" s="27" t="e">
        <f t="array" ref="AX323">AVERAGE(AK323:AK328/AJ323:AJ328) - AVERAGE(Q323:Q328/P323:P328)</f>
        <v>#DIV/0!</v>
      </c>
      <c r="AZ323" s="28" t="str">
        <f>IF( OR(ISBLANK(Q323:Q328),ISBLANK(AK323:AK328), ISBLANK(T323:T328),ISBLANK(AN323:AN328)), "·", bdRateExtend( Q323:Q328,T323:T328, AK323:AK328,AN323:AN328))</f>
        <v>·</v>
      </c>
      <c r="BA323" s="28" t="str">
        <f>IF( OR(ISBLANK(Q323:Q328),ISBLANK(AK323:AK328), ISBLANK(U323:U328),ISBLANK(AO323:AO328)), "·", bdRateExtend( Q323:Q328,U323:U328, AK323:AK328,AO323:AO328))</f>
        <v>·</v>
      </c>
      <c r="BB323" s="29"/>
      <c r="BC323" s="29"/>
      <c r="BD323" s="29"/>
      <c r="BE323" s="28" t="str">
        <f>IF( OR(ISBLANK(S323:S328),ISBLANK(AM323:AM328), ISBLANK(Y323:Y328),ISBLANK(AS323:AS328)), "·", bdRateExtend( S323:S328,Y323:Y328, AM323:AM328,AS323:AS328))</f>
        <v>·</v>
      </c>
      <c r="BG323" s="28" t="str">
        <f>IF( OR(ISBLANK(P323:P328),ISBLANK(AJ323:AJ328), ISBLANK(T323:T328),ISBLANK(AN323:AN328)), "·", bdRateExtend( P323:P328,T323:T328, AJ323:AJ328,AN323:AN328))</f>
        <v>·</v>
      </c>
      <c r="BH323" s="28" t="str">
        <f>IF( OR(ISBLANK(P323:P328),ISBLANK(AJ323:AJ328), ISBLANK(U323:U328),ISBLANK(AO323:AO328)), "·", bdRateExtend( P323:P328,U323:U328, AJ323:AJ328,AO323:AO328))</f>
        <v>·</v>
      </c>
      <c r="BI323" s="29"/>
      <c r="BJ323" s="29"/>
      <c r="BK323" s="29"/>
      <c r="BL323" s="28" t="str">
        <f>IF( OR(ISBLANK(P323:P328),ISBLANK(AJ323:AJ328), ISBLANK(Y323:Y328),ISBLANK(AS323:AS328)), "·", bdRateExtend( P323:P328,Y323:Y328, AJ323:AJ328,AS323:AS328))</f>
        <v>·</v>
      </c>
    </row>
    <row r="324" spans="1:64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9"/>
      <c r="U324" s="39"/>
      <c r="V324" s="40"/>
      <c r="W324" s="40"/>
      <c r="X324" s="40"/>
      <c r="Y324" s="39"/>
      <c r="Z324" s="41"/>
      <c r="AA324" s="41"/>
      <c r="AC324" s="33" t="str">
        <f t="shared" si="64"/>
        <v>·</v>
      </c>
      <c r="AD324" s="34" t="str">
        <f t="shared" si="65"/>
        <v>·</v>
      </c>
      <c r="AE324" s="34" t="str">
        <f t="shared" si="66"/>
        <v>·</v>
      </c>
      <c r="AF324" s="35"/>
      <c r="AG324" s="34" t="str">
        <f t="shared" si="67"/>
        <v>·</v>
      </c>
      <c r="AH324" s="34" t="str">
        <f t="shared" si="68"/>
        <v>·</v>
      </c>
      <c r="AI324" s="36"/>
      <c r="AJ324" s="37"/>
      <c r="AK324" s="37"/>
      <c r="AL324" s="38"/>
      <c r="AM324" s="37"/>
      <c r="AN324" s="39"/>
      <c r="AO324" s="39"/>
      <c r="AP324" s="40"/>
      <c r="AQ324" s="40"/>
      <c r="AR324" s="40"/>
      <c r="AS324" s="39"/>
      <c r="AT324" s="41"/>
      <c r="AU324" s="41"/>
      <c r="AW324" s="42" t="e">
        <f t="shared" si="69"/>
        <v>#DIV/0!</v>
      </c>
      <c r="AX324" s="42"/>
      <c r="AZ324" s="43"/>
      <c r="BA324" s="43"/>
      <c r="BB324" s="44"/>
      <c r="BC324" s="44"/>
      <c r="BD324" s="44"/>
      <c r="BE324" s="43"/>
      <c r="BG324" s="43"/>
      <c r="BH324" s="43"/>
      <c r="BI324" s="44"/>
      <c r="BJ324" s="44"/>
      <c r="BK324" s="44"/>
      <c r="BL324" s="43"/>
    </row>
    <row r="325" spans="1:64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4"/>
      <c r="U325" s="24"/>
      <c r="V325" s="25"/>
      <c r="W325" s="25"/>
      <c r="X325" s="25"/>
      <c r="Y325" s="24"/>
      <c r="Z325" s="26"/>
      <c r="AA325" s="26"/>
      <c r="AC325" s="18" t="str">
        <f t="shared" si="64"/>
        <v>·</v>
      </c>
      <c r="AD325" s="19" t="str">
        <f t="shared" si="65"/>
        <v>·</v>
      </c>
      <c r="AE325" s="19" t="str">
        <f t="shared" si="66"/>
        <v>·</v>
      </c>
      <c r="AF325" s="20"/>
      <c r="AG325" s="19" t="str">
        <f t="shared" si="67"/>
        <v>·</v>
      </c>
      <c r="AH325" s="19" t="str">
        <f t="shared" si="68"/>
        <v>·</v>
      </c>
      <c r="AI325" s="21"/>
      <c r="AJ325" s="22"/>
      <c r="AK325" s="22"/>
      <c r="AL325" s="23"/>
      <c r="AM325" s="22"/>
      <c r="AN325" s="24"/>
      <c r="AO325" s="24"/>
      <c r="AP325" s="25"/>
      <c r="AQ325" s="25"/>
      <c r="AR325" s="25"/>
      <c r="AS325" s="24"/>
      <c r="AT325" s="26"/>
      <c r="AU325" s="26"/>
      <c r="AW325" s="27" t="e">
        <f t="shared" si="69"/>
        <v>#DIV/0!</v>
      </c>
      <c r="AX325" s="27"/>
      <c r="AZ325" s="28"/>
      <c r="BA325" s="28"/>
      <c r="BB325" s="29"/>
      <c r="BC325" s="29"/>
      <c r="BD325" s="29"/>
      <c r="BE325" s="28"/>
      <c r="BG325" s="28"/>
      <c r="BH325" s="28"/>
      <c r="BI325" s="29"/>
      <c r="BJ325" s="29"/>
      <c r="BK325" s="29"/>
      <c r="BL325" s="28"/>
    </row>
    <row r="326" spans="1:64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9"/>
      <c r="U326" s="39"/>
      <c r="V326" s="40"/>
      <c r="W326" s="40"/>
      <c r="X326" s="40"/>
      <c r="Y326" s="39"/>
      <c r="Z326" s="41"/>
      <c r="AA326" s="41"/>
      <c r="AC326" s="33" t="str">
        <f t="shared" si="64"/>
        <v>·</v>
      </c>
      <c r="AD326" s="34" t="str">
        <f t="shared" si="65"/>
        <v>·</v>
      </c>
      <c r="AE326" s="34" t="str">
        <f t="shared" si="66"/>
        <v>·</v>
      </c>
      <c r="AF326" s="35"/>
      <c r="AG326" s="34" t="str">
        <f t="shared" si="67"/>
        <v>·</v>
      </c>
      <c r="AH326" s="34" t="str">
        <f t="shared" si="68"/>
        <v>·</v>
      </c>
      <c r="AI326" s="36"/>
      <c r="AJ326" s="37"/>
      <c r="AK326" s="37"/>
      <c r="AL326" s="38"/>
      <c r="AM326" s="37"/>
      <c r="AN326" s="39"/>
      <c r="AO326" s="39"/>
      <c r="AP326" s="40"/>
      <c r="AQ326" s="40"/>
      <c r="AR326" s="40"/>
      <c r="AS326" s="39"/>
      <c r="AT326" s="41"/>
      <c r="AU326" s="41"/>
      <c r="AW326" s="42" t="e">
        <f t="shared" si="69"/>
        <v>#DIV/0!</v>
      </c>
      <c r="AX326" s="42"/>
      <c r="AZ326" s="43"/>
      <c r="BA326" s="43"/>
      <c r="BB326" s="44"/>
      <c r="BC326" s="44"/>
      <c r="BD326" s="44"/>
      <c r="BE326" s="43"/>
      <c r="BG326" s="43"/>
      <c r="BH326" s="43"/>
      <c r="BI326" s="44"/>
      <c r="BJ326" s="44"/>
      <c r="BK326" s="44"/>
      <c r="BL326" s="43"/>
    </row>
    <row r="327" spans="1:64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4"/>
      <c r="U327" s="24"/>
      <c r="V327" s="25"/>
      <c r="W327" s="25"/>
      <c r="X327" s="25"/>
      <c r="Y327" s="24"/>
      <c r="Z327" s="26"/>
      <c r="AA327" s="26"/>
      <c r="AC327" s="18" t="str">
        <f t="shared" si="64"/>
        <v>·</v>
      </c>
      <c r="AD327" s="19" t="str">
        <f t="shared" si="65"/>
        <v>·</v>
      </c>
      <c r="AE327" s="19" t="str">
        <f t="shared" si="66"/>
        <v>·</v>
      </c>
      <c r="AF327" s="20"/>
      <c r="AG327" s="19" t="str">
        <f t="shared" si="67"/>
        <v>·</v>
      </c>
      <c r="AH327" s="19" t="str">
        <f t="shared" si="68"/>
        <v>·</v>
      </c>
      <c r="AI327" s="21"/>
      <c r="AJ327" s="22"/>
      <c r="AK327" s="22"/>
      <c r="AL327" s="23"/>
      <c r="AM327" s="22"/>
      <c r="AN327" s="24"/>
      <c r="AO327" s="24"/>
      <c r="AP327" s="25"/>
      <c r="AQ327" s="25"/>
      <c r="AR327" s="25"/>
      <c r="AS327" s="24"/>
      <c r="AT327" s="26"/>
      <c r="AU327" s="26"/>
      <c r="AW327" s="27" t="e">
        <f t="shared" si="69"/>
        <v>#DIV/0!</v>
      </c>
      <c r="AX327" s="27"/>
      <c r="AZ327" s="28"/>
      <c r="BA327" s="28"/>
      <c r="BB327" s="29"/>
      <c r="BC327" s="29"/>
      <c r="BD327" s="29"/>
      <c r="BE327" s="28"/>
      <c r="BG327" s="28"/>
      <c r="BH327" s="28"/>
      <c r="BI327" s="29"/>
      <c r="BJ327" s="29"/>
      <c r="BK327" s="29"/>
      <c r="BL327" s="28"/>
    </row>
    <row r="328" spans="1:64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4"/>
      <c r="U328" s="54"/>
      <c r="V328" s="55"/>
      <c r="W328" s="55"/>
      <c r="X328" s="55"/>
      <c r="Y328" s="54"/>
      <c r="Z328" s="56"/>
      <c r="AA328" s="56"/>
      <c r="AC328" s="48" t="str">
        <f t="shared" si="64"/>
        <v>·</v>
      </c>
      <c r="AD328" s="49" t="str">
        <f t="shared" si="65"/>
        <v>·</v>
      </c>
      <c r="AE328" s="49" t="str">
        <f t="shared" si="66"/>
        <v>·</v>
      </c>
      <c r="AF328" s="50"/>
      <c r="AG328" s="49" t="str">
        <f t="shared" si="67"/>
        <v>·</v>
      </c>
      <c r="AH328" s="49" t="str">
        <f t="shared" si="68"/>
        <v>·</v>
      </c>
      <c r="AI328" s="51"/>
      <c r="AJ328" s="52"/>
      <c r="AK328" s="52"/>
      <c r="AL328" s="53"/>
      <c r="AM328" s="52"/>
      <c r="AN328" s="54"/>
      <c r="AO328" s="54"/>
      <c r="AP328" s="55"/>
      <c r="AQ328" s="55"/>
      <c r="AR328" s="55"/>
      <c r="AS328" s="54"/>
      <c r="AT328" s="56"/>
      <c r="AU328" s="56"/>
      <c r="AW328" s="57" t="e">
        <f t="shared" si="69"/>
        <v>#DIV/0!</v>
      </c>
      <c r="AX328" s="57"/>
      <c r="AZ328" s="58"/>
      <c r="BA328" s="58"/>
      <c r="BB328" s="59"/>
      <c r="BC328" s="59"/>
      <c r="BD328" s="59"/>
      <c r="BE328" s="58"/>
      <c r="BG328" s="58"/>
      <c r="BH328" s="58"/>
      <c r="BI328" s="59"/>
      <c r="BJ328" s="59"/>
      <c r="BK328" s="59"/>
      <c r="BL328" s="58"/>
    </row>
    <row r="329" spans="1:64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4"/>
      <c r="U329" s="24"/>
      <c r="V329" s="25"/>
      <c r="W329" s="25"/>
      <c r="X329" s="25"/>
      <c r="Y329" s="24"/>
      <c r="Z329" s="26"/>
      <c r="AA329" s="26"/>
      <c r="AC329" s="18" t="str">
        <f t="shared" si="64"/>
        <v>·</v>
      </c>
      <c r="AD329" s="19" t="str">
        <f t="shared" si="65"/>
        <v>·</v>
      </c>
      <c r="AE329" s="19" t="str">
        <f t="shared" si="66"/>
        <v>·</v>
      </c>
      <c r="AF329" s="20"/>
      <c r="AG329" s="19" t="str">
        <f t="shared" si="67"/>
        <v>·</v>
      </c>
      <c r="AH329" s="19" t="str">
        <f t="shared" si="68"/>
        <v>·</v>
      </c>
      <c r="AI329" s="21"/>
      <c r="AJ329" s="22"/>
      <c r="AK329" s="22"/>
      <c r="AL329" s="23"/>
      <c r="AM329" s="22"/>
      <c r="AN329" s="24"/>
      <c r="AO329" s="24"/>
      <c r="AP329" s="25"/>
      <c r="AQ329" s="25"/>
      <c r="AR329" s="25"/>
      <c r="AS329" s="24"/>
      <c r="AT329" s="26"/>
      <c r="AU329" s="26"/>
      <c r="AW329" s="27" t="e">
        <f t="shared" si="69"/>
        <v>#DIV/0!</v>
      </c>
      <c r="AX329" s="27" t="e">
        <f t="array" ref="AX329">AVERAGE(AK329:AK334/AJ329:AJ334) - AVERAGE(Q329:Q334/P329:P334)</f>
        <v>#DIV/0!</v>
      </c>
      <c r="AZ329" s="28" t="str">
        <f>IF( OR(ISBLANK(Q329:Q334),ISBLANK(AK329:AK334), ISBLANK(T329:T334),ISBLANK(AN329:AN334)), "·", bdRateExtend( Q329:Q334,T329:T334, AK329:AK334,AN329:AN334))</f>
        <v>·</v>
      </c>
      <c r="BA329" s="28" t="str">
        <f>IF( OR(ISBLANK(Q329:Q334),ISBLANK(AK329:AK334), ISBLANK(U329:U334),ISBLANK(AO329:AO334)), "·", bdRateExtend( Q329:Q334,U329:U334, AK329:AK334,AO329:AO334))</f>
        <v>·</v>
      </c>
      <c r="BB329" s="29"/>
      <c r="BC329" s="29"/>
      <c r="BD329" s="29"/>
      <c r="BE329" s="28" t="str">
        <f>IF( OR(ISBLANK(S329:S334),ISBLANK(AM329:AM334), ISBLANK(Y329:Y334),ISBLANK(AS329:AS334)), "·", bdRateExtend( S329:S334,Y329:Y334, AM329:AM334,AS329:AS334))</f>
        <v>·</v>
      </c>
      <c r="BG329" s="28" t="str">
        <f>IF( OR(ISBLANK(P329:P334),ISBLANK(AJ329:AJ334), ISBLANK(T329:T334),ISBLANK(AN329:AN334)), "·", bdRateExtend( P329:P334,T329:T334, AJ329:AJ334,AN329:AN334))</f>
        <v>·</v>
      </c>
      <c r="BH329" s="28" t="str">
        <f>IF( OR(ISBLANK(P329:P334),ISBLANK(AJ329:AJ334), ISBLANK(U329:U334),ISBLANK(AO329:AO334)), "·", bdRateExtend( P329:P334,U329:U334, AJ329:AJ334,AO329:AO334))</f>
        <v>·</v>
      </c>
      <c r="BI329" s="29"/>
      <c r="BJ329" s="29"/>
      <c r="BK329" s="29"/>
      <c r="BL329" s="28" t="str">
        <f>IF( OR(ISBLANK(P329:P334),ISBLANK(AJ329:AJ334), ISBLANK(Y329:Y334),ISBLANK(AS329:AS334)), "·", bdRateExtend( P329:P334,Y329:Y334, AJ329:AJ334,AS329:AS334))</f>
        <v>·</v>
      </c>
    </row>
    <row r="330" spans="1:64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9"/>
      <c r="U330" s="39"/>
      <c r="V330" s="40"/>
      <c r="W330" s="40"/>
      <c r="X330" s="40"/>
      <c r="Y330" s="39"/>
      <c r="Z330" s="41"/>
      <c r="AA330" s="41"/>
      <c r="AC330" s="33" t="str">
        <f t="shared" si="64"/>
        <v>·</v>
      </c>
      <c r="AD330" s="34" t="str">
        <f t="shared" si="65"/>
        <v>·</v>
      </c>
      <c r="AE330" s="34" t="str">
        <f t="shared" si="66"/>
        <v>·</v>
      </c>
      <c r="AF330" s="35"/>
      <c r="AG330" s="34" t="str">
        <f t="shared" si="67"/>
        <v>·</v>
      </c>
      <c r="AH330" s="34" t="str">
        <f t="shared" si="68"/>
        <v>·</v>
      </c>
      <c r="AI330" s="36"/>
      <c r="AJ330" s="37"/>
      <c r="AK330" s="37"/>
      <c r="AL330" s="38"/>
      <c r="AM330" s="37"/>
      <c r="AN330" s="39"/>
      <c r="AO330" s="39"/>
      <c r="AP330" s="40"/>
      <c r="AQ330" s="40"/>
      <c r="AR330" s="40"/>
      <c r="AS330" s="39"/>
      <c r="AT330" s="41"/>
      <c r="AU330" s="41"/>
      <c r="AW330" s="42" t="e">
        <f t="shared" si="69"/>
        <v>#DIV/0!</v>
      </c>
      <c r="AX330" s="42"/>
      <c r="AZ330" s="43"/>
      <c r="BA330" s="43"/>
      <c r="BB330" s="44"/>
      <c r="BC330" s="44"/>
      <c r="BD330" s="44"/>
      <c r="BE330" s="43"/>
      <c r="BG330" s="43"/>
      <c r="BH330" s="43"/>
      <c r="BI330" s="44"/>
      <c r="BJ330" s="44"/>
      <c r="BK330" s="44"/>
      <c r="BL330" s="43"/>
    </row>
    <row r="331" spans="1:64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4"/>
      <c r="U331" s="24"/>
      <c r="V331" s="25"/>
      <c r="W331" s="25"/>
      <c r="X331" s="25"/>
      <c r="Y331" s="24"/>
      <c r="Z331" s="26"/>
      <c r="AA331" s="26"/>
      <c r="AC331" s="18" t="str">
        <f t="shared" si="64"/>
        <v>·</v>
      </c>
      <c r="AD331" s="19" t="str">
        <f t="shared" si="65"/>
        <v>·</v>
      </c>
      <c r="AE331" s="19" t="str">
        <f t="shared" si="66"/>
        <v>·</v>
      </c>
      <c r="AF331" s="20"/>
      <c r="AG331" s="19" t="str">
        <f t="shared" si="67"/>
        <v>·</v>
      </c>
      <c r="AH331" s="19" t="str">
        <f t="shared" si="68"/>
        <v>·</v>
      </c>
      <c r="AI331" s="21"/>
      <c r="AJ331" s="22"/>
      <c r="AK331" s="22"/>
      <c r="AL331" s="23"/>
      <c r="AM331" s="22"/>
      <c r="AN331" s="24"/>
      <c r="AO331" s="24"/>
      <c r="AP331" s="25"/>
      <c r="AQ331" s="25"/>
      <c r="AR331" s="25"/>
      <c r="AS331" s="24"/>
      <c r="AT331" s="26"/>
      <c r="AU331" s="26"/>
      <c r="AW331" s="27" t="e">
        <f t="shared" si="69"/>
        <v>#DIV/0!</v>
      </c>
      <c r="AX331" s="27"/>
      <c r="AZ331" s="28"/>
      <c r="BA331" s="28"/>
      <c r="BB331" s="29"/>
      <c r="BC331" s="29"/>
      <c r="BD331" s="29"/>
      <c r="BE331" s="28"/>
      <c r="BG331" s="28"/>
      <c r="BH331" s="28"/>
      <c r="BI331" s="29"/>
      <c r="BJ331" s="29"/>
      <c r="BK331" s="29"/>
      <c r="BL331" s="28"/>
    </row>
    <row r="332" spans="1:64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9"/>
      <c r="U332" s="39"/>
      <c r="V332" s="40"/>
      <c r="W332" s="40"/>
      <c r="X332" s="40"/>
      <c r="Y332" s="39"/>
      <c r="Z332" s="41"/>
      <c r="AA332" s="41"/>
      <c r="AC332" s="33" t="str">
        <f t="shared" si="64"/>
        <v>·</v>
      </c>
      <c r="AD332" s="34" t="str">
        <f t="shared" si="65"/>
        <v>·</v>
      </c>
      <c r="AE332" s="34" t="str">
        <f t="shared" si="66"/>
        <v>·</v>
      </c>
      <c r="AF332" s="35"/>
      <c r="AG332" s="34" t="str">
        <f t="shared" si="67"/>
        <v>·</v>
      </c>
      <c r="AH332" s="34" t="str">
        <f t="shared" si="68"/>
        <v>·</v>
      </c>
      <c r="AI332" s="36"/>
      <c r="AJ332" s="37"/>
      <c r="AK332" s="37"/>
      <c r="AL332" s="38"/>
      <c r="AM332" s="37"/>
      <c r="AN332" s="39"/>
      <c r="AO332" s="39"/>
      <c r="AP332" s="40"/>
      <c r="AQ332" s="40"/>
      <c r="AR332" s="40"/>
      <c r="AS332" s="39"/>
      <c r="AT332" s="41"/>
      <c r="AU332" s="41"/>
      <c r="AW332" s="42" t="e">
        <f t="shared" si="69"/>
        <v>#DIV/0!</v>
      </c>
      <c r="AX332" s="42"/>
      <c r="AZ332" s="43"/>
      <c r="BA332" s="43"/>
      <c r="BB332" s="44"/>
      <c r="BC332" s="44"/>
      <c r="BD332" s="44"/>
      <c r="BE332" s="43"/>
      <c r="BG332" s="43"/>
      <c r="BH332" s="43"/>
      <c r="BI332" s="44"/>
      <c r="BJ332" s="44"/>
      <c r="BK332" s="44"/>
      <c r="BL332" s="43"/>
    </row>
    <row r="333" spans="1:64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4"/>
      <c r="U333" s="24"/>
      <c r="V333" s="25"/>
      <c r="W333" s="25"/>
      <c r="X333" s="25"/>
      <c r="Y333" s="24"/>
      <c r="Z333" s="26"/>
      <c r="AA333" s="26"/>
      <c r="AC333" s="18" t="str">
        <f t="shared" si="64"/>
        <v>·</v>
      </c>
      <c r="AD333" s="19" t="str">
        <f t="shared" si="65"/>
        <v>·</v>
      </c>
      <c r="AE333" s="19" t="str">
        <f t="shared" si="66"/>
        <v>·</v>
      </c>
      <c r="AF333" s="20"/>
      <c r="AG333" s="19" t="str">
        <f t="shared" si="67"/>
        <v>·</v>
      </c>
      <c r="AH333" s="19" t="str">
        <f t="shared" si="68"/>
        <v>·</v>
      </c>
      <c r="AI333" s="21"/>
      <c r="AJ333" s="22"/>
      <c r="AK333" s="22"/>
      <c r="AL333" s="23"/>
      <c r="AM333" s="22"/>
      <c r="AN333" s="24"/>
      <c r="AO333" s="24"/>
      <c r="AP333" s="25"/>
      <c r="AQ333" s="25"/>
      <c r="AR333" s="25"/>
      <c r="AS333" s="24"/>
      <c r="AT333" s="26"/>
      <c r="AU333" s="26"/>
      <c r="AW333" s="27" t="e">
        <f t="shared" si="69"/>
        <v>#DIV/0!</v>
      </c>
      <c r="AX333" s="27"/>
      <c r="AZ333" s="28"/>
      <c r="BA333" s="28"/>
      <c r="BB333" s="29"/>
      <c r="BC333" s="29"/>
      <c r="BD333" s="29"/>
      <c r="BE333" s="28"/>
      <c r="BG333" s="28"/>
      <c r="BH333" s="28"/>
      <c r="BI333" s="29"/>
      <c r="BJ333" s="29"/>
      <c r="BK333" s="29"/>
      <c r="BL333" s="28"/>
    </row>
    <row r="334" spans="1:64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4"/>
      <c r="U334" s="54"/>
      <c r="V334" s="55"/>
      <c r="W334" s="55"/>
      <c r="X334" s="55"/>
      <c r="Y334" s="54"/>
      <c r="Z334" s="56"/>
      <c r="AA334" s="56"/>
      <c r="AC334" s="48" t="str">
        <f t="shared" si="64"/>
        <v>·</v>
      </c>
      <c r="AD334" s="49" t="str">
        <f t="shared" si="65"/>
        <v>·</v>
      </c>
      <c r="AE334" s="49" t="str">
        <f t="shared" si="66"/>
        <v>·</v>
      </c>
      <c r="AF334" s="50"/>
      <c r="AG334" s="49" t="str">
        <f t="shared" si="67"/>
        <v>·</v>
      </c>
      <c r="AH334" s="49" t="str">
        <f t="shared" si="68"/>
        <v>·</v>
      </c>
      <c r="AI334" s="51"/>
      <c r="AJ334" s="52"/>
      <c r="AK334" s="52"/>
      <c r="AL334" s="53"/>
      <c r="AM334" s="52"/>
      <c r="AN334" s="54"/>
      <c r="AO334" s="54"/>
      <c r="AP334" s="55"/>
      <c r="AQ334" s="55"/>
      <c r="AR334" s="55"/>
      <c r="AS334" s="54"/>
      <c r="AT334" s="56"/>
      <c r="AU334" s="56"/>
      <c r="AW334" s="57" t="e">
        <f t="shared" si="69"/>
        <v>#DIV/0!</v>
      </c>
      <c r="AX334" s="57"/>
      <c r="AZ334" s="58"/>
      <c r="BA334" s="58"/>
      <c r="BB334" s="59"/>
      <c r="BC334" s="59"/>
      <c r="BD334" s="59"/>
      <c r="BE334" s="58"/>
      <c r="BG334" s="58"/>
      <c r="BH334" s="58"/>
      <c r="BI334" s="59"/>
      <c r="BJ334" s="59"/>
      <c r="BK334" s="59"/>
      <c r="BL334" s="58"/>
    </row>
    <row r="335" spans="1:64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4"/>
      <c r="U335" s="24"/>
      <c r="V335" s="25"/>
      <c r="W335" s="25"/>
      <c r="X335" s="25"/>
      <c r="Y335" s="24"/>
      <c r="Z335" s="26"/>
      <c r="AA335" s="26"/>
      <c r="AC335" s="18" t="str">
        <f t="shared" si="64"/>
        <v>·</v>
      </c>
      <c r="AD335" s="19" t="str">
        <f t="shared" si="65"/>
        <v>·</v>
      </c>
      <c r="AE335" s="19" t="str">
        <f t="shared" si="66"/>
        <v>·</v>
      </c>
      <c r="AF335" s="20"/>
      <c r="AG335" s="19" t="str">
        <f t="shared" si="67"/>
        <v>·</v>
      </c>
      <c r="AH335" s="19" t="str">
        <f t="shared" si="68"/>
        <v>·</v>
      </c>
      <c r="AI335" s="21"/>
      <c r="AJ335" s="22"/>
      <c r="AK335" s="22"/>
      <c r="AL335" s="23"/>
      <c r="AM335" s="22"/>
      <c r="AN335" s="24"/>
      <c r="AO335" s="24"/>
      <c r="AP335" s="25"/>
      <c r="AQ335" s="25"/>
      <c r="AR335" s="25"/>
      <c r="AS335" s="24"/>
      <c r="AT335" s="26"/>
      <c r="AU335" s="26"/>
      <c r="AW335" s="27" t="e">
        <f t="shared" si="69"/>
        <v>#DIV/0!</v>
      </c>
      <c r="AX335" s="27" t="e">
        <f t="array" ref="AX335">AVERAGE(AK335:AK340/AJ335:AJ340) - AVERAGE(Q335:Q340/P335:P340)</f>
        <v>#DIV/0!</v>
      </c>
      <c r="AZ335" s="28" t="str">
        <f>IF( OR(ISBLANK(Q335:Q340),ISBLANK(AK335:AK340), ISBLANK(T335:T340),ISBLANK(AN335:AN340)), "·", bdRateExtend( Q335:Q340,T335:T340, AK335:AK340,AN335:AN340))</f>
        <v>·</v>
      </c>
      <c r="BA335" s="28" t="str">
        <f>IF( OR(ISBLANK(Q335:Q340),ISBLANK(AK335:AK340), ISBLANK(U335:U340),ISBLANK(AO335:AO340)), "·", bdRateExtend( Q335:Q340,U335:U340, AK335:AK340,AO335:AO340))</f>
        <v>·</v>
      </c>
      <c r="BB335" s="29"/>
      <c r="BC335" s="29"/>
      <c r="BD335" s="29"/>
      <c r="BE335" s="28" t="str">
        <f>IF( OR(ISBLANK(S335:S340),ISBLANK(AM335:AM340), ISBLANK(Y335:Y340),ISBLANK(AS335:AS340)), "·", bdRateExtend( S335:S340,Y335:Y340, AM335:AM340,AS335:AS340))</f>
        <v>·</v>
      </c>
      <c r="BG335" s="28" t="str">
        <f>IF( OR(ISBLANK(P335:P340),ISBLANK(AJ335:AJ340), ISBLANK(T335:T340),ISBLANK(AN335:AN340)), "·", bdRateExtend( P335:P340,T335:T340, AJ335:AJ340,AN335:AN340))</f>
        <v>·</v>
      </c>
      <c r="BH335" s="28" t="str">
        <f>IF( OR(ISBLANK(P335:P340),ISBLANK(AJ335:AJ340), ISBLANK(U335:U340),ISBLANK(AO335:AO340)), "·", bdRateExtend( P335:P340,U335:U340, AJ335:AJ340,AO335:AO340))</f>
        <v>·</v>
      </c>
      <c r="BI335" s="29"/>
      <c r="BJ335" s="29"/>
      <c r="BK335" s="29"/>
      <c r="BL335" s="28" t="str">
        <f>IF( OR(ISBLANK(P335:P340),ISBLANK(AJ335:AJ340), ISBLANK(Y335:Y340),ISBLANK(AS335:AS340)), "·", bdRateExtend( P335:P340,Y335:Y340, AJ335:AJ340,AS335:AS340))</f>
        <v>·</v>
      </c>
    </row>
    <row r="336" spans="1:64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9"/>
      <c r="U336" s="39"/>
      <c r="V336" s="40"/>
      <c r="W336" s="40"/>
      <c r="X336" s="40"/>
      <c r="Y336" s="39"/>
      <c r="Z336" s="41"/>
      <c r="AA336" s="41"/>
      <c r="AC336" s="33" t="str">
        <f t="shared" si="64"/>
        <v>·</v>
      </c>
      <c r="AD336" s="34" t="str">
        <f t="shared" si="65"/>
        <v>·</v>
      </c>
      <c r="AE336" s="34" t="str">
        <f t="shared" si="66"/>
        <v>·</v>
      </c>
      <c r="AF336" s="35"/>
      <c r="AG336" s="34" t="str">
        <f t="shared" si="67"/>
        <v>·</v>
      </c>
      <c r="AH336" s="34" t="str">
        <f t="shared" si="68"/>
        <v>·</v>
      </c>
      <c r="AI336" s="36"/>
      <c r="AJ336" s="37"/>
      <c r="AK336" s="37"/>
      <c r="AL336" s="38"/>
      <c r="AM336" s="37"/>
      <c r="AN336" s="39"/>
      <c r="AO336" s="39"/>
      <c r="AP336" s="40"/>
      <c r="AQ336" s="40"/>
      <c r="AR336" s="40"/>
      <c r="AS336" s="39"/>
      <c r="AT336" s="41"/>
      <c r="AU336" s="41"/>
      <c r="AW336" s="42" t="e">
        <f t="shared" si="69"/>
        <v>#DIV/0!</v>
      </c>
      <c r="AX336" s="42"/>
      <c r="AZ336" s="43"/>
      <c r="BA336" s="43"/>
      <c r="BB336" s="44"/>
      <c r="BC336" s="44"/>
      <c r="BD336" s="44"/>
      <c r="BE336" s="43"/>
      <c r="BG336" s="43"/>
      <c r="BH336" s="43"/>
      <c r="BI336" s="44"/>
      <c r="BJ336" s="44"/>
      <c r="BK336" s="44"/>
      <c r="BL336" s="43"/>
    </row>
    <row r="337" spans="1:64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4"/>
      <c r="U337" s="24"/>
      <c r="V337" s="25"/>
      <c r="W337" s="25"/>
      <c r="X337" s="25"/>
      <c r="Y337" s="24"/>
      <c r="Z337" s="26"/>
      <c r="AA337" s="26"/>
      <c r="AC337" s="18" t="str">
        <f t="shared" si="64"/>
        <v>·</v>
      </c>
      <c r="AD337" s="19" t="str">
        <f t="shared" si="65"/>
        <v>·</v>
      </c>
      <c r="AE337" s="19" t="str">
        <f t="shared" si="66"/>
        <v>·</v>
      </c>
      <c r="AF337" s="20"/>
      <c r="AG337" s="19" t="str">
        <f t="shared" si="67"/>
        <v>·</v>
      </c>
      <c r="AH337" s="19" t="str">
        <f t="shared" si="68"/>
        <v>·</v>
      </c>
      <c r="AI337" s="21"/>
      <c r="AJ337" s="22"/>
      <c r="AK337" s="22"/>
      <c r="AL337" s="23"/>
      <c r="AM337" s="22"/>
      <c r="AN337" s="24"/>
      <c r="AO337" s="24"/>
      <c r="AP337" s="25"/>
      <c r="AQ337" s="25"/>
      <c r="AR337" s="25"/>
      <c r="AS337" s="24"/>
      <c r="AT337" s="26"/>
      <c r="AU337" s="26"/>
      <c r="AW337" s="27" t="e">
        <f t="shared" si="69"/>
        <v>#DIV/0!</v>
      </c>
      <c r="AX337" s="27"/>
      <c r="AZ337" s="28"/>
      <c r="BA337" s="28"/>
      <c r="BB337" s="29"/>
      <c r="BC337" s="29"/>
      <c r="BD337" s="29"/>
      <c r="BE337" s="28"/>
      <c r="BG337" s="28"/>
      <c r="BH337" s="28"/>
      <c r="BI337" s="29"/>
      <c r="BJ337" s="29"/>
      <c r="BK337" s="29"/>
      <c r="BL337" s="28"/>
    </row>
    <row r="338" spans="1:64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9"/>
      <c r="U338" s="39"/>
      <c r="V338" s="40"/>
      <c r="W338" s="40"/>
      <c r="X338" s="40"/>
      <c r="Y338" s="39"/>
      <c r="Z338" s="41"/>
      <c r="AA338" s="41"/>
      <c r="AC338" s="33" t="str">
        <f t="shared" si="64"/>
        <v>·</v>
      </c>
      <c r="AD338" s="34" t="str">
        <f t="shared" si="65"/>
        <v>·</v>
      </c>
      <c r="AE338" s="34" t="str">
        <f t="shared" si="66"/>
        <v>·</v>
      </c>
      <c r="AF338" s="35"/>
      <c r="AG338" s="34" t="str">
        <f t="shared" si="67"/>
        <v>·</v>
      </c>
      <c r="AH338" s="34" t="str">
        <f t="shared" si="68"/>
        <v>·</v>
      </c>
      <c r="AI338" s="36"/>
      <c r="AJ338" s="37"/>
      <c r="AK338" s="37"/>
      <c r="AL338" s="38"/>
      <c r="AM338" s="37"/>
      <c r="AN338" s="39"/>
      <c r="AO338" s="39"/>
      <c r="AP338" s="40"/>
      <c r="AQ338" s="40"/>
      <c r="AR338" s="40"/>
      <c r="AS338" s="39"/>
      <c r="AT338" s="41"/>
      <c r="AU338" s="41"/>
      <c r="AW338" s="42" t="e">
        <f t="shared" si="69"/>
        <v>#DIV/0!</v>
      </c>
      <c r="AX338" s="42"/>
      <c r="AZ338" s="43"/>
      <c r="BA338" s="43"/>
      <c r="BB338" s="44"/>
      <c r="BC338" s="44"/>
      <c r="BD338" s="44"/>
      <c r="BE338" s="43"/>
      <c r="BG338" s="43"/>
      <c r="BH338" s="43"/>
      <c r="BI338" s="44"/>
      <c r="BJ338" s="44"/>
      <c r="BK338" s="44"/>
      <c r="BL338" s="43"/>
    </row>
    <row r="339" spans="1:64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4"/>
      <c r="U339" s="24"/>
      <c r="V339" s="25"/>
      <c r="W339" s="25"/>
      <c r="X339" s="25"/>
      <c r="Y339" s="24"/>
      <c r="Z339" s="26"/>
      <c r="AA339" s="26"/>
      <c r="AC339" s="18" t="str">
        <f t="shared" si="64"/>
        <v>·</v>
      </c>
      <c r="AD339" s="19" t="str">
        <f t="shared" si="65"/>
        <v>·</v>
      </c>
      <c r="AE339" s="19" t="str">
        <f t="shared" si="66"/>
        <v>·</v>
      </c>
      <c r="AF339" s="20"/>
      <c r="AG339" s="19" t="str">
        <f t="shared" si="67"/>
        <v>·</v>
      </c>
      <c r="AH339" s="19" t="str">
        <f t="shared" si="68"/>
        <v>·</v>
      </c>
      <c r="AI339" s="21"/>
      <c r="AJ339" s="22"/>
      <c r="AK339" s="22"/>
      <c r="AL339" s="23"/>
      <c r="AM339" s="22"/>
      <c r="AN339" s="24"/>
      <c r="AO339" s="24"/>
      <c r="AP339" s="25"/>
      <c r="AQ339" s="25"/>
      <c r="AR339" s="25"/>
      <c r="AS339" s="24"/>
      <c r="AT339" s="26"/>
      <c r="AU339" s="26"/>
      <c r="AW339" s="27" t="e">
        <f t="shared" si="69"/>
        <v>#DIV/0!</v>
      </c>
      <c r="AX339" s="27"/>
      <c r="AZ339" s="28"/>
      <c r="BA339" s="28"/>
      <c r="BB339" s="29"/>
      <c r="BC339" s="29"/>
      <c r="BD339" s="29"/>
      <c r="BE339" s="28"/>
      <c r="BG339" s="28"/>
      <c r="BH339" s="28"/>
      <c r="BI339" s="29"/>
      <c r="BJ339" s="29"/>
      <c r="BK339" s="29"/>
      <c r="BL339" s="28"/>
    </row>
    <row r="340" spans="1:64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4"/>
      <c r="U340" s="54"/>
      <c r="V340" s="55"/>
      <c r="W340" s="55"/>
      <c r="X340" s="55"/>
      <c r="Y340" s="54"/>
      <c r="Z340" s="56"/>
      <c r="AA340" s="56"/>
      <c r="AC340" s="48" t="str">
        <f t="shared" si="64"/>
        <v>·</v>
      </c>
      <c r="AD340" s="49" t="str">
        <f t="shared" si="65"/>
        <v>·</v>
      </c>
      <c r="AE340" s="49" t="str">
        <f t="shared" si="66"/>
        <v>·</v>
      </c>
      <c r="AF340" s="50"/>
      <c r="AG340" s="49" t="str">
        <f t="shared" si="67"/>
        <v>·</v>
      </c>
      <c r="AH340" s="49" t="str">
        <f t="shared" si="68"/>
        <v>·</v>
      </c>
      <c r="AI340" s="51"/>
      <c r="AJ340" s="52"/>
      <c r="AK340" s="52"/>
      <c r="AL340" s="53"/>
      <c r="AM340" s="52"/>
      <c r="AN340" s="54"/>
      <c r="AO340" s="54"/>
      <c r="AP340" s="55"/>
      <c r="AQ340" s="55"/>
      <c r="AR340" s="55"/>
      <c r="AS340" s="54"/>
      <c r="AT340" s="56"/>
      <c r="AU340" s="56"/>
      <c r="AW340" s="57" t="e">
        <f t="shared" si="69"/>
        <v>#DIV/0!</v>
      </c>
      <c r="AX340" s="57"/>
      <c r="AZ340" s="58"/>
      <c r="BA340" s="58"/>
      <c r="BB340" s="59"/>
      <c r="BC340" s="59"/>
      <c r="BD340" s="59"/>
      <c r="BE340" s="58"/>
      <c r="BG340" s="58"/>
      <c r="BH340" s="58"/>
      <c r="BI340" s="59"/>
      <c r="BJ340" s="59"/>
      <c r="BK340" s="59"/>
      <c r="BL340" s="58"/>
    </row>
    <row r="341" spans="1:64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4"/>
      <c r="U341" s="23"/>
      <c r="V341" s="25"/>
      <c r="W341" s="25"/>
      <c r="X341" s="25"/>
      <c r="Y341" s="24"/>
      <c r="Z341" s="26"/>
      <c r="AA341" s="26"/>
      <c r="AC341" s="18" t="str">
        <f t="shared" si="49"/>
        <v>·</v>
      </c>
      <c r="AD341" s="19" t="str">
        <f t="shared" si="50"/>
        <v>·</v>
      </c>
      <c r="AE341" s="19" t="str">
        <f t="shared" si="51"/>
        <v>·</v>
      </c>
      <c r="AF341" s="20"/>
      <c r="AG341" s="19" t="str">
        <f t="shared" si="58"/>
        <v>·</v>
      </c>
      <c r="AH341" s="19" t="str">
        <f t="shared" si="53"/>
        <v>·</v>
      </c>
      <c r="AI341" s="21"/>
      <c r="AJ341" s="22"/>
      <c r="AK341" s="22"/>
      <c r="AL341" s="23"/>
      <c r="AM341" s="22"/>
      <c r="AN341" s="24"/>
      <c r="AO341" s="23"/>
      <c r="AP341" s="25"/>
      <c r="AQ341" s="25"/>
      <c r="AR341" s="25"/>
      <c r="AS341" s="24"/>
      <c r="AT341" s="26"/>
      <c r="AU341" s="26"/>
      <c r="AW341" s="27" t="e">
        <f t="shared" si="54"/>
        <v>#DIV/0!</v>
      </c>
      <c r="AX341" s="27" t="e">
        <f t="array" ref="AX341">AVERAGE(AK341:AK346/AJ341:AJ346) - AVERAGE(Q341:Q346/P341:P346)</f>
        <v>#DIV/0!</v>
      </c>
      <c r="AZ341" s="28" t="str">
        <f>IF( OR(ISBLANK(Q341:Q346),ISBLANK(AK341:AK346), ISBLANK(T341:T346),ISBLANK(AN341:AN346)), "·", bdRateExtend( Q341:Q346,T341:T346, AK341:AK346,AN341:AN346))</f>
        <v>·</v>
      </c>
      <c r="BA341" s="29"/>
      <c r="BB341" s="29"/>
      <c r="BC341" s="29"/>
      <c r="BD341" s="29"/>
      <c r="BE341" s="28" t="str">
        <f>IF( OR(ISBLANK(S341:S346),ISBLANK(AM341:AM346), ISBLANK(Y341:Y346),ISBLANK(AS341:AS346)), "·", bdRateExtend( S341:S346,Y341:Y346, AM341:AM346,AS341:AS346))</f>
        <v>·</v>
      </c>
      <c r="BG341" s="28" t="str">
        <f>IF( OR(ISBLANK(P341:P346),ISBLANK(AJ341:AJ346), ISBLANK(T341:T346),ISBLANK(AN341:AN346)), "·", bdRateExtend( P341:P346,T341:T346, AJ341:AJ346,AN341:AN346))</f>
        <v>·</v>
      </c>
      <c r="BH341" s="29"/>
      <c r="BI341" s="29"/>
      <c r="BJ341" s="29"/>
      <c r="BK341" s="29"/>
      <c r="BL341" s="28" t="str">
        <f>IF( OR(ISBLANK(P341:P346),ISBLANK(AJ341:AJ346), ISBLANK(Y341:Y346),ISBLANK(AS341:AS346)), "·", bdRateExtend( P341:P346,Y341:Y346, AJ341:AJ346,AS341:AS346))</f>
        <v>·</v>
      </c>
    </row>
    <row r="342" spans="1:64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9"/>
      <c r="U342" s="38"/>
      <c r="V342" s="40"/>
      <c r="W342" s="40"/>
      <c r="X342" s="40"/>
      <c r="Y342" s="39"/>
      <c r="Z342" s="41"/>
      <c r="AA342" s="41"/>
      <c r="AC342" s="33" t="str">
        <f t="shared" si="49"/>
        <v>·</v>
      </c>
      <c r="AD342" s="34" t="str">
        <f t="shared" si="50"/>
        <v>·</v>
      </c>
      <c r="AE342" s="34" t="str">
        <f t="shared" si="51"/>
        <v>·</v>
      </c>
      <c r="AF342" s="35"/>
      <c r="AG342" s="34" t="str">
        <f t="shared" si="58"/>
        <v>·</v>
      </c>
      <c r="AH342" s="34" t="str">
        <f t="shared" si="53"/>
        <v>·</v>
      </c>
      <c r="AI342" s="36"/>
      <c r="AJ342" s="37"/>
      <c r="AK342" s="37"/>
      <c r="AL342" s="38"/>
      <c r="AM342" s="37"/>
      <c r="AN342" s="39"/>
      <c r="AO342" s="38"/>
      <c r="AP342" s="40"/>
      <c r="AQ342" s="40"/>
      <c r="AR342" s="40"/>
      <c r="AS342" s="39"/>
      <c r="AT342" s="41"/>
      <c r="AU342" s="41"/>
      <c r="AW342" s="42" t="e">
        <f t="shared" si="54"/>
        <v>#DIV/0!</v>
      </c>
      <c r="AX342" s="42"/>
      <c r="AZ342" s="43"/>
      <c r="BA342" s="44"/>
      <c r="BB342" s="44"/>
      <c r="BC342" s="44"/>
      <c r="BD342" s="44"/>
      <c r="BE342" s="43"/>
      <c r="BG342" s="43"/>
      <c r="BH342" s="44"/>
      <c r="BI342" s="44"/>
      <c r="BJ342" s="44"/>
      <c r="BK342" s="44"/>
      <c r="BL342" s="43"/>
    </row>
    <row r="343" spans="1:64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4"/>
      <c r="U343" s="23"/>
      <c r="V343" s="25"/>
      <c r="W343" s="25"/>
      <c r="X343" s="25"/>
      <c r="Y343" s="24"/>
      <c r="Z343" s="26"/>
      <c r="AA343" s="26"/>
      <c r="AC343" s="18" t="str">
        <f t="shared" ref="AC343:AC358" si="74">IF(OR(ISBLANK(AJ343),ISBLANK(G343)),"·",AJ343*G343/F343/1000000)</f>
        <v>·</v>
      </c>
      <c r="AD343" s="19" t="str">
        <f t="shared" ref="AD343:AD358" si="75">IF(ISBLANK(AJ343),"·",AJ343/D343)</f>
        <v>·</v>
      </c>
      <c r="AE343" s="19" t="str">
        <f t="shared" ref="AE343:AE358" si="76">IF(AK343="","·",AK343/D343)</f>
        <v>·</v>
      </c>
      <c r="AF343" s="20"/>
      <c r="AG343" s="19" t="str">
        <f t="shared" si="58"/>
        <v>·</v>
      </c>
      <c r="AH343" s="19" t="str">
        <f t="shared" ref="AH343:AH358" si="77">IF(ISBLANK(AJ343),"·",AJ343/AI343)</f>
        <v>·</v>
      </c>
      <c r="AI343" s="21"/>
      <c r="AJ343" s="22"/>
      <c r="AK343" s="22"/>
      <c r="AL343" s="23"/>
      <c r="AM343" s="22"/>
      <c r="AN343" s="24"/>
      <c r="AO343" s="23"/>
      <c r="AP343" s="25"/>
      <c r="AQ343" s="25"/>
      <c r="AR343" s="25"/>
      <c r="AS343" s="24"/>
      <c r="AT343" s="26"/>
      <c r="AU343" s="26"/>
      <c r="AW343" s="27" t="e">
        <f t="shared" ref="AW343:AW358" si="78">(AK343/AJ343) - (Q343/P343)</f>
        <v>#DIV/0!</v>
      </c>
      <c r="AX343" s="27"/>
      <c r="AZ343" s="28"/>
      <c r="BA343" s="29"/>
      <c r="BB343" s="29"/>
      <c r="BC343" s="29"/>
      <c r="BD343" s="29"/>
      <c r="BE343" s="28"/>
      <c r="BG343" s="28"/>
      <c r="BH343" s="29"/>
      <c r="BI343" s="29"/>
      <c r="BJ343" s="29"/>
      <c r="BK343" s="29"/>
      <c r="BL343" s="28"/>
    </row>
    <row r="344" spans="1:64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9"/>
      <c r="U344" s="38"/>
      <c r="V344" s="40"/>
      <c r="W344" s="40"/>
      <c r="X344" s="40"/>
      <c r="Y344" s="39"/>
      <c r="Z344" s="41"/>
      <c r="AA344" s="41"/>
      <c r="AC344" s="33" t="str">
        <f t="shared" si="74"/>
        <v>·</v>
      </c>
      <c r="AD344" s="34" t="str">
        <f t="shared" si="75"/>
        <v>·</v>
      </c>
      <c r="AE344" s="34" t="str">
        <f t="shared" si="76"/>
        <v>·</v>
      </c>
      <c r="AF344" s="35"/>
      <c r="AG344" s="34" t="str">
        <f t="shared" si="58"/>
        <v>·</v>
      </c>
      <c r="AH344" s="34" t="str">
        <f t="shared" si="77"/>
        <v>·</v>
      </c>
      <c r="AI344" s="36"/>
      <c r="AJ344" s="37"/>
      <c r="AK344" s="37"/>
      <c r="AL344" s="38"/>
      <c r="AM344" s="37"/>
      <c r="AN344" s="39"/>
      <c r="AO344" s="38"/>
      <c r="AP344" s="40"/>
      <c r="AQ344" s="40"/>
      <c r="AR344" s="40"/>
      <c r="AS344" s="39"/>
      <c r="AT344" s="41"/>
      <c r="AU344" s="41"/>
      <c r="AW344" s="42" t="e">
        <f t="shared" si="78"/>
        <v>#DIV/0!</v>
      </c>
      <c r="AX344" s="42"/>
      <c r="AZ344" s="43"/>
      <c r="BA344" s="44"/>
      <c r="BB344" s="44"/>
      <c r="BC344" s="44"/>
      <c r="BD344" s="44"/>
      <c r="BE344" s="43"/>
      <c r="BG344" s="43"/>
      <c r="BH344" s="44"/>
      <c r="BI344" s="44"/>
      <c r="BJ344" s="44"/>
      <c r="BK344" s="44"/>
      <c r="BL344" s="43"/>
    </row>
    <row r="345" spans="1:64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4"/>
      <c r="U345" s="23"/>
      <c r="V345" s="25"/>
      <c r="W345" s="25"/>
      <c r="X345" s="25"/>
      <c r="Y345" s="24"/>
      <c r="Z345" s="26"/>
      <c r="AA345" s="26"/>
      <c r="AC345" s="18" t="str">
        <f t="shared" si="74"/>
        <v>·</v>
      </c>
      <c r="AD345" s="19" t="str">
        <f t="shared" si="75"/>
        <v>·</v>
      </c>
      <c r="AE345" s="19" t="str">
        <f t="shared" si="76"/>
        <v>·</v>
      </c>
      <c r="AF345" s="20"/>
      <c r="AG345" s="19" t="str">
        <f t="shared" si="58"/>
        <v>·</v>
      </c>
      <c r="AH345" s="19" t="str">
        <f t="shared" si="77"/>
        <v>·</v>
      </c>
      <c r="AI345" s="21"/>
      <c r="AJ345" s="22"/>
      <c r="AK345" s="22"/>
      <c r="AL345" s="23"/>
      <c r="AM345" s="22"/>
      <c r="AN345" s="24"/>
      <c r="AO345" s="23"/>
      <c r="AP345" s="25"/>
      <c r="AQ345" s="25"/>
      <c r="AR345" s="25"/>
      <c r="AS345" s="24"/>
      <c r="AT345" s="26"/>
      <c r="AU345" s="26"/>
      <c r="AW345" s="27" t="e">
        <f t="shared" si="78"/>
        <v>#DIV/0!</v>
      </c>
      <c r="AX345" s="27"/>
      <c r="AZ345" s="28"/>
      <c r="BA345" s="29"/>
      <c r="BB345" s="29"/>
      <c r="BC345" s="29"/>
      <c r="BD345" s="29"/>
      <c r="BE345" s="28"/>
      <c r="BG345" s="28"/>
      <c r="BH345" s="29"/>
      <c r="BI345" s="29"/>
      <c r="BJ345" s="29"/>
      <c r="BK345" s="29"/>
      <c r="BL345" s="28"/>
    </row>
    <row r="346" spans="1:64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4"/>
      <c r="U346" s="53"/>
      <c r="V346" s="55"/>
      <c r="W346" s="55"/>
      <c r="X346" s="55"/>
      <c r="Y346" s="54"/>
      <c r="Z346" s="56"/>
      <c r="AA346" s="56"/>
      <c r="AC346" s="48" t="str">
        <f t="shared" si="74"/>
        <v>·</v>
      </c>
      <c r="AD346" s="49" t="str">
        <f t="shared" si="75"/>
        <v>·</v>
      </c>
      <c r="AE346" s="49" t="str">
        <f t="shared" si="76"/>
        <v>·</v>
      </c>
      <c r="AF346" s="50"/>
      <c r="AG346" s="49" t="str">
        <f t="shared" si="58"/>
        <v>·</v>
      </c>
      <c r="AH346" s="49" t="str">
        <f t="shared" si="77"/>
        <v>·</v>
      </c>
      <c r="AI346" s="51"/>
      <c r="AJ346" s="52"/>
      <c r="AK346" s="52"/>
      <c r="AL346" s="53"/>
      <c r="AM346" s="52"/>
      <c r="AN346" s="54"/>
      <c r="AO346" s="53"/>
      <c r="AP346" s="55"/>
      <c r="AQ346" s="55"/>
      <c r="AR346" s="55"/>
      <c r="AS346" s="54"/>
      <c r="AT346" s="56"/>
      <c r="AU346" s="56"/>
      <c r="AW346" s="57" t="e">
        <f t="shared" si="78"/>
        <v>#DIV/0!</v>
      </c>
      <c r="AX346" s="57"/>
      <c r="AZ346" s="58"/>
      <c r="BA346" s="59"/>
      <c r="BB346" s="59"/>
      <c r="BC346" s="59"/>
      <c r="BD346" s="59"/>
      <c r="BE346" s="58"/>
      <c r="BG346" s="58"/>
      <c r="BH346" s="59"/>
      <c r="BI346" s="59"/>
      <c r="BJ346" s="59"/>
      <c r="BK346" s="59"/>
      <c r="BL346" s="58"/>
    </row>
    <row r="347" spans="1:64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4"/>
      <c r="U347" s="23"/>
      <c r="V347" s="25"/>
      <c r="W347" s="25"/>
      <c r="X347" s="25"/>
      <c r="Y347" s="24"/>
      <c r="Z347" s="26"/>
      <c r="AA347" s="26"/>
      <c r="AC347" s="18" t="str">
        <f t="shared" si="74"/>
        <v>·</v>
      </c>
      <c r="AD347" s="19" t="str">
        <f t="shared" si="75"/>
        <v>·</v>
      </c>
      <c r="AE347" s="19" t="str">
        <f t="shared" si="76"/>
        <v>·</v>
      </c>
      <c r="AF347" s="20"/>
      <c r="AG347" s="19" t="str">
        <f t="shared" si="58"/>
        <v>·</v>
      </c>
      <c r="AH347" s="19" t="str">
        <f t="shared" si="77"/>
        <v>·</v>
      </c>
      <c r="AI347" s="21"/>
      <c r="AJ347" s="22"/>
      <c r="AK347" s="22"/>
      <c r="AL347" s="23"/>
      <c r="AM347" s="22"/>
      <c r="AN347" s="24"/>
      <c r="AO347" s="23"/>
      <c r="AP347" s="25"/>
      <c r="AQ347" s="25"/>
      <c r="AR347" s="25"/>
      <c r="AS347" s="24"/>
      <c r="AT347" s="26"/>
      <c r="AU347" s="26"/>
      <c r="AW347" s="27" t="e">
        <f t="shared" si="78"/>
        <v>#DIV/0!</v>
      </c>
      <c r="AX347" s="27" t="e">
        <f t="array" ref="AX347">AVERAGE(AK347:AK352/AJ347:AJ352) - AVERAGE(Q347:Q352/P347:P352)</f>
        <v>#DIV/0!</v>
      </c>
      <c r="AZ347" s="28" t="str">
        <f>IF( OR(ISBLANK(Q347:Q352),ISBLANK(AK347:AK352), ISBLANK(T347:T352),ISBLANK(AN347:AN352)), "·", bdRateExtend( Q347:Q352,T347:T352, AK347:AK352,AN347:AN352))</f>
        <v>·</v>
      </c>
      <c r="BA347" s="29"/>
      <c r="BB347" s="29"/>
      <c r="BC347" s="29"/>
      <c r="BD347" s="29"/>
      <c r="BE347" s="28" t="str">
        <f>IF( OR(ISBLANK(S347:S352),ISBLANK(AM347:AM352), ISBLANK(Y347:Y352),ISBLANK(AS347:AS352)), "·", bdRateExtend( S347:S352,Y347:Y352, AM347:AM352,AS347:AS352))</f>
        <v>·</v>
      </c>
      <c r="BG347" s="28" t="str">
        <f>IF( OR(ISBLANK(P347:P352),ISBLANK(AJ347:AJ352), ISBLANK(T347:T352),ISBLANK(AN347:AN352)), "·", bdRateExtend( P347:P352,T347:T352, AJ347:AJ352,AN347:AN352))</f>
        <v>·</v>
      </c>
      <c r="BH347" s="29"/>
      <c r="BI347" s="29"/>
      <c r="BJ347" s="29"/>
      <c r="BK347" s="29"/>
      <c r="BL347" s="28" t="str">
        <f>IF( OR(ISBLANK(P347:P352),ISBLANK(AJ347:AJ352), ISBLANK(Y347:Y352),ISBLANK(AS347:AS352)), "·", bdRateExtend( P347:P352,Y347:Y352, AJ347:AJ352,AS347:AS352))</f>
        <v>·</v>
      </c>
    </row>
    <row r="348" spans="1:64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9"/>
      <c r="U348" s="38"/>
      <c r="V348" s="40"/>
      <c r="W348" s="40"/>
      <c r="X348" s="40"/>
      <c r="Y348" s="39"/>
      <c r="Z348" s="41"/>
      <c r="AA348" s="41"/>
      <c r="AC348" s="33" t="str">
        <f t="shared" si="74"/>
        <v>·</v>
      </c>
      <c r="AD348" s="34" t="str">
        <f t="shared" si="75"/>
        <v>·</v>
      </c>
      <c r="AE348" s="34" t="str">
        <f t="shared" si="76"/>
        <v>·</v>
      </c>
      <c r="AF348" s="35"/>
      <c r="AG348" s="34" t="str">
        <f t="shared" si="58"/>
        <v>·</v>
      </c>
      <c r="AH348" s="34" t="str">
        <f t="shared" si="77"/>
        <v>·</v>
      </c>
      <c r="AI348" s="36"/>
      <c r="AJ348" s="37"/>
      <c r="AK348" s="37"/>
      <c r="AL348" s="38"/>
      <c r="AM348" s="37"/>
      <c r="AN348" s="39"/>
      <c r="AO348" s="38"/>
      <c r="AP348" s="40"/>
      <c r="AQ348" s="40"/>
      <c r="AR348" s="40"/>
      <c r="AS348" s="39"/>
      <c r="AT348" s="41"/>
      <c r="AU348" s="41"/>
      <c r="AW348" s="42" t="e">
        <f t="shared" si="78"/>
        <v>#DIV/0!</v>
      </c>
      <c r="AX348" s="42"/>
      <c r="AZ348" s="43"/>
      <c r="BA348" s="44"/>
      <c r="BB348" s="44"/>
      <c r="BC348" s="44"/>
      <c r="BD348" s="44"/>
      <c r="BE348" s="43"/>
      <c r="BG348" s="43"/>
      <c r="BH348" s="44"/>
      <c r="BI348" s="44"/>
      <c r="BJ348" s="44"/>
      <c r="BK348" s="44"/>
      <c r="BL348" s="43"/>
    </row>
    <row r="349" spans="1:64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4"/>
      <c r="U349" s="23"/>
      <c r="V349" s="25"/>
      <c r="W349" s="25"/>
      <c r="X349" s="25"/>
      <c r="Y349" s="24"/>
      <c r="Z349" s="26"/>
      <c r="AA349" s="26"/>
      <c r="AC349" s="18" t="str">
        <f t="shared" si="74"/>
        <v>·</v>
      </c>
      <c r="AD349" s="19" t="str">
        <f t="shared" si="75"/>
        <v>·</v>
      </c>
      <c r="AE349" s="19" t="str">
        <f t="shared" si="76"/>
        <v>·</v>
      </c>
      <c r="AF349" s="20"/>
      <c r="AG349" s="19" t="str">
        <f t="shared" si="58"/>
        <v>·</v>
      </c>
      <c r="AH349" s="19" t="str">
        <f t="shared" si="77"/>
        <v>·</v>
      </c>
      <c r="AI349" s="21"/>
      <c r="AJ349" s="22"/>
      <c r="AK349" s="22"/>
      <c r="AL349" s="23"/>
      <c r="AM349" s="22"/>
      <c r="AN349" s="24"/>
      <c r="AO349" s="23"/>
      <c r="AP349" s="25"/>
      <c r="AQ349" s="25"/>
      <c r="AR349" s="25"/>
      <c r="AS349" s="24"/>
      <c r="AT349" s="26"/>
      <c r="AU349" s="26"/>
      <c r="AW349" s="27" t="e">
        <f t="shared" si="78"/>
        <v>#DIV/0!</v>
      </c>
      <c r="AX349" s="27"/>
      <c r="AZ349" s="28"/>
      <c r="BA349" s="29"/>
      <c r="BB349" s="29"/>
      <c r="BC349" s="29"/>
      <c r="BD349" s="29"/>
      <c r="BE349" s="28"/>
      <c r="BG349" s="28"/>
      <c r="BH349" s="29"/>
      <c r="BI349" s="29"/>
      <c r="BJ349" s="29"/>
      <c r="BK349" s="29"/>
      <c r="BL349" s="28"/>
    </row>
    <row r="350" spans="1:64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9"/>
      <c r="U350" s="38"/>
      <c r="V350" s="40"/>
      <c r="W350" s="40"/>
      <c r="X350" s="40"/>
      <c r="Y350" s="39"/>
      <c r="Z350" s="41"/>
      <c r="AA350" s="41"/>
      <c r="AC350" s="33" t="str">
        <f t="shared" si="74"/>
        <v>·</v>
      </c>
      <c r="AD350" s="34" t="str">
        <f t="shared" si="75"/>
        <v>·</v>
      </c>
      <c r="AE350" s="34" t="str">
        <f t="shared" si="76"/>
        <v>·</v>
      </c>
      <c r="AF350" s="35"/>
      <c r="AG350" s="34" t="str">
        <f t="shared" si="58"/>
        <v>·</v>
      </c>
      <c r="AH350" s="34" t="str">
        <f t="shared" si="77"/>
        <v>·</v>
      </c>
      <c r="AI350" s="36"/>
      <c r="AJ350" s="37"/>
      <c r="AK350" s="37"/>
      <c r="AL350" s="38"/>
      <c r="AM350" s="37"/>
      <c r="AN350" s="39"/>
      <c r="AO350" s="38"/>
      <c r="AP350" s="40"/>
      <c r="AQ350" s="40"/>
      <c r="AR350" s="40"/>
      <c r="AS350" s="39"/>
      <c r="AT350" s="41"/>
      <c r="AU350" s="41"/>
      <c r="AW350" s="42" t="e">
        <f t="shared" si="78"/>
        <v>#DIV/0!</v>
      </c>
      <c r="AX350" s="42"/>
      <c r="AZ350" s="43"/>
      <c r="BA350" s="44"/>
      <c r="BB350" s="44"/>
      <c r="BC350" s="44"/>
      <c r="BD350" s="44"/>
      <c r="BE350" s="43"/>
      <c r="BG350" s="43"/>
      <c r="BH350" s="44"/>
      <c r="BI350" s="44"/>
      <c r="BJ350" s="44"/>
      <c r="BK350" s="44"/>
      <c r="BL350" s="43"/>
    </row>
    <row r="351" spans="1:64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4"/>
      <c r="U351" s="23"/>
      <c r="V351" s="25"/>
      <c r="W351" s="25"/>
      <c r="X351" s="25"/>
      <c r="Y351" s="24"/>
      <c r="Z351" s="26"/>
      <c r="AA351" s="26"/>
      <c r="AC351" s="18" t="str">
        <f t="shared" si="74"/>
        <v>·</v>
      </c>
      <c r="AD351" s="19" t="str">
        <f t="shared" si="75"/>
        <v>·</v>
      </c>
      <c r="AE351" s="19" t="str">
        <f t="shared" si="76"/>
        <v>·</v>
      </c>
      <c r="AF351" s="20"/>
      <c r="AG351" s="19" t="str">
        <f t="shared" si="58"/>
        <v>·</v>
      </c>
      <c r="AH351" s="19" t="str">
        <f t="shared" si="77"/>
        <v>·</v>
      </c>
      <c r="AI351" s="21"/>
      <c r="AJ351" s="22"/>
      <c r="AK351" s="22"/>
      <c r="AL351" s="23"/>
      <c r="AM351" s="22"/>
      <c r="AN351" s="24"/>
      <c r="AO351" s="23"/>
      <c r="AP351" s="25"/>
      <c r="AQ351" s="25"/>
      <c r="AR351" s="25"/>
      <c r="AS351" s="24"/>
      <c r="AT351" s="26"/>
      <c r="AU351" s="26"/>
      <c r="AW351" s="27" t="e">
        <f t="shared" si="78"/>
        <v>#DIV/0!</v>
      </c>
      <c r="AX351" s="27"/>
      <c r="AZ351" s="28"/>
      <c r="BA351" s="29"/>
      <c r="BB351" s="29"/>
      <c r="BC351" s="29"/>
      <c r="BD351" s="29"/>
      <c r="BE351" s="28"/>
      <c r="BG351" s="28"/>
      <c r="BH351" s="29"/>
      <c r="BI351" s="29"/>
      <c r="BJ351" s="29"/>
      <c r="BK351" s="29"/>
      <c r="BL351" s="28"/>
    </row>
    <row r="352" spans="1:64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4"/>
      <c r="U352" s="53"/>
      <c r="V352" s="55"/>
      <c r="W352" s="55"/>
      <c r="X352" s="55"/>
      <c r="Y352" s="54"/>
      <c r="Z352" s="56"/>
      <c r="AA352" s="56"/>
      <c r="AC352" s="48" t="str">
        <f t="shared" si="74"/>
        <v>·</v>
      </c>
      <c r="AD352" s="49" t="str">
        <f t="shared" si="75"/>
        <v>·</v>
      </c>
      <c r="AE352" s="49" t="str">
        <f t="shared" si="76"/>
        <v>·</v>
      </c>
      <c r="AF352" s="50"/>
      <c r="AG352" s="49" t="str">
        <f t="shared" si="58"/>
        <v>·</v>
      </c>
      <c r="AH352" s="49" t="str">
        <f t="shared" si="77"/>
        <v>·</v>
      </c>
      <c r="AI352" s="51"/>
      <c r="AJ352" s="52"/>
      <c r="AK352" s="52"/>
      <c r="AL352" s="53"/>
      <c r="AM352" s="52"/>
      <c r="AN352" s="54"/>
      <c r="AO352" s="53"/>
      <c r="AP352" s="55"/>
      <c r="AQ352" s="55"/>
      <c r="AR352" s="55"/>
      <c r="AS352" s="54"/>
      <c r="AT352" s="56"/>
      <c r="AU352" s="56"/>
      <c r="AW352" s="57" t="e">
        <f t="shared" si="78"/>
        <v>#DIV/0!</v>
      </c>
      <c r="AX352" s="57"/>
      <c r="AZ352" s="58"/>
      <c r="BA352" s="59"/>
      <c r="BB352" s="59"/>
      <c r="BC352" s="59"/>
      <c r="BD352" s="59"/>
      <c r="BE352" s="58"/>
      <c r="BG352" s="58"/>
      <c r="BH352" s="59"/>
      <c r="BI352" s="59"/>
      <c r="BJ352" s="59"/>
      <c r="BK352" s="59"/>
      <c r="BL352" s="58"/>
    </row>
    <row r="353" spans="1:64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4"/>
      <c r="U353" s="23"/>
      <c r="V353" s="25"/>
      <c r="W353" s="25"/>
      <c r="X353" s="25"/>
      <c r="Y353" s="24"/>
      <c r="Z353" s="26"/>
      <c r="AA353" s="26"/>
      <c r="AC353" s="18" t="str">
        <f t="shared" si="74"/>
        <v>·</v>
      </c>
      <c r="AD353" s="19" t="str">
        <f t="shared" si="75"/>
        <v>·</v>
      </c>
      <c r="AE353" s="19" t="str">
        <f t="shared" si="76"/>
        <v>·</v>
      </c>
      <c r="AF353" s="20"/>
      <c r="AG353" s="19" t="str">
        <f t="shared" si="58"/>
        <v>·</v>
      </c>
      <c r="AH353" s="19" t="str">
        <f t="shared" si="77"/>
        <v>·</v>
      </c>
      <c r="AI353" s="21"/>
      <c r="AJ353" s="22"/>
      <c r="AK353" s="22"/>
      <c r="AL353" s="23"/>
      <c r="AM353" s="22"/>
      <c r="AN353" s="24"/>
      <c r="AO353" s="23"/>
      <c r="AP353" s="25"/>
      <c r="AQ353" s="25"/>
      <c r="AR353" s="25"/>
      <c r="AS353" s="24"/>
      <c r="AT353" s="26"/>
      <c r="AU353" s="26"/>
      <c r="AW353" s="27" t="e">
        <f t="shared" si="78"/>
        <v>#DIV/0!</v>
      </c>
      <c r="AX353" s="27" t="e">
        <f t="array" ref="AX353">AVERAGE(AK353:AK358/AJ353:AJ358) - AVERAGE(Q353:Q358/P353:P358)</f>
        <v>#DIV/0!</v>
      </c>
      <c r="AZ353" s="28" t="str">
        <f>IF( OR(ISBLANK(Q353:Q358),ISBLANK(AK353:AK358), ISBLANK(T353:T358),ISBLANK(AN353:AN358)), "·", bdRateExtend( Q353:Q358,T353:T358, AK353:AK358,AN353:AN358))</f>
        <v>·</v>
      </c>
      <c r="BA353" s="29"/>
      <c r="BB353" s="29"/>
      <c r="BC353" s="29"/>
      <c r="BD353" s="29"/>
      <c r="BE353" s="28" t="str">
        <f>IF( OR(ISBLANK(S353:S358),ISBLANK(AM353:AM358), ISBLANK(Y353:Y358),ISBLANK(AS353:AS358)), "·", bdRateExtend( S353:S358,Y353:Y358, AM353:AM358,AS353:AS358))</f>
        <v>·</v>
      </c>
      <c r="BG353" s="28" t="str">
        <f>IF( OR(ISBLANK(P353:P358),ISBLANK(AJ353:AJ358), ISBLANK(T353:T358),ISBLANK(AN353:AN358)), "·", bdRateExtend( P353:P358,T353:T358, AJ353:AJ358,AN353:AN358))</f>
        <v>·</v>
      </c>
      <c r="BH353" s="29"/>
      <c r="BI353" s="29"/>
      <c r="BJ353" s="29"/>
      <c r="BK353" s="29"/>
      <c r="BL353" s="28" t="str">
        <f>IF( OR(ISBLANK(P353:P358),ISBLANK(AJ353:AJ358), ISBLANK(Y353:Y358),ISBLANK(AS353:AS358)), "·", bdRateExtend( P353:P358,Y353:Y358, AJ353:AJ358,AS353:AS358))</f>
        <v>·</v>
      </c>
    </row>
    <row r="354" spans="1:64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9"/>
      <c r="U354" s="38"/>
      <c r="V354" s="40"/>
      <c r="W354" s="40"/>
      <c r="X354" s="40"/>
      <c r="Y354" s="39"/>
      <c r="Z354" s="41"/>
      <c r="AA354" s="41"/>
      <c r="AC354" s="33" t="str">
        <f t="shared" si="74"/>
        <v>·</v>
      </c>
      <c r="AD354" s="34" t="str">
        <f t="shared" si="75"/>
        <v>·</v>
      </c>
      <c r="AE354" s="34" t="str">
        <f t="shared" si="76"/>
        <v>·</v>
      </c>
      <c r="AF354" s="35"/>
      <c r="AG354" s="34" t="str">
        <f t="shared" si="58"/>
        <v>·</v>
      </c>
      <c r="AH354" s="34" t="str">
        <f t="shared" si="77"/>
        <v>·</v>
      </c>
      <c r="AI354" s="36"/>
      <c r="AJ354" s="37"/>
      <c r="AK354" s="37"/>
      <c r="AL354" s="38"/>
      <c r="AM354" s="37"/>
      <c r="AN354" s="39"/>
      <c r="AO354" s="38"/>
      <c r="AP354" s="40"/>
      <c r="AQ354" s="40"/>
      <c r="AR354" s="40"/>
      <c r="AS354" s="39"/>
      <c r="AT354" s="41"/>
      <c r="AU354" s="41"/>
      <c r="AW354" s="42" t="e">
        <f t="shared" si="78"/>
        <v>#DIV/0!</v>
      </c>
      <c r="AX354" s="42"/>
      <c r="AZ354" s="43"/>
      <c r="BA354" s="44"/>
      <c r="BB354" s="44"/>
      <c r="BC354" s="44"/>
      <c r="BD354" s="44"/>
      <c r="BE354" s="43"/>
      <c r="BG354" s="43"/>
      <c r="BH354" s="44"/>
      <c r="BI354" s="44"/>
      <c r="BJ354" s="44"/>
      <c r="BK354" s="44"/>
      <c r="BL354" s="43"/>
    </row>
    <row r="355" spans="1:64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4"/>
      <c r="U355" s="23"/>
      <c r="V355" s="25"/>
      <c r="W355" s="25"/>
      <c r="X355" s="25"/>
      <c r="Y355" s="24"/>
      <c r="Z355" s="26"/>
      <c r="AA355" s="26"/>
      <c r="AC355" s="18" t="str">
        <f t="shared" si="74"/>
        <v>·</v>
      </c>
      <c r="AD355" s="19" t="str">
        <f t="shared" si="75"/>
        <v>·</v>
      </c>
      <c r="AE355" s="19" t="str">
        <f t="shared" si="76"/>
        <v>·</v>
      </c>
      <c r="AF355" s="20"/>
      <c r="AG355" s="19" t="str">
        <f t="shared" si="58"/>
        <v>·</v>
      </c>
      <c r="AH355" s="19" t="str">
        <f t="shared" si="77"/>
        <v>·</v>
      </c>
      <c r="AI355" s="21"/>
      <c r="AJ355" s="22"/>
      <c r="AK355" s="22"/>
      <c r="AL355" s="23"/>
      <c r="AM355" s="22"/>
      <c r="AN355" s="24"/>
      <c r="AO355" s="23"/>
      <c r="AP355" s="25"/>
      <c r="AQ355" s="25"/>
      <c r="AR355" s="25"/>
      <c r="AS355" s="24"/>
      <c r="AT355" s="26"/>
      <c r="AU355" s="26"/>
      <c r="AW355" s="27" t="e">
        <f t="shared" si="78"/>
        <v>#DIV/0!</v>
      </c>
      <c r="AX355" s="27"/>
      <c r="AZ355" s="28"/>
      <c r="BA355" s="29"/>
      <c r="BB355" s="29"/>
      <c r="BC355" s="29"/>
      <c r="BD355" s="29"/>
      <c r="BE355" s="28"/>
      <c r="BG355" s="28"/>
      <c r="BH355" s="29"/>
      <c r="BI355" s="29"/>
      <c r="BJ355" s="29"/>
      <c r="BK355" s="29"/>
      <c r="BL355" s="28"/>
    </row>
    <row r="356" spans="1:64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9"/>
      <c r="U356" s="38"/>
      <c r="V356" s="40"/>
      <c r="W356" s="40"/>
      <c r="X356" s="40"/>
      <c r="Y356" s="39"/>
      <c r="Z356" s="41"/>
      <c r="AA356" s="41"/>
      <c r="AC356" s="33" t="str">
        <f t="shared" si="74"/>
        <v>·</v>
      </c>
      <c r="AD356" s="34" t="str">
        <f t="shared" si="75"/>
        <v>·</v>
      </c>
      <c r="AE356" s="34" t="str">
        <f t="shared" si="76"/>
        <v>·</v>
      </c>
      <c r="AF356" s="35"/>
      <c r="AG356" s="34" t="str">
        <f t="shared" si="58"/>
        <v>·</v>
      </c>
      <c r="AH356" s="34" t="str">
        <f t="shared" si="77"/>
        <v>·</v>
      </c>
      <c r="AI356" s="36"/>
      <c r="AJ356" s="37"/>
      <c r="AK356" s="37"/>
      <c r="AL356" s="38"/>
      <c r="AM356" s="37"/>
      <c r="AN356" s="39"/>
      <c r="AO356" s="38"/>
      <c r="AP356" s="40"/>
      <c r="AQ356" s="40"/>
      <c r="AR356" s="40"/>
      <c r="AS356" s="39"/>
      <c r="AT356" s="41"/>
      <c r="AU356" s="41"/>
      <c r="AW356" s="42" t="e">
        <f t="shared" si="78"/>
        <v>#DIV/0!</v>
      </c>
      <c r="AX356" s="42"/>
      <c r="AZ356" s="43"/>
      <c r="BA356" s="44"/>
      <c r="BB356" s="44"/>
      <c r="BC356" s="44"/>
      <c r="BD356" s="44"/>
      <c r="BE356" s="43"/>
      <c r="BG356" s="43"/>
      <c r="BH356" s="44"/>
      <c r="BI356" s="44"/>
      <c r="BJ356" s="44"/>
      <c r="BK356" s="44"/>
      <c r="BL356" s="43"/>
    </row>
    <row r="357" spans="1:64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4"/>
      <c r="U357" s="23"/>
      <c r="V357" s="25"/>
      <c r="W357" s="25"/>
      <c r="X357" s="25"/>
      <c r="Y357" s="24"/>
      <c r="Z357" s="26"/>
      <c r="AA357" s="26"/>
      <c r="AC357" s="18" t="str">
        <f t="shared" si="74"/>
        <v>·</v>
      </c>
      <c r="AD357" s="19" t="str">
        <f t="shared" si="75"/>
        <v>·</v>
      </c>
      <c r="AE357" s="19" t="str">
        <f t="shared" si="76"/>
        <v>·</v>
      </c>
      <c r="AF357" s="20"/>
      <c r="AG357" s="19" t="str">
        <f t="shared" si="58"/>
        <v>·</v>
      </c>
      <c r="AH357" s="19" t="str">
        <f t="shared" si="77"/>
        <v>·</v>
      </c>
      <c r="AI357" s="21"/>
      <c r="AJ357" s="22"/>
      <c r="AK357" s="22"/>
      <c r="AL357" s="23"/>
      <c r="AM357" s="22"/>
      <c r="AN357" s="24"/>
      <c r="AO357" s="23"/>
      <c r="AP357" s="25"/>
      <c r="AQ357" s="25"/>
      <c r="AR357" s="25"/>
      <c r="AS357" s="24"/>
      <c r="AT357" s="26"/>
      <c r="AU357" s="26"/>
      <c r="AW357" s="27" t="e">
        <f t="shared" si="78"/>
        <v>#DIV/0!</v>
      </c>
      <c r="AX357" s="27"/>
      <c r="AZ357" s="28"/>
      <c r="BA357" s="29"/>
      <c r="BB357" s="29"/>
      <c r="BC357" s="29"/>
      <c r="BD357" s="29"/>
      <c r="BE357" s="28"/>
      <c r="BG357" s="28"/>
      <c r="BH357" s="29"/>
      <c r="BI357" s="29"/>
      <c r="BJ357" s="29"/>
      <c r="BK357" s="29"/>
      <c r="BL357" s="28"/>
    </row>
    <row r="358" spans="1:64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4"/>
      <c r="U358" s="53"/>
      <c r="V358" s="55"/>
      <c r="W358" s="55"/>
      <c r="X358" s="55"/>
      <c r="Y358" s="54"/>
      <c r="Z358" s="56"/>
      <c r="AA358" s="56"/>
      <c r="AC358" s="48" t="str">
        <f t="shared" si="74"/>
        <v>·</v>
      </c>
      <c r="AD358" s="49" t="str">
        <f t="shared" si="75"/>
        <v>·</v>
      </c>
      <c r="AE358" s="49" t="str">
        <f t="shared" si="76"/>
        <v>·</v>
      </c>
      <c r="AF358" s="50"/>
      <c r="AG358" s="49" t="str">
        <f t="shared" si="58"/>
        <v>·</v>
      </c>
      <c r="AH358" s="49" t="str">
        <f t="shared" si="77"/>
        <v>·</v>
      </c>
      <c r="AI358" s="51"/>
      <c r="AJ358" s="52"/>
      <c r="AK358" s="52"/>
      <c r="AL358" s="53"/>
      <c r="AM358" s="52"/>
      <c r="AN358" s="54"/>
      <c r="AO358" s="53"/>
      <c r="AP358" s="55"/>
      <c r="AQ358" s="55"/>
      <c r="AR358" s="55"/>
      <c r="AS358" s="54"/>
      <c r="AT358" s="56"/>
      <c r="AU358" s="56"/>
      <c r="AW358" s="57" t="e">
        <f t="shared" si="78"/>
        <v>#DIV/0!</v>
      </c>
      <c r="AX358" s="57"/>
      <c r="AZ358" s="58"/>
      <c r="BA358" s="59"/>
      <c r="BB358" s="59"/>
      <c r="BC358" s="59"/>
      <c r="BD358" s="59"/>
      <c r="BE358" s="58"/>
      <c r="BG358" s="58"/>
      <c r="BH358" s="59"/>
      <c r="BI358" s="59"/>
      <c r="BJ358" s="59"/>
      <c r="BK358" s="59"/>
      <c r="BL358" s="58"/>
    </row>
    <row r="359" spans="1:64" x14ac:dyDescent="0.15">
      <c r="B359" s="60" t="s">
        <v>402</v>
      </c>
      <c r="J359" s="61">
        <f>AVERAGE(J5:J58)</f>
        <v>0.45453854142856859</v>
      </c>
      <c r="K359" s="61">
        <f>AVERAGE(K5:K58)</f>
        <v>8.2526449722313641E-2</v>
      </c>
      <c r="L359" s="61">
        <f>AVERAGE(L5:L58)</f>
        <v>0.37163263049976564</v>
      </c>
      <c r="M359" s="62"/>
      <c r="AD359" s="61">
        <f>AVERAGE(AD5:AD58)</f>
        <v>0.45462773575611554</v>
      </c>
      <c r="AE359" s="61">
        <f>AVERAGE(AE5:AE58)</f>
        <v>8.6104797010164616E-2</v>
      </c>
      <c r="AF359" s="61">
        <f>AVERAGE(AF5:AF58)</f>
        <v>0.37163263049976564</v>
      </c>
      <c r="AG359" s="62"/>
      <c r="AX359" s="7" t="e">
        <f>AVERAGE(AX5:AX58)</f>
        <v>#DIV/0!</v>
      </c>
      <c r="AZ359" s="94">
        <f>AVERAGE(AZ5:AZ58)</f>
        <v>9.3238846618625259E-3</v>
      </c>
      <c r="BA359" s="94">
        <f>AVERAGE(BA5:BA58)</f>
        <v>9.5619404152584367E-3</v>
      </c>
      <c r="BB359" s="3">
        <f>AVERAGE(BB5:BB58)</f>
        <v>0</v>
      </c>
      <c r="BC359" s="3">
        <f>AVERAGE(BC5:BC58)</f>
        <v>0</v>
      </c>
      <c r="BD359" s="3">
        <f>AVERAGE(BD5:BD58)</f>
        <v>0</v>
      </c>
      <c r="BE359" s="4"/>
      <c r="BG359" s="3">
        <f>AVERAGE(BG5:BG58)</f>
        <v>1.9374379333636504E-5</v>
      </c>
      <c r="BH359" s="3">
        <f>AVERAGE(BH5:BH58)</f>
        <v>8.0974311522282374E-6</v>
      </c>
      <c r="BI359" s="3">
        <f>AVERAGE(BI5:BI58)</f>
        <v>6.4415601117522809E-5</v>
      </c>
      <c r="BJ359" s="3">
        <f>AVERAGE(BJ5:BJ58)</f>
        <v>9.8739448974735947E-5</v>
      </c>
      <c r="BK359" s="3">
        <f>AVERAGE(BK5:BK58)</f>
        <v>5.7601690865759382E-5</v>
      </c>
      <c r="BL359" s="4"/>
    </row>
    <row r="360" spans="1:64" x14ac:dyDescent="0.15">
      <c r="B360" s="60" t="s">
        <v>403</v>
      </c>
      <c r="J360" s="61">
        <f>AVERAGE(J59:J130)</f>
        <v>0.39622743520027232</v>
      </c>
      <c r="K360" s="61">
        <f>AVERAGE(K59:K130)</f>
        <v>0.10224853892667213</v>
      </c>
      <c r="L360" s="61">
        <f>AVERAGE(L59:L130)</f>
        <v>0.29380140447085079</v>
      </c>
      <c r="M360" s="62"/>
      <c r="AD360" s="61">
        <f>AVERAGE(AD59:AD130)</f>
        <v>0.39631752404487747</v>
      </c>
      <c r="AE360" s="61">
        <f>AVERAGE(AE59:AE130)</f>
        <v>0.10564697333188704</v>
      </c>
      <c r="AF360" s="61">
        <f>AVERAGE(AF59:AF130)</f>
        <v>0.29380140447085079</v>
      </c>
      <c r="AG360" s="62"/>
      <c r="AX360" s="7" t="e">
        <f>AVERAGE(AX59:AX130)</f>
        <v>#DIV/0!</v>
      </c>
      <c r="AZ360" s="94">
        <f>AVERAGE(AZ59:AZ130)</f>
        <v>4.1609656069317158E-3</v>
      </c>
      <c r="BA360" s="94">
        <f>AVERAGE(BA59:BA130)</f>
        <v>4.702272996079661E-3</v>
      </c>
      <c r="BB360" s="3">
        <f>AVERAGE(BB59:BB130)</f>
        <v>0</v>
      </c>
      <c r="BC360" s="3">
        <f>AVERAGE(BC59:BC130)</f>
        <v>0</v>
      </c>
      <c r="BD360" s="3">
        <f>AVERAGE(BD59:BD130)</f>
        <v>0</v>
      </c>
      <c r="BE360" s="4"/>
      <c r="BG360" s="3">
        <f>AVERAGE(BG59:BG130)</f>
        <v>1.68792826930488E-4</v>
      </c>
      <c r="BH360" s="3">
        <f>AVERAGE(BH59:BH130)</f>
        <v>1.9349226157881297E-4</v>
      </c>
      <c r="BI360" s="3">
        <f>AVERAGE(BI59:BI130)</f>
        <v>2.2927501024344599E-4</v>
      </c>
      <c r="BJ360" s="3">
        <f>AVERAGE(BJ59:BJ130)</f>
        <v>2.3099835081979991E-4</v>
      </c>
      <c r="BK360" s="3">
        <f>AVERAGE(BK59:BK130)</f>
        <v>2.1780546807992351E-4</v>
      </c>
      <c r="BL360" s="4"/>
    </row>
    <row r="361" spans="1:64" x14ac:dyDescent="0.15">
      <c r="B361" s="60" t="s">
        <v>404</v>
      </c>
      <c r="J361" s="61">
        <f>AVERAGE(J131:J184)</f>
        <v>0.62259897573530543</v>
      </c>
      <c r="K361" s="61">
        <f>AVERAGE(K131:K184)</f>
        <v>9.4619088462219447E-2</v>
      </c>
      <c r="L361" s="61">
        <f>AVERAGE(L131:L184)</f>
        <v>0.52833800380055451</v>
      </c>
      <c r="M361" s="62"/>
      <c r="AD361" s="61">
        <f>AVERAGE(AD131:AD184)</f>
        <v>0.62268920842297615</v>
      </c>
      <c r="AE361" s="61">
        <f>AVERAGE(AE131:AE184)</f>
        <v>9.6295502231807495E-2</v>
      </c>
      <c r="AF361" s="61">
        <f>AVERAGE(AF131:AF184)</f>
        <v>0.52833800380055451</v>
      </c>
      <c r="AG361" s="62"/>
      <c r="AX361" s="7" t="e">
        <f>AVERAGE(AX131:AX184)</f>
        <v>#DIV/0!</v>
      </c>
      <c r="AZ361" s="94">
        <f>AVERAGE(AZ131:AZ184)</f>
        <v>1.0992883346273574E-3</v>
      </c>
      <c r="BA361" s="94">
        <f>AVERAGE(BA131:BA184)</f>
        <v>1.4988171974864943E-3</v>
      </c>
      <c r="BB361" s="3">
        <f>AVERAGE(BB131:BB184)</f>
        <v>0</v>
      </c>
      <c r="BC361" s="3">
        <f>AVERAGE(BC131:BC184)</f>
        <v>0</v>
      </c>
      <c r="BD361" s="3">
        <f>AVERAGE(BD131:BD184)</f>
        <v>0</v>
      </c>
      <c r="BE361" s="4"/>
      <c r="BG361" s="3">
        <f>AVERAGE(BG131:BG184)</f>
        <v>1.8619828978271179E-4</v>
      </c>
      <c r="BH361" s="3">
        <f>AVERAGE(BH131:BH184)</f>
        <v>1.9134158090470009E-4</v>
      </c>
      <c r="BI361" s="3">
        <f>AVERAGE(BI131:BI184)</f>
        <v>1.978729325231083E-4</v>
      </c>
      <c r="BJ361" s="3">
        <f>AVERAGE(BJ131:BJ184)</f>
        <v>1.891474034344408E-4</v>
      </c>
      <c r="BK361" s="3">
        <f>AVERAGE(BK131:BK184)</f>
        <v>1.8904265665415428E-4</v>
      </c>
      <c r="BL361" s="4"/>
    </row>
    <row r="362" spans="1:64" x14ac:dyDescent="0.15">
      <c r="B362" s="60" t="s">
        <v>405</v>
      </c>
      <c r="J362" s="61">
        <f>AVERAGE(J185:J280)</f>
        <v>0.54955098227976673</v>
      </c>
      <c r="K362" s="61">
        <f>AVERAGE(K185:K280)</f>
        <v>9.9711072103895543E-2</v>
      </c>
      <c r="L362" s="61">
        <f>AVERAGE(L185:L280)</f>
        <v>0.4499764001230645</v>
      </c>
      <c r="M362" s="62"/>
      <c r="AD362" s="61">
        <f>AVERAGE(AD185:AD280)</f>
        <v>0.54963310650979824</v>
      </c>
      <c r="AE362" s="61">
        <f>AVERAGE(AE185:AE280)</f>
        <v>9.9050534415790384E-2</v>
      </c>
      <c r="AF362" s="61">
        <f>AVERAGE(AF185:AF280)</f>
        <v>0.4499764001230645</v>
      </c>
      <c r="AG362" s="62"/>
      <c r="AX362" s="7" t="e">
        <f>AVERAGE(AX185:AX280)</f>
        <v>#DIV/0!</v>
      </c>
      <c r="AZ362" s="94">
        <f>AVERAGE(AZ185:AZ280)</f>
        <v>2.2858332174343354E-3</v>
      </c>
      <c r="BA362" s="94">
        <f>AVERAGE(BA185:BA280)</f>
        <v>2.4429309014127737E-3</v>
      </c>
      <c r="BB362" s="3">
        <f>AVERAGE(BB185:BB280)</f>
        <v>0</v>
      </c>
      <c r="BC362" s="3">
        <f>AVERAGE(BC185:BC280)</f>
        <v>0</v>
      </c>
      <c r="BD362" s="3">
        <f>AVERAGE(BD185:BD280)</f>
        <v>0</v>
      </c>
      <c r="BE362" s="4"/>
      <c r="BG362" s="3">
        <f>AVERAGE(BG185:BG280)</f>
        <v>2.2910747547433968E-4</v>
      </c>
      <c r="BH362" s="3">
        <f>AVERAGE(BH185:BH280)</f>
        <v>2.329732316519173E-4</v>
      </c>
      <c r="BI362" s="3">
        <f>AVERAGE(BI185:BI280)</f>
        <v>2.2008133531087326E-4</v>
      </c>
      <c r="BJ362" s="3">
        <f>AVERAGE(BJ185:BJ280)</f>
        <v>2.1492236767986506E-4</v>
      </c>
      <c r="BK362" s="3">
        <f>AVERAGE(BK185:BK280)</f>
        <v>2.1486873067512458E-4</v>
      </c>
      <c r="BL362" s="4"/>
    </row>
    <row r="363" spans="1:64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D363" s="61" t="e">
        <f>AVERAGE(AD281:AD298)</f>
        <v>#DIV/0!</v>
      </c>
      <c r="AE363" s="61" t="e">
        <f>AVERAGE(AE281:AE298)</f>
        <v>#DIV/0!</v>
      </c>
      <c r="AF363" s="61" t="e">
        <f>AVERAGE(AF281:AF298)</f>
        <v>#DIV/0!</v>
      </c>
      <c r="AG363" s="61" t="e">
        <f>AVERAGE(AG281:AG298)</f>
        <v>#DIV/0!</v>
      </c>
      <c r="AX363" s="7" t="e">
        <f>AVERAGE(AX281:AX298)</f>
        <v>#DIV/0!</v>
      </c>
      <c r="AZ363" s="3" t="e">
        <f t="shared" ref="AZ363:BE363" si="79">AVERAGE(AZ281:AZ298)</f>
        <v>#DIV/0!</v>
      </c>
      <c r="BA363" s="3" t="e">
        <f t="shared" si="79"/>
        <v>#DIV/0!</v>
      </c>
      <c r="BB363" s="3" t="e">
        <f t="shared" si="79"/>
        <v>#DIV/0!</v>
      </c>
      <c r="BC363" s="3" t="e">
        <f t="shared" si="79"/>
        <v>#DIV/0!</v>
      </c>
      <c r="BD363" s="3" t="e">
        <f t="shared" si="79"/>
        <v>#DIV/0!</v>
      </c>
      <c r="BE363" s="3" t="e">
        <f t="shared" si="79"/>
        <v>#DIV/0!</v>
      </c>
      <c r="BG363" s="3" t="e">
        <f t="shared" ref="BG363:BL363" si="80">AVERAGE(BG281:BG298)</f>
        <v>#DIV/0!</v>
      </c>
      <c r="BH363" s="3" t="e">
        <f t="shared" si="80"/>
        <v>#DIV/0!</v>
      </c>
      <c r="BI363" s="3" t="e">
        <f t="shared" si="80"/>
        <v>#DIV/0!</v>
      </c>
      <c r="BJ363" s="3" t="e">
        <f t="shared" si="80"/>
        <v>#DIV/0!</v>
      </c>
      <c r="BK363" s="3" t="e">
        <f t="shared" si="80"/>
        <v>#DIV/0!</v>
      </c>
      <c r="BL363" s="3" t="e">
        <f t="shared" si="80"/>
        <v>#DIV/0!</v>
      </c>
    </row>
    <row r="364" spans="1:64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D364" s="61" t="e">
        <f>AVERAGE(AD299:AD340)</f>
        <v>#DIV/0!</v>
      </c>
      <c r="AE364" s="61" t="e">
        <f>AVERAGE(AE299:AE340)</f>
        <v>#DIV/0!</v>
      </c>
      <c r="AF364" s="62"/>
      <c r="AG364" s="61" t="e">
        <f>AVERAGE(AG299:AG340)</f>
        <v>#DIV/0!</v>
      </c>
      <c r="AX364" s="61" t="e">
        <f>AVERAGE(AX299:AX340)</f>
        <v>#DIV/0!</v>
      </c>
      <c r="AZ364" s="61" t="e">
        <f>AVERAGE(AZ299:AZ340)</f>
        <v>#DIV/0!</v>
      </c>
      <c r="BA364" s="61" t="e">
        <f>AVERAGE(BA299:BA340)</f>
        <v>#DIV/0!</v>
      </c>
      <c r="BB364" s="4"/>
      <c r="BC364" s="4"/>
      <c r="BD364" s="4"/>
      <c r="BE364" s="61" t="e">
        <f>AVERAGE(BE299:BE340)</f>
        <v>#DIV/0!</v>
      </c>
      <c r="BG364" s="61" t="e">
        <f>AVERAGE(BG299:BG340)</f>
        <v>#DIV/0!</v>
      </c>
      <c r="BH364" s="61" t="e">
        <f>AVERAGE(BH299:BH340)</f>
        <v>#DIV/0!</v>
      </c>
      <c r="BI364" s="4"/>
      <c r="BJ364" s="4"/>
      <c r="BK364" s="4"/>
      <c r="BL364" s="61" t="e">
        <f>AVERAGE(BL299:BL340)</f>
        <v>#DIV/0!</v>
      </c>
    </row>
    <row r="365" spans="1:64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D365" s="61" t="e">
        <f>AVERAGE(AD341:AD358)</f>
        <v>#DIV/0!</v>
      </c>
      <c r="AE365" s="61" t="e">
        <f>AVERAGE(AE341:AE358)</f>
        <v>#DIV/0!</v>
      </c>
      <c r="AF365" s="62"/>
      <c r="AG365" s="61" t="e">
        <f>AVERAGE(AG341:AG358)</f>
        <v>#DIV/0!</v>
      </c>
      <c r="AX365" s="61" t="e">
        <f>AVERAGE(AX341:AX358)</f>
        <v>#DIV/0!</v>
      </c>
      <c r="AZ365" s="61" t="e">
        <f>AVERAGE(AZ341:AZ358)</f>
        <v>#DIV/0!</v>
      </c>
      <c r="BA365" s="4"/>
      <c r="BB365" s="4"/>
      <c r="BC365" s="4"/>
      <c r="BD365" s="4"/>
      <c r="BE365" s="61" t="e">
        <f>AVERAGE(BE341:BE358)</f>
        <v>#DIV/0!</v>
      </c>
      <c r="BG365" s="61" t="e">
        <f>AVERAGE(BG341:BG358)</f>
        <v>#DIV/0!</v>
      </c>
      <c r="BH365" s="4"/>
      <c r="BI365" s="4"/>
      <c r="BJ365" s="4"/>
      <c r="BK365" s="4"/>
      <c r="BL365" s="61" t="e">
        <f>AVERAGE(BL341:BL358)</f>
        <v>#DIV/0!</v>
      </c>
    </row>
    <row r="366" spans="1:64" x14ac:dyDescent="0.15">
      <c r="B366" s="60" t="s">
        <v>407</v>
      </c>
      <c r="J366" s="61">
        <f>AVERAGE(J5:J358)</f>
        <v>0.50392686370266038</v>
      </c>
      <c r="K366" s="61">
        <f>AVERAGE(K5:K358)</f>
        <v>9.5740287835012636E-2</v>
      </c>
      <c r="L366" s="61">
        <f>AVERAGE(L5:L298)</f>
        <v>0.4081755613361292</v>
      </c>
      <c r="M366" s="61" t="e">
        <f>AVERAGE(M281:M358)</f>
        <v>#DIV/0!</v>
      </c>
      <c r="AD366" s="61">
        <f>AVERAGE(AD5:AD358)</f>
        <v>0.50401412055418504</v>
      </c>
      <c r="AE366" s="61">
        <f>AVERAGE(AE5:AE358)</f>
        <v>9.7508804378994313E-2</v>
      </c>
      <c r="AF366" s="61">
        <f>AVERAGE(AF5:AF298)</f>
        <v>0.4081755613361292</v>
      </c>
      <c r="AG366" s="61" t="e">
        <f>AVERAGE(AG281:AG358)</f>
        <v>#DIV/0!</v>
      </c>
      <c r="AX366" s="7" t="e">
        <f>AVERAGE(AX5:AX358)</f>
        <v>#DIV/0!</v>
      </c>
      <c r="AZ366" s="3">
        <f>AVERAGE(AZ5:AZ358)</f>
        <v>3.9198581680551939E-3</v>
      </c>
      <c r="BA366" s="3">
        <f>AVERAGE(BA5:BA358)</f>
        <v>4.2404562802231451E-3</v>
      </c>
      <c r="BB366" s="3">
        <f>AVERAGE(BB5:BB298)</f>
        <v>0</v>
      </c>
      <c r="BC366" s="3">
        <f>AVERAGE(BC5:BC298)</f>
        <v>0</v>
      </c>
      <c r="BD366" s="3">
        <f>AVERAGE(BD5:BD298)</f>
        <v>0</v>
      </c>
      <c r="BE366" s="3" t="e">
        <f>AVERAGE(BE281:BE358)</f>
        <v>#DIV/0!</v>
      </c>
      <c r="BG366" s="3">
        <f>AVERAGE(BG5:BG358)</f>
        <v>1.6394320766961794E-4</v>
      </c>
      <c r="BH366" s="3">
        <f>AVERAGE(BH5:BH358)</f>
        <v>1.7053108595410407E-4</v>
      </c>
      <c r="BI366" s="3">
        <f>AVERAGE(BI5:BI298)</f>
        <v>1.8767822371002182E-4</v>
      </c>
      <c r="BJ366" s="3">
        <f>AVERAGE(BJ5:BJ298)</f>
        <v>1.9134173400865283E-4</v>
      </c>
      <c r="BK366" s="3">
        <f>AVERAGE(BK5:BK298)</f>
        <v>1.7981227033565865E-4</v>
      </c>
      <c r="BL366" s="3" t="e">
        <f>AVERAGE(BL281:BL358)</f>
        <v>#DIV/0!</v>
      </c>
    </row>
    <row r="367" spans="1:64" hidden="1" outlineLevel="2" x14ac:dyDescent="0.15">
      <c r="A367" s="60" t="s">
        <v>408</v>
      </c>
      <c r="B367" s="60" t="s">
        <v>409</v>
      </c>
      <c r="Z367" s="63">
        <f>SUM(Z5:Z58,Z59:Z130,Z131:Z184,Z185:Z280,Z281:Z298,Z299:Z340,Z341:Z358)</f>
        <v>2536.6310000000003</v>
      </c>
      <c r="AA367" s="63">
        <f>SUM(AA5:AA58,AA59:AA130,AA131:AA184,AA185:AA280,AA281:AA298,AA299:AA340,AA341:AA358)</f>
        <v>1515.8689999999999</v>
      </c>
      <c r="AT367" s="63">
        <f>SUM(AT5:AT58,AT59:AT130,AT131:AT184,AT185:AT280,AT281:AT298,AT299:AT340,AT341:AT358)</f>
        <v>2466.3889999999997</v>
      </c>
      <c r="AU367" s="63">
        <f>SUM(AU5:AU58,AU59:AU130,AU131:AU184,AU185:AU280,AU281:AU298,AU299:AU340,AU341:AU358)</f>
        <v>1465.9059999999995</v>
      </c>
    </row>
    <row r="368" spans="1:64" hidden="1" outlineLevel="2" x14ac:dyDescent="0.15">
      <c r="B368" s="60" t="s">
        <v>410</v>
      </c>
      <c r="AT368" s="7">
        <f>AT367/Z367</f>
        <v>0.9723089404805032</v>
      </c>
      <c r="AU368" s="7">
        <f>AU367/AA367</f>
        <v>0.96704002786520438</v>
      </c>
    </row>
    <row r="369" spans="2:47" hidden="1" outlineLevel="2" x14ac:dyDescent="0.15">
      <c r="B369" s="60" t="s">
        <v>411</v>
      </c>
      <c r="Z369" s="63">
        <f>GEOMEAN(Z5:Z58,Z59:Z130,Z131:Z184,Z185:Z280,Z281:Z298,Z299:Z358,Z341:Z358)</f>
        <v>5.9673992648178009</v>
      </c>
      <c r="AA369" s="63">
        <f>GEOMEAN(AA5:AA58,AA59:AA130,AA131:AA184,AA185:AA280,AA281:AA298,AA299:AA358,AA341:AA358)</f>
        <v>3.9675116072692687</v>
      </c>
      <c r="AT369" s="63">
        <f>GEOMEAN(AT5:AT58,AT59:AT130,AT131:AT184,AT185:AT280,AT281:AT298,AT299:AT358,AT341:AT358)</f>
        <v>5.8173335090270681</v>
      </c>
      <c r="AU369" s="63">
        <f>GEOMEAN(AU5:AU58,AU59:AU130,AU131:AU184,AU185:AU280,AU281:AU298,AU299:AU358,AU341:AU358)</f>
        <v>3.8874644887776628</v>
      </c>
    </row>
    <row r="370" spans="2:47" outlineLevel="2" collapsed="1" x14ac:dyDescent="0.15">
      <c r="B370" s="60" t="s">
        <v>412</v>
      </c>
      <c r="AT370" s="7">
        <f>AT369/Z369</f>
        <v>0.97485240233957859</v>
      </c>
      <c r="AU370" s="7">
        <f>AU369/AA369</f>
        <v>0.97982435178136751</v>
      </c>
    </row>
  </sheetData>
  <mergeCells count="34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AD2:AG2"/>
    <mergeCell ref="AH2:AH3"/>
    <mergeCell ref="AI2:AI3"/>
    <mergeCell ref="O2:O3"/>
    <mergeCell ref="P2:S2"/>
    <mergeCell ref="T2:U2"/>
    <mergeCell ref="V2:Y2"/>
    <mergeCell ref="Z2:Z3"/>
    <mergeCell ref="BI2:BL2"/>
    <mergeCell ref="A1:G1"/>
    <mergeCell ref="I1:AA1"/>
    <mergeCell ref="AC1:AU1"/>
    <mergeCell ref="AW2:AW3"/>
    <mergeCell ref="AX2:AX3"/>
    <mergeCell ref="AZ2:BA2"/>
    <mergeCell ref="BB2:BE2"/>
    <mergeCell ref="BG2:BH2"/>
    <mergeCell ref="AJ2:AM2"/>
    <mergeCell ref="AN2:AO2"/>
    <mergeCell ref="AP2:AS2"/>
    <mergeCell ref="AT2:AT3"/>
    <mergeCell ref="AU2:AU3"/>
    <mergeCell ref="AA2:AA3"/>
    <mergeCell ref="AC2:AC3"/>
  </mergeCells>
  <phoneticPr fontId="2" type="noConversion"/>
  <conditionalFormatting sqref="AZ5:AZ322 AZ341:AZ363 AZ366">
    <cfRule type="cellIs" dxfId="131" priority="55" operator="greaterThanOrEqual">
      <formula>0.03</formula>
    </cfRule>
    <cfRule type="cellIs" dxfId="130" priority="56" operator="lessThanOrEqual">
      <formula>-0.03</formula>
    </cfRule>
  </conditionalFormatting>
  <conditionalFormatting sqref="BA5:BA322 BA359:BA363 BA366">
    <cfRule type="cellIs" dxfId="129" priority="43" operator="greaterThanOrEqual">
      <formula>0.03</formula>
    </cfRule>
    <cfRule type="cellIs" dxfId="128" priority="44" operator="lessThanOrEqual">
      <formula>-0.03</formula>
    </cfRule>
  </conditionalFormatting>
  <conditionalFormatting sqref="BB5:BB322 BB366 BB341:BB363">
    <cfRule type="cellIs" dxfId="127" priority="41" operator="greaterThanOrEqual">
      <formula>0.03</formula>
    </cfRule>
    <cfRule type="cellIs" dxfId="126" priority="42" operator="lessThanOrEqual">
      <formula>-0.03</formula>
    </cfRule>
  </conditionalFormatting>
  <conditionalFormatting sqref="BC5:BC322 BC366 BC341:BC363">
    <cfRule type="cellIs" dxfId="125" priority="47" operator="greaterThanOrEqual">
      <formula>0.03</formula>
    </cfRule>
    <cfRule type="cellIs" dxfId="124" priority="48" operator="lessThanOrEqual">
      <formula>-0.03</formula>
    </cfRule>
  </conditionalFormatting>
  <conditionalFormatting sqref="BD5:BD322 BD366 BD341:BD363">
    <cfRule type="cellIs" dxfId="123" priority="53" operator="greaterThanOrEqual">
      <formula>0.03</formula>
    </cfRule>
    <cfRule type="cellIs" dxfId="122" priority="54" operator="lessThanOrEqual">
      <formula>-0.03</formula>
    </cfRule>
  </conditionalFormatting>
  <conditionalFormatting sqref="BE5:BE322 BE363 BE341:BE358 BE366">
    <cfRule type="cellIs" dxfId="121" priority="39" operator="greaterThanOrEqual">
      <formula>0.03</formula>
    </cfRule>
    <cfRule type="cellIs" dxfId="120" priority="40" operator="lessThanOrEqual">
      <formula>-0.03</formula>
    </cfRule>
  </conditionalFormatting>
  <conditionalFormatting sqref="BG5:BG322 BG341:BG363 BG366">
    <cfRule type="cellIs" dxfId="119" priority="51" operator="greaterThanOrEqual">
      <formula>0.03</formula>
    </cfRule>
    <cfRule type="cellIs" dxfId="118" priority="52" operator="lessThanOrEqual">
      <formula>-0.03</formula>
    </cfRule>
  </conditionalFormatting>
  <conditionalFormatting sqref="BH5:BH322 BH359:BH363 BH366">
    <cfRule type="cellIs" dxfId="117" priority="57" operator="greaterThanOrEqual">
      <formula>0.03</formula>
    </cfRule>
    <cfRule type="cellIs" dxfId="116" priority="58" operator="lessThanOrEqual">
      <formula>-0.03</formula>
    </cfRule>
  </conditionalFormatting>
  <conditionalFormatting sqref="BI5:BI322 BI366 BI341:BI363">
    <cfRule type="cellIs" dxfId="115" priority="49" operator="greaterThanOrEqual">
      <formula>0.03</formula>
    </cfRule>
    <cfRule type="cellIs" dxfId="114" priority="50" operator="lessThanOrEqual">
      <formula>-0.03</formula>
    </cfRule>
  </conditionalFormatting>
  <conditionalFormatting sqref="BJ5:BJ322 BJ366 BJ341:BJ363">
    <cfRule type="cellIs" dxfId="113" priority="59" operator="greaterThanOrEqual">
      <formula>0.03</formula>
    </cfRule>
    <cfRule type="cellIs" dxfId="112" priority="60" operator="lessThanOrEqual">
      <formula>-0.03</formula>
    </cfRule>
  </conditionalFormatting>
  <conditionalFormatting sqref="BK5:BK322 BK366 BK341:BK363">
    <cfRule type="cellIs" dxfId="111" priority="61" operator="greaterThanOrEqual">
      <formula>0.03</formula>
    </cfRule>
    <cfRule type="cellIs" dxfId="110" priority="62" operator="lessThanOrEqual">
      <formula>-0.03</formula>
    </cfRule>
  </conditionalFormatting>
  <conditionalFormatting sqref="BL5:BL322 BL363 BL341:BL358 BL366">
    <cfRule type="cellIs" dxfId="109" priority="45" operator="greaterThanOrEqual">
      <formula>0.03</formula>
    </cfRule>
    <cfRule type="cellIs" dxfId="108" priority="46" operator="lessThanOrEqual">
      <formula>-0.03</formula>
    </cfRule>
  </conditionalFormatting>
  <conditionalFormatting sqref="AZ323:AZ340">
    <cfRule type="cellIs" dxfId="107" priority="31" operator="greaterThanOrEqual">
      <formula>0.03</formula>
    </cfRule>
    <cfRule type="cellIs" dxfId="106" priority="32" operator="lessThanOrEqual">
      <formula>-0.03</formula>
    </cfRule>
  </conditionalFormatting>
  <conditionalFormatting sqref="BA323:BA340">
    <cfRule type="cellIs" dxfId="105" priority="19" operator="greaterThanOrEqual">
      <formula>0.03</formula>
    </cfRule>
    <cfRule type="cellIs" dxfId="104" priority="20" operator="lessThanOrEqual">
      <formula>-0.03</formula>
    </cfRule>
  </conditionalFormatting>
  <conditionalFormatting sqref="BB323:BB340">
    <cfRule type="cellIs" dxfId="103" priority="17" operator="greaterThanOrEqual">
      <formula>0.03</formula>
    </cfRule>
    <cfRule type="cellIs" dxfId="102" priority="18" operator="lessThanOrEqual">
      <formula>-0.03</formula>
    </cfRule>
  </conditionalFormatting>
  <conditionalFormatting sqref="BC323:BC340">
    <cfRule type="cellIs" dxfId="101" priority="23" operator="greaterThanOrEqual">
      <formula>0.03</formula>
    </cfRule>
    <cfRule type="cellIs" dxfId="100" priority="24" operator="lessThanOrEqual">
      <formula>-0.03</formula>
    </cfRule>
  </conditionalFormatting>
  <conditionalFormatting sqref="BD323:BD340">
    <cfRule type="cellIs" dxfId="99" priority="29" operator="greaterThanOrEqual">
      <formula>0.03</formula>
    </cfRule>
    <cfRule type="cellIs" dxfId="98" priority="30" operator="lessThanOrEqual">
      <formula>-0.03</formula>
    </cfRule>
  </conditionalFormatting>
  <conditionalFormatting sqref="BE323:BE340">
    <cfRule type="cellIs" dxfId="97" priority="15" operator="greaterThanOrEqual">
      <formula>0.03</formula>
    </cfRule>
    <cfRule type="cellIs" dxfId="96" priority="16" operator="lessThanOrEqual">
      <formula>-0.03</formula>
    </cfRule>
  </conditionalFormatting>
  <conditionalFormatting sqref="BG323:BG340">
    <cfRule type="cellIs" dxfId="95" priority="27" operator="greaterThanOrEqual">
      <formula>0.03</formula>
    </cfRule>
    <cfRule type="cellIs" dxfId="94" priority="28" operator="lessThanOrEqual">
      <formula>-0.03</formula>
    </cfRule>
  </conditionalFormatting>
  <conditionalFormatting sqref="BH323:BH340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BI323:BI340">
    <cfRule type="cellIs" dxfId="91" priority="25" operator="greaterThanOrEqual">
      <formula>0.03</formula>
    </cfRule>
    <cfRule type="cellIs" dxfId="90" priority="26" operator="lessThanOrEqual">
      <formula>-0.03</formula>
    </cfRule>
  </conditionalFormatting>
  <conditionalFormatting sqref="BJ323:BJ340">
    <cfRule type="cellIs" dxfId="89" priority="35" operator="greaterThanOrEqual">
      <formula>0.03</formula>
    </cfRule>
    <cfRule type="cellIs" dxfId="88" priority="36" operator="lessThanOrEqual">
      <formula>-0.03</formula>
    </cfRule>
  </conditionalFormatting>
  <conditionalFormatting sqref="BK323:BK340">
    <cfRule type="cellIs" dxfId="87" priority="37" operator="greaterThanOrEqual">
      <formula>0.03</formula>
    </cfRule>
    <cfRule type="cellIs" dxfId="86" priority="38" operator="lessThanOrEqual">
      <formula>-0.03</formula>
    </cfRule>
  </conditionalFormatting>
  <conditionalFormatting sqref="BL323:BL340">
    <cfRule type="cellIs" dxfId="85" priority="21" operator="greaterThanOrEqual">
      <formula>0.03</formula>
    </cfRule>
    <cfRule type="cellIs" dxfId="84" priority="22" operator="lessThanOrEqual">
      <formula>-0.03</formula>
    </cfRule>
  </conditionalFormatting>
  <conditionalFormatting sqref="BH341:BH358 BA341:BA358">
    <cfRule type="cellIs" dxfId="83" priority="1" operator="greaterThanOrEqual">
      <formula>0.03</formula>
    </cfRule>
    <cfRule type="cellIs" dxfId="82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AQ75"/>
  <sheetViews>
    <sheetView zoomScale="85" zoomScaleNormal="85" workbookViewId="0">
      <pane xSplit="2" ySplit="4" topLeftCell="C5" activePane="bottomRight" state="frozen"/>
      <selection activeCell="I2" sqref="G2:I3"/>
      <selection pane="topRight" activeCell="I2" sqref="G2:I3"/>
      <selection pane="bottomLeft" activeCell="I2" sqref="G2:I3"/>
      <selection pane="bottomRight" activeCell="O5" sqref="O5:U63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3" max="4" width="10.625" customWidth="1"/>
    <col min="7" max="7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2" max="22" width="1.625" customWidth="1"/>
    <col min="25" max="27" width="10.625" customWidth="1"/>
    <col min="28" max="28" width="11.625" customWidth="1"/>
    <col min="29" max="29" width="12.625" customWidth="1"/>
    <col min="30" max="30" width="10.625" customWidth="1"/>
    <col min="31" max="34" width="12.625" customWidth="1"/>
    <col min="37" max="37" width="1.625" customWidth="1"/>
    <col min="44" max="44" width="1.625" customWidth="1"/>
  </cols>
  <sheetData>
    <row r="1" spans="1:43" x14ac:dyDescent="0.15">
      <c r="A1" s="105" t="s">
        <v>661</v>
      </c>
      <c r="B1" s="105"/>
      <c r="C1" s="105"/>
      <c r="D1" s="105"/>
      <c r="E1" s="105"/>
      <c r="F1" s="105"/>
      <c r="H1" s="101" t="str">
        <f>Summary!C1</f>
        <v>v20.0-rc1-trisoup-raht+18edges</v>
      </c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W1" s="102" t="str">
        <f>Summary!C2</f>
        <v>v20.0-rc1-trisoup-raht+18edges+flagCtx_test</v>
      </c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</row>
    <row r="2" spans="1:43" ht="30" customHeight="1" x14ac:dyDescent="0.15">
      <c r="A2" s="107" t="s">
        <v>91</v>
      </c>
      <c r="B2" s="106" t="s">
        <v>94</v>
      </c>
      <c r="C2" s="107" t="s">
        <v>100</v>
      </c>
      <c r="D2" s="106" t="s">
        <v>103</v>
      </c>
      <c r="E2" s="107" t="s">
        <v>106</v>
      </c>
      <c r="F2" s="106" t="s">
        <v>109</v>
      </c>
      <c r="H2" s="107" t="s">
        <v>619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7" t="s">
        <v>155</v>
      </c>
      <c r="U2" s="106" t="s">
        <v>158</v>
      </c>
      <c r="W2" s="107" t="s">
        <v>619</v>
      </c>
      <c r="X2" s="106" t="s">
        <v>112</v>
      </c>
      <c r="Y2" s="104" t="s">
        <v>115</v>
      </c>
      <c r="Z2" s="104"/>
      <c r="AA2" s="104"/>
      <c r="AB2" s="104"/>
      <c r="AC2" s="106" t="s">
        <v>128</v>
      </c>
      <c r="AD2" s="107" t="s">
        <v>22</v>
      </c>
      <c r="AE2" s="103" t="s">
        <v>133</v>
      </c>
      <c r="AF2" s="103"/>
      <c r="AG2" s="103"/>
      <c r="AH2" s="103"/>
      <c r="AI2" s="107" t="s">
        <v>155</v>
      </c>
      <c r="AJ2" s="106" t="s">
        <v>158</v>
      </c>
      <c r="AL2" s="104" t="s">
        <v>650</v>
      </c>
      <c r="AM2" s="104"/>
      <c r="AN2" s="104"/>
      <c r="AO2" s="104"/>
      <c r="AP2" s="106" t="s">
        <v>195</v>
      </c>
      <c r="AQ2" s="107" t="s">
        <v>195</v>
      </c>
    </row>
    <row r="3" spans="1:43" ht="27.75" thickBot="1" x14ac:dyDescent="0.2">
      <c r="A3" s="107"/>
      <c r="B3" s="106"/>
      <c r="C3" s="107"/>
      <c r="D3" s="106"/>
      <c r="E3" s="107"/>
      <c r="F3" s="106"/>
      <c r="H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07"/>
      <c r="U3" s="106"/>
      <c r="W3" s="107"/>
      <c r="X3" s="106"/>
      <c r="Y3" s="11" t="s">
        <v>116</v>
      </c>
      <c r="Z3" s="11" t="s">
        <v>119</v>
      </c>
      <c r="AA3" s="11" t="s">
        <v>122</v>
      </c>
      <c r="AB3" s="11" t="s">
        <v>125</v>
      </c>
      <c r="AC3" s="106"/>
      <c r="AD3" s="107"/>
      <c r="AE3" s="12" t="s">
        <v>116</v>
      </c>
      <c r="AF3" s="12" t="s">
        <v>119</v>
      </c>
      <c r="AG3" s="12" t="s">
        <v>138</v>
      </c>
      <c r="AH3" s="12" t="s">
        <v>125</v>
      </c>
      <c r="AI3" s="107"/>
      <c r="AJ3" s="106"/>
      <c r="AL3" s="11" t="s">
        <v>116</v>
      </c>
      <c r="AM3" s="11" t="s">
        <v>119</v>
      </c>
      <c r="AN3" s="11" t="s">
        <v>138</v>
      </c>
      <c r="AO3" s="11" t="s">
        <v>125</v>
      </c>
      <c r="AP3" s="106"/>
      <c r="AQ3" s="107"/>
    </row>
    <row r="4" spans="1:43" ht="147" hidden="1" x14ac:dyDescent="0.15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620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156</v>
      </c>
      <c r="U4" s="14" t="s">
        <v>159</v>
      </c>
      <c r="W4" s="13" t="s">
        <v>635</v>
      </c>
      <c r="X4" s="14" t="s">
        <v>161</v>
      </c>
      <c r="Y4" s="13" t="s">
        <v>163</v>
      </c>
      <c r="Z4" s="13" t="s">
        <v>165</v>
      </c>
      <c r="AA4" s="13" t="s">
        <v>167</v>
      </c>
      <c r="AB4" s="13" t="s">
        <v>169</v>
      </c>
      <c r="AC4" s="14" t="s">
        <v>171</v>
      </c>
      <c r="AD4" s="13" t="s">
        <v>173</v>
      </c>
      <c r="AE4" s="14" t="s">
        <v>175</v>
      </c>
      <c r="AF4" s="14" t="s">
        <v>177</v>
      </c>
      <c r="AG4" s="14" t="s">
        <v>179</v>
      </c>
      <c r="AH4" s="14" t="s">
        <v>181</v>
      </c>
      <c r="AI4" s="13" t="s">
        <v>191</v>
      </c>
      <c r="AJ4" s="14" t="s">
        <v>193</v>
      </c>
      <c r="AL4" s="13" t="s">
        <v>651</v>
      </c>
      <c r="AM4" s="13" t="s">
        <v>653</v>
      </c>
      <c r="AN4" s="13" t="s">
        <v>655</v>
      </c>
      <c r="AO4" s="13" t="s">
        <v>657</v>
      </c>
      <c r="AP4" s="14" t="s">
        <v>196</v>
      </c>
      <c r="AQ4" s="13" t="s">
        <v>198</v>
      </c>
    </row>
    <row r="5" spans="1:43" collapsed="1" x14ac:dyDescent="0.15">
      <c r="A5" s="15" t="s">
        <v>224</v>
      </c>
      <c r="B5" s="15" t="s">
        <v>223</v>
      </c>
      <c r="C5" s="15">
        <v>2925514</v>
      </c>
      <c r="D5" s="17">
        <v>11</v>
      </c>
      <c r="E5" s="16">
        <v>1</v>
      </c>
      <c r="F5" s="16"/>
      <c r="H5" s="27" t="str">
        <f>IF(ISBLANK(P5),"·",P5/(C5*(D5*3+IF(AND(ISNUMBER(R5),R5&gt;0),24,0)+IF(AND(ISNUMBER(S5),S5&gt;0),8,0))))</f>
        <v>·</v>
      </c>
      <c r="I5" s="18" t="str">
        <f t="shared" ref="I5:I36" si="0">IF(OR(ISBLANK(P5),ISBLANK(F5)),"·",P5*F5/E5/1000000)</f>
        <v>·</v>
      </c>
      <c r="J5" s="19" t="str">
        <f t="shared" ref="J5:J36" si="1">IF(ISBLANK(P5),"·",P5/C5)</f>
        <v>·</v>
      </c>
      <c r="K5" s="19" t="str">
        <f t="shared" ref="K5:K36" si="2">IF(Q5="","·",Q5/C5)</f>
        <v>·</v>
      </c>
      <c r="L5" s="19" t="str">
        <f t="shared" ref="L5:L36" si="3">IF(ISBLANK(R5),"·",R5/C5)</f>
        <v>·</v>
      </c>
      <c r="M5" s="20"/>
      <c r="N5" s="19" t="str">
        <f t="shared" ref="N5:N36" si="4">IF(ISBLANK(P5),"·",P5/O5)</f>
        <v>·</v>
      </c>
      <c r="O5" s="21"/>
      <c r="P5" s="22"/>
      <c r="Q5" s="22"/>
      <c r="R5" s="22"/>
      <c r="S5" s="23"/>
      <c r="T5" s="26"/>
      <c r="U5" s="26"/>
      <c r="W5" s="27" t="str">
        <f t="shared" ref="W5:W36" si="5">IF(ISBLANK(AE5),"·",AE5/(C5*(D5*3+IF(AND(ISNUMBER(AG5),AG5&gt;0),24,0)+IF(AND(ISNUMBER(AH5),AH5&gt;0),8,0))))</f>
        <v>·</v>
      </c>
      <c r="X5" s="18" t="str">
        <f t="shared" ref="X5:X36" si="6">IF(OR(ISBLANK(AE5),ISBLANK(F5)),"·",AE5*F5/E5/1000000)</f>
        <v>·</v>
      </c>
      <c r="Y5" s="19" t="str">
        <f t="shared" ref="Y5:Y36" si="7">IF(ISBLANK(AE5),"·",AE5/C5)</f>
        <v>·</v>
      </c>
      <c r="Z5" s="19" t="str">
        <f t="shared" ref="Z5:Z36" si="8">IF(AF5="","·",AF5/C5)</f>
        <v>·</v>
      </c>
      <c r="AA5" s="19" t="str">
        <f t="shared" ref="AA5:AA36" si="9">IF(ISBLANK(AG5),"·",AG5/C5)</f>
        <v>·</v>
      </c>
      <c r="AB5" s="20"/>
      <c r="AC5" s="19" t="str">
        <f t="shared" ref="AC5:AC36" si="10">IF(ISBLANK(AE5),"·",AE5/AD5)</f>
        <v>·</v>
      </c>
      <c r="AD5" s="21"/>
      <c r="AE5" s="22"/>
      <c r="AF5" s="22"/>
      <c r="AG5" s="22"/>
      <c r="AH5" s="23"/>
      <c r="AI5" s="26"/>
      <c r="AJ5" s="26"/>
      <c r="AL5" s="28" t="e">
        <f t="shared" ref="AL5:AL36" si="11">Y5/J5</f>
        <v>#VALUE!</v>
      </c>
      <c r="AM5" s="28" t="e">
        <f t="shared" ref="AM5:AM36" si="12">Z5/K5</f>
        <v>#VALUE!</v>
      </c>
      <c r="AN5" s="28" t="e">
        <f t="shared" ref="AN5:AN36" si="13">AA5/L5</f>
        <v>#VALUE!</v>
      </c>
      <c r="AO5" s="29"/>
      <c r="AP5" s="27" t="e">
        <f t="shared" ref="AP5:AP36" si="14">(AF5/AE5) - (Q5/P5)</f>
        <v>#DIV/0!</v>
      </c>
      <c r="AQ5" s="27" t="e">
        <f t="array" ref="AQ5">AVERAGE(AF5:AF5/AE5:AE5) - AVERAGE(Q5:Q5/P5:P5)</f>
        <v>#DIV/0!</v>
      </c>
    </row>
    <row r="6" spans="1:43" collapsed="1" x14ac:dyDescent="0.15">
      <c r="A6" s="30"/>
      <c r="B6" s="30" t="s">
        <v>233</v>
      </c>
      <c r="C6" s="30">
        <v>2592758</v>
      </c>
      <c r="D6" s="32">
        <v>11</v>
      </c>
      <c r="E6" s="31">
        <v>1</v>
      </c>
      <c r="F6" s="31"/>
      <c r="H6" s="42" t="str">
        <f>IF(ISBLANK(P6),"·",P6/(C6*(D6*3+IF(AND(ISNUMBER(R6),R6&gt;0),24,0)+IF(AND(ISNUMBER(S6),S6&gt;0),8,0))))</f>
        <v>·</v>
      </c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41"/>
      <c r="U6" s="41"/>
      <c r="W6" s="42" t="str">
        <f t="shared" si="5"/>
        <v>·</v>
      </c>
      <c r="X6" s="33" t="str">
        <f t="shared" si="6"/>
        <v>·</v>
      </c>
      <c r="Y6" s="34" t="str">
        <f t="shared" si="7"/>
        <v>·</v>
      </c>
      <c r="Z6" s="34" t="str">
        <f t="shared" si="8"/>
        <v>·</v>
      </c>
      <c r="AA6" s="34" t="str">
        <f t="shared" si="9"/>
        <v>·</v>
      </c>
      <c r="AB6" s="35"/>
      <c r="AC6" s="34" t="str">
        <f t="shared" si="10"/>
        <v>·</v>
      </c>
      <c r="AD6" s="36"/>
      <c r="AE6" s="37"/>
      <c r="AF6" s="37"/>
      <c r="AG6" s="37"/>
      <c r="AH6" s="38"/>
      <c r="AI6" s="41"/>
      <c r="AJ6" s="41"/>
      <c r="AL6" s="43" t="e">
        <f t="shared" si="11"/>
        <v>#VALUE!</v>
      </c>
      <c r="AM6" s="43" t="e">
        <f t="shared" si="12"/>
        <v>#VALUE!</v>
      </c>
      <c r="AN6" s="43" t="e">
        <f t="shared" si="13"/>
        <v>#VALUE!</v>
      </c>
      <c r="AO6" s="44"/>
      <c r="AP6" s="42" t="e">
        <f t="shared" si="14"/>
        <v>#DIV/0!</v>
      </c>
      <c r="AQ6" s="42" t="e">
        <f t="array" ref="AQ6">AVERAGE(AF6:AF6/AE6:AE6) - AVERAGE(Q6:Q6/P6:P6)</f>
        <v>#DIV/0!</v>
      </c>
    </row>
    <row r="7" spans="1:43" collapsed="1" x14ac:dyDescent="0.15">
      <c r="A7" s="15"/>
      <c r="B7" s="15" t="s">
        <v>236</v>
      </c>
      <c r="C7" s="15">
        <v>4061755</v>
      </c>
      <c r="D7" s="17">
        <v>11</v>
      </c>
      <c r="E7" s="16">
        <v>1</v>
      </c>
      <c r="F7" s="16"/>
      <c r="H7" s="27" t="str">
        <f t="shared" ref="H7:H36" si="15">IF(ISBLANK(P7),"·",P7/(C7*(D7*3+IF(AND(ISNUMBER(R7),R7&gt;0),24,0)+IF(AND(ISNUMBER(S7),S7&gt;0),8,0))))</f>
        <v>·</v>
      </c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6"/>
      <c r="U7" s="26"/>
      <c r="W7" s="27" t="str">
        <f t="shared" si="5"/>
        <v>·</v>
      </c>
      <c r="X7" s="18" t="str">
        <f t="shared" si="6"/>
        <v>·</v>
      </c>
      <c r="Y7" s="19" t="str">
        <f t="shared" si="7"/>
        <v>·</v>
      </c>
      <c r="Z7" s="19" t="str">
        <f t="shared" si="8"/>
        <v>·</v>
      </c>
      <c r="AA7" s="19" t="str">
        <f t="shared" si="9"/>
        <v>·</v>
      </c>
      <c r="AB7" s="20"/>
      <c r="AC7" s="19" t="str">
        <f t="shared" si="10"/>
        <v>·</v>
      </c>
      <c r="AD7" s="21"/>
      <c r="AE7" s="22"/>
      <c r="AF7" s="22"/>
      <c r="AG7" s="22"/>
      <c r="AH7" s="23"/>
      <c r="AI7" s="26"/>
      <c r="AJ7" s="26"/>
      <c r="AL7" s="28" t="e">
        <f t="shared" si="11"/>
        <v>#VALUE!</v>
      </c>
      <c r="AM7" s="28" t="e">
        <f t="shared" si="12"/>
        <v>#VALUE!</v>
      </c>
      <c r="AN7" s="28" t="e">
        <f t="shared" si="13"/>
        <v>#VALUE!</v>
      </c>
      <c r="AO7" s="29"/>
      <c r="AP7" s="27" t="e">
        <f t="shared" si="14"/>
        <v>#DIV/0!</v>
      </c>
      <c r="AQ7" s="27" t="e">
        <f t="array" ref="AQ7">AVERAGE(AF7:AF7/AE7:AE7) - AVERAGE(Q7:Q7/P7:P7)</f>
        <v>#DIV/0!</v>
      </c>
    </row>
    <row r="8" spans="1:43" collapsed="1" x14ac:dyDescent="0.15">
      <c r="A8" s="30"/>
      <c r="B8" s="30" t="s">
        <v>239</v>
      </c>
      <c r="C8" s="30">
        <v>857966</v>
      </c>
      <c r="D8" s="32">
        <v>10</v>
      </c>
      <c r="E8" s="31">
        <v>1</v>
      </c>
      <c r="F8" s="31"/>
      <c r="H8" s="42" t="str">
        <f t="shared" si="15"/>
        <v>·</v>
      </c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41"/>
      <c r="U8" s="41"/>
      <c r="W8" s="42" t="str">
        <f t="shared" si="5"/>
        <v>·</v>
      </c>
      <c r="X8" s="33" t="str">
        <f t="shared" si="6"/>
        <v>·</v>
      </c>
      <c r="Y8" s="34" t="str">
        <f t="shared" si="7"/>
        <v>·</v>
      </c>
      <c r="Z8" s="34" t="str">
        <f t="shared" si="8"/>
        <v>·</v>
      </c>
      <c r="AA8" s="34" t="str">
        <f t="shared" si="9"/>
        <v>·</v>
      </c>
      <c r="AB8" s="35"/>
      <c r="AC8" s="34" t="str">
        <f t="shared" si="10"/>
        <v>·</v>
      </c>
      <c r="AD8" s="36"/>
      <c r="AE8" s="37"/>
      <c r="AF8" s="37"/>
      <c r="AG8" s="37"/>
      <c r="AH8" s="38"/>
      <c r="AI8" s="41"/>
      <c r="AJ8" s="41"/>
      <c r="AL8" s="43" t="e">
        <f t="shared" si="11"/>
        <v>#VALUE!</v>
      </c>
      <c r="AM8" s="43" t="e">
        <f t="shared" si="12"/>
        <v>#VALUE!</v>
      </c>
      <c r="AN8" s="43" t="e">
        <f t="shared" si="13"/>
        <v>#VALUE!</v>
      </c>
      <c r="AO8" s="44"/>
      <c r="AP8" s="42" t="e">
        <f t="shared" si="14"/>
        <v>#DIV/0!</v>
      </c>
      <c r="AQ8" s="42" t="e">
        <f t="array" ref="AQ8">AVERAGE(AF8:AF8/AE8:AE8) - AVERAGE(Q8:Q8/P8:P8)</f>
        <v>#DIV/0!</v>
      </c>
    </row>
    <row r="9" spans="1:43" collapsed="1" x14ac:dyDescent="0.15">
      <c r="A9" s="15"/>
      <c r="B9" s="15" t="s">
        <v>242</v>
      </c>
      <c r="C9" s="15">
        <v>805285</v>
      </c>
      <c r="D9" s="17">
        <v>10</v>
      </c>
      <c r="E9" s="16">
        <v>1</v>
      </c>
      <c r="F9" s="16"/>
      <c r="H9" s="27" t="str">
        <f t="shared" si="15"/>
        <v>·</v>
      </c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6"/>
      <c r="U9" s="26"/>
      <c r="W9" s="27" t="str">
        <f t="shared" si="5"/>
        <v>·</v>
      </c>
      <c r="X9" s="18" t="str">
        <f t="shared" si="6"/>
        <v>·</v>
      </c>
      <c r="Y9" s="19" t="str">
        <f t="shared" si="7"/>
        <v>·</v>
      </c>
      <c r="Z9" s="19" t="str">
        <f t="shared" si="8"/>
        <v>·</v>
      </c>
      <c r="AA9" s="19" t="str">
        <f t="shared" si="9"/>
        <v>·</v>
      </c>
      <c r="AB9" s="20"/>
      <c r="AC9" s="19" t="str">
        <f t="shared" si="10"/>
        <v>·</v>
      </c>
      <c r="AD9" s="21"/>
      <c r="AE9" s="22"/>
      <c r="AF9" s="22"/>
      <c r="AG9" s="22"/>
      <c r="AH9" s="23"/>
      <c r="AI9" s="26"/>
      <c r="AJ9" s="26"/>
      <c r="AL9" s="28" t="e">
        <f t="shared" si="11"/>
        <v>#VALUE!</v>
      </c>
      <c r="AM9" s="28" t="e">
        <f t="shared" si="12"/>
        <v>#VALUE!</v>
      </c>
      <c r="AN9" s="28" t="e">
        <f t="shared" si="13"/>
        <v>#VALUE!</v>
      </c>
      <c r="AO9" s="29"/>
      <c r="AP9" s="27" t="e">
        <f t="shared" si="14"/>
        <v>#DIV/0!</v>
      </c>
      <c r="AQ9" s="27" t="e">
        <f t="array" ref="AQ9">AVERAGE(AF9:AF9/AE9:AE9) - AVERAGE(Q9:Q9/P9:P9)</f>
        <v>#DIV/0!</v>
      </c>
    </row>
    <row r="10" spans="1:43" collapsed="1" x14ac:dyDescent="0.15">
      <c r="A10" s="30"/>
      <c r="B10" s="30" t="s">
        <v>245</v>
      </c>
      <c r="C10" s="30">
        <v>1000993</v>
      </c>
      <c r="D10" s="32">
        <v>10</v>
      </c>
      <c r="E10" s="31">
        <v>1</v>
      </c>
      <c r="F10" s="31"/>
      <c r="H10" s="42" t="str">
        <f t="shared" si="15"/>
        <v>·</v>
      </c>
      <c r="I10" s="33" t="str">
        <f t="shared" si="0"/>
        <v>·</v>
      </c>
      <c r="J10" s="34" t="str">
        <f t="shared" si="1"/>
        <v>·</v>
      </c>
      <c r="K10" s="34" t="str">
        <f t="shared" si="2"/>
        <v>·</v>
      </c>
      <c r="L10" s="34" t="str">
        <f t="shared" si="3"/>
        <v>·</v>
      </c>
      <c r="M10" s="35"/>
      <c r="N10" s="34" t="str">
        <f t="shared" si="4"/>
        <v>·</v>
      </c>
      <c r="O10" s="36"/>
      <c r="P10" s="37"/>
      <c r="Q10" s="37"/>
      <c r="R10" s="37"/>
      <c r="S10" s="38"/>
      <c r="T10" s="41"/>
      <c r="U10" s="41"/>
      <c r="W10" s="42" t="str">
        <f t="shared" si="5"/>
        <v>·</v>
      </c>
      <c r="X10" s="33" t="str">
        <f t="shared" si="6"/>
        <v>·</v>
      </c>
      <c r="Y10" s="34" t="str">
        <f t="shared" si="7"/>
        <v>·</v>
      </c>
      <c r="Z10" s="34" t="str">
        <f t="shared" si="8"/>
        <v>·</v>
      </c>
      <c r="AA10" s="34" t="str">
        <f t="shared" si="9"/>
        <v>·</v>
      </c>
      <c r="AB10" s="35"/>
      <c r="AC10" s="34" t="str">
        <f t="shared" si="10"/>
        <v>·</v>
      </c>
      <c r="AD10" s="36"/>
      <c r="AE10" s="37"/>
      <c r="AF10" s="37"/>
      <c r="AG10" s="37"/>
      <c r="AH10" s="38"/>
      <c r="AI10" s="41"/>
      <c r="AJ10" s="41"/>
      <c r="AL10" s="43" t="e">
        <f t="shared" si="11"/>
        <v>#VALUE!</v>
      </c>
      <c r="AM10" s="43" t="e">
        <f t="shared" si="12"/>
        <v>#VALUE!</v>
      </c>
      <c r="AN10" s="43" t="e">
        <f t="shared" si="13"/>
        <v>#VALUE!</v>
      </c>
      <c r="AO10" s="44"/>
      <c r="AP10" s="42" t="e">
        <f t="shared" si="14"/>
        <v>#DIV/0!</v>
      </c>
      <c r="AQ10" s="42" t="e">
        <f t="array" ref="AQ10">AVERAGE(AF10:AF10/AE10:AE10) - AVERAGE(Q10:Q10/P10:P10)</f>
        <v>#DIV/0!</v>
      </c>
    </row>
    <row r="11" spans="1:43" collapsed="1" x14ac:dyDescent="0.15">
      <c r="A11" s="15"/>
      <c r="B11" s="15" t="s">
        <v>248</v>
      </c>
      <c r="C11" s="15">
        <v>757691</v>
      </c>
      <c r="D11" s="17">
        <v>10</v>
      </c>
      <c r="E11" s="16">
        <v>1</v>
      </c>
      <c r="F11" s="16"/>
      <c r="H11" s="27" t="str">
        <f t="shared" si="15"/>
        <v>·</v>
      </c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6"/>
      <c r="U11" s="26"/>
      <c r="W11" s="27" t="str">
        <f t="shared" si="5"/>
        <v>·</v>
      </c>
      <c r="X11" s="18" t="str">
        <f t="shared" si="6"/>
        <v>·</v>
      </c>
      <c r="Y11" s="19" t="str">
        <f t="shared" si="7"/>
        <v>·</v>
      </c>
      <c r="Z11" s="19" t="str">
        <f t="shared" si="8"/>
        <v>·</v>
      </c>
      <c r="AA11" s="19" t="str">
        <f t="shared" si="9"/>
        <v>·</v>
      </c>
      <c r="AB11" s="20"/>
      <c r="AC11" s="19" t="str">
        <f t="shared" si="10"/>
        <v>·</v>
      </c>
      <c r="AD11" s="21"/>
      <c r="AE11" s="22"/>
      <c r="AF11" s="22"/>
      <c r="AG11" s="22"/>
      <c r="AH11" s="23"/>
      <c r="AI11" s="26"/>
      <c r="AJ11" s="26"/>
      <c r="AL11" s="28" t="e">
        <f t="shared" si="11"/>
        <v>#VALUE!</v>
      </c>
      <c r="AM11" s="28" t="e">
        <f t="shared" si="12"/>
        <v>#VALUE!</v>
      </c>
      <c r="AN11" s="28" t="e">
        <f t="shared" si="13"/>
        <v>#VALUE!</v>
      </c>
      <c r="AO11" s="29"/>
      <c r="AP11" s="27" t="e">
        <f t="shared" si="14"/>
        <v>#DIV/0!</v>
      </c>
      <c r="AQ11" s="27" t="e">
        <f t="array" ref="AQ11">AVERAGE(AF11:AF11/AE11:AE11) - AVERAGE(Q11:Q11/P11:P11)</f>
        <v>#DIV/0!</v>
      </c>
    </row>
    <row r="12" spans="1:43" collapsed="1" x14ac:dyDescent="0.15">
      <c r="A12" s="30"/>
      <c r="B12" s="30" t="s">
        <v>251</v>
      </c>
      <c r="C12" s="30">
        <v>1089091</v>
      </c>
      <c r="D12" s="32">
        <v>10</v>
      </c>
      <c r="E12" s="31">
        <v>1</v>
      </c>
      <c r="F12" s="31"/>
      <c r="H12" s="42" t="str">
        <f t="shared" si="15"/>
        <v>·</v>
      </c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41"/>
      <c r="U12" s="41"/>
      <c r="W12" s="42" t="str">
        <f t="shared" si="5"/>
        <v>·</v>
      </c>
      <c r="X12" s="33" t="str">
        <f t="shared" si="6"/>
        <v>·</v>
      </c>
      <c r="Y12" s="34" t="str">
        <f t="shared" si="7"/>
        <v>·</v>
      </c>
      <c r="Z12" s="34" t="str">
        <f t="shared" si="8"/>
        <v>·</v>
      </c>
      <c r="AA12" s="34" t="str">
        <f t="shared" si="9"/>
        <v>·</v>
      </c>
      <c r="AB12" s="35"/>
      <c r="AC12" s="34" t="str">
        <f t="shared" si="10"/>
        <v>·</v>
      </c>
      <c r="AD12" s="36"/>
      <c r="AE12" s="37"/>
      <c r="AF12" s="37"/>
      <c r="AG12" s="37"/>
      <c r="AH12" s="38"/>
      <c r="AI12" s="41"/>
      <c r="AJ12" s="41"/>
      <c r="AL12" s="43" t="e">
        <f t="shared" si="11"/>
        <v>#VALUE!</v>
      </c>
      <c r="AM12" s="43" t="e">
        <f t="shared" si="12"/>
        <v>#VALUE!</v>
      </c>
      <c r="AN12" s="43" t="e">
        <f t="shared" si="13"/>
        <v>#VALUE!</v>
      </c>
      <c r="AO12" s="44"/>
      <c r="AP12" s="42" t="e">
        <f t="shared" si="14"/>
        <v>#DIV/0!</v>
      </c>
      <c r="AQ12" s="42" t="e">
        <f t="array" ref="AQ12">AVERAGE(AF12:AF12/AE12:AE12) - AVERAGE(Q12:Q12/P12:P12)</f>
        <v>#DIV/0!</v>
      </c>
    </row>
    <row r="13" spans="1:43" collapsed="1" x14ac:dyDescent="0.15">
      <c r="A13" s="64"/>
      <c r="B13" s="64" t="s">
        <v>254</v>
      </c>
      <c r="C13" s="64">
        <v>3130215</v>
      </c>
      <c r="D13" s="65">
        <v>12</v>
      </c>
      <c r="E13" s="66">
        <v>1</v>
      </c>
      <c r="F13" s="66"/>
      <c r="H13" s="67" t="str">
        <f t="shared" si="15"/>
        <v>·</v>
      </c>
      <c r="I13" s="68" t="str">
        <f t="shared" si="0"/>
        <v>·</v>
      </c>
      <c r="J13" s="69" t="str">
        <f t="shared" si="1"/>
        <v>·</v>
      </c>
      <c r="K13" s="69" t="str">
        <f t="shared" si="2"/>
        <v>·</v>
      </c>
      <c r="L13" s="69" t="str">
        <f t="shared" si="3"/>
        <v>·</v>
      </c>
      <c r="M13" s="70"/>
      <c r="N13" s="69" t="str">
        <f t="shared" si="4"/>
        <v>·</v>
      </c>
      <c r="O13" s="71"/>
      <c r="P13" s="72"/>
      <c r="Q13" s="72"/>
      <c r="R13" s="72"/>
      <c r="S13" s="73"/>
      <c r="T13" s="74"/>
      <c r="U13" s="74"/>
      <c r="W13" s="67" t="str">
        <f t="shared" si="5"/>
        <v>·</v>
      </c>
      <c r="X13" s="68" t="str">
        <f t="shared" si="6"/>
        <v>·</v>
      </c>
      <c r="Y13" s="69" t="str">
        <f t="shared" si="7"/>
        <v>·</v>
      </c>
      <c r="Z13" s="69" t="str">
        <f t="shared" si="8"/>
        <v>·</v>
      </c>
      <c r="AA13" s="69" t="str">
        <f t="shared" si="9"/>
        <v>·</v>
      </c>
      <c r="AB13" s="70"/>
      <c r="AC13" s="69" t="str">
        <f t="shared" si="10"/>
        <v>·</v>
      </c>
      <c r="AD13" s="71"/>
      <c r="AE13" s="72"/>
      <c r="AF13" s="72"/>
      <c r="AG13" s="72"/>
      <c r="AH13" s="73"/>
      <c r="AI13" s="74"/>
      <c r="AJ13" s="74"/>
      <c r="AL13" s="75" t="e">
        <f t="shared" si="11"/>
        <v>#VALUE!</v>
      </c>
      <c r="AM13" s="75" t="e">
        <f t="shared" si="12"/>
        <v>#VALUE!</v>
      </c>
      <c r="AN13" s="75" t="e">
        <f t="shared" si="13"/>
        <v>#VALUE!</v>
      </c>
      <c r="AO13" s="76"/>
      <c r="AP13" s="67" t="e">
        <f t="shared" si="14"/>
        <v>#DIV/0!</v>
      </c>
      <c r="AQ13" s="67" t="e">
        <f t="array" ref="AQ13">AVERAGE(AF13:AF13/AE13:AE13) - AVERAGE(Q13:Q13/P13:P13)</f>
        <v>#DIV/0!</v>
      </c>
    </row>
    <row r="14" spans="1:43" collapsed="1" x14ac:dyDescent="0.15">
      <c r="A14" s="30" t="s">
        <v>258</v>
      </c>
      <c r="B14" s="30" t="s">
        <v>257</v>
      </c>
      <c r="C14" s="30">
        <v>3493085</v>
      </c>
      <c r="D14" s="32">
        <v>12</v>
      </c>
      <c r="E14" s="31">
        <v>1</v>
      </c>
      <c r="F14" s="31"/>
      <c r="H14" s="42" t="str">
        <f t="shared" si="15"/>
        <v>·</v>
      </c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41"/>
      <c r="U14" s="41"/>
      <c r="W14" s="42" t="str">
        <f t="shared" si="5"/>
        <v>·</v>
      </c>
      <c r="X14" s="33" t="str">
        <f t="shared" si="6"/>
        <v>·</v>
      </c>
      <c r="Y14" s="34" t="str">
        <f t="shared" si="7"/>
        <v>·</v>
      </c>
      <c r="Z14" s="34" t="str">
        <f t="shared" si="8"/>
        <v>·</v>
      </c>
      <c r="AA14" s="34" t="str">
        <f t="shared" si="9"/>
        <v>·</v>
      </c>
      <c r="AB14" s="35"/>
      <c r="AC14" s="34" t="str">
        <f t="shared" si="10"/>
        <v>·</v>
      </c>
      <c r="AD14" s="36"/>
      <c r="AE14" s="37"/>
      <c r="AF14" s="37"/>
      <c r="AG14" s="37"/>
      <c r="AH14" s="38"/>
      <c r="AI14" s="41"/>
      <c r="AJ14" s="41"/>
      <c r="AL14" s="43" t="e">
        <f t="shared" si="11"/>
        <v>#VALUE!</v>
      </c>
      <c r="AM14" s="43" t="e">
        <f t="shared" si="12"/>
        <v>#VALUE!</v>
      </c>
      <c r="AN14" s="43" t="e">
        <f t="shared" si="13"/>
        <v>#VALUE!</v>
      </c>
      <c r="AO14" s="44"/>
      <c r="AP14" s="42" t="e">
        <f t="shared" si="14"/>
        <v>#DIV/0!</v>
      </c>
      <c r="AQ14" s="42" t="e">
        <f t="array" ref="AQ14">AVERAGE(AF14:AF14/AE14:AE14) - AVERAGE(Q14:Q14/P14:P14)</f>
        <v>#DIV/0!</v>
      </c>
    </row>
    <row r="15" spans="1:43" collapsed="1" x14ac:dyDescent="0.15">
      <c r="A15" s="15"/>
      <c r="B15" s="15" t="s">
        <v>261</v>
      </c>
      <c r="C15" s="15">
        <v>1596085</v>
      </c>
      <c r="D15" s="17">
        <v>12</v>
      </c>
      <c r="E15" s="16">
        <v>1</v>
      </c>
      <c r="F15" s="16"/>
      <c r="H15" s="27" t="str">
        <f t="shared" si="15"/>
        <v>·</v>
      </c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6"/>
      <c r="U15" s="26"/>
      <c r="W15" s="27" t="str">
        <f t="shared" si="5"/>
        <v>·</v>
      </c>
      <c r="X15" s="18" t="str">
        <f t="shared" si="6"/>
        <v>·</v>
      </c>
      <c r="Y15" s="19" t="str">
        <f t="shared" si="7"/>
        <v>·</v>
      </c>
      <c r="Z15" s="19" t="str">
        <f t="shared" si="8"/>
        <v>·</v>
      </c>
      <c r="AA15" s="19" t="str">
        <f t="shared" si="9"/>
        <v>·</v>
      </c>
      <c r="AB15" s="20"/>
      <c r="AC15" s="19" t="str">
        <f t="shared" si="10"/>
        <v>·</v>
      </c>
      <c r="AD15" s="21"/>
      <c r="AE15" s="22"/>
      <c r="AF15" s="22"/>
      <c r="AG15" s="22"/>
      <c r="AH15" s="23"/>
      <c r="AI15" s="26"/>
      <c r="AJ15" s="26"/>
      <c r="AL15" s="28" t="e">
        <f t="shared" si="11"/>
        <v>#VALUE!</v>
      </c>
      <c r="AM15" s="28" t="e">
        <f t="shared" si="12"/>
        <v>#VALUE!</v>
      </c>
      <c r="AN15" s="28" t="e">
        <f t="shared" si="13"/>
        <v>#VALUE!</v>
      </c>
      <c r="AO15" s="29"/>
      <c r="AP15" s="27" t="e">
        <f t="shared" si="14"/>
        <v>#DIV/0!</v>
      </c>
      <c r="AQ15" s="27" t="e">
        <f t="array" ref="AQ15">AVERAGE(AF15:AF15/AE15:AE15) - AVERAGE(Q15:Q15/P15:P15)</f>
        <v>#DIV/0!</v>
      </c>
    </row>
    <row r="16" spans="1:43" collapsed="1" x14ac:dyDescent="0.15">
      <c r="A16" s="30"/>
      <c r="B16" s="30" t="s">
        <v>264</v>
      </c>
      <c r="C16" s="30">
        <v>8907880</v>
      </c>
      <c r="D16" s="32">
        <v>14</v>
      </c>
      <c r="E16" s="31">
        <v>1</v>
      </c>
      <c r="F16" s="31"/>
      <c r="H16" s="42" t="str">
        <f t="shared" si="15"/>
        <v>·</v>
      </c>
      <c r="I16" s="33" t="str">
        <f t="shared" si="0"/>
        <v>·</v>
      </c>
      <c r="J16" s="34" t="str">
        <f t="shared" si="1"/>
        <v>·</v>
      </c>
      <c r="K16" s="34" t="str">
        <f t="shared" si="2"/>
        <v>·</v>
      </c>
      <c r="L16" s="34" t="str">
        <f t="shared" si="3"/>
        <v>·</v>
      </c>
      <c r="M16" s="35"/>
      <c r="N16" s="34" t="str">
        <f t="shared" si="4"/>
        <v>·</v>
      </c>
      <c r="O16" s="36"/>
      <c r="P16" s="37"/>
      <c r="Q16" s="37"/>
      <c r="R16" s="37"/>
      <c r="S16" s="38"/>
      <c r="T16" s="41"/>
      <c r="U16" s="41"/>
      <c r="W16" s="42" t="str">
        <f t="shared" si="5"/>
        <v>·</v>
      </c>
      <c r="X16" s="33" t="str">
        <f t="shared" si="6"/>
        <v>·</v>
      </c>
      <c r="Y16" s="34" t="str">
        <f t="shared" si="7"/>
        <v>·</v>
      </c>
      <c r="Z16" s="34" t="str">
        <f t="shared" si="8"/>
        <v>·</v>
      </c>
      <c r="AA16" s="34" t="str">
        <f t="shared" si="9"/>
        <v>·</v>
      </c>
      <c r="AB16" s="35"/>
      <c r="AC16" s="34" t="str">
        <f t="shared" si="10"/>
        <v>·</v>
      </c>
      <c r="AD16" s="36"/>
      <c r="AE16" s="37"/>
      <c r="AF16" s="37"/>
      <c r="AG16" s="37"/>
      <c r="AH16" s="38"/>
      <c r="AI16" s="41"/>
      <c r="AJ16" s="41"/>
      <c r="AL16" s="43" t="e">
        <f t="shared" si="11"/>
        <v>#VALUE!</v>
      </c>
      <c r="AM16" s="43" t="e">
        <f t="shared" si="12"/>
        <v>#VALUE!</v>
      </c>
      <c r="AN16" s="43" t="e">
        <f t="shared" si="13"/>
        <v>#VALUE!</v>
      </c>
      <c r="AO16" s="44"/>
      <c r="AP16" s="42" t="e">
        <f t="shared" si="14"/>
        <v>#DIV/0!</v>
      </c>
      <c r="AQ16" s="42" t="e">
        <f t="array" ref="AQ16">AVERAGE(AF16:AF16/AE16:AE16) - AVERAGE(Q16:Q16/P16:P16)</f>
        <v>#DIV/0!</v>
      </c>
    </row>
    <row r="17" spans="1:43" collapsed="1" x14ac:dyDescent="0.15">
      <c r="A17" s="15"/>
      <c r="B17" s="15" t="s">
        <v>267</v>
      </c>
      <c r="C17" s="15">
        <v>19702134</v>
      </c>
      <c r="D17" s="17">
        <v>14</v>
      </c>
      <c r="E17" s="16">
        <v>1</v>
      </c>
      <c r="F17" s="16"/>
      <c r="H17" s="27" t="str">
        <f t="shared" si="15"/>
        <v>·</v>
      </c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6"/>
      <c r="U17" s="26"/>
      <c r="W17" s="27" t="str">
        <f t="shared" si="5"/>
        <v>·</v>
      </c>
      <c r="X17" s="18" t="str">
        <f t="shared" si="6"/>
        <v>·</v>
      </c>
      <c r="Y17" s="19" t="str">
        <f t="shared" si="7"/>
        <v>·</v>
      </c>
      <c r="Z17" s="19" t="str">
        <f t="shared" si="8"/>
        <v>·</v>
      </c>
      <c r="AA17" s="19" t="str">
        <f t="shared" si="9"/>
        <v>·</v>
      </c>
      <c r="AB17" s="20"/>
      <c r="AC17" s="19" t="str">
        <f t="shared" si="10"/>
        <v>·</v>
      </c>
      <c r="AD17" s="21"/>
      <c r="AE17" s="22"/>
      <c r="AF17" s="22"/>
      <c r="AG17" s="22"/>
      <c r="AH17" s="23"/>
      <c r="AI17" s="26"/>
      <c r="AJ17" s="26"/>
      <c r="AL17" s="28" t="e">
        <f t="shared" si="11"/>
        <v>#VALUE!</v>
      </c>
      <c r="AM17" s="28" t="e">
        <f t="shared" si="12"/>
        <v>#VALUE!</v>
      </c>
      <c r="AN17" s="28" t="e">
        <f t="shared" si="13"/>
        <v>#VALUE!</v>
      </c>
      <c r="AO17" s="29"/>
      <c r="AP17" s="27" t="e">
        <f t="shared" si="14"/>
        <v>#DIV/0!</v>
      </c>
      <c r="AQ17" s="27" t="e">
        <f t="array" ref="AQ17">AVERAGE(AF17:AF17/AE17:AE17) - AVERAGE(Q17:Q17/P17:P17)</f>
        <v>#DIV/0!</v>
      </c>
    </row>
    <row r="18" spans="1:43" collapsed="1" x14ac:dyDescent="0.15">
      <c r="A18" s="30"/>
      <c r="B18" s="30" t="s">
        <v>270</v>
      </c>
      <c r="C18" s="30">
        <v>3614251</v>
      </c>
      <c r="D18" s="32">
        <v>12</v>
      </c>
      <c r="E18" s="31">
        <v>1</v>
      </c>
      <c r="F18" s="31"/>
      <c r="H18" s="42" t="str">
        <f t="shared" si="15"/>
        <v>·</v>
      </c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41"/>
      <c r="U18" s="41"/>
      <c r="W18" s="42" t="str">
        <f t="shared" si="5"/>
        <v>·</v>
      </c>
      <c r="X18" s="33" t="str">
        <f t="shared" si="6"/>
        <v>·</v>
      </c>
      <c r="Y18" s="34" t="str">
        <f t="shared" si="7"/>
        <v>·</v>
      </c>
      <c r="Z18" s="34" t="str">
        <f t="shared" si="8"/>
        <v>·</v>
      </c>
      <c r="AA18" s="34" t="str">
        <f t="shared" si="9"/>
        <v>·</v>
      </c>
      <c r="AB18" s="35"/>
      <c r="AC18" s="34" t="str">
        <f t="shared" si="10"/>
        <v>·</v>
      </c>
      <c r="AD18" s="36"/>
      <c r="AE18" s="37"/>
      <c r="AF18" s="37"/>
      <c r="AG18" s="37"/>
      <c r="AH18" s="38"/>
      <c r="AI18" s="41"/>
      <c r="AJ18" s="41"/>
      <c r="AL18" s="43" t="e">
        <f t="shared" si="11"/>
        <v>#VALUE!</v>
      </c>
      <c r="AM18" s="43" t="e">
        <f t="shared" si="12"/>
        <v>#VALUE!</v>
      </c>
      <c r="AN18" s="43" t="e">
        <f t="shared" si="13"/>
        <v>#VALUE!</v>
      </c>
      <c r="AO18" s="44"/>
      <c r="AP18" s="42" t="e">
        <f t="shared" si="14"/>
        <v>#DIV/0!</v>
      </c>
      <c r="AQ18" s="42" t="e">
        <f t="array" ref="AQ18">AVERAGE(AF18:AF18/AE18:AE18) - AVERAGE(Q18:Q18/P18:P18)</f>
        <v>#DIV/0!</v>
      </c>
    </row>
    <row r="19" spans="1:43" collapsed="1" x14ac:dyDescent="0.15">
      <c r="A19" s="15"/>
      <c r="B19" s="15" t="s">
        <v>273</v>
      </c>
      <c r="C19" s="15">
        <v>13903516</v>
      </c>
      <c r="D19" s="17">
        <v>12</v>
      </c>
      <c r="E19" s="16">
        <v>1</v>
      </c>
      <c r="F19" s="16"/>
      <c r="H19" s="27" t="str">
        <f t="shared" si="15"/>
        <v>·</v>
      </c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6"/>
      <c r="U19" s="26"/>
      <c r="W19" s="27" t="str">
        <f t="shared" si="5"/>
        <v>·</v>
      </c>
      <c r="X19" s="18" t="str">
        <f t="shared" si="6"/>
        <v>·</v>
      </c>
      <c r="Y19" s="19" t="str">
        <f t="shared" si="7"/>
        <v>·</v>
      </c>
      <c r="Z19" s="19" t="str">
        <f t="shared" si="8"/>
        <v>·</v>
      </c>
      <c r="AA19" s="19" t="str">
        <f t="shared" si="9"/>
        <v>·</v>
      </c>
      <c r="AB19" s="20"/>
      <c r="AC19" s="19" t="str">
        <f t="shared" si="10"/>
        <v>·</v>
      </c>
      <c r="AD19" s="21"/>
      <c r="AE19" s="22"/>
      <c r="AF19" s="22"/>
      <c r="AG19" s="22"/>
      <c r="AH19" s="23"/>
      <c r="AI19" s="26"/>
      <c r="AJ19" s="26"/>
      <c r="AL19" s="28" t="e">
        <f t="shared" si="11"/>
        <v>#VALUE!</v>
      </c>
      <c r="AM19" s="28" t="e">
        <f t="shared" si="12"/>
        <v>#VALUE!</v>
      </c>
      <c r="AN19" s="28" t="e">
        <f t="shared" si="13"/>
        <v>#VALUE!</v>
      </c>
      <c r="AO19" s="29"/>
      <c r="AP19" s="27" t="e">
        <f t="shared" si="14"/>
        <v>#DIV/0!</v>
      </c>
      <c r="AQ19" s="27" t="e">
        <f t="array" ref="AQ19">AVERAGE(AF19:AF19/AE19:AE19) - AVERAGE(Q19:Q19/P19:P19)</f>
        <v>#DIV/0!</v>
      </c>
    </row>
    <row r="20" spans="1:43" collapsed="1" x14ac:dyDescent="0.15">
      <c r="A20" s="30"/>
      <c r="B20" s="30" t="s">
        <v>276</v>
      </c>
      <c r="C20" s="30">
        <v>4848745</v>
      </c>
      <c r="D20" s="32">
        <v>12</v>
      </c>
      <c r="E20" s="31">
        <v>1</v>
      </c>
      <c r="F20" s="31"/>
      <c r="H20" s="42" t="str">
        <f t="shared" si="15"/>
        <v>·</v>
      </c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41"/>
      <c r="U20" s="41"/>
      <c r="W20" s="42" t="str">
        <f t="shared" si="5"/>
        <v>·</v>
      </c>
      <c r="X20" s="33" t="str">
        <f t="shared" si="6"/>
        <v>·</v>
      </c>
      <c r="Y20" s="34" t="str">
        <f t="shared" si="7"/>
        <v>·</v>
      </c>
      <c r="Z20" s="34" t="str">
        <f t="shared" si="8"/>
        <v>·</v>
      </c>
      <c r="AA20" s="34" t="str">
        <f t="shared" si="9"/>
        <v>·</v>
      </c>
      <c r="AB20" s="35"/>
      <c r="AC20" s="34" t="str">
        <f t="shared" si="10"/>
        <v>·</v>
      </c>
      <c r="AD20" s="36"/>
      <c r="AE20" s="37"/>
      <c r="AF20" s="37"/>
      <c r="AG20" s="37"/>
      <c r="AH20" s="38"/>
      <c r="AI20" s="41"/>
      <c r="AJ20" s="41"/>
      <c r="AL20" s="43" t="e">
        <f t="shared" si="11"/>
        <v>#VALUE!</v>
      </c>
      <c r="AM20" s="43" t="e">
        <f t="shared" si="12"/>
        <v>#VALUE!</v>
      </c>
      <c r="AN20" s="43" t="e">
        <f t="shared" si="13"/>
        <v>#VALUE!</v>
      </c>
      <c r="AO20" s="44"/>
      <c r="AP20" s="42" t="e">
        <f t="shared" si="14"/>
        <v>#DIV/0!</v>
      </c>
      <c r="AQ20" s="42" t="e">
        <f t="array" ref="AQ20">AVERAGE(AF20:AF20/AE20:AE20) - AVERAGE(Q20:Q20/P20:P20)</f>
        <v>#DIV/0!</v>
      </c>
    </row>
    <row r="21" spans="1:43" collapsed="1" x14ac:dyDescent="0.15">
      <c r="A21" s="15"/>
      <c r="B21" s="15" t="s">
        <v>279</v>
      </c>
      <c r="C21" s="15">
        <v>71948094</v>
      </c>
      <c r="D21" s="17">
        <v>14</v>
      </c>
      <c r="E21" s="16">
        <v>1</v>
      </c>
      <c r="F21" s="16"/>
      <c r="H21" s="27" t="str">
        <f t="shared" si="15"/>
        <v>·</v>
      </c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6"/>
      <c r="U21" s="26"/>
      <c r="W21" s="27" t="str">
        <f t="shared" si="5"/>
        <v>·</v>
      </c>
      <c r="X21" s="18" t="str">
        <f t="shared" si="6"/>
        <v>·</v>
      </c>
      <c r="Y21" s="19" t="str">
        <f t="shared" si="7"/>
        <v>·</v>
      </c>
      <c r="Z21" s="19" t="str">
        <f t="shared" si="8"/>
        <v>·</v>
      </c>
      <c r="AA21" s="19" t="str">
        <f t="shared" si="9"/>
        <v>·</v>
      </c>
      <c r="AB21" s="20"/>
      <c r="AC21" s="19" t="str">
        <f t="shared" si="10"/>
        <v>·</v>
      </c>
      <c r="AD21" s="21"/>
      <c r="AE21" s="22"/>
      <c r="AF21" s="22"/>
      <c r="AG21" s="22"/>
      <c r="AH21" s="23"/>
      <c r="AI21" s="26"/>
      <c r="AJ21" s="26"/>
      <c r="AL21" s="28" t="e">
        <f t="shared" si="11"/>
        <v>#VALUE!</v>
      </c>
      <c r="AM21" s="28" t="e">
        <f t="shared" si="12"/>
        <v>#VALUE!</v>
      </c>
      <c r="AN21" s="28" t="e">
        <f t="shared" si="13"/>
        <v>#VALUE!</v>
      </c>
      <c r="AO21" s="29"/>
      <c r="AP21" s="27" t="e">
        <f t="shared" si="14"/>
        <v>#DIV/0!</v>
      </c>
      <c r="AQ21" s="27" t="e">
        <f t="array" ref="AQ21">AVERAGE(AF21:AF21/AE21:AE21) - AVERAGE(Q21:Q21/P21:P21)</f>
        <v>#DIV/0!</v>
      </c>
    </row>
    <row r="22" spans="1:43" collapsed="1" x14ac:dyDescent="0.15">
      <c r="A22" s="30"/>
      <c r="B22" s="30" t="s">
        <v>282</v>
      </c>
      <c r="C22" s="30">
        <v>3096122</v>
      </c>
      <c r="D22" s="32">
        <v>12</v>
      </c>
      <c r="E22" s="31">
        <v>1</v>
      </c>
      <c r="F22" s="31"/>
      <c r="H22" s="42" t="str">
        <f t="shared" si="15"/>
        <v>·</v>
      </c>
      <c r="I22" s="33" t="str">
        <f t="shared" si="0"/>
        <v>·</v>
      </c>
      <c r="J22" s="34" t="str">
        <f t="shared" si="1"/>
        <v>·</v>
      </c>
      <c r="K22" s="34" t="str">
        <f t="shared" si="2"/>
        <v>·</v>
      </c>
      <c r="L22" s="34" t="str">
        <f t="shared" si="3"/>
        <v>·</v>
      </c>
      <c r="M22" s="35"/>
      <c r="N22" s="34" t="str">
        <f t="shared" si="4"/>
        <v>·</v>
      </c>
      <c r="O22" s="36"/>
      <c r="P22" s="37"/>
      <c r="Q22" s="37"/>
      <c r="R22" s="37"/>
      <c r="S22" s="38"/>
      <c r="T22" s="41"/>
      <c r="U22" s="41"/>
      <c r="W22" s="42" t="str">
        <f t="shared" si="5"/>
        <v>·</v>
      </c>
      <c r="X22" s="33" t="str">
        <f t="shared" si="6"/>
        <v>·</v>
      </c>
      <c r="Y22" s="34" t="str">
        <f t="shared" si="7"/>
        <v>·</v>
      </c>
      <c r="Z22" s="34" t="str">
        <f t="shared" si="8"/>
        <v>·</v>
      </c>
      <c r="AA22" s="34" t="str">
        <f t="shared" si="9"/>
        <v>·</v>
      </c>
      <c r="AB22" s="35"/>
      <c r="AC22" s="34" t="str">
        <f t="shared" si="10"/>
        <v>·</v>
      </c>
      <c r="AD22" s="36"/>
      <c r="AE22" s="37"/>
      <c r="AF22" s="37"/>
      <c r="AG22" s="37"/>
      <c r="AH22" s="38"/>
      <c r="AI22" s="41"/>
      <c r="AJ22" s="41"/>
      <c r="AL22" s="43" t="e">
        <f t="shared" si="11"/>
        <v>#VALUE!</v>
      </c>
      <c r="AM22" s="43" t="e">
        <f t="shared" si="12"/>
        <v>#VALUE!</v>
      </c>
      <c r="AN22" s="43" t="e">
        <f t="shared" si="13"/>
        <v>#VALUE!</v>
      </c>
      <c r="AO22" s="44"/>
      <c r="AP22" s="42" t="e">
        <f t="shared" si="14"/>
        <v>#DIV/0!</v>
      </c>
      <c r="AQ22" s="42" t="e">
        <f t="array" ref="AQ22">AVERAGE(AF22:AF22/AE22:AE22) - AVERAGE(Q22:Q22/P22:P22)</f>
        <v>#DIV/0!</v>
      </c>
    </row>
    <row r="23" spans="1:43" collapsed="1" x14ac:dyDescent="0.15">
      <c r="A23" s="15"/>
      <c r="B23" s="15" t="s">
        <v>285</v>
      </c>
      <c r="C23" s="15">
        <v>3017285</v>
      </c>
      <c r="D23" s="17">
        <v>12</v>
      </c>
      <c r="E23" s="16">
        <v>1</v>
      </c>
      <c r="F23" s="16"/>
      <c r="H23" s="27" t="str">
        <f t="shared" si="15"/>
        <v>·</v>
      </c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6"/>
      <c r="U23" s="26"/>
      <c r="W23" s="27" t="str">
        <f t="shared" si="5"/>
        <v>·</v>
      </c>
      <c r="X23" s="18" t="str">
        <f t="shared" si="6"/>
        <v>·</v>
      </c>
      <c r="Y23" s="19" t="str">
        <f t="shared" si="7"/>
        <v>·</v>
      </c>
      <c r="Z23" s="19" t="str">
        <f t="shared" si="8"/>
        <v>·</v>
      </c>
      <c r="AA23" s="19" t="str">
        <f t="shared" si="9"/>
        <v>·</v>
      </c>
      <c r="AB23" s="20"/>
      <c r="AC23" s="19" t="str">
        <f t="shared" si="10"/>
        <v>·</v>
      </c>
      <c r="AD23" s="21"/>
      <c r="AE23" s="22"/>
      <c r="AF23" s="22"/>
      <c r="AG23" s="22"/>
      <c r="AH23" s="23"/>
      <c r="AI23" s="26"/>
      <c r="AJ23" s="26"/>
      <c r="AL23" s="28" t="e">
        <f t="shared" si="11"/>
        <v>#VALUE!</v>
      </c>
      <c r="AM23" s="28" t="e">
        <f t="shared" si="12"/>
        <v>#VALUE!</v>
      </c>
      <c r="AN23" s="28" t="e">
        <f t="shared" si="13"/>
        <v>#VALUE!</v>
      </c>
      <c r="AO23" s="29"/>
      <c r="AP23" s="27" t="e">
        <f t="shared" si="14"/>
        <v>#DIV/0!</v>
      </c>
      <c r="AQ23" s="27" t="e">
        <f t="array" ref="AQ23">AVERAGE(AF23:AF23/AE23:AE23) - AVERAGE(Q23:Q23/P23:P23)</f>
        <v>#DIV/0!</v>
      </c>
    </row>
    <row r="24" spans="1:43" collapsed="1" x14ac:dyDescent="0.15">
      <c r="A24" s="30"/>
      <c r="B24" s="30" t="s">
        <v>288</v>
      </c>
      <c r="C24" s="30">
        <v>2770567</v>
      </c>
      <c r="D24" s="32">
        <v>12</v>
      </c>
      <c r="E24" s="31">
        <v>1</v>
      </c>
      <c r="F24" s="31"/>
      <c r="H24" s="42" t="str">
        <f t="shared" si="15"/>
        <v>·</v>
      </c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41"/>
      <c r="U24" s="41"/>
      <c r="W24" s="42" t="str">
        <f t="shared" si="5"/>
        <v>·</v>
      </c>
      <c r="X24" s="33" t="str">
        <f t="shared" si="6"/>
        <v>·</v>
      </c>
      <c r="Y24" s="34" t="str">
        <f t="shared" si="7"/>
        <v>·</v>
      </c>
      <c r="Z24" s="34" t="str">
        <f t="shared" si="8"/>
        <v>·</v>
      </c>
      <c r="AA24" s="34" t="str">
        <f t="shared" si="9"/>
        <v>·</v>
      </c>
      <c r="AB24" s="35"/>
      <c r="AC24" s="34" t="str">
        <f t="shared" si="10"/>
        <v>·</v>
      </c>
      <c r="AD24" s="36"/>
      <c r="AE24" s="37"/>
      <c r="AF24" s="37"/>
      <c r="AG24" s="37"/>
      <c r="AH24" s="38"/>
      <c r="AI24" s="41"/>
      <c r="AJ24" s="41"/>
      <c r="AL24" s="43" t="e">
        <f t="shared" si="11"/>
        <v>#VALUE!</v>
      </c>
      <c r="AM24" s="43" t="e">
        <f t="shared" si="12"/>
        <v>#VALUE!</v>
      </c>
      <c r="AN24" s="43" t="e">
        <f t="shared" si="13"/>
        <v>#VALUE!</v>
      </c>
      <c r="AO24" s="44"/>
      <c r="AP24" s="42" t="e">
        <f t="shared" si="14"/>
        <v>#DIV/0!</v>
      </c>
      <c r="AQ24" s="42" t="e">
        <f t="array" ref="AQ24">AVERAGE(AF24:AF24/AE24:AE24) - AVERAGE(Q24:Q24/P24:P24)</f>
        <v>#DIV/0!</v>
      </c>
    </row>
    <row r="25" spans="1:43" collapsed="1" x14ac:dyDescent="0.15">
      <c r="A25" s="64"/>
      <c r="B25" s="64" t="s">
        <v>291</v>
      </c>
      <c r="C25" s="64">
        <v>4001754</v>
      </c>
      <c r="D25" s="65">
        <v>12</v>
      </c>
      <c r="E25" s="66">
        <v>1</v>
      </c>
      <c r="F25" s="66"/>
      <c r="H25" s="67" t="str">
        <f t="shared" si="15"/>
        <v>·</v>
      </c>
      <c r="I25" s="68" t="str">
        <f t="shared" si="0"/>
        <v>·</v>
      </c>
      <c r="J25" s="69" t="str">
        <f t="shared" si="1"/>
        <v>·</v>
      </c>
      <c r="K25" s="69" t="str">
        <f t="shared" si="2"/>
        <v>·</v>
      </c>
      <c r="L25" s="69" t="str">
        <f t="shared" si="3"/>
        <v>·</v>
      </c>
      <c r="M25" s="70"/>
      <c r="N25" s="69" t="str">
        <f t="shared" si="4"/>
        <v>·</v>
      </c>
      <c r="O25" s="71"/>
      <c r="P25" s="72"/>
      <c r="Q25" s="72"/>
      <c r="R25" s="72"/>
      <c r="S25" s="73"/>
      <c r="T25" s="74"/>
      <c r="U25" s="74"/>
      <c r="W25" s="67" t="str">
        <f t="shared" si="5"/>
        <v>·</v>
      </c>
      <c r="X25" s="68" t="str">
        <f t="shared" si="6"/>
        <v>·</v>
      </c>
      <c r="Y25" s="69" t="str">
        <f t="shared" si="7"/>
        <v>·</v>
      </c>
      <c r="Z25" s="69" t="str">
        <f t="shared" si="8"/>
        <v>·</v>
      </c>
      <c r="AA25" s="69" t="str">
        <f t="shared" si="9"/>
        <v>·</v>
      </c>
      <c r="AB25" s="70"/>
      <c r="AC25" s="69" t="str">
        <f t="shared" si="10"/>
        <v>·</v>
      </c>
      <c r="AD25" s="71"/>
      <c r="AE25" s="72"/>
      <c r="AF25" s="72"/>
      <c r="AG25" s="72"/>
      <c r="AH25" s="73"/>
      <c r="AI25" s="74"/>
      <c r="AJ25" s="74"/>
      <c r="AL25" s="75" t="e">
        <f t="shared" si="11"/>
        <v>#VALUE!</v>
      </c>
      <c r="AM25" s="75" t="e">
        <f t="shared" si="12"/>
        <v>#VALUE!</v>
      </c>
      <c r="AN25" s="75" t="e">
        <f t="shared" si="13"/>
        <v>#VALUE!</v>
      </c>
      <c r="AO25" s="76"/>
      <c r="AP25" s="67" t="e">
        <f t="shared" si="14"/>
        <v>#DIV/0!</v>
      </c>
      <c r="AQ25" s="67" t="e">
        <f t="array" ref="AQ25">AVERAGE(AF25:AF25/AE25:AE25) - AVERAGE(Q25:Q25/P25:P25)</f>
        <v>#DIV/0!</v>
      </c>
    </row>
    <row r="26" spans="1:43" collapsed="1" x14ac:dyDescent="0.15">
      <c r="A26" s="30" t="s">
        <v>295</v>
      </c>
      <c r="B26" s="30" t="s">
        <v>294</v>
      </c>
      <c r="C26" s="30">
        <v>1481746</v>
      </c>
      <c r="D26" s="32">
        <v>12</v>
      </c>
      <c r="E26" s="31">
        <v>1</v>
      </c>
      <c r="F26" s="31"/>
      <c r="H26" s="42" t="str">
        <f t="shared" si="15"/>
        <v>·</v>
      </c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41"/>
      <c r="U26" s="41"/>
      <c r="W26" s="42" t="str">
        <f t="shared" si="5"/>
        <v>·</v>
      </c>
      <c r="X26" s="33" t="str">
        <f t="shared" si="6"/>
        <v>·</v>
      </c>
      <c r="Y26" s="34" t="str">
        <f t="shared" si="7"/>
        <v>·</v>
      </c>
      <c r="Z26" s="34" t="str">
        <f t="shared" si="8"/>
        <v>·</v>
      </c>
      <c r="AA26" s="34" t="str">
        <f t="shared" si="9"/>
        <v>·</v>
      </c>
      <c r="AB26" s="35"/>
      <c r="AC26" s="34" t="str">
        <f t="shared" si="10"/>
        <v>·</v>
      </c>
      <c r="AD26" s="36"/>
      <c r="AE26" s="37"/>
      <c r="AF26" s="37"/>
      <c r="AG26" s="37"/>
      <c r="AH26" s="38"/>
      <c r="AI26" s="41"/>
      <c r="AJ26" s="41"/>
      <c r="AL26" s="43" t="e">
        <f t="shared" si="11"/>
        <v>#VALUE!</v>
      </c>
      <c r="AM26" s="43" t="e">
        <f t="shared" si="12"/>
        <v>#VALUE!</v>
      </c>
      <c r="AN26" s="43" t="e">
        <f t="shared" si="13"/>
        <v>#VALUE!</v>
      </c>
      <c r="AO26" s="44"/>
      <c r="AP26" s="42" t="e">
        <f t="shared" si="14"/>
        <v>#DIV/0!</v>
      </c>
      <c r="AQ26" s="42" t="e">
        <f t="array" ref="AQ26">AVERAGE(AF26:AF26/AE26:AE26) - AVERAGE(Q26:Q26/P26:P26)</f>
        <v>#DIV/0!</v>
      </c>
    </row>
    <row r="27" spans="1:43" collapsed="1" x14ac:dyDescent="0.15">
      <c r="A27" s="15"/>
      <c r="B27" s="15" t="s">
        <v>298</v>
      </c>
      <c r="C27" s="15">
        <v>272684</v>
      </c>
      <c r="D27" s="17">
        <v>12</v>
      </c>
      <c r="E27" s="16">
        <v>1</v>
      </c>
      <c r="F27" s="16"/>
      <c r="H27" s="27" t="str">
        <f t="shared" si="15"/>
        <v>·</v>
      </c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6"/>
      <c r="U27" s="26"/>
      <c r="W27" s="27" t="str">
        <f t="shared" si="5"/>
        <v>·</v>
      </c>
      <c r="X27" s="18" t="str">
        <f t="shared" si="6"/>
        <v>·</v>
      </c>
      <c r="Y27" s="19" t="str">
        <f t="shared" si="7"/>
        <v>·</v>
      </c>
      <c r="Z27" s="19" t="str">
        <f t="shared" si="8"/>
        <v>·</v>
      </c>
      <c r="AA27" s="19" t="str">
        <f t="shared" si="9"/>
        <v>·</v>
      </c>
      <c r="AB27" s="20"/>
      <c r="AC27" s="19" t="str">
        <f t="shared" si="10"/>
        <v>·</v>
      </c>
      <c r="AD27" s="21"/>
      <c r="AE27" s="22"/>
      <c r="AF27" s="22"/>
      <c r="AG27" s="22"/>
      <c r="AH27" s="23"/>
      <c r="AI27" s="26"/>
      <c r="AJ27" s="26"/>
      <c r="AL27" s="28" t="e">
        <f t="shared" si="11"/>
        <v>#VALUE!</v>
      </c>
      <c r="AM27" s="28" t="e">
        <f t="shared" si="12"/>
        <v>#VALUE!</v>
      </c>
      <c r="AN27" s="28" t="e">
        <f t="shared" si="13"/>
        <v>#VALUE!</v>
      </c>
      <c r="AO27" s="29"/>
      <c r="AP27" s="27" t="e">
        <f t="shared" si="14"/>
        <v>#DIV/0!</v>
      </c>
      <c r="AQ27" s="27" t="e">
        <f t="array" ref="AQ27">AVERAGE(AF27:AF27/AE27:AE27) - AVERAGE(Q27:Q27/P27:P27)</f>
        <v>#DIV/0!</v>
      </c>
    </row>
    <row r="28" spans="1:43" collapsed="1" x14ac:dyDescent="0.15">
      <c r="A28" s="30"/>
      <c r="B28" s="30" t="s">
        <v>301</v>
      </c>
      <c r="C28" s="30">
        <v>4187594</v>
      </c>
      <c r="D28" s="32">
        <v>14</v>
      </c>
      <c r="E28" s="31">
        <v>1</v>
      </c>
      <c r="F28" s="31"/>
      <c r="H28" s="42" t="str">
        <f t="shared" si="15"/>
        <v>·</v>
      </c>
      <c r="I28" s="33" t="str">
        <f t="shared" si="0"/>
        <v>·</v>
      </c>
      <c r="J28" s="34" t="str">
        <f t="shared" si="1"/>
        <v>·</v>
      </c>
      <c r="K28" s="34" t="str">
        <f t="shared" si="2"/>
        <v>·</v>
      </c>
      <c r="L28" s="34" t="str">
        <f t="shared" si="3"/>
        <v>·</v>
      </c>
      <c r="M28" s="35"/>
      <c r="N28" s="34" t="str">
        <f t="shared" si="4"/>
        <v>·</v>
      </c>
      <c r="O28" s="36"/>
      <c r="P28" s="37"/>
      <c r="Q28" s="37"/>
      <c r="R28" s="37"/>
      <c r="S28" s="38"/>
      <c r="T28" s="41"/>
      <c r="U28" s="41"/>
      <c r="W28" s="42" t="str">
        <f t="shared" si="5"/>
        <v>·</v>
      </c>
      <c r="X28" s="33" t="str">
        <f t="shared" si="6"/>
        <v>·</v>
      </c>
      <c r="Y28" s="34" t="str">
        <f t="shared" si="7"/>
        <v>·</v>
      </c>
      <c r="Z28" s="34" t="str">
        <f t="shared" si="8"/>
        <v>·</v>
      </c>
      <c r="AA28" s="34" t="str">
        <f t="shared" si="9"/>
        <v>·</v>
      </c>
      <c r="AB28" s="35"/>
      <c r="AC28" s="34" t="str">
        <f t="shared" si="10"/>
        <v>·</v>
      </c>
      <c r="AD28" s="36"/>
      <c r="AE28" s="37"/>
      <c r="AF28" s="37"/>
      <c r="AG28" s="37"/>
      <c r="AH28" s="38"/>
      <c r="AI28" s="41"/>
      <c r="AJ28" s="41"/>
      <c r="AL28" s="43" t="e">
        <f t="shared" si="11"/>
        <v>#VALUE!</v>
      </c>
      <c r="AM28" s="43" t="e">
        <f t="shared" si="12"/>
        <v>#VALUE!</v>
      </c>
      <c r="AN28" s="43" t="e">
        <f t="shared" si="13"/>
        <v>#VALUE!</v>
      </c>
      <c r="AO28" s="44"/>
      <c r="AP28" s="42" t="e">
        <f t="shared" si="14"/>
        <v>#DIV/0!</v>
      </c>
      <c r="AQ28" s="42" t="e">
        <f t="array" ref="AQ28">AVERAGE(AF28:AF28/AE28:AE28) - AVERAGE(Q28:Q28/P28:P28)</f>
        <v>#DIV/0!</v>
      </c>
    </row>
    <row r="29" spans="1:43" collapsed="1" x14ac:dyDescent="0.15">
      <c r="A29" s="15"/>
      <c r="B29" s="15" t="s">
        <v>304</v>
      </c>
      <c r="C29" s="15">
        <v>1009132</v>
      </c>
      <c r="D29" s="17">
        <v>12</v>
      </c>
      <c r="E29" s="16">
        <v>1</v>
      </c>
      <c r="F29" s="16"/>
      <c r="H29" s="27" t="str">
        <f t="shared" si="15"/>
        <v>·</v>
      </c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6"/>
      <c r="U29" s="26"/>
      <c r="W29" s="27" t="str">
        <f t="shared" si="5"/>
        <v>·</v>
      </c>
      <c r="X29" s="18" t="str">
        <f t="shared" si="6"/>
        <v>·</v>
      </c>
      <c r="Y29" s="19" t="str">
        <f t="shared" si="7"/>
        <v>·</v>
      </c>
      <c r="Z29" s="19" t="str">
        <f t="shared" si="8"/>
        <v>·</v>
      </c>
      <c r="AA29" s="19" t="str">
        <f t="shared" si="9"/>
        <v>·</v>
      </c>
      <c r="AB29" s="20"/>
      <c r="AC29" s="19" t="str">
        <f t="shared" si="10"/>
        <v>·</v>
      </c>
      <c r="AD29" s="21"/>
      <c r="AE29" s="22"/>
      <c r="AF29" s="22"/>
      <c r="AG29" s="22"/>
      <c r="AH29" s="23"/>
      <c r="AI29" s="26"/>
      <c r="AJ29" s="26"/>
      <c r="AL29" s="28" t="e">
        <f t="shared" si="11"/>
        <v>#VALUE!</v>
      </c>
      <c r="AM29" s="28" t="e">
        <f t="shared" si="12"/>
        <v>#VALUE!</v>
      </c>
      <c r="AN29" s="28" t="e">
        <f t="shared" si="13"/>
        <v>#VALUE!</v>
      </c>
      <c r="AO29" s="29"/>
      <c r="AP29" s="27" t="e">
        <f t="shared" si="14"/>
        <v>#DIV/0!</v>
      </c>
      <c r="AQ29" s="27" t="e">
        <f t="array" ref="AQ29">AVERAGE(AF29:AF29/AE29:AE29) - AVERAGE(Q29:Q29/P29:P29)</f>
        <v>#DIV/0!</v>
      </c>
    </row>
    <row r="30" spans="1:43" collapsed="1" x14ac:dyDescent="0.15">
      <c r="A30" s="30"/>
      <c r="B30" s="30" t="s">
        <v>307</v>
      </c>
      <c r="C30" s="30">
        <v>47062002</v>
      </c>
      <c r="D30" s="32">
        <v>16</v>
      </c>
      <c r="E30" s="31">
        <v>1</v>
      </c>
      <c r="F30" s="31"/>
      <c r="H30" s="42" t="str">
        <f t="shared" si="15"/>
        <v>·</v>
      </c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41"/>
      <c r="U30" s="41"/>
      <c r="W30" s="42" t="str">
        <f t="shared" si="5"/>
        <v>·</v>
      </c>
      <c r="X30" s="33" t="str">
        <f t="shared" si="6"/>
        <v>·</v>
      </c>
      <c r="Y30" s="34" t="str">
        <f t="shared" si="7"/>
        <v>·</v>
      </c>
      <c r="Z30" s="34" t="str">
        <f t="shared" si="8"/>
        <v>·</v>
      </c>
      <c r="AA30" s="34" t="str">
        <f t="shared" si="9"/>
        <v>·</v>
      </c>
      <c r="AB30" s="35"/>
      <c r="AC30" s="34" t="str">
        <f t="shared" si="10"/>
        <v>·</v>
      </c>
      <c r="AD30" s="36"/>
      <c r="AE30" s="37"/>
      <c r="AF30" s="37"/>
      <c r="AG30" s="37"/>
      <c r="AH30" s="38"/>
      <c r="AI30" s="41"/>
      <c r="AJ30" s="41"/>
      <c r="AL30" s="43" t="e">
        <f t="shared" si="11"/>
        <v>#VALUE!</v>
      </c>
      <c r="AM30" s="43" t="e">
        <f t="shared" si="12"/>
        <v>#VALUE!</v>
      </c>
      <c r="AN30" s="43" t="e">
        <f t="shared" si="13"/>
        <v>#VALUE!</v>
      </c>
      <c r="AO30" s="44"/>
      <c r="AP30" s="42" t="e">
        <f t="shared" si="14"/>
        <v>#DIV/0!</v>
      </c>
      <c r="AQ30" s="42" t="e">
        <f t="array" ref="AQ30">AVERAGE(AF30:AF30/AE30:AE30) - AVERAGE(Q30:Q30/P30:P30)</f>
        <v>#DIV/0!</v>
      </c>
    </row>
    <row r="31" spans="1:43" collapsed="1" x14ac:dyDescent="0.15">
      <c r="A31" s="15"/>
      <c r="B31" s="15" t="s">
        <v>310</v>
      </c>
      <c r="C31" s="15">
        <v>43399204</v>
      </c>
      <c r="D31" s="17">
        <v>16</v>
      </c>
      <c r="E31" s="16">
        <v>1</v>
      </c>
      <c r="F31" s="16"/>
      <c r="H31" s="27" t="str">
        <f t="shared" si="15"/>
        <v>·</v>
      </c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6"/>
      <c r="U31" s="26"/>
      <c r="W31" s="27" t="str">
        <f t="shared" si="5"/>
        <v>·</v>
      </c>
      <c r="X31" s="18" t="str">
        <f t="shared" si="6"/>
        <v>·</v>
      </c>
      <c r="Y31" s="19" t="str">
        <f t="shared" si="7"/>
        <v>·</v>
      </c>
      <c r="Z31" s="19" t="str">
        <f t="shared" si="8"/>
        <v>·</v>
      </c>
      <c r="AA31" s="19" t="str">
        <f t="shared" si="9"/>
        <v>·</v>
      </c>
      <c r="AB31" s="20"/>
      <c r="AC31" s="19" t="str">
        <f t="shared" si="10"/>
        <v>·</v>
      </c>
      <c r="AD31" s="21"/>
      <c r="AE31" s="22"/>
      <c r="AF31" s="22"/>
      <c r="AG31" s="22"/>
      <c r="AH31" s="23"/>
      <c r="AI31" s="26"/>
      <c r="AJ31" s="26"/>
      <c r="AL31" s="28" t="e">
        <f t="shared" si="11"/>
        <v>#VALUE!</v>
      </c>
      <c r="AM31" s="28" t="e">
        <f t="shared" si="12"/>
        <v>#VALUE!</v>
      </c>
      <c r="AN31" s="28" t="e">
        <f t="shared" si="13"/>
        <v>#VALUE!</v>
      </c>
      <c r="AO31" s="29"/>
      <c r="AP31" s="27" t="e">
        <f t="shared" si="14"/>
        <v>#DIV/0!</v>
      </c>
      <c r="AQ31" s="27" t="e">
        <f t="array" ref="AQ31">AVERAGE(AF31:AF31/AE31:AE31) - AVERAGE(Q31:Q31/P31:P31)</f>
        <v>#DIV/0!</v>
      </c>
    </row>
    <row r="32" spans="1:43" collapsed="1" x14ac:dyDescent="0.15">
      <c r="A32" s="30"/>
      <c r="B32" s="30" t="s">
        <v>313</v>
      </c>
      <c r="C32" s="30">
        <v>499660</v>
      </c>
      <c r="D32" s="32">
        <v>12</v>
      </c>
      <c r="E32" s="31">
        <v>1</v>
      </c>
      <c r="F32" s="31"/>
      <c r="H32" s="42" t="str">
        <f t="shared" si="15"/>
        <v>·</v>
      </c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41"/>
      <c r="U32" s="41"/>
      <c r="W32" s="42" t="str">
        <f t="shared" si="5"/>
        <v>·</v>
      </c>
      <c r="X32" s="33" t="str">
        <f t="shared" si="6"/>
        <v>·</v>
      </c>
      <c r="Y32" s="34" t="str">
        <f t="shared" si="7"/>
        <v>·</v>
      </c>
      <c r="Z32" s="34" t="str">
        <f t="shared" si="8"/>
        <v>·</v>
      </c>
      <c r="AA32" s="34" t="str">
        <f t="shared" si="9"/>
        <v>·</v>
      </c>
      <c r="AB32" s="35"/>
      <c r="AC32" s="34" t="str">
        <f t="shared" si="10"/>
        <v>·</v>
      </c>
      <c r="AD32" s="36"/>
      <c r="AE32" s="37"/>
      <c r="AF32" s="37"/>
      <c r="AG32" s="37"/>
      <c r="AH32" s="38"/>
      <c r="AI32" s="41"/>
      <c r="AJ32" s="41"/>
      <c r="AL32" s="43" t="e">
        <f t="shared" si="11"/>
        <v>#VALUE!</v>
      </c>
      <c r="AM32" s="43" t="e">
        <f t="shared" si="12"/>
        <v>#VALUE!</v>
      </c>
      <c r="AN32" s="43" t="e">
        <f t="shared" si="13"/>
        <v>#VALUE!</v>
      </c>
      <c r="AO32" s="44"/>
      <c r="AP32" s="42" t="e">
        <f t="shared" si="14"/>
        <v>#DIV/0!</v>
      </c>
      <c r="AQ32" s="42" t="e">
        <f t="array" ref="AQ32">AVERAGE(AF32:AF32/AE32:AE32) - AVERAGE(Q32:Q32/P32:P32)</f>
        <v>#DIV/0!</v>
      </c>
    </row>
    <row r="33" spans="1:43" collapsed="1" x14ac:dyDescent="0.15">
      <c r="A33" s="15"/>
      <c r="B33" s="15" t="s">
        <v>316</v>
      </c>
      <c r="C33" s="15">
        <v>63787119</v>
      </c>
      <c r="D33" s="17">
        <v>15</v>
      </c>
      <c r="E33" s="16">
        <v>1</v>
      </c>
      <c r="F33" s="16"/>
      <c r="H33" s="27" t="str">
        <f t="shared" si="15"/>
        <v>·</v>
      </c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6"/>
      <c r="U33" s="26"/>
      <c r="W33" s="27" t="str">
        <f t="shared" si="5"/>
        <v>·</v>
      </c>
      <c r="X33" s="18" t="str">
        <f t="shared" si="6"/>
        <v>·</v>
      </c>
      <c r="Y33" s="19" t="str">
        <f t="shared" si="7"/>
        <v>·</v>
      </c>
      <c r="Z33" s="19" t="str">
        <f t="shared" si="8"/>
        <v>·</v>
      </c>
      <c r="AA33" s="19" t="str">
        <f t="shared" si="9"/>
        <v>·</v>
      </c>
      <c r="AB33" s="20"/>
      <c r="AC33" s="19" t="str">
        <f t="shared" si="10"/>
        <v>·</v>
      </c>
      <c r="AD33" s="21"/>
      <c r="AE33" s="22"/>
      <c r="AF33" s="22"/>
      <c r="AG33" s="22"/>
      <c r="AH33" s="23"/>
      <c r="AI33" s="26"/>
      <c r="AJ33" s="26"/>
      <c r="AL33" s="28" t="e">
        <f t="shared" si="11"/>
        <v>#VALUE!</v>
      </c>
      <c r="AM33" s="28" t="e">
        <f t="shared" si="12"/>
        <v>#VALUE!</v>
      </c>
      <c r="AN33" s="28" t="e">
        <f t="shared" si="13"/>
        <v>#VALUE!</v>
      </c>
      <c r="AO33" s="29"/>
      <c r="AP33" s="27" t="e">
        <f t="shared" si="14"/>
        <v>#DIV/0!</v>
      </c>
      <c r="AQ33" s="27" t="e">
        <f t="array" ref="AQ33">AVERAGE(AF33:AF33/AE33:AE33) - AVERAGE(Q33:Q33/P33:P33)</f>
        <v>#DIV/0!</v>
      </c>
    </row>
    <row r="34" spans="1:43" collapsed="1" x14ac:dyDescent="0.15">
      <c r="A34" s="45"/>
      <c r="B34" s="45" t="s">
        <v>319</v>
      </c>
      <c r="C34" s="45">
        <v>1995189</v>
      </c>
      <c r="D34" s="47">
        <v>13</v>
      </c>
      <c r="E34" s="46">
        <v>1</v>
      </c>
      <c r="F34" s="46"/>
      <c r="H34" s="57" t="str">
        <f t="shared" si="15"/>
        <v>·</v>
      </c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6"/>
      <c r="U34" s="56"/>
      <c r="W34" s="57" t="str">
        <f t="shared" si="5"/>
        <v>·</v>
      </c>
      <c r="X34" s="48" t="str">
        <f t="shared" si="6"/>
        <v>·</v>
      </c>
      <c r="Y34" s="49" t="str">
        <f t="shared" si="7"/>
        <v>·</v>
      </c>
      <c r="Z34" s="49" t="str">
        <f t="shared" si="8"/>
        <v>·</v>
      </c>
      <c r="AA34" s="49" t="str">
        <f t="shared" si="9"/>
        <v>·</v>
      </c>
      <c r="AB34" s="50"/>
      <c r="AC34" s="49" t="str">
        <f t="shared" si="10"/>
        <v>·</v>
      </c>
      <c r="AD34" s="51"/>
      <c r="AE34" s="52"/>
      <c r="AF34" s="52"/>
      <c r="AG34" s="52"/>
      <c r="AH34" s="53"/>
      <c r="AI34" s="56"/>
      <c r="AJ34" s="56"/>
      <c r="AL34" s="58" t="e">
        <f t="shared" si="11"/>
        <v>#VALUE!</v>
      </c>
      <c r="AM34" s="58" t="e">
        <f t="shared" si="12"/>
        <v>#VALUE!</v>
      </c>
      <c r="AN34" s="58" t="e">
        <f t="shared" si="13"/>
        <v>#VALUE!</v>
      </c>
      <c r="AO34" s="59"/>
      <c r="AP34" s="57" t="e">
        <f t="shared" si="14"/>
        <v>#DIV/0!</v>
      </c>
      <c r="AQ34" s="57" t="e">
        <f t="array" ref="AQ34">AVERAGE(AF34:AF34/AE34:AE34) - AVERAGE(Q34:Q34/P34:P34)</f>
        <v>#DIV/0!</v>
      </c>
    </row>
    <row r="35" spans="1:43" collapsed="1" x14ac:dyDescent="0.15">
      <c r="A35" s="15" t="s">
        <v>323</v>
      </c>
      <c r="B35" s="15" t="s">
        <v>322</v>
      </c>
      <c r="C35" s="15">
        <v>1530552</v>
      </c>
      <c r="D35" s="17">
        <v>20</v>
      </c>
      <c r="E35" s="16">
        <v>1</v>
      </c>
      <c r="F35" s="16"/>
      <c r="H35" s="27" t="str">
        <f t="shared" si="15"/>
        <v>·</v>
      </c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6"/>
      <c r="U35" s="26"/>
      <c r="W35" s="27" t="str">
        <f t="shared" si="5"/>
        <v>·</v>
      </c>
      <c r="X35" s="18" t="str">
        <f t="shared" si="6"/>
        <v>·</v>
      </c>
      <c r="Y35" s="19" t="str">
        <f t="shared" si="7"/>
        <v>·</v>
      </c>
      <c r="Z35" s="19" t="str">
        <f t="shared" si="8"/>
        <v>·</v>
      </c>
      <c r="AA35" s="19" t="str">
        <f t="shared" si="9"/>
        <v>·</v>
      </c>
      <c r="AB35" s="20"/>
      <c r="AC35" s="19" t="str">
        <f t="shared" si="10"/>
        <v>·</v>
      </c>
      <c r="AD35" s="21"/>
      <c r="AE35" s="22"/>
      <c r="AF35" s="22"/>
      <c r="AG35" s="22"/>
      <c r="AH35" s="23"/>
      <c r="AI35" s="26"/>
      <c r="AJ35" s="26"/>
      <c r="AL35" s="28" t="e">
        <f t="shared" si="11"/>
        <v>#VALUE!</v>
      </c>
      <c r="AM35" s="28" t="e">
        <f t="shared" si="12"/>
        <v>#VALUE!</v>
      </c>
      <c r="AN35" s="28" t="e">
        <f t="shared" si="13"/>
        <v>#VALUE!</v>
      </c>
      <c r="AO35" s="29"/>
      <c r="AP35" s="27" t="e">
        <f t="shared" si="14"/>
        <v>#DIV/0!</v>
      </c>
      <c r="AQ35" s="27" t="e">
        <f t="array" ref="AQ35">AVERAGE(AF35:AF35/AE35:AE35) - AVERAGE(Q35:Q35/P35:P35)</f>
        <v>#DIV/0!</v>
      </c>
    </row>
    <row r="36" spans="1:43" collapsed="1" x14ac:dyDescent="0.15">
      <c r="A36" s="30"/>
      <c r="B36" s="30" t="s">
        <v>326</v>
      </c>
      <c r="C36" s="30">
        <v>272689</v>
      </c>
      <c r="D36" s="32">
        <v>20</v>
      </c>
      <c r="E36" s="31">
        <v>1</v>
      </c>
      <c r="F36" s="31"/>
      <c r="H36" s="42" t="str">
        <f t="shared" si="15"/>
        <v>·</v>
      </c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41"/>
      <c r="U36" s="41"/>
      <c r="W36" s="42" t="str">
        <f t="shared" si="5"/>
        <v>·</v>
      </c>
      <c r="X36" s="33" t="str">
        <f t="shared" si="6"/>
        <v>·</v>
      </c>
      <c r="Y36" s="34" t="str">
        <f t="shared" si="7"/>
        <v>·</v>
      </c>
      <c r="Z36" s="34" t="str">
        <f t="shared" si="8"/>
        <v>·</v>
      </c>
      <c r="AA36" s="34" t="str">
        <f t="shared" si="9"/>
        <v>·</v>
      </c>
      <c r="AB36" s="35"/>
      <c r="AC36" s="34" t="str">
        <f t="shared" si="10"/>
        <v>·</v>
      </c>
      <c r="AD36" s="36"/>
      <c r="AE36" s="37"/>
      <c r="AF36" s="37"/>
      <c r="AG36" s="37"/>
      <c r="AH36" s="38"/>
      <c r="AI36" s="41"/>
      <c r="AJ36" s="41"/>
      <c r="AL36" s="43" t="e">
        <f t="shared" si="11"/>
        <v>#VALUE!</v>
      </c>
      <c r="AM36" s="43" t="e">
        <f t="shared" si="12"/>
        <v>#VALUE!</v>
      </c>
      <c r="AN36" s="43" t="e">
        <f t="shared" si="13"/>
        <v>#VALUE!</v>
      </c>
      <c r="AO36" s="44"/>
      <c r="AP36" s="42" t="e">
        <f t="shared" si="14"/>
        <v>#DIV/0!</v>
      </c>
      <c r="AQ36" s="42" t="e">
        <f t="array" ref="AQ36">AVERAGE(AF36:AF36/AE36:AE36) - AVERAGE(Q36:Q36/P36:P36)</f>
        <v>#DIV/0!</v>
      </c>
    </row>
    <row r="37" spans="1:43" collapsed="1" x14ac:dyDescent="0.15">
      <c r="A37" s="15"/>
      <c r="B37" s="15" t="s">
        <v>329</v>
      </c>
      <c r="C37" s="15">
        <v>1602990</v>
      </c>
      <c r="D37" s="17">
        <v>20</v>
      </c>
      <c r="E37" s="16">
        <v>1</v>
      </c>
      <c r="F37" s="16"/>
      <c r="H37" s="27" t="str">
        <f t="shared" ref="H37:H63" si="16">IF(ISBLANK(P37),"·",P37/(C37*(D37*3+IF(AND(ISNUMBER(R37),R37&gt;0),24,0)+IF(AND(ISNUMBER(S37),S37&gt;0),8,0))))</f>
        <v>·</v>
      </c>
      <c r="I37" s="18" t="str">
        <f t="shared" ref="I37:I63" si="17">IF(OR(ISBLANK(P37),ISBLANK(F37)),"·",P37*F37/E37/1000000)</f>
        <v>·</v>
      </c>
      <c r="J37" s="19" t="str">
        <f t="shared" ref="J37:J63" si="18">IF(ISBLANK(P37),"·",P37/C37)</f>
        <v>·</v>
      </c>
      <c r="K37" s="19" t="str">
        <f t="shared" ref="K37:K63" si="19">IF(Q37="","·",Q37/C37)</f>
        <v>·</v>
      </c>
      <c r="L37" s="19" t="str">
        <f t="shared" ref="L37:L53" si="20">IF(ISBLANK(R37),"·",R37/C37)</f>
        <v>·</v>
      </c>
      <c r="M37" s="20"/>
      <c r="N37" s="19" t="str">
        <f t="shared" ref="N37:N63" si="21">IF(ISBLANK(P37),"·",P37/O37)</f>
        <v>·</v>
      </c>
      <c r="O37" s="21"/>
      <c r="P37" s="22"/>
      <c r="Q37" s="22"/>
      <c r="R37" s="22"/>
      <c r="S37" s="23"/>
      <c r="T37" s="26"/>
      <c r="U37" s="26"/>
      <c r="W37" s="27" t="str">
        <f t="shared" ref="W37:W63" si="22">IF(ISBLANK(AE37),"·",AE37/(C37*(D37*3+IF(AND(ISNUMBER(AG37),AG37&gt;0),24,0)+IF(AND(ISNUMBER(AH37),AH37&gt;0),8,0))))</f>
        <v>·</v>
      </c>
      <c r="X37" s="18" t="str">
        <f t="shared" ref="X37:X63" si="23">IF(OR(ISBLANK(AE37),ISBLANK(F37)),"·",AE37*F37/E37/1000000)</f>
        <v>·</v>
      </c>
      <c r="Y37" s="19" t="str">
        <f t="shared" ref="Y37:Y63" si="24">IF(ISBLANK(AE37),"·",AE37/C37)</f>
        <v>·</v>
      </c>
      <c r="Z37" s="19" t="str">
        <f t="shared" ref="Z37:Z63" si="25">IF(AF37="","·",AF37/C37)</f>
        <v>·</v>
      </c>
      <c r="AA37" s="19" t="str">
        <f t="shared" ref="AA37:AA53" si="26">IF(ISBLANK(AG37),"·",AG37/C37)</f>
        <v>·</v>
      </c>
      <c r="AB37" s="20"/>
      <c r="AC37" s="19" t="str">
        <f t="shared" ref="AC37:AC63" si="27">IF(ISBLANK(AE37),"·",AE37/AD37)</f>
        <v>·</v>
      </c>
      <c r="AD37" s="21"/>
      <c r="AE37" s="22"/>
      <c r="AF37" s="22"/>
      <c r="AG37" s="22"/>
      <c r="AH37" s="23"/>
      <c r="AI37" s="26"/>
      <c r="AJ37" s="26"/>
      <c r="AL37" s="28" t="e">
        <f t="shared" ref="AL37:AL53" si="28">Y37/J37</f>
        <v>#VALUE!</v>
      </c>
      <c r="AM37" s="28" t="e">
        <f t="shared" ref="AM37:AM53" si="29">Z37/K37</f>
        <v>#VALUE!</v>
      </c>
      <c r="AN37" s="28" t="e">
        <f t="shared" ref="AN37:AN53" si="30">AA37/L37</f>
        <v>#VALUE!</v>
      </c>
      <c r="AO37" s="29"/>
      <c r="AP37" s="27" t="e">
        <f t="shared" ref="AP37:AP63" si="31">(AF37/AE37) - (Q37/P37)</f>
        <v>#DIV/0!</v>
      </c>
      <c r="AQ37" s="27" t="e">
        <f t="array" ref="AQ37">AVERAGE(AF37:AF37/AE37:AE37) - AVERAGE(Q37:Q37/P37:P37)</f>
        <v>#DIV/0!</v>
      </c>
    </row>
    <row r="38" spans="1:43" collapsed="1" x14ac:dyDescent="0.15">
      <c r="A38" s="30"/>
      <c r="B38" s="30" t="s">
        <v>332</v>
      </c>
      <c r="C38" s="30">
        <v>8929532</v>
      </c>
      <c r="D38" s="32">
        <v>20</v>
      </c>
      <c r="E38" s="31">
        <v>1</v>
      </c>
      <c r="F38" s="31"/>
      <c r="H38" s="42" t="str">
        <f t="shared" si="16"/>
        <v>·</v>
      </c>
      <c r="I38" s="33" t="str">
        <f t="shared" si="17"/>
        <v>·</v>
      </c>
      <c r="J38" s="34" t="str">
        <f t="shared" si="18"/>
        <v>·</v>
      </c>
      <c r="K38" s="34" t="str">
        <f t="shared" si="19"/>
        <v>·</v>
      </c>
      <c r="L38" s="34" t="str">
        <f t="shared" si="20"/>
        <v>·</v>
      </c>
      <c r="M38" s="35"/>
      <c r="N38" s="34" t="str">
        <f t="shared" si="21"/>
        <v>·</v>
      </c>
      <c r="O38" s="36"/>
      <c r="P38" s="37"/>
      <c r="Q38" s="37"/>
      <c r="R38" s="37"/>
      <c r="S38" s="38"/>
      <c r="T38" s="41"/>
      <c r="U38" s="41"/>
      <c r="W38" s="42" t="str">
        <f t="shared" si="22"/>
        <v>·</v>
      </c>
      <c r="X38" s="33" t="str">
        <f t="shared" si="23"/>
        <v>·</v>
      </c>
      <c r="Y38" s="34" t="str">
        <f t="shared" si="24"/>
        <v>·</v>
      </c>
      <c r="Z38" s="34" t="str">
        <f t="shared" si="25"/>
        <v>·</v>
      </c>
      <c r="AA38" s="34" t="str">
        <f t="shared" si="26"/>
        <v>·</v>
      </c>
      <c r="AB38" s="35"/>
      <c r="AC38" s="34" t="str">
        <f t="shared" si="27"/>
        <v>·</v>
      </c>
      <c r="AD38" s="36"/>
      <c r="AE38" s="37"/>
      <c r="AF38" s="37"/>
      <c r="AG38" s="37"/>
      <c r="AH38" s="38"/>
      <c r="AI38" s="41"/>
      <c r="AJ38" s="41"/>
      <c r="AL38" s="43" t="e">
        <f t="shared" si="28"/>
        <v>#VALUE!</v>
      </c>
      <c r="AM38" s="43" t="e">
        <f t="shared" si="29"/>
        <v>#VALUE!</v>
      </c>
      <c r="AN38" s="43" t="e">
        <f t="shared" si="30"/>
        <v>#VALUE!</v>
      </c>
      <c r="AO38" s="44"/>
      <c r="AP38" s="42" t="e">
        <f t="shared" si="31"/>
        <v>#DIV/0!</v>
      </c>
      <c r="AQ38" s="42" t="e">
        <f t="array" ref="AQ38">AVERAGE(AF38:AF38/AE38:AE38) - AVERAGE(Q38:Q38/P38:P38)</f>
        <v>#DIV/0!</v>
      </c>
    </row>
    <row r="39" spans="1:43" collapsed="1" x14ac:dyDescent="0.15">
      <c r="A39" s="15"/>
      <c r="B39" s="15" t="s">
        <v>335</v>
      </c>
      <c r="C39" s="15">
        <v>19714629</v>
      </c>
      <c r="D39" s="17">
        <v>20</v>
      </c>
      <c r="E39" s="16">
        <v>1</v>
      </c>
      <c r="F39" s="16"/>
      <c r="H39" s="27" t="str">
        <f t="shared" si="16"/>
        <v>·</v>
      </c>
      <c r="I39" s="18" t="str">
        <f t="shared" si="17"/>
        <v>·</v>
      </c>
      <c r="J39" s="19" t="str">
        <f t="shared" si="18"/>
        <v>·</v>
      </c>
      <c r="K39" s="19" t="str">
        <f t="shared" si="19"/>
        <v>·</v>
      </c>
      <c r="L39" s="19" t="str">
        <f t="shared" si="20"/>
        <v>·</v>
      </c>
      <c r="M39" s="20"/>
      <c r="N39" s="19" t="str">
        <f t="shared" si="21"/>
        <v>·</v>
      </c>
      <c r="O39" s="21"/>
      <c r="P39" s="22"/>
      <c r="Q39" s="22"/>
      <c r="R39" s="22"/>
      <c r="S39" s="23"/>
      <c r="T39" s="26"/>
      <c r="U39" s="26"/>
      <c r="W39" s="27" t="str">
        <f t="shared" si="22"/>
        <v>·</v>
      </c>
      <c r="X39" s="18" t="str">
        <f t="shared" si="23"/>
        <v>·</v>
      </c>
      <c r="Y39" s="19" t="str">
        <f t="shared" si="24"/>
        <v>·</v>
      </c>
      <c r="Z39" s="19" t="str">
        <f t="shared" si="25"/>
        <v>·</v>
      </c>
      <c r="AA39" s="19" t="str">
        <f t="shared" si="26"/>
        <v>·</v>
      </c>
      <c r="AB39" s="20"/>
      <c r="AC39" s="19" t="str">
        <f t="shared" si="27"/>
        <v>·</v>
      </c>
      <c r="AD39" s="21"/>
      <c r="AE39" s="22"/>
      <c r="AF39" s="22"/>
      <c r="AG39" s="22"/>
      <c r="AH39" s="23"/>
      <c r="AI39" s="26"/>
      <c r="AJ39" s="26"/>
      <c r="AL39" s="28" t="e">
        <f t="shared" si="28"/>
        <v>#VALUE!</v>
      </c>
      <c r="AM39" s="28" t="e">
        <f t="shared" si="29"/>
        <v>#VALUE!</v>
      </c>
      <c r="AN39" s="28" t="e">
        <f t="shared" si="30"/>
        <v>#VALUE!</v>
      </c>
      <c r="AO39" s="29"/>
      <c r="AP39" s="27" t="e">
        <f t="shared" si="31"/>
        <v>#DIV/0!</v>
      </c>
      <c r="AQ39" s="27" t="e">
        <f t="array" ref="AQ39">AVERAGE(AF39:AF39/AE39:AE39) - AVERAGE(Q39:Q39/P39:P39)</f>
        <v>#DIV/0!</v>
      </c>
    </row>
    <row r="40" spans="1:43" collapsed="1" x14ac:dyDescent="0.15">
      <c r="A40" s="30"/>
      <c r="B40" s="30" t="s">
        <v>338</v>
      </c>
      <c r="C40" s="30">
        <v>3630907</v>
      </c>
      <c r="D40" s="32">
        <v>20</v>
      </c>
      <c r="E40" s="31">
        <v>1</v>
      </c>
      <c r="F40" s="31"/>
      <c r="H40" s="42" t="str">
        <f t="shared" si="16"/>
        <v>·</v>
      </c>
      <c r="I40" s="33" t="str">
        <f t="shared" si="17"/>
        <v>·</v>
      </c>
      <c r="J40" s="34" t="str">
        <f t="shared" si="18"/>
        <v>·</v>
      </c>
      <c r="K40" s="34" t="str">
        <f t="shared" si="19"/>
        <v>·</v>
      </c>
      <c r="L40" s="34" t="str">
        <f t="shared" si="20"/>
        <v>·</v>
      </c>
      <c r="M40" s="35"/>
      <c r="N40" s="34" t="str">
        <f t="shared" si="21"/>
        <v>·</v>
      </c>
      <c r="O40" s="36"/>
      <c r="P40" s="37"/>
      <c r="Q40" s="37"/>
      <c r="R40" s="37"/>
      <c r="S40" s="38"/>
      <c r="T40" s="41"/>
      <c r="U40" s="41"/>
      <c r="W40" s="42" t="str">
        <f t="shared" si="22"/>
        <v>·</v>
      </c>
      <c r="X40" s="33" t="str">
        <f t="shared" si="23"/>
        <v>·</v>
      </c>
      <c r="Y40" s="34" t="str">
        <f t="shared" si="24"/>
        <v>·</v>
      </c>
      <c r="Z40" s="34" t="str">
        <f t="shared" si="25"/>
        <v>·</v>
      </c>
      <c r="AA40" s="34" t="str">
        <f t="shared" si="26"/>
        <v>·</v>
      </c>
      <c r="AB40" s="35"/>
      <c r="AC40" s="34" t="str">
        <f t="shared" si="27"/>
        <v>·</v>
      </c>
      <c r="AD40" s="36"/>
      <c r="AE40" s="37"/>
      <c r="AF40" s="37"/>
      <c r="AG40" s="37"/>
      <c r="AH40" s="38"/>
      <c r="AI40" s="41"/>
      <c r="AJ40" s="41"/>
      <c r="AL40" s="43" t="e">
        <f t="shared" si="28"/>
        <v>#VALUE!</v>
      </c>
      <c r="AM40" s="43" t="e">
        <f t="shared" si="29"/>
        <v>#VALUE!</v>
      </c>
      <c r="AN40" s="43" t="e">
        <f t="shared" si="30"/>
        <v>#VALUE!</v>
      </c>
      <c r="AO40" s="44"/>
      <c r="AP40" s="42" t="e">
        <f t="shared" si="31"/>
        <v>#DIV/0!</v>
      </c>
      <c r="AQ40" s="42" t="e">
        <f t="array" ref="AQ40">AVERAGE(AF40:AF40/AE40:AE40) - AVERAGE(Q40:Q40/P40:P40)</f>
        <v>#DIV/0!</v>
      </c>
    </row>
    <row r="41" spans="1:43" collapsed="1" x14ac:dyDescent="0.15">
      <c r="A41" s="15"/>
      <c r="B41" s="15" t="s">
        <v>341</v>
      </c>
      <c r="C41" s="15">
        <v>14025709</v>
      </c>
      <c r="D41" s="17">
        <v>20</v>
      </c>
      <c r="E41" s="16">
        <v>1</v>
      </c>
      <c r="F41" s="16"/>
      <c r="H41" s="27" t="str">
        <f t="shared" si="16"/>
        <v>·</v>
      </c>
      <c r="I41" s="18" t="str">
        <f t="shared" si="17"/>
        <v>·</v>
      </c>
      <c r="J41" s="19" t="str">
        <f t="shared" si="18"/>
        <v>·</v>
      </c>
      <c r="K41" s="19" t="str">
        <f t="shared" si="19"/>
        <v>·</v>
      </c>
      <c r="L41" s="19" t="str">
        <f t="shared" si="20"/>
        <v>·</v>
      </c>
      <c r="M41" s="20"/>
      <c r="N41" s="19" t="str">
        <f t="shared" si="21"/>
        <v>·</v>
      </c>
      <c r="O41" s="21"/>
      <c r="P41" s="22"/>
      <c r="Q41" s="22"/>
      <c r="R41" s="22"/>
      <c r="S41" s="23"/>
      <c r="T41" s="26"/>
      <c r="U41" s="26"/>
      <c r="W41" s="27" t="str">
        <f t="shared" si="22"/>
        <v>·</v>
      </c>
      <c r="X41" s="18" t="str">
        <f t="shared" si="23"/>
        <v>·</v>
      </c>
      <c r="Y41" s="19" t="str">
        <f t="shared" si="24"/>
        <v>·</v>
      </c>
      <c r="Z41" s="19" t="str">
        <f t="shared" si="25"/>
        <v>·</v>
      </c>
      <c r="AA41" s="19" t="str">
        <f t="shared" si="26"/>
        <v>·</v>
      </c>
      <c r="AB41" s="20"/>
      <c r="AC41" s="19" t="str">
        <f t="shared" si="27"/>
        <v>·</v>
      </c>
      <c r="AD41" s="21"/>
      <c r="AE41" s="22"/>
      <c r="AF41" s="22"/>
      <c r="AG41" s="22"/>
      <c r="AH41" s="23"/>
      <c r="AI41" s="26"/>
      <c r="AJ41" s="26"/>
      <c r="AL41" s="28" t="e">
        <f t="shared" si="28"/>
        <v>#VALUE!</v>
      </c>
      <c r="AM41" s="28" t="e">
        <f t="shared" si="29"/>
        <v>#VALUE!</v>
      </c>
      <c r="AN41" s="28" t="e">
        <f t="shared" si="30"/>
        <v>#VALUE!</v>
      </c>
      <c r="AO41" s="29"/>
      <c r="AP41" s="27" t="e">
        <f t="shared" si="31"/>
        <v>#DIV/0!</v>
      </c>
      <c r="AQ41" s="27" t="e">
        <f t="array" ref="AQ41">AVERAGE(AF41:AF41/AE41:AE41) - AVERAGE(Q41:Q41/P41:P41)</f>
        <v>#DIV/0!</v>
      </c>
    </row>
    <row r="42" spans="1:43" collapsed="1" x14ac:dyDescent="0.15">
      <c r="A42" s="30"/>
      <c r="B42" s="30" t="s">
        <v>344</v>
      </c>
      <c r="C42" s="30">
        <v>5001077</v>
      </c>
      <c r="D42" s="32">
        <v>20</v>
      </c>
      <c r="E42" s="31">
        <v>1</v>
      </c>
      <c r="F42" s="31"/>
      <c r="H42" s="42" t="str">
        <f t="shared" si="16"/>
        <v>·</v>
      </c>
      <c r="I42" s="33" t="str">
        <f t="shared" si="17"/>
        <v>·</v>
      </c>
      <c r="J42" s="34" t="str">
        <f t="shared" si="18"/>
        <v>·</v>
      </c>
      <c r="K42" s="34" t="str">
        <f t="shared" si="19"/>
        <v>·</v>
      </c>
      <c r="L42" s="34" t="str">
        <f t="shared" si="20"/>
        <v>·</v>
      </c>
      <c r="M42" s="35"/>
      <c r="N42" s="34" t="str">
        <f t="shared" si="21"/>
        <v>·</v>
      </c>
      <c r="O42" s="36"/>
      <c r="P42" s="37"/>
      <c r="Q42" s="37"/>
      <c r="R42" s="37"/>
      <c r="S42" s="38"/>
      <c r="T42" s="41"/>
      <c r="U42" s="41"/>
      <c r="W42" s="42" t="str">
        <f t="shared" si="22"/>
        <v>·</v>
      </c>
      <c r="X42" s="33" t="str">
        <f t="shared" si="23"/>
        <v>·</v>
      </c>
      <c r="Y42" s="34" t="str">
        <f t="shared" si="24"/>
        <v>·</v>
      </c>
      <c r="Z42" s="34" t="str">
        <f t="shared" si="25"/>
        <v>·</v>
      </c>
      <c r="AA42" s="34" t="str">
        <f t="shared" si="26"/>
        <v>·</v>
      </c>
      <c r="AB42" s="35"/>
      <c r="AC42" s="34" t="str">
        <f t="shared" si="27"/>
        <v>·</v>
      </c>
      <c r="AD42" s="36"/>
      <c r="AE42" s="37"/>
      <c r="AF42" s="37"/>
      <c r="AG42" s="37"/>
      <c r="AH42" s="38"/>
      <c r="AI42" s="41"/>
      <c r="AJ42" s="41"/>
      <c r="AL42" s="43" t="e">
        <f t="shared" si="28"/>
        <v>#VALUE!</v>
      </c>
      <c r="AM42" s="43" t="e">
        <f t="shared" si="29"/>
        <v>#VALUE!</v>
      </c>
      <c r="AN42" s="43" t="e">
        <f t="shared" si="30"/>
        <v>#VALUE!</v>
      </c>
      <c r="AO42" s="44"/>
      <c r="AP42" s="42" t="e">
        <f t="shared" si="31"/>
        <v>#DIV/0!</v>
      </c>
      <c r="AQ42" s="42" t="e">
        <f t="array" ref="AQ42">AVERAGE(AF42:AF42/AE42:AE42) - AVERAGE(Q42:Q42/P42:P42)</f>
        <v>#DIV/0!</v>
      </c>
    </row>
    <row r="43" spans="1:43" collapsed="1" x14ac:dyDescent="0.15">
      <c r="A43" s="15"/>
      <c r="B43" s="15" t="s">
        <v>347</v>
      </c>
      <c r="C43" s="15">
        <v>72145549</v>
      </c>
      <c r="D43" s="17">
        <v>20</v>
      </c>
      <c r="E43" s="16">
        <v>1</v>
      </c>
      <c r="F43" s="16"/>
      <c r="H43" s="27" t="str">
        <f t="shared" si="16"/>
        <v>·</v>
      </c>
      <c r="I43" s="18" t="str">
        <f t="shared" si="17"/>
        <v>·</v>
      </c>
      <c r="J43" s="19" t="str">
        <f t="shared" si="18"/>
        <v>·</v>
      </c>
      <c r="K43" s="19" t="str">
        <f t="shared" si="19"/>
        <v>·</v>
      </c>
      <c r="L43" s="19" t="str">
        <f t="shared" si="20"/>
        <v>·</v>
      </c>
      <c r="M43" s="20"/>
      <c r="N43" s="19" t="str">
        <f t="shared" si="21"/>
        <v>·</v>
      </c>
      <c r="O43" s="21"/>
      <c r="P43" s="22"/>
      <c r="Q43" s="22"/>
      <c r="R43" s="22"/>
      <c r="S43" s="23"/>
      <c r="T43" s="26"/>
      <c r="U43" s="26"/>
      <c r="W43" s="27" t="str">
        <f t="shared" si="22"/>
        <v>·</v>
      </c>
      <c r="X43" s="18" t="str">
        <f t="shared" si="23"/>
        <v>·</v>
      </c>
      <c r="Y43" s="19" t="str">
        <f t="shared" si="24"/>
        <v>·</v>
      </c>
      <c r="Z43" s="19" t="str">
        <f t="shared" si="25"/>
        <v>·</v>
      </c>
      <c r="AA43" s="19" t="str">
        <f t="shared" si="26"/>
        <v>·</v>
      </c>
      <c r="AB43" s="20"/>
      <c r="AC43" s="19" t="str">
        <f t="shared" si="27"/>
        <v>·</v>
      </c>
      <c r="AD43" s="21"/>
      <c r="AE43" s="22"/>
      <c r="AF43" s="22"/>
      <c r="AG43" s="22"/>
      <c r="AH43" s="23"/>
      <c r="AI43" s="26"/>
      <c r="AJ43" s="26"/>
      <c r="AL43" s="28" t="e">
        <f t="shared" si="28"/>
        <v>#VALUE!</v>
      </c>
      <c r="AM43" s="28" t="e">
        <f t="shared" si="29"/>
        <v>#VALUE!</v>
      </c>
      <c r="AN43" s="28" t="e">
        <f t="shared" si="30"/>
        <v>#VALUE!</v>
      </c>
      <c r="AO43" s="29"/>
      <c r="AP43" s="27" t="e">
        <f t="shared" si="31"/>
        <v>#DIV/0!</v>
      </c>
      <c r="AQ43" s="27" t="e">
        <f t="array" ref="AQ43">AVERAGE(AF43:AF43/AE43:AE43) - AVERAGE(Q43:Q43/P43:P43)</f>
        <v>#DIV/0!</v>
      </c>
    </row>
    <row r="44" spans="1:43" collapsed="1" x14ac:dyDescent="0.15">
      <c r="A44" s="30"/>
      <c r="B44" s="30" t="s">
        <v>350</v>
      </c>
      <c r="C44" s="30">
        <v>4203962</v>
      </c>
      <c r="D44" s="32">
        <v>20</v>
      </c>
      <c r="E44" s="31">
        <v>1</v>
      </c>
      <c r="F44" s="31"/>
      <c r="H44" s="42" t="str">
        <f t="shared" si="16"/>
        <v>·</v>
      </c>
      <c r="I44" s="33" t="str">
        <f t="shared" si="17"/>
        <v>·</v>
      </c>
      <c r="J44" s="34" t="str">
        <f t="shared" si="18"/>
        <v>·</v>
      </c>
      <c r="K44" s="34" t="str">
        <f t="shared" si="19"/>
        <v>·</v>
      </c>
      <c r="L44" s="34" t="str">
        <f t="shared" si="20"/>
        <v>·</v>
      </c>
      <c r="M44" s="35"/>
      <c r="N44" s="34" t="str">
        <f t="shared" si="21"/>
        <v>·</v>
      </c>
      <c r="O44" s="36"/>
      <c r="P44" s="37"/>
      <c r="Q44" s="37"/>
      <c r="R44" s="37"/>
      <c r="S44" s="38"/>
      <c r="T44" s="41"/>
      <c r="U44" s="41"/>
      <c r="W44" s="42" t="str">
        <f t="shared" si="22"/>
        <v>·</v>
      </c>
      <c r="X44" s="33" t="str">
        <f t="shared" si="23"/>
        <v>·</v>
      </c>
      <c r="Y44" s="34" t="str">
        <f t="shared" si="24"/>
        <v>·</v>
      </c>
      <c r="Z44" s="34" t="str">
        <f t="shared" si="25"/>
        <v>·</v>
      </c>
      <c r="AA44" s="34" t="str">
        <f t="shared" si="26"/>
        <v>·</v>
      </c>
      <c r="AB44" s="35"/>
      <c r="AC44" s="34" t="str">
        <f t="shared" si="27"/>
        <v>·</v>
      </c>
      <c r="AD44" s="36"/>
      <c r="AE44" s="37"/>
      <c r="AF44" s="37"/>
      <c r="AG44" s="37"/>
      <c r="AH44" s="38"/>
      <c r="AI44" s="41"/>
      <c r="AJ44" s="41"/>
      <c r="AL44" s="43" t="e">
        <f t="shared" si="28"/>
        <v>#VALUE!</v>
      </c>
      <c r="AM44" s="43" t="e">
        <f t="shared" si="29"/>
        <v>#VALUE!</v>
      </c>
      <c r="AN44" s="43" t="e">
        <f t="shared" si="30"/>
        <v>#VALUE!</v>
      </c>
      <c r="AO44" s="44"/>
      <c r="AP44" s="42" t="e">
        <f t="shared" si="31"/>
        <v>#DIV/0!</v>
      </c>
      <c r="AQ44" s="42" t="e">
        <f t="array" ref="AQ44">AVERAGE(AF44:AF44/AE44:AE44) - AVERAGE(Q44:Q44/P44:P44)</f>
        <v>#DIV/0!</v>
      </c>
    </row>
    <row r="45" spans="1:43" collapsed="1" x14ac:dyDescent="0.15">
      <c r="A45" s="15"/>
      <c r="B45" s="15" t="s">
        <v>353</v>
      </c>
      <c r="C45" s="15">
        <v>1010591</v>
      </c>
      <c r="D45" s="17">
        <v>20</v>
      </c>
      <c r="E45" s="16">
        <v>1</v>
      </c>
      <c r="F45" s="16"/>
      <c r="H45" s="27" t="str">
        <f t="shared" si="16"/>
        <v>·</v>
      </c>
      <c r="I45" s="18" t="str">
        <f t="shared" si="17"/>
        <v>·</v>
      </c>
      <c r="J45" s="19" t="str">
        <f t="shared" si="18"/>
        <v>·</v>
      </c>
      <c r="K45" s="19" t="str">
        <f t="shared" si="19"/>
        <v>·</v>
      </c>
      <c r="L45" s="19" t="str">
        <f t="shared" si="20"/>
        <v>·</v>
      </c>
      <c r="M45" s="20"/>
      <c r="N45" s="19" t="str">
        <f t="shared" si="21"/>
        <v>·</v>
      </c>
      <c r="O45" s="21"/>
      <c r="P45" s="22"/>
      <c r="Q45" s="22"/>
      <c r="R45" s="22"/>
      <c r="S45" s="23"/>
      <c r="T45" s="26"/>
      <c r="U45" s="26"/>
      <c r="W45" s="27" t="str">
        <f t="shared" si="22"/>
        <v>·</v>
      </c>
      <c r="X45" s="18" t="str">
        <f t="shared" si="23"/>
        <v>·</v>
      </c>
      <c r="Y45" s="19" t="str">
        <f t="shared" si="24"/>
        <v>·</v>
      </c>
      <c r="Z45" s="19" t="str">
        <f t="shared" si="25"/>
        <v>·</v>
      </c>
      <c r="AA45" s="19" t="str">
        <f t="shared" si="26"/>
        <v>·</v>
      </c>
      <c r="AB45" s="20"/>
      <c r="AC45" s="19" t="str">
        <f t="shared" si="27"/>
        <v>·</v>
      </c>
      <c r="AD45" s="21"/>
      <c r="AE45" s="22"/>
      <c r="AF45" s="22"/>
      <c r="AG45" s="22"/>
      <c r="AH45" s="23"/>
      <c r="AI45" s="26"/>
      <c r="AJ45" s="26"/>
      <c r="AL45" s="28" t="e">
        <f t="shared" si="28"/>
        <v>#VALUE!</v>
      </c>
      <c r="AM45" s="28" t="e">
        <f t="shared" si="29"/>
        <v>#VALUE!</v>
      </c>
      <c r="AN45" s="28" t="e">
        <f t="shared" si="30"/>
        <v>#VALUE!</v>
      </c>
      <c r="AO45" s="29"/>
      <c r="AP45" s="27" t="e">
        <f t="shared" si="31"/>
        <v>#DIV/0!</v>
      </c>
      <c r="AQ45" s="27" t="e">
        <f t="array" ref="AQ45">AVERAGE(AF45:AF45/AE45:AE45) - AVERAGE(Q45:Q45/P45:P45)</f>
        <v>#DIV/0!</v>
      </c>
    </row>
    <row r="46" spans="1:43" collapsed="1" x14ac:dyDescent="0.15">
      <c r="A46" s="30"/>
      <c r="B46" s="30" t="s">
        <v>356</v>
      </c>
      <c r="C46" s="30">
        <v>47062018</v>
      </c>
      <c r="D46" s="32">
        <v>20</v>
      </c>
      <c r="E46" s="31">
        <v>1</v>
      </c>
      <c r="F46" s="31"/>
      <c r="H46" s="42" t="str">
        <f t="shared" si="16"/>
        <v>·</v>
      </c>
      <c r="I46" s="33" t="str">
        <f t="shared" si="17"/>
        <v>·</v>
      </c>
      <c r="J46" s="34" t="str">
        <f t="shared" si="18"/>
        <v>·</v>
      </c>
      <c r="K46" s="34" t="str">
        <f t="shared" si="19"/>
        <v>·</v>
      </c>
      <c r="L46" s="34" t="str">
        <f t="shared" si="20"/>
        <v>·</v>
      </c>
      <c r="M46" s="35"/>
      <c r="N46" s="34" t="str">
        <f t="shared" si="21"/>
        <v>·</v>
      </c>
      <c r="O46" s="36"/>
      <c r="P46" s="37"/>
      <c r="Q46" s="37"/>
      <c r="R46" s="37"/>
      <c r="S46" s="38"/>
      <c r="T46" s="41"/>
      <c r="U46" s="41"/>
      <c r="W46" s="42" t="str">
        <f t="shared" si="22"/>
        <v>·</v>
      </c>
      <c r="X46" s="33" t="str">
        <f t="shared" si="23"/>
        <v>·</v>
      </c>
      <c r="Y46" s="34" t="str">
        <f t="shared" si="24"/>
        <v>·</v>
      </c>
      <c r="Z46" s="34" t="str">
        <f t="shared" si="25"/>
        <v>·</v>
      </c>
      <c r="AA46" s="34" t="str">
        <f t="shared" si="26"/>
        <v>·</v>
      </c>
      <c r="AB46" s="35"/>
      <c r="AC46" s="34" t="str">
        <f t="shared" si="27"/>
        <v>·</v>
      </c>
      <c r="AD46" s="36"/>
      <c r="AE46" s="37"/>
      <c r="AF46" s="37"/>
      <c r="AG46" s="37"/>
      <c r="AH46" s="38"/>
      <c r="AI46" s="41"/>
      <c r="AJ46" s="41"/>
      <c r="AL46" s="43" t="e">
        <f t="shared" si="28"/>
        <v>#VALUE!</v>
      </c>
      <c r="AM46" s="43" t="e">
        <f t="shared" si="29"/>
        <v>#VALUE!</v>
      </c>
      <c r="AN46" s="43" t="e">
        <f t="shared" si="30"/>
        <v>#VALUE!</v>
      </c>
      <c r="AO46" s="44"/>
      <c r="AP46" s="42" t="e">
        <f t="shared" si="31"/>
        <v>#DIV/0!</v>
      </c>
      <c r="AQ46" s="42" t="e">
        <f t="array" ref="AQ46">AVERAGE(AF46:AF46/AE46:AE46) - AVERAGE(Q46:Q46/P46:P46)</f>
        <v>#DIV/0!</v>
      </c>
    </row>
    <row r="47" spans="1:43" collapsed="1" x14ac:dyDescent="0.15">
      <c r="A47" s="15"/>
      <c r="B47" s="15" t="s">
        <v>359</v>
      </c>
      <c r="C47" s="15">
        <v>43399207</v>
      </c>
      <c r="D47" s="17">
        <v>20</v>
      </c>
      <c r="E47" s="16">
        <v>1</v>
      </c>
      <c r="F47" s="16"/>
      <c r="H47" s="27" t="str">
        <f t="shared" si="16"/>
        <v>·</v>
      </c>
      <c r="I47" s="18" t="str">
        <f t="shared" si="17"/>
        <v>·</v>
      </c>
      <c r="J47" s="19" t="str">
        <f t="shared" si="18"/>
        <v>·</v>
      </c>
      <c r="K47" s="19" t="str">
        <f t="shared" si="19"/>
        <v>·</v>
      </c>
      <c r="L47" s="19" t="str">
        <f t="shared" si="20"/>
        <v>·</v>
      </c>
      <c r="M47" s="20"/>
      <c r="N47" s="19" t="str">
        <f t="shared" si="21"/>
        <v>·</v>
      </c>
      <c r="O47" s="21"/>
      <c r="P47" s="22"/>
      <c r="Q47" s="22"/>
      <c r="R47" s="22"/>
      <c r="S47" s="23"/>
      <c r="T47" s="26"/>
      <c r="U47" s="26"/>
      <c r="W47" s="27" t="str">
        <f t="shared" si="22"/>
        <v>·</v>
      </c>
      <c r="X47" s="18" t="str">
        <f t="shared" si="23"/>
        <v>·</v>
      </c>
      <c r="Y47" s="19" t="str">
        <f t="shared" si="24"/>
        <v>·</v>
      </c>
      <c r="Z47" s="19" t="str">
        <f t="shared" si="25"/>
        <v>·</v>
      </c>
      <c r="AA47" s="19" t="str">
        <f t="shared" si="26"/>
        <v>·</v>
      </c>
      <c r="AB47" s="20"/>
      <c r="AC47" s="19" t="str">
        <f t="shared" si="27"/>
        <v>·</v>
      </c>
      <c r="AD47" s="21"/>
      <c r="AE47" s="22"/>
      <c r="AF47" s="22"/>
      <c r="AG47" s="22"/>
      <c r="AH47" s="23"/>
      <c r="AI47" s="26"/>
      <c r="AJ47" s="26"/>
      <c r="AL47" s="28" t="e">
        <f t="shared" si="28"/>
        <v>#VALUE!</v>
      </c>
      <c r="AM47" s="28" t="e">
        <f t="shared" si="29"/>
        <v>#VALUE!</v>
      </c>
      <c r="AN47" s="28" t="e">
        <f t="shared" si="30"/>
        <v>#VALUE!</v>
      </c>
      <c r="AO47" s="29"/>
      <c r="AP47" s="27" t="e">
        <f t="shared" si="31"/>
        <v>#DIV/0!</v>
      </c>
      <c r="AQ47" s="27" t="e">
        <f t="array" ref="AQ47">AVERAGE(AF47:AF47/AE47:AE47) - AVERAGE(Q47:Q47/P47:P47)</f>
        <v>#DIV/0!</v>
      </c>
    </row>
    <row r="48" spans="1:43" collapsed="1" x14ac:dyDescent="0.15">
      <c r="A48" s="30"/>
      <c r="B48" s="30" t="s">
        <v>362</v>
      </c>
      <c r="C48" s="30">
        <v>499886</v>
      </c>
      <c r="D48" s="32">
        <v>20</v>
      </c>
      <c r="E48" s="31">
        <v>1</v>
      </c>
      <c r="F48" s="31"/>
      <c r="H48" s="42" t="str">
        <f t="shared" si="16"/>
        <v>·</v>
      </c>
      <c r="I48" s="33" t="str">
        <f t="shared" si="17"/>
        <v>·</v>
      </c>
      <c r="J48" s="34" t="str">
        <f t="shared" si="18"/>
        <v>·</v>
      </c>
      <c r="K48" s="34" t="str">
        <f t="shared" si="19"/>
        <v>·</v>
      </c>
      <c r="L48" s="34" t="str">
        <f t="shared" si="20"/>
        <v>·</v>
      </c>
      <c r="M48" s="35"/>
      <c r="N48" s="34" t="str">
        <f t="shared" si="21"/>
        <v>·</v>
      </c>
      <c r="O48" s="36"/>
      <c r="P48" s="37"/>
      <c r="Q48" s="37"/>
      <c r="R48" s="37"/>
      <c r="S48" s="38"/>
      <c r="T48" s="41"/>
      <c r="U48" s="41"/>
      <c r="W48" s="42" t="str">
        <f t="shared" si="22"/>
        <v>·</v>
      </c>
      <c r="X48" s="33" t="str">
        <f t="shared" si="23"/>
        <v>·</v>
      </c>
      <c r="Y48" s="34" t="str">
        <f t="shared" si="24"/>
        <v>·</v>
      </c>
      <c r="Z48" s="34" t="str">
        <f t="shared" si="25"/>
        <v>·</v>
      </c>
      <c r="AA48" s="34" t="str">
        <f t="shared" si="26"/>
        <v>·</v>
      </c>
      <c r="AB48" s="35"/>
      <c r="AC48" s="34" t="str">
        <f t="shared" si="27"/>
        <v>·</v>
      </c>
      <c r="AD48" s="36"/>
      <c r="AE48" s="37"/>
      <c r="AF48" s="37"/>
      <c r="AG48" s="37"/>
      <c r="AH48" s="38"/>
      <c r="AI48" s="41"/>
      <c r="AJ48" s="41"/>
      <c r="AL48" s="43" t="e">
        <f t="shared" si="28"/>
        <v>#VALUE!</v>
      </c>
      <c r="AM48" s="43" t="e">
        <f t="shared" si="29"/>
        <v>#VALUE!</v>
      </c>
      <c r="AN48" s="43" t="e">
        <f t="shared" si="30"/>
        <v>#VALUE!</v>
      </c>
      <c r="AO48" s="44"/>
      <c r="AP48" s="42" t="e">
        <f t="shared" si="31"/>
        <v>#DIV/0!</v>
      </c>
      <c r="AQ48" s="42" t="e">
        <f t="array" ref="AQ48">AVERAGE(AF48:AF48/AE48:AE48) - AVERAGE(Q48:Q48/P48:P48)</f>
        <v>#DIV/0!</v>
      </c>
    </row>
    <row r="49" spans="1:43" collapsed="1" x14ac:dyDescent="0.15">
      <c r="A49" s="15"/>
      <c r="B49" s="15" t="s">
        <v>365</v>
      </c>
      <c r="C49" s="15">
        <v>63864641</v>
      </c>
      <c r="D49" s="17">
        <v>20</v>
      </c>
      <c r="E49" s="16">
        <v>1</v>
      </c>
      <c r="F49" s="16"/>
      <c r="H49" s="27" t="str">
        <f t="shared" si="16"/>
        <v>·</v>
      </c>
      <c r="I49" s="18" t="str">
        <f t="shared" si="17"/>
        <v>·</v>
      </c>
      <c r="J49" s="19" t="str">
        <f t="shared" si="18"/>
        <v>·</v>
      </c>
      <c r="K49" s="19" t="str">
        <f t="shared" si="19"/>
        <v>·</v>
      </c>
      <c r="L49" s="19" t="str">
        <f t="shared" si="20"/>
        <v>·</v>
      </c>
      <c r="M49" s="20"/>
      <c r="N49" s="19" t="str">
        <f t="shared" si="21"/>
        <v>·</v>
      </c>
      <c r="O49" s="21"/>
      <c r="P49" s="22"/>
      <c r="Q49" s="22"/>
      <c r="R49" s="22"/>
      <c r="S49" s="23"/>
      <c r="T49" s="26"/>
      <c r="U49" s="26"/>
      <c r="W49" s="27" t="str">
        <f t="shared" si="22"/>
        <v>·</v>
      </c>
      <c r="X49" s="18" t="str">
        <f t="shared" si="23"/>
        <v>·</v>
      </c>
      <c r="Y49" s="19" t="str">
        <f t="shared" si="24"/>
        <v>·</v>
      </c>
      <c r="Z49" s="19" t="str">
        <f t="shared" si="25"/>
        <v>·</v>
      </c>
      <c r="AA49" s="19" t="str">
        <f t="shared" si="26"/>
        <v>·</v>
      </c>
      <c r="AB49" s="20"/>
      <c r="AC49" s="19" t="str">
        <f t="shared" si="27"/>
        <v>·</v>
      </c>
      <c r="AD49" s="21"/>
      <c r="AE49" s="22"/>
      <c r="AF49" s="22"/>
      <c r="AG49" s="22"/>
      <c r="AH49" s="23"/>
      <c r="AI49" s="26"/>
      <c r="AJ49" s="26"/>
      <c r="AL49" s="28" t="e">
        <f t="shared" si="28"/>
        <v>#VALUE!</v>
      </c>
      <c r="AM49" s="28" t="e">
        <f t="shared" si="29"/>
        <v>#VALUE!</v>
      </c>
      <c r="AN49" s="28" t="e">
        <f t="shared" si="30"/>
        <v>#VALUE!</v>
      </c>
      <c r="AO49" s="29"/>
      <c r="AP49" s="27" t="e">
        <f t="shared" si="31"/>
        <v>#DIV/0!</v>
      </c>
      <c r="AQ49" s="27" t="e">
        <f t="array" ref="AQ49">AVERAGE(AF49:AF49/AE49:AE49) - AVERAGE(Q49:Q49/P49:P49)</f>
        <v>#DIV/0!</v>
      </c>
    </row>
    <row r="50" spans="1:43" collapsed="1" x14ac:dyDescent="0.15">
      <c r="A50" s="45"/>
      <c r="B50" s="45" t="s">
        <v>368</v>
      </c>
      <c r="C50" s="45">
        <v>2000297</v>
      </c>
      <c r="D50" s="47">
        <v>20</v>
      </c>
      <c r="E50" s="46">
        <v>1</v>
      </c>
      <c r="F50" s="46"/>
      <c r="H50" s="57" t="str">
        <f t="shared" si="16"/>
        <v>·</v>
      </c>
      <c r="I50" s="48" t="str">
        <f t="shared" si="17"/>
        <v>·</v>
      </c>
      <c r="J50" s="49" t="str">
        <f t="shared" si="18"/>
        <v>·</v>
      </c>
      <c r="K50" s="49" t="str">
        <f t="shared" si="19"/>
        <v>·</v>
      </c>
      <c r="L50" s="49" t="str">
        <f t="shared" si="20"/>
        <v>·</v>
      </c>
      <c r="M50" s="50"/>
      <c r="N50" s="49" t="str">
        <f t="shared" si="21"/>
        <v>·</v>
      </c>
      <c r="O50" s="51"/>
      <c r="P50" s="52"/>
      <c r="Q50" s="52"/>
      <c r="R50" s="52"/>
      <c r="S50" s="53"/>
      <c r="T50" s="56"/>
      <c r="U50" s="56"/>
      <c r="W50" s="57" t="str">
        <f t="shared" si="22"/>
        <v>·</v>
      </c>
      <c r="X50" s="48" t="str">
        <f t="shared" si="23"/>
        <v>·</v>
      </c>
      <c r="Y50" s="49" t="str">
        <f t="shared" si="24"/>
        <v>·</v>
      </c>
      <c r="Z50" s="49" t="str">
        <f t="shared" si="25"/>
        <v>·</v>
      </c>
      <c r="AA50" s="49" t="str">
        <f t="shared" si="26"/>
        <v>·</v>
      </c>
      <c r="AB50" s="50"/>
      <c r="AC50" s="49" t="str">
        <f t="shared" si="27"/>
        <v>·</v>
      </c>
      <c r="AD50" s="51"/>
      <c r="AE50" s="52"/>
      <c r="AF50" s="52"/>
      <c r="AG50" s="52"/>
      <c r="AH50" s="53"/>
      <c r="AI50" s="56"/>
      <c r="AJ50" s="56"/>
      <c r="AL50" s="58" t="e">
        <f t="shared" si="28"/>
        <v>#VALUE!</v>
      </c>
      <c r="AM50" s="58" t="e">
        <f t="shared" si="29"/>
        <v>#VALUE!</v>
      </c>
      <c r="AN50" s="58" t="e">
        <f t="shared" si="30"/>
        <v>#VALUE!</v>
      </c>
      <c r="AO50" s="59"/>
      <c r="AP50" s="57" t="e">
        <f t="shared" si="31"/>
        <v>#DIV/0!</v>
      </c>
      <c r="AQ50" s="57" t="e">
        <f t="array" ref="AQ50">AVERAGE(AF50:AF50/AE50:AE50) - AVERAGE(Q50:Q50/P50:P50)</f>
        <v>#DIV/0!</v>
      </c>
    </row>
    <row r="51" spans="1:43" collapsed="1" x14ac:dyDescent="0.15">
      <c r="A51" s="15" t="s">
        <v>372</v>
      </c>
      <c r="B51" s="15" t="s">
        <v>371</v>
      </c>
      <c r="C51" s="15">
        <v>19948121</v>
      </c>
      <c r="D51" s="17">
        <v>21</v>
      </c>
      <c r="E51" s="16">
        <v>1</v>
      </c>
      <c r="F51" s="16"/>
      <c r="H51" s="27" t="str">
        <f t="shared" si="16"/>
        <v>·</v>
      </c>
      <c r="I51" s="18" t="str">
        <f t="shared" si="17"/>
        <v>·</v>
      </c>
      <c r="J51" s="19" t="str">
        <f t="shared" si="18"/>
        <v>·</v>
      </c>
      <c r="K51" s="19" t="str">
        <f t="shared" si="19"/>
        <v>·</v>
      </c>
      <c r="L51" s="19" t="str">
        <f t="shared" si="20"/>
        <v>·</v>
      </c>
      <c r="M51" s="19" t="str">
        <f t="shared" ref="M51:M63" si="32">IF(ISBLANK(Q51),"·",S51/C51)</f>
        <v>·</v>
      </c>
      <c r="N51" s="19" t="str">
        <f t="shared" si="21"/>
        <v>·</v>
      </c>
      <c r="O51" s="21"/>
      <c r="P51" s="22"/>
      <c r="Q51" s="22"/>
      <c r="R51" s="22"/>
      <c r="S51" s="22"/>
      <c r="T51" s="26"/>
      <c r="U51" s="26"/>
      <c r="W51" s="27" t="str">
        <f t="shared" si="22"/>
        <v>·</v>
      </c>
      <c r="X51" s="18" t="str">
        <f t="shared" si="23"/>
        <v>·</v>
      </c>
      <c r="Y51" s="19" t="str">
        <f t="shared" si="24"/>
        <v>·</v>
      </c>
      <c r="Z51" s="19" t="str">
        <f t="shared" si="25"/>
        <v>·</v>
      </c>
      <c r="AA51" s="19" t="str">
        <f t="shared" si="26"/>
        <v>·</v>
      </c>
      <c r="AB51" s="19" t="str">
        <f t="shared" ref="AB51:AB63" si="33">IF(ISBLANK(AF51),"·",AH51/C51)</f>
        <v>·</v>
      </c>
      <c r="AC51" s="19" t="str">
        <f t="shared" si="27"/>
        <v>·</v>
      </c>
      <c r="AD51" s="21"/>
      <c r="AE51" s="22"/>
      <c r="AF51" s="22"/>
      <c r="AG51" s="22"/>
      <c r="AH51" s="22"/>
      <c r="AI51" s="26"/>
      <c r="AJ51" s="26"/>
      <c r="AL51" s="28" t="e">
        <f t="shared" si="28"/>
        <v>#VALUE!</v>
      </c>
      <c r="AM51" s="28" t="e">
        <f t="shared" si="29"/>
        <v>#VALUE!</v>
      </c>
      <c r="AN51" s="28" t="e">
        <f t="shared" si="30"/>
        <v>#VALUE!</v>
      </c>
      <c r="AO51" s="28" t="e">
        <f t="shared" ref="AO51:AO63" si="34">AB51/M51</f>
        <v>#VALUE!</v>
      </c>
      <c r="AP51" s="27" t="e">
        <f t="shared" si="31"/>
        <v>#DIV/0!</v>
      </c>
      <c r="AQ51" s="27" t="e">
        <f t="array" ref="AQ51">AVERAGE(AF51:AF51/AE51:AE51) - AVERAGE(Q51:Q51/P51:P51)</f>
        <v>#DIV/0!</v>
      </c>
    </row>
    <row r="52" spans="1:43" collapsed="1" x14ac:dyDescent="0.15">
      <c r="A52" s="30"/>
      <c r="B52" s="30" t="s">
        <v>375</v>
      </c>
      <c r="C52" s="30">
        <v>5255920</v>
      </c>
      <c r="D52" s="32">
        <v>20</v>
      </c>
      <c r="E52" s="31">
        <v>1</v>
      </c>
      <c r="F52" s="31"/>
      <c r="H52" s="42" t="str">
        <f t="shared" si="16"/>
        <v>·</v>
      </c>
      <c r="I52" s="33" t="str">
        <f t="shared" si="17"/>
        <v>·</v>
      </c>
      <c r="J52" s="34" t="str">
        <f t="shared" si="18"/>
        <v>·</v>
      </c>
      <c r="K52" s="34" t="str">
        <f t="shared" si="19"/>
        <v>·</v>
      </c>
      <c r="L52" s="34" t="str">
        <f t="shared" si="20"/>
        <v>·</v>
      </c>
      <c r="M52" s="34" t="str">
        <f t="shared" si="32"/>
        <v>·</v>
      </c>
      <c r="N52" s="34" t="str">
        <f t="shared" si="21"/>
        <v>·</v>
      </c>
      <c r="O52" s="36"/>
      <c r="P52" s="37"/>
      <c r="Q52" s="37"/>
      <c r="R52" s="37"/>
      <c r="S52" s="37"/>
      <c r="T52" s="41"/>
      <c r="U52" s="41"/>
      <c r="W52" s="42" t="str">
        <f t="shared" si="22"/>
        <v>·</v>
      </c>
      <c r="X52" s="33" t="str">
        <f t="shared" si="23"/>
        <v>·</v>
      </c>
      <c r="Y52" s="34" t="str">
        <f t="shared" si="24"/>
        <v>·</v>
      </c>
      <c r="Z52" s="34" t="str">
        <f t="shared" si="25"/>
        <v>·</v>
      </c>
      <c r="AA52" s="34" t="str">
        <f t="shared" si="26"/>
        <v>·</v>
      </c>
      <c r="AB52" s="34" t="str">
        <f t="shared" si="33"/>
        <v>·</v>
      </c>
      <c r="AC52" s="34" t="str">
        <f t="shared" si="27"/>
        <v>·</v>
      </c>
      <c r="AD52" s="36"/>
      <c r="AE52" s="37"/>
      <c r="AF52" s="37"/>
      <c r="AG52" s="37"/>
      <c r="AH52" s="37"/>
      <c r="AI52" s="41"/>
      <c r="AJ52" s="41"/>
      <c r="AL52" s="43" t="e">
        <f t="shared" si="28"/>
        <v>#VALUE!</v>
      </c>
      <c r="AM52" s="43" t="e">
        <f t="shared" si="29"/>
        <v>#VALUE!</v>
      </c>
      <c r="AN52" s="43" t="e">
        <f t="shared" si="30"/>
        <v>#VALUE!</v>
      </c>
      <c r="AO52" s="43" t="e">
        <f t="shared" si="34"/>
        <v>#VALUE!</v>
      </c>
      <c r="AP52" s="42" t="e">
        <f t="shared" si="31"/>
        <v>#DIV/0!</v>
      </c>
      <c r="AQ52" s="42" t="e">
        <f t="array" ref="AQ52">AVERAGE(AF52:AF52/AE52:AE52) - AVERAGE(Q52:Q52/P52:P52)</f>
        <v>#DIV/0!</v>
      </c>
    </row>
    <row r="53" spans="1:43" collapsed="1" x14ac:dyDescent="0.15">
      <c r="A53" s="64"/>
      <c r="B53" s="64" t="s">
        <v>378</v>
      </c>
      <c r="C53" s="64">
        <v>7148516</v>
      </c>
      <c r="D53" s="65">
        <v>21</v>
      </c>
      <c r="E53" s="66">
        <v>1</v>
      </c>
      <c r="F53" s="66"/>
      <c r="H53" s="67" t="str">
        <f t="shared" si="16"/>
        <v>·</v>
      </c>
      <c r="I53" s="68" t="str">
        <f t="shared" si="17"/>
        <v>·</v>
      </c>
      <c r="J53" s="69" t="str">
        <f t="shared" si="18"/>
        <v>·</v>
      </c>
      <c r="K53" s="69" t="str">
        <f t="shared" si="19"/>
        <v>·</v>
      </c>
      <c r="L53" s="69" t="str">
        <f t="shared" si="20"/>
        <v>·</v>
      </c>
      <c r="M53" s="69" t="str">
        <f t="shared" si="32"/>
        <v>·</v>
      </c>
      <c r="N53" s="69" t="str">
        <f t="shared" si="21"/>
        <v>·</v>
      </c>
      <c r="O53" s="71"/>
      <c r="P53" s="72"/>
      <c r="Q53" s="72"/>
      <c r="R53" s="72"/>
      <c r="S53" s="72"/>
      <c r="T53" s="74"/>
      <c r="U53" s="74"/>
      <c r="W53" s="67" t="str">
        <f t="shared" si="22"/>
        <v>·</v>
      </c>
      <c r="X53" s="68" t="str">
        <f t="shared" si="23"/>
        <v>·</v>
      </c>
      <c r="Y53" s="69" t="str">
        <f t="shared" si="24"/>
        <v>·</v>
      </c>
      <c r="Z53" s="69" t="str">
        <f t="shared" si="25"/>
        <v>·</v>
      </c>
      <c r="AA53" s="69" t="str">
        <f t="shared" si="26"/>
        <v>·</v>
      </c>
      <c r="AB53" s="69" t="str">
        <f t="shared" si="33"/>
        <v>·</v>
      </c>
      <c r="AC53" s="69" t="str">
        <f t="shared" si="27"/>
        <v>·</v>
      </c>
      <c r="AD53" s="71"/>
      <c r="AE53" s="72"/>
      <c r="AF53" s="72"/>
      <c r="AG53" s="72"/>
      <c r="AH53" s="72"/>
      <c r="AI53" s="74"/>
      <c r="AJ53" s="74"/>
      <c r="AL53" s="75" t="e">
        <f t="shared" si="28"/>
        <v>#VALUE!</v>
      </c>
      <c r="AM53" s="75" t="e">
        <f t="shared" si="29"/>
        <v>#VALUE!</v>
      </c>
      <c r="AN53" s="75" t="e">
        <f t="shared" si="30"/>
        <v>#VALUE!</v>
      </c>
      <c r="AO53" s="75" t="e">
        <f t="shared" si="34"/>
        <v>#VALUE!</v>
      </c>
      <c r="AP53" s="67" t="e">
        <f t="shared" si="31"/>
        <v>#DIV/0!</v>
      </c>
      <c r="AQ53" s="67" t="e">
        <f t="array" ref="AQ53">AVERAGE(AF53:AF53/AE53:AE53) - AVERAGE(Q53:Q53/P53:P53)</f>
        <v>#DIV/0!</v>
      </c>
    </row>
    <row r="54" spans="1:43" collapsed="1" x14ac:dyDescent="0.15">
      <c r="A54" s="15" t="s">
        <v>1020</v>
      </c>
      <c r="B54" s="30" t="s">
        <v>381</v>
      </c>
      <c r="C54" s="30">
        <v>123940658</v>
      </c>
      <c r="D54" s="32">
        <v>18</v>
      </c>
      <c r="E54" s="31">
        <v>1500</v>
      </c>
      <c r="F54" s="31">
        <v>10</v>
      </c>
      <c r="H54" s="42" t="str">
        <f t="shared" si="16"/>
        <v>·</v>
      </c>
      <c r="I54" s="33" t="str">
        <f t="shared" si="17"/>
        <v>·</v>
      </c>
      <c r="J54" s="34" t="str">
        <f t="shared" si="18"/>
        <v>·</v>
      </c>
      <c r="K54" s="34" t="str">
        <f t="shared" si="19"/>
        <v>·</v>
      </c>
      <c r="L54" s="35"/>
      <c r="M54" s="34" t="str">
        <f t="shared" si="32"/>
        <v>·</v>
      </c>
      <c r="N54" s="34" t="str">
        <f t="shared" si="21"/>
        <v>·</v>
      </c>
      <c r="O54" s="36"/>
      <c r="P54" s="37"/>
      <c r="Q54" s="37"/>
      <c r="R54" s="38"/>
      <c r="S54" s="37"/>
      <c r="T54" s="41"/>
      <c r="U54" s="41"/>
      <c r="W54" s="42" t="str">
        <f t="shared" si="22"/>
        <v>·</v>
      </c>
      <c r="X54" s="33" t="str">
        <f t="shared" si="23"/>
        <v>·</v>
      </c>
      <c r="Y54" s="34" t="str">
        <f t="shared" si="24"/>
        <v>·</v>
      </c>
      <c r="Z54" s="34" t="str">
        <f t="shared" si="25"/>
        <v>·</v>
      </c>
      <c r="AA54" s="35"/>
      <c r="AB54" s="34" t="str">
        <f t="shared" si="33"/>
        <v>·</v>
      </c>
      <c r="AC54" s="34" t="str">
        <f t="shared" si="27"/>
        <v>·</v>
      </c>
      <c r="AD54" s="36"/>
      <c r="AE54" s="37"/>
      <c r="AF54" s="37"/>
      <c r="AG54" s="38"/>
      <c r="AH54" s="37"/>
      <c r="AI54" s="41"/>
      <c r="AJ54" s="41"/>
      <c r="AL54" s="43" t="e">
        <f t="shared" ref="AL54:AL71" si="35">Y54/J54</f>
        <v>#VALUE!</v>
      </c>
      <c r="AM54" s="43" t="e">
        <f t="shared" ref="AM54:AM71" si="36">Z54/K54</f>
        <v>#VALUE!</v>
      </c>
      <c r="AN54" s="44"/>
      <c r="AO54" s="43" t="e">
        <f t="shared" si="34"/>
        <v>#VALUE!</v>
      </c>
      <c r="AP54" s="42" t="e">
        <f t="shared" si="31"/>
        <v>#DIV/0!</v>
      </c>
      <c r="AQ54" s="42" t="e">
        <f t="array" ref="AQ54">AVERAGE(AF54:AF54/AE54:AE54) - AVERAGE(Q54:Q54/P54:P54)</f>
        <v>#DIV/0!</v>
      </c>
    </row>
    <row r="55" spans="1:43" collapsed="1" x14ac:dyDescent="0.15">
      <c r="A55" s="15"/>
      <c r="B55" s="15" t="s">
        <v>384</v>
      </c>
      <c r="C55" s="15">
        <v>125751705</v>
      </c>
      <c r="D55" s="17">
        <v>18</v>
      </c>
      <c r="E55" s="16">
        <v>1500</v>
      </c>
      <c r="F55" s="16">
        <v>10</v>
      </c>
      <c r="H55" s="27" t="str">
        <f t="shared" si="16"/>
        <v>·</v>
      </c>
      <c r="I55" s="18" t="str">
        <f t="shared" si="17"/>
        <v>·</v>
      </c>
      <c r="J55" s="19" t="str">
        <f t="shared" si="18"/>
        <v>·</v>
      </c>
      <c r="K55" s="19" t="str">
        <f t="shared" si="19"/>
        <v>·</v>
      </c>
      <c r="L55" s="20"/>
      <c r="M55" s="19" t="str">
        <f t="shared" si="32"/>
        <v>·</v>
      </c>
      <c r="N55" s="19" t="str">
        <f t="shared" si="21"/>
        <v>·</v>
      </c>
      <c r="O55" s="21"/>
      <c r="P55" s="22"/>
      <c r="Q55" s="22"/>
      <c r="R55" s="23"/>
      <c r="S55" s="22"/>
      <c r="T55" s="26"/>
      <c r="U55" s="26"/>
      <c r="W55" s="27" t="str">
        <f t="shared" si="22"/>
        <v>·</v>
      </c>
      <c r="X55" s="18" t="str">
        <f t="shared" si="23"/>
        <v>·</v>
      </c>
      <c r="Y55" s="19" t="str">
        <f t="shared" si="24"/>
        <v>·</v>
      </c>
      <c r="Z55" s="19" t="str">
        <f t="shared" si="25"/>
        <v>·</v>
      </c>
      <c r="AA55" s="20"/>
      <c r="AB55" s="19" t="str">
        <f t="shared" si="33"/>
        <v>·</v>
      </c>
      <c r="AC55" s="19" t="str">
        <f t="shared" si="27"/>
        <v>·</v>
      </c>
      <c r="AD55" s="21"/>
      <c r="AE55" s="22"/>
      <c r="AF55" s="22"/>
      <c r="AG55" s="23"/>
      <c r="AH55" s="22"/>
      <c r="AI55" s="26"/>
      <c r="AJ55" s="26"/>
      <c r="AL55" s="28" t="e">
        <f t="shared" si="35"/>
        <v>#VALUE!</v>
      </c>
      <c r="AM55" s="28" t="e">
        <f t="shared" si="36"/>
        <v>#VALUE!</v>
      </c>
      <c r="AN55" s="29"/>
      <c r="AO55" s="28" t="e">
        <f t="shared" si="34"/>
        <v>#VALUE!</v>
      </c>
      <c r="AP55" s="27" t="e">
        <f t="shared" si="31"/>
        <v>#DIV/0!</v>
      </c>
      <c r="AQ55" s="27" t="e">
        <f t="array" ref="AQ55">AVERAGE(AF55:AF55/AE55:AE55) - AVERAGE(Q55:Q55/P55:P55)</f>
        <v>#DIV/0!</v>
      </c>
    </row>
    <row r="56" spans="1:43" collapsed="1" x14ac:dyDescent="0.15">
      <c r="A56" s="30"/>
      <c r="B56" s="30" t="s">
        <v>387</v>
      </c>
      <c r="C56" s="30">
        <v>126093865</v>
      </c>
      <c r="D56" s="32">
        <v>18</v>
      </c>
      <c r="E56" s="31">
        <v>1500</v>
      </c>
      <c r="F56" s="31">
        <v>10</v>
      </c>
      <c r="H56" s="42" t="str">
        <f t="shared" si="16"/>
        <v>·</v>
      </c>
      <c r="I56" s="33" t="str">
        <f t="shared" si="17"/>
        <v>·</v>
      </c>
      <c r="J56" s="34" t="str">
        <f t="shared" si="18"/>
        <v>·</v>
      </c>
      <c r="K56" s="34" t="str">
        <f t="shared" si="19"/>
        <v>·</v>
      </c>
      <c r="L56" s="35"/>
      <c r="M56" s="34" t="str">
        <f t="shared" si="32"/>
        <v>·</v>
      </c>
      <c r="N56" s="34" t="str">
        <f t="shared" si="21"/>
        <v>·</v>
      </c>
      <c r="O56" s="36"/>
      <c r="P56" s="37"/>
      <c r="Q56" s="37"/>
      <c r="R56" s="38"/>
      <c r="S56" s="37"/>
      <c r="T56" s="41"/>
      <c r="U56" s="41"/>
      <c r="W56" s="42" t="str">
        <f t="shared" si="22"/>
        <v>·</v>
      </c>
      <c r="X56" s="33" t="str">
        <f t="shared" si="23"/>
        <v>·</v>
      </c>
      <c r="Y56" s="34" t="str">
        <f t="shared" si="24"/>
        <v>·</v>
      </c>
      <c r="Z56" s="34" t="str">
        <f t="shared" si="25"/>
        <v>·</v>
      </c>
      <c r="AA56" s="35"/>
      <c r="AB56" s="34" t="str">
        <f t="shared" si="33"/>
        <v>·</v>
      </c>
      <c r="AC56" s="34" t="str">
        <f t="shared" si="27"/>
        <v>·</v>
      </c>
      <c r="AD56" s="36"/>
      <c r="AE56" s="37"/>
      <c r="AF56" s="37"/>
      <c r="AG56" s="38"/>
      <c r="AH56" s="37"/>
      <c r="AI56" s="41"/>
      <c r="AJ56" s="41"/>
      <c r="AL56" s="43" t="e">
        <f t="shared" si="35"/>
        <v>#VALUE!</v>
      </c>
      <c r="AM56" s="43" t="e">
        <f t="shared" si="36"/>
        <v>#VALUE!</v>
      </c>
      <c r="AN56" s="44"/>
      <c r="AO56" s="43" t="e">
        <f t="shared" si="34"/>
        <v>#VALUE!</v>
      </c>
      <c r="AP56" s="42" t="e">
        <f t="shared" si="31"/>
        <v>#DIV/0!</v>
      </c>
      <c r="AQ56" s="42" t="e">
        <f t="array" ref="AQ56">AVERAGE(AF56:AF56/AE56:AE56) - AVERAGE(Q56:Q56/P56:P56)</f>
        <v>#DIV/0!</v>
      </c>
    </row>
    <row r="57" spans="1:43" collapsed="1" x14ac:dyDescent="0.15">
      <c r="A57" s="15"/>
      <c r="B57" s="15" t="s">
        <v>390</v>
      </c>
      <c r="C57" s="15">
        <v>2233793</v>
      </c>
      <c r="D57" s="17">
        <v>18</v>
      </c>
      <c r="E57" s="16">
        <v>74</v>
      </c>
      <c r="F57" s="16">
        <v>5</v>
      </c>
      <c r="H57" s="27" t="str">
        <f t="shared" ref="H57:H60" si="37">IF(ISBLANK(P57),"·",P57/(C57*(D57*3+IF(AND(ISNUMBER(R57),R57&gt;0),24,0)+IF(AND(ISNUMBER(S57),S57&gt;0),8,0))))</f>
        <v>·</v>
      </c>
      <c r="I57" s="18" t="str">
        <f t="shared" ref="I57:I60" si="38">IF(OR(ISBLANK(P57),ISBLANK(F57)),"·",P57*F57/E57/1000000)</f>
        <v>·</v>
      </c>
      <c r="J57" s="19" t="str">
        <f t="shared" ref="J57:J60" si="39">IF(ISBLANK(P57),"·",P57/C57)</f>
        <v>·</v>
      </c>
      <c r="K57" s="19" t="str">
        <f t="shared" ref="K57:K60" si="40">IF(Q57="","·",Q57/C57)</f>
        <v>·</v>
      </c>
      <c r="L57" s="20"/>
      <c r="M57" s="19" t="str">
        <f t="shared" ref="M57:M60" si="41">IF(ISBLANK(Q57),"·",S57/C57)</f>
        <v>·</v>
      </c>
      <c r="N57" s="19" t="str">
        <f t="shared" ref="N57:N60" si="42">IF(ISBLANK(P57),"·",P57/O57)</f>
        <v>·</v>
      </c>
      <c r="O57" s="21"/>
      <c r="P57" s="22"/>
      <c r="Q57" s="22"/>
      <c r="R57" s="23"/>
      <c r="S57" s="22"/>
      <c r="T57" s="26"/>
      <c r="U57" s="26"/>
      <c r="W57" s="27" t="str">
        <f t="shared" ref="W57:W60" si="43">IF(ISBLANK(AE57),"·",AE57/(C57*(D57*3+IF(AND(ISNUMBER(AG57),AG57&gt;0),24,0)+IF(AND(ISNUMBER(AH57),AH57&gt;0),8,0))))</f>
        <v>·</v>
      </c>
      <c r="X57" s="18" t="str">
        <f t="shared" ref="X57:X60" si="44">IF(OR(ISBLANK(AE57),ISBLANK(F57)),"·",AE57*F57/E57/1000000)</f>
        <v>·</v>
      </c>
      <c r="Y57" s="19" t="str">
        <f t="shared" ref="Y57:Y60" si="45">IF(ISBLANK(AE57),"·",AE57/C57)</f>
        <v>·</v>
      </c>
      <c r="Z57" s="19" t="str">
        <f t="shared" ref="Z57:Z60" si="46">IF(AF57="","·",AF57/C57)</f>
        <v>·</v>
      </c>
      <c r="AA57" s="20"/>
      <c r="AB57" s="19" t="str">
        <f t="shared" ref="AB57:AB60" si="47">IF(ISBLANK(AF57),"·",AH57/C57)</f>
        <v>·</v>
      </c>
      <c r="AC57" s="19" t="str">
        <f t="shared" ref="AC57:AC60" si="48">IF(ISBLANK(AE57),"·",AE57/AD57)</f>
        <v>·</v>
      </c>
      <c r="AD57" s="21"/>
      <c r="AE57" s="22"/>
      <c r="AF57" s="22"/>
      <c r="AG57" s="23"/>
      <c r="AH57" s="22"/>
      <c r="AI57" s="26"/>
      <c r="AJ57" s="26"/>
      <c r="AL57" s="28" t="e">
        <f t="shared" ref="AL57:AL60" si="49">Y57/J57</f>
        <v>#VALUE!</v>
      </c>
      <c r="AM57" s="28" t="e">
        <f t="shared" ref="AM57:AM60" si="50">Z57/K57</f>
        <v>#VALUE!</v>
      </c>
      <c r="AN57" s="29"/>
      <c r="AO57" s="28" t="e">
        <f t="shared" ref="AO57:AO60" si="51">AB57/M57</f>
        <v>#VALUE!</v>
      </c>
      <c r="AP57" s="27" t="e">
        <f t="shared" ref="AP57:AP60" si="52">(AF57/AE57) - (Q57/P57)</f>
        <v>#DIV/0!</v>
      </c>
      <c r="AQ57" s="27" t="e">
        <f t="array" ref="AQ57">AVERAGE(AF57:AF57/AE57:AE57) - AVERAGE(Q57:Q57/P57:P57)</f>
        <v>#DIV/0!</v>
      </c>
    </row>
    <row r="58" spans="1:43" collapsed="1" x14ac:dyDescent="0.15">
      <c r="A58" s="30"/>
      <c r="B58" s="30" t="s">
        <v>393</v>
      </c>
      <c r="C58" s="30">
        <v>2016190</v>
      </c>
      <c r="D58" s="32">
        <v>18</v>
      </c>
      <c r="E58" s="31">
        <v>74</v>
      </c>
      <c r="F58" s="31">
        <v>5</v>
      </c>
      <c r="H58" s="42" t="str">
        <f t="shared" si="37"/>
        <v>·</v>
      </c>
      <c r="I58" s="33" t="str">
        <f t="shared" si="38"/>
        <v>·</v>
      </c>
      <c r="J58" s="34" t="str">
        <f t="shared" si="39"/>
        <v>·</v>
      </c>
      <c r="K58" s="34" t="str">
        <f t="shared" si="40"/>
        <v>·</v>
      </c>
      <c r="L58" s="35"/>
      <c r="M58" s="34" t="str">
        <f t="shared" si="41"/>
        <v>·</v>
      </c>
      <c r="N58" s="34" t="str">
        <f t="shared" si="42"/>
        <v>·</v>
      </c>
      <c r="O58" s="36"/>
      <c r="P58" s="37"/>
      <c r="Q58" s="37"/>
      <c r="R58" s="38"/>
      <c r="S58" s="37"/>
      <c r="T58" s="41"/>
      <c r="U58" s="41"/>
      <c r="W58" s="42" t="str">
        <f t="shared" si="43"/>
        <v>·</v>
      </c>
      <c r="X58" s="33" t="str">
        <f t="shared" si="44"/>
        <v>·</v>
      </c>
      <c r="Y58" s="34" t="str">
        <f t="shared" si="45"/>
        <v>·</v>
      </c>
      <c r="Z58" s="34" t="str">
        <f t="shared" si="46"/>
        <v>·</v>
      </c>
      <c r="AA58" s="35"/>
      <c r="AB58" s="34" t="str">
        <f t="shared" si="47"/>
        <v>·</v>
      </c>
      <c r="AC58" s="34" t="str">
        <f t="shared" si="48"/>
        <v>·</v>
      </c>
      <c r="AD58" s="36"/>
      <c r="AE58" s="37"/>
      <c r="AF58" s="37"/>
      <c r="AG58" s="38"/>
      <c r="AH58" s="37"/>
      <c r="AI58" s="41"/>
      <c r="AJ58" s="41"/>
      <c r="AL58" s="43" t="e">
        <f t="shared" si="49"/>
        <v>#VALUE!</v>
      </c>
      <c r="AM58" s="43" t="e">
        <f t="shared" si="50"/>
        <v>#VALUE!</v>
      </c>
      <c r="AN58" s="44"/>
      <c r="AO58" s="43" t="e">
        <f t="shared" si="51"/>
        <v>#VALUE!</v>
      </c>
      <c r="AP58" s="42" t="e">
        <f t="shared" si="52"/>
        <v>#DIV/0!</v>
      </c>
      <c r="AQ58" s="42" t="e">
        <f t="array" ref="AQ58">AVERAGE(AF58:AF58/AE58:AE58) - AVERAGE(Q58:Q58/P58:P58)</f>
        <v>#DIV/0!</v>
      </c>
    </row>
    <row r="59" spans="1:43" collapsed="1" x14ac:dyDescent="0.15">
      <c r="A59" s="15"/>
      <c r="B59" s="15" t="s">
        <v>396</v>
      </c>
      <c r="C59" s="15">
        <v>14430189</v>
      </c>
      <c r="D59" s="17">
        <v>18</v>
      </c>
      <c r="E59" s="16">
        <v>500</v>
      </c>
      <c r="F59" s="16">
        <v>5</v>
      </c>
      <c r="H59" s="27" t="str">
        <f t="shared" si="37"/>
        <v>·</v>
      </c>
      <c r="I59" s="18" t="str">
        <f t="shared" si="38"/>
        <v>·</v>
      </c>
      <c r="J59" s="19" t="str">
        <f t="shared" si="39"/>
        <v>·</v>
      </c>
      <c r="K59" s="19" t="str">
        <f t="shared" si="40"/>
        <v>·</v>
      </c>
      <c r="L59" s="20"/>
      <c r="M59" s="19" t="str">
        <f t="shared" si="41"/>
        <v>·</v>
      </c>
      <c r="N59" s="19" t="str">
        <f t="shared" si="42"/>
        <v>·</v>
      </c>
      <c r="O59" s="21"/>
      <c r="P59" s="22"/>
      <c r="Q59" s="22"/>
      <c r="R59" s="23"/>
      <c r="S59" s="22"/>
      <c r="T59" s="26"/>
      <c r="U59" s="26"/>
      <c r="W59" s="27" t="str">
        <f t="shared" si="43"/>
        <v>·</v>
      </c>
      <c r="X59" s="18" t="str">
        <f t="shared" si="44"/>
        <v>·</v>
      </c>
      <c r="Y59" s="19" t="str">
        <f t="shared" si="45"/>
        <v>·</v>
      </c>
      <c r="Z59" s="19" t="str">
        <f t="shared" si="46"/>
        <v>·</v>
      </c>
      <c r="AA59" s="20"/>
      <c r="AB59" s="19" t="str">
        <f t="shared" si="47"/>
        <v>·</v>
      </c>
      <c r="AC59" s="19" t="str">
        <f t="shared" si="48"/>
        <v>·</v>
      </c>
      <c r="AD59" s="21"/>
      <c r="AE59" s="22"/>
      <c r="AF59" s="22"/>
      <c r="AG59" s="23"/>
      <c r="AH59" s="22"/>
      <c r="AI59" s="26"/>
      <c r="AJ59" s="26"/>
      <c r="AL59" s="28" t="e">
        <f t="shared" si="49"/>
        <v>#VALUE!</v>
      </c>
      <c r="AM59" s="28" t="e">
        <f t="shared" si="50"/>
        <v>#VALUE!</v>
      </c>
      <c r="AN59" s="29"/>
      <c r="AO59" s="28" t="e">
        <f t="shared" si="51"/>
        <v>#VALUE!</v>
      </c>
      <c r="AP59" s="27" t="e">
        <f t="shared" si="52"/>
        <v>#DIV/0!</v>
      </c>
      <c r="AQ59" s="27" t="e">
        <f t="array" ref="AQ59">AVERAGE(AF59:AF59/AE59:AE59) - AVERAGE(Q59:Q59/P59:P59)</f>
        <v>#DIV/0!</v>
      </c>
    </row>
    <row r="60" spans="1:43" ht="14.25" collapsed="1" thickBot="1" x14ac:dyDescent="0.2">
      <c r="A60" s="30"/>
      <c r="B60" s="30" t="s">
        <v>399</v>
      </c>
      <c r="C60" s="30">
        <v>8167066</v>
      </c>
      <c r="D60" s="32">
        <v>18</v>
      </c>
      <c r="E60" s="31">
        <v>300</v>
      </c>
      <c r="F60" s="31">
        <v>5</v>
      </c>
      <c r="H60" s="42" t="str">
        <f t="shared" si="37"/>
        <v>·</v>
      </c>
      <c r="I60" s="33" t="str">
        <f t="shared" si="38"/>
        <v>·</v>
      </c>
      <c r="J60" s="34" t="str">
        <f t="shared" si="39"/>
        <v>·</v>
      </c>
      <c r="K60" s="34" t="str">
        <f t="shared" si="40"/>
        <v>·</v>
      </c>
      <c r="L60" s="35"/>
      <c r="M60" s="34" t="str">
        <f t="shared" si="41"/>
        <v>·</v>
      </c>
      <c r="N60" s="34" t="str">
        <f t="shared" si="42"/>
        <v>·</v>
      </c>
      <c r="O60" s="36"/>
      <c r="P60" s="37"/>
      <c r="Q60" s="37"/>
      <c r="R60" s="38"/>
      <c r="S60" s="37"/>
      <c r="T60" s="41"/>
      <c r="U60" s="41"/>
      <c r="W60" s="42" t="str">
        <f t="shared" si="43"/>
        <v>·</v>
      </c>
      <c r="X60" s="33" t="str">
        <f t="shared" si="44"/>
        <v>·</v>
      </c>
      <c r="Y60" s="34" t="str">
        <f t="shared" si="45"/>
        <v>·</v>
      </c>
      <c r="Z60" s="34" t="str">
        <f t="shared" si="46"/>
        <v>·</v>
      </c>
      <c r="AA60" s="35"/>
      <c r="AB60" s="34" t="str">
        <f t="shared" si="47"/>
        <v>·</v>
      </c>
      <c r="AC60" s="34" t="str">
        <f t="shared" si="48"/>
        <v>·</v>
      </c>
      <c r="AD60" s="36"/>
      <c r="AE60" s="37"/>
      <c r="AF60" s="37"/>
      <c r="AG60" s="38"/>
      <c r="AH60" s="37"/>
      <c r="AI60" s="41"/>
      <c r="AJ60" s="41"/>
      <c r="AL60" s="43" t="e">
        <f t="shared" si="49"/>
        <v>#VALUE!</v>
      </c>
      <c r="AM60" s="43" t="e">
        <f t="shared" si="50"/>
        <v>#VALUE!</v>
      </c>
      <c r="AN60" s="44"/>
      <c r="AO60" s="43" t="e">
        <f t="shared" si="51"/>
        <v>#VALUE!</v>
      </c>
      <c r="AP60" s="42" t="e">
        <f t="shared" si="52"/>
        <v>#DIV/0!</v>
      </c>
      <c r="AQ60" s="42" t="e">
        <f t="array" ref="AQ60">AVERAGE(AF60:AF60/AE60:AE60) - AVERAGE(Q60:Q60/P60:P60)</f>
        <v>#DIV/0!</v>
      </c>
    </row>
    <row r="61" spans="1:43" collapsed="1" x14ac:dyDescent="0.15">
      <c r="A61" s="80" t="s">
        <v>1021</v>
      </c>
      <c r="B61" s="80" t="s">
        <v>989</v>
      </c>
      <c r="C61" s="80">
        <v>36264456</v>
      </c>
      <c r="D61" s="81">
        <v>16</v>
      </c>
      <c r="E61" s="82">
        <v>300</v>
      </c>
      <c r="F61" s="82">
        <v>15</v>
      </c>
      <c r="H61" s="83" t="str">
        <f t="shared" si="16"/>
        <v>·</v>
      </c>
      <c r="I61" s="84" t="str">
        <f t="shared" si="17"/>
        <v>·</v>
      </c>
      <c r="J61" s="85" t="str">
        <f t="shared" si="18"/>
        <v>·</v>
      </c>
      <c r="K61" s="85" t="str">
        <f t="shared" si="19"/>
        <v>·</v>
      </c>
      <c r="L61" s="86"/>
      <c r="M61" s="85" t="str">
        <f t="shared" si="32"/>
        <v>·</v>
      </c>
      <c r="N61" s="85" t="str">
        <f t="shared" si="21"/>
        <v>·</v>
      </c>
      <c r="O61" s="87"/>
      <c r="P61" s="88"/>
      <c r="Q61" s="88"/>
      <c r="R61" s="89"/>
      <c r="S61" s="88"/>
      <c r="T61" s="90"/>
      <c r="U61" s="90"/>
      <c r="W61" s="83" t="str">
        <f t="shared" si="22"/>
        <v>·</v>
      </c>
      <c r="X61" s="84" t="str">
        <f t="shared" si="23"/>
        <v>·</v>
      </c>
      <c r="Y61" s="85" t="str">
        <f t="shared" si="24"/>
        <v>·</v>
      </c>
      <c r="Z61" s="85" t="str">
        <f t="shared" si="25"/>
        <v>·</v>
      </c>
      <c r="AA61" s="86"/>
      <c r="AB61" s="85" t="str">
        <f t="shared" si="33"/>
        <v>·</v>
      </c>
      <c r="AC61" s="85" t="str">
        <f t="shared" si="27"/>
        <v>·</v>
      </c>
      <c r="AD61" s="87"/>
      <c r="AE61" s="88"/>
      <c r="AF61" s="88"/>
      <c r="AG61" s="89"/>
      <c r="AH61" s="88"/>
      <c r="AI61" s="90"/>
      <c r="AJ61" s="90"/>
      <c r="AL61" s="91" t="e">
        <f t="shared" si="35"/>
        <v>#VALUE!</v>
      </c>
      <c r="AM61" s="91" t="e">
        <f t="shared" si="36"/>
        <v>#VALUE!</v>
      </c>
      <c r="AN61" s="92"/>
      <c r="AO61" s="91" t="e">
        <f t="shared" si="34"/>
        <v>#VALUE!</v>
      </c>
      <c r="AP61" s="83" t="e">
        <f t="shared" si="31"/>
        <v>#DIV/0!</v>
      </c>
      <c r="AQ61" s="83" t="e">
        <f t="array" ref="AQ61">AVERAGE(AF61:AF61/AE61:AE61) - AVERAGE(Q61:Q61/P61:P61)</f>
        <v>#DIV/0!</v>
      </c>
    </row>
    <row r="62" spans="1:43" collapsed="1" x14ac:dyDescent="0.15">
      <c r="A62" s="30"/>
      <c r="B62" s="30" t="s">
        <v>990</v>
      </c>
      <c r="C62" s="30">
        <v>32421290</v>
      </c>
      <c r="D62" s="32">
        <v>16</v>
      </c>
      <c r="E62" s="31">
        <v>300</v>
      </c>
      <c r="F62" s="31">
        <v>15</v>
      </c>
      <c r="H62" s="42" t="str">
        <f t="shared" si="16"/>
        <v>·</v>
      </c>
      <c r="I62" s="33" t="str">
        <f t="shared" si="17"/>
        <v>·</v>
      </c>
      <c r="J62" s="34" t="str">
        <f t="shared" si="18"/>
        <v>·</v>
      </c>
      <c r="K62" s="34" t="str">
        <f t="shared" si="19"/>
        <v>·</v>
      </c>
      <c r="L62" s="35"/>
      <c r="M62" s="34" t="str">
        <f t="shared" si="32"/>
        <v>·</v>
      </c>
      <c r="N62" s="34" t="str">
        <f t="shared" si="21"/>
        <v>·</v>
      </c>
      <c r="O62" s="36"/>
      <c r="P62" s="37"/>
      <c r="Q62" s="37"/>
      <c r="R62" s="38"/>
      <c r="S62" s="37"/>
      <c r="T62" s="41"/>
      <c r="U62" s="41"/>
      <c r="W62" s="42" t="str">
        <f t="shared" si="22"/>
        <v>·</v>
      </c>
      <c r="X62" s="33" t="str">
        <f t="shared" si="23"/>
        <v>·</v>
      </c>
      <c r="Y62" s="34" t="str">
        <f t="shared" si="24"/>
        <v>·</v>
      </c>
      <c r="Z62" s="34" t="str">
        <f t="shared" si="25"/>
        <v>·</v>
      </c>
      <c r="AA62" s="35"/>
      <c r="AB62" s="34" t="str">
        <f t="shared" si="33"/>
        <v>·</v>
      </c>
      <c r="AC62" s="34" t="str">
        <f t="shared" si="27"/>
        <v>·</v>
      </c>
      <c r="AD62" s="36"/>
      <c r="AE62" s="37"/>
      <c r="AF62" s="37"/>
      <c r="AG62" s="38"/>
      <c r="AH62" s="37"/>
      <c r="AI62" s="41"/>
      <c r="AJ62" s="41"/>
      <c r="AL62" s="43" t="e">
        <f t="shared" si="35"/>
        <v>#VALUE!</v>
      </c>
      <c r="AM62" s="43" t="e">
        <f t="shared" si="36"/>
        <v>#VALUE!</v>
      </c>
      <c r="AN62" s="44"/>
      <c r="AO62" s="43" t="e">
        <f t="shared" si="34"/>
        <v>#VALUE!</v>
      </c>
      <c r="AP62" s="42" t="e">
        <f t="shared" si="31"/>
        <v>#DIV/0!</v>
      </c>
      <c r="AQ62" s="42" t="e">
        <f t="array" ref="AQ62">AVERAGE(AF62:AF62/AE62:AE62) - AVERAGE(Q62:Q62/P62:P62)</f>
        <v>#DIV/0!</v>
      </c>
    </row>
    <row r="63" spans="1:43" ht="14.25" collapsed="1" thickBot="1" x14ac:dyDescent="0.2">
      <c r="A63" s="64"/>
      <c r="B63" s="64" t="s">
        <v>991</v>
      </c>
      <c r="C63" s="64">
        <v>39155873</v>
      </c>
      <c r="D63" s="65">
        <v>16</v>
      </c>
      <c r="E63" s="66">
        <v>300</v>
      </c>
      <c r="F63" s="66">
        <v>15</v>
      </c>
      <c r="H63" s="67" t="str">
        <f t="shared" si="16"/>
        <v>·</v>
      </c>
      <c r="I63" s="68" t="str">
        <f t="shared" si="17"/>
        <v>·</v>
      </c>
      <c r="J63" s="69" t="str">
        <f t="shared" si="18"/>
        <v>·</v>
      </c>
      <c r="K63" s="69" t="str">
        <f t="shared" si="19"/>
        <v>·</v>
      </c>
      <c r="L63" s="70"/>
      <c r="M63" s="69" t="str">
        <f t="shared" si="32"/>
        <v>·</v>
      </c>
      <c r="N63" s="69" t="str">
        <f t="shared" si="21"/>
        <v>·</v>
      </c>
      <c r="O63" s="71"/>
      <c r="P63" s="72"/>
      <c r="Q63" s="72"/>
      <c r="R63" s="73"/>
      <c r="S63" s="72"/>
      <c r="T63" s="74"/>
      <c r="U63" s="74"/>
      <c r="W63" s="67" t="str">
        <f t="shared" si="22"/>
        <v>·</v>
      </c>
      <c r="X63" s="68" t="str">
        <f t="shared" si="23"/>
        <v>·</v>
      </c>
      <c r="Y63" s="69" t="str">
        <f t="shared" si="24"/>
        <v>·</v>
      </c>
      <c r="Z63" s="69" t="str">
        <f t="shared" si="25"/>
        <v>·</v>
      </c>
      <c r="AA63" s="70"/>
      <c r="AB63" s="69" t="str">
        <f t="shared" si="33"/>
        <v>·</v>
      </c>
      <c r="AC63" s="69" t="str">
        <f t="shared" si="27"/>
        <v>·</v>
      </c>
      <c r="AD63" s="71"/>
      <c r="AE63" s="72"/>
      <c r="AF63" s="72"/>
      <c r="AG63" s="73"/>
      <c r="AH63" s="72"/>
      <c r="AI63" s="74"/>
      <c r="AJ63" s="74"/>
      <c r="AL63" s="75" t="e">
        <f t="shared" si="35"/>
        <v>#VALUE!</v>
      </c>
      <c r="AM63" s="75" t="e">
        <f t="shared" si="36"/>
        <v>#VALUE!</v>
      </c>
      <c r="AN63" s="76"/>
      <c r="AO63" s="75" t="e">
        <f t="shared" si="34"/>
        <v>#VALUE!</v>
      </c>
      <c r="AP63" s="67" t="e">
        <f t="shared" si="31"/>
        <v>#DIV/0!</v>
      </c>
      <c r="AQ63" s="67" t="e">
        <f t="array" ref="AQ63">AVERAGE(AF63:AF63/AE63:AE63) - AVERAGE(Q63:Q63/P63:P63)</f>
        <v>#DIV/0!</v>
      </c>
    </row>
    <row r="64" spans="1:43" x14ac:dyDescent="0.15">
      <c r="B64" s="60" t="s">
        <v>402</v>
      </c>
      <c r="J64" s="61" t="e">
        <f>AVERAGE(J5:J13)</f>
        <v>#DIV/0!</v>
      </c>
      <c r="K64" s="61" t="e">
        <f>AVERAGE(K5:K13)</f>
        <v>#DIV/0!</v>
      </c>
      <c r="L64" s="61" t="e">
        <f>AVERAGE(L5:L13)</f>
        <v>#DIV/0!</v>
      </c>
      <c r="M64" s="62"/>
      <c r="Y64" s="61" t="e">
        <f>AVERAGE(Y5:Y13)</f>
        <v>#DIV/0!</v>
      </c>
      <c r="Z64" s="61" t="e">
        <f>AVERAGE(Z5:Z13)</f>
        <v>#DIV/0!</v>
      </c>
      <c r="AA64" s="61" t="e">
        <f>AVERAGE(AA5:AA13)</f>
        <v>#DIV/0!</v>
      </c>
      <c r="AB64" s="62"/>
      <c r="AL64" s="3" t="e">
        <f t="shared" si="35"/>
        <v>#DIV/0!</v>
      </c>
      <c r="AM64" s="3" t="e">
        <f t="shared" si="36"/>
        <v>#DIV/0!</v>
      </c>
      <c r="AN64" s="3" t="e">
        <f>AA64/L64</f>
        <v>#DIV/0!</v>
      </c>
      <c r="AO64" s="4"/>
      <c r="AQ64" s="7" t="e">
        <f>AVERAGE(AQ5:AQ13)</f>
        <v>#DIV/0!</v>
      </c>
    </row>
    <row r="65" spans="1:43" x14ac:dyDescent="0.15">
      <c r="B65" s="60" t="s">
        <v>403</v>
      </c>
      <c r="J65" s="61" t="e">
        <f>AVERAGE(J14:J25)</f>
        <v>#DIV/0!</v>
      </c>
      <c r="K65" s="61" t="e">
        <f>AVERAGE(K14:K25)</f>
        <v>#DIV/0!</v>
      </c>
      <c r="L65" s="61" t="e">
        <f>AVERAGE(L14:L25)</f>
        <v>#DIV/0!</v>
      </c>
      <c r="M65" s="62"/>
      <c r="Y65" s="61" t="e">
        <f>AVERAGE(Y14:Y25)</f>
        <v>#DIV/0!</v>
      </c>
      <c r="Z65" s="61" t="e">
        <f>AVERAGE(Z14:Z25)</f>
        <v>#DIV/0!</v>
      </c>
      <c r="AA65" s="61" t="e">
        <f>AVERAGE(AA14:AA25)</f>
        <v>#DIV/0!</v>
      </c>
      <c r="AB65" s="62"/>
      <c r="AL65" s="3" t="e">
        <f t="shared" si="35"/>
        <v>#DIV/0!</v>
      </c>
      <c r="AM65" s="3" t="e">
        <f t="shared" si="36"/>
        <v>#DIV/0!</v>
      </c>
      <c r="AN65" s="3" t="e">
        <f>AA65/L65</f>
        <v>#DIV/0!</v>
      </c>
      <c r="AO65" s="4"/>
      <c r="AQ65" s="7" t="e">
        <f>AVERAGE(AQ14:AQ25)</f>
        <v>#DIV/0!</v>
      </c>
    </row>
    <row r="66" spans="1:43" x14ac:dyDescent="0.15">
      <c r="B66" s="60" t="s">
        <v>404</v>
      </c>
      <c r="J66" s="61" t="e">
        <f>AVERAGE(J26:J34)</f>
        <v>#DIV/0!</v>
      </c>
      <c r="K66" s="61" t="e">
        <f>AVERAGE(K26:K34)</f>
        <v>#DIV/0!</v>
      </c>
      <c r="L66" s="61" t="e">
        <f>AVERAGE(L26:L34)</f>
        <v>#DIV/0!</v>
      </c>
      <c r="M66" s="62"/>
      <c r="Y66" s="61" t="e">
        <f>AVERAGE(Y26:Y34)</f>
        <v>#DIV/0!</v>
      </c>
      <c r="Z66" s="61" t="e">
        <f>AVERAGE(Z26:Z34)</f>
        <v>#DIV/0!</v>
      </c>
      <c r="AA66" s="61" t="e">
        <f>AVERAGE(AA26:AA34)</f>
        <v>#DIV/0!</v>
      </c>
      <c r="AB66" s="62"/>
      <c r="AL66" s="3" t="e">
        <f t="shared" si="35"/>
        <v>#DIV/0!</v>
      </c>
      <c r="AM66" s="3" t="e">
        <f t="shared" si="36"/>
        <v>#DIV/0!</v>
      </c>
      <c r="AN66" s="3" t="e">
        <f>AA66/L66</f>
        <v>#DIV/0!</v>
      </c>
      <c r="AO66" s="4"/>
      <c r="AQ66" s="7" t="e">
        <f>AVERAGE(AQ26:AQ34)</f>
        <v>#DIV/0!</v>
      </c>
    </row>
    <row r="67" spans="1:43" x14ac:dyDescent="0.15">
      <c r="B67" s="60" t="s">
        <v>405</v>
      </c>
      <c r="J67" s="61" t="e">
        <f>AVERAGE(J35:J50)</f>
        <v>#DIV/0!</v>
      </c>
      <c r="K67" s="61" t="e">
        <f>AVERAGE(K35:K50)</f>
        <v>#DIV/0!</v>
      </c>
      <c r="L67" s="61" t="e">
        <f>AVERAGE(L35:L50)</f>
        <v>#DIV/0!</v>
      </c>
      <c r="M67" s="62"/>
      <c r="Y67" s="61" t="e">
        <f>AVERAGE(Y35:Y50)</f>
        <v>#DIV/0!</v>
      </c>
      <c r="Z67" s="61" t="e">
        <f>AVERAGE(Z35:Z50)</f>
        <v>#DIV/0!</v>
      </c>
      <c r="AA67" s="61" t="e">
        <f>AVERAGE(AA35:AA50)</f>
        <v>#DIV/0!</v>
      </c>
      <c r="AB67" s="62"/>
      <c r="AL67" s="3" t="e">
        <f t="shared" si="35"/>
        <v>#DIV/0!</v>
      </c>
      <c r="AM67" s="3" t="e">
        <f t="shared" si="36"/>
        <v>#DIV/0!</v>
      </c>
      <c r="AN67" s="3" t="e">
        <f>AA67/L67</f>
        <v>#DIV/0!</v>
      </c>
      <c r="AO67" s="4"/>
      <c r="AQ67" s="7" t="e">
        <f>AVERAGE(AQ35:AQ50)</f>
        <v>#DIV/0!</v>
      </c>
    </row>
    <row r="68" spans="1:43" x14ac:dyDescent="0.15">
      <c r="B68" s="60" t="s">
        <v>406</v>
      </c>
      <c r="J68" s="61" t="e">
        <f>AVERAGE(J51:J53)</f>
        <v>#DIV/0!</v>
      </c>
      <c r="K68" s="61" t="e">
        <f>AVERAGE(K51:K53)</f>
        <v>#DIV/0!</v>
      </c>
      <c r="L68" s="61" t="e">
        <f>AVERAGE(L51:L53)</f>
        <v>#DIV/0!</v>
      </c>
      <c r="M68" s="61" t="e">
        <f>AVERAGE(M51:M53)</f>
        <v>#DIV/0!</v>
      </c>
      <c r="Y68" s="61" t="e">
        <f>AVERAGE(Y51:Y53)</f>
        <v>#DIV/0!</v>
      </c>
      <c r="Z68" s="61" t="e">
        <f>AVERAGE(Z51:Z53)</f>
        <v>#DIV/0!</v>
      </c>
      <c r="AA68" s="61" t="e">
        <f>AVERAGE(AA51:AA53)</f>
        <v>#DIV/0!</v>
      </c>
      <c r="AB68" s="61" t="e">
        <f>AVERAGE(AB51:AB53)</f>
        <v>#DIV/0!</v>
      </c>
      <c r="AL68" s="3" t="e">
        <f t="shared" si="35"/>
        <v>#DIV/0!</v>
      </c>
      <c r="AM68" s="3" t="e">
        <f t="shared" si="36"/>
        <v>#DIV/0!</v>
      </c>
      <c r="AN68" s="3" t="e">
        <f>AA68/L68</f>
        <v>#DIV/0!</v>
      </c>
      <c r="AO68" s="3" t="e">
        <f>AB68/M68</f>
        <v>#DIV/0!</v>
      </c>
      <c r="AQ68" s="7" t="e">
        <f>AVERAGE(AQ51:AQ53)</f>
        <v>#DIV/0!</v>
      </c>
    </row>
    <row r="69" spans="1:43" x14ac:dyDescent="0.15">
      <c r="B69" s="60" t="s">
        <v>1022</v>
      </c>
      <c r="J69" s="61" t="e">
        <f>AVERAGE(J54:J60)</f>
        <v>#DIV/0!</v>
      </c>
      <c r="K69" s="61" t="e">
        <f>AVERAGE(K54:K60)</f>
        <v>#DIV/0!</v>
      </c>
      <c r="L69" s="62"/>
      <c r="M69" s="61" t="e">
        <f>AVERAGE(M54:M60)</f>
        <v>#DIV/0!</v>
      </c>
      <c r="Y69" s="61" t="e">
        <f>AVERAGE(Y54:Y60)</f>
        <v>#DIV/0!</v>
      </c>
      <c r="Z69" s="61" t="e">
        <f>AVERAGE(Z54:Z60)</f>
        <v>#DIV/0!</v>
      </c>
      <c r="AA69" s="62"/>
      <c r="AB69" s="61" t="e">
        <f>AVERAGE(AB54:AB60)</f>
        <v>#DIV/0!</v>
      </c>
      <c r="AL69" s="3" t="e">
        <f t="shared" si="35"/>
        <v>#DIV/0!</v>
      </c>
      <c r="AM69" s="3" t="e">
        <f t="shared" si="36"/>
        <v>#DIV/0!</v>
      </c>
      <c r="AN69" s="4"/>
      <c r="AO69" s="3" t="e">
        <f>AB69/M69</f>
        <v>#DIV/0!</v>
      </c>
      <c r="AQ69" s="61" t="e">
        <f>AVERAGE(AQ54:AQ60)</f>
        <v>#DIV/0!</v>
      </c>
    </row>
    <row r="70" spans="1:43" ht="27" x14ac:dyDescent="0.15">
      <c r="B70" s="60" t="s">
        <v>1023</v>
      </c>
      <c r="J70" s="61" t="e">
        <f>AVERAGE(J61:J63)</f>
        <v>#DIV/0!</v>
      </c>
      <c r="K70" s="61" t="e">
        <f>AVERAGE(K61:K63)</f>
        <v>#DIV/0!</v>
      </c>
      <c r="L70" s="62"/>
      <c r="M70" s="61" t="e">
        <f>AVERAGE(M61:M63)</f>
        <v>#DIV/0!</v>
      </c>
      <c r="Y70" s="61" t="e">
        <f>AVERAGE(Y61:Y63)</f>
        <v>#DIV/0!</v>
      </c>
      <c r="Z70" s="61" t="e">
        <f>AVERAGE(Z61:Z63)</f>
        <v>#DIV/0!</v>
      </c>
      <c r="AA70" s="62"/>
      <c r="AB70" s="61" t="e">
        <f>AVERAGE(AB61:AB63)</f>
        <v>#DIV/0!</v>
      </c>
      <c r="AL70" s="3" t="e">
        <f t="shared" ref="AL70" si="53">Y70/J70</f>
        <v>#DIV/0!</v>
      </c>
      <c r="AM70" s="3" t="e">
        <f t="shared" ref="AM70" si="54">Z70/K70</f>
        <v>#DIV/0!</v>
      </c>
      <c r="AN70" s="4"/>
      <c r="AO70" s="3" t="e">
        <f>AB70/M70</f>
        <v>#DIV/0!</v>
      </c>
      <c r="AQ70" s="61" t="e">
        <f>AVERAGE(AQ61:AQ63)</f>
        <v>#DIV/0!</v>
      </c>
    </row>
    <row r="71" spans="1:43" x14ac:dyDescent="0.15">
      <c r="B71" s="60" t="s">
        <v>407</v>
      </c>
      <c r="J71" s="61" t="e">
        <f>AVERAGE(J5:J63)</f>
        <v>#DIV/0!</v>
      </c>
      <c r="K71" s="61" t="e">
        <f>AVERAGE(K5:K63)</f>
        <v>#DIV/0!</v>
      </c>
      <c r="L71" s="61" t="e">
        <f>AVERAGE(L5:L53)</f>
        <v>#DIV/0!</v>
      </c>
      <c r="M71" s="61" t="e">
        <f>AVERAGE(M51:M63)</f>
        <v>#DIV/0!</v>
      </c>
      <c r="Y71" s="61" t="e">
        <f>AVERAGE(Y5:Y63)</f>
        <v>#DIV/0!</v>
      </c>
      <c r="Z71" s="61" t="e">
        <f>AVERAGE(Z5:Z63)</f>
        <v>#DIV/0!</v>
      </c>
      <c r="AA71" s="61" t="e">
        <f>AVERAGE(AA5:AA53)</f>
        <v>#DIV/0!</v>
      </c>
      <c r="AB71" s="61" t="e">
        <f>AVERAGE(AB51:AB63)</f>
        <v>#DIV/0!</v>
      </c>
      <c r="AL71" s="3" t="e">
        <f t="shared" si="35"/>
        <v>#DIV/0!</v>
      </c>
      <c r="AM71" s="3" t="e">
        <f t="shared" si="36"/>
        <v>#DIV/0!</v>
      </c>
      <c r="AN71" s="3" t="e">
        <f>AA71/L71</f>
        <v>#DIV/0!</v>
      </c>
      <c r="AO71" s="3" t="e">
        <f>AB71/M71</f>
        <v>#DIV/0!</v>
      </c>
      <c r="AQ71" s="7" t="e">
        <f>AVERAGE(AQ5:AQ63)</f>
        <v>#DIV/0!</v>
      </c>
    </row>
    <row r="72" spans="1:43" hidden="1" outlineLevel="2" x14ac:dyDescent="0.15">
      <c r="A72" s="60" t="s">
        <v>408</v>
      </c>
      <c r="B72" s="60" t="s">
        <v>409</v>
      </c>
      <c r="T72" s="63">
        <f>SUM(T5:T13,T14:T25,T26:T34,T35:T50,T51:T53,T54:T60,T61:T63)</f>
        <v>0</v>
      </c>
      <c r="U72" s="63">
        <f>SUM(U5:U13,U14:U25,U26:U34,U35:U50,U51:U53,U54:U60,U61:U63)</f>
        <v>0</v>
      </c>
      <c r="AI72" s="63">
        <f>SUM(AI5:AI13,AI14:AI25,AI26:AI34,AI35:AI50,AI51:AI53,AI54:AI60,AI61:AI63)</f>
        <v>0</v>
      </c>
      <c r="AJ72" s="63">
        <f>SUM(AJ5:AJ13,AJ14:AJ25,AJ26:AJ34,AJ35:AJ50,AJ51:AJ53,AJ54:AJ60,AJ61:AJ63)</f>
        <v>0</v>
      </c>
    </row>
    <row r="73" spans="1:43" hidden="1" outlineLevel="2" x14ac:dyDescent="0.15">
      <c r="B73" s="60" t="s">
        <v>410</v>
      </c>
      <c r="AI73" s="7" t="e">
        <f>AI72/T72</f>
        <v>#DIV/0!</v>
      </c>
      <c r="AJ73" s="7" t="e">
        <f>AJ72/U72</f>
        <v>#DIV/0!</v>
      </c>
    </row>
    <row r="74" spans="1:43" hidden="1" outlineLevel="2" x14ac:dyDescent="0.15">
      <c r="B74" s="60" t="s">
        <v>411</v>
      </c>
      <c r="T74" s="63" t="e">
        <f>GEOMEAN(T5:T13,T14:T25,T26:T34,T35:T50,T51:T53,T54:T60,T61:T63)</f>
        <v>#NUM!</v>
      </c>
      <c r="U74" s="63" t="e">
        <f>GEOMEAN(U5:U13,U14:U25,U26:U34,U35:U50,U51:U53,U54:U60,U61:U63)</f>
        <v>#NUM!</v>
      </c>
      <c r="AI74" s="63" t="e">
        <f>GEOMEAN(AI5:AI13,AI14:AI25,AI26:AI34,AI35:AI50,AI51:AI53,AI54:AI60,AI61:AI63)</f>
        <v>#NUM!</v>
      </c>
      <c r="AJ74" s="63" t="e">
        <f>GEOMEAN(AJ5:AJ13,AJ14:AJ25,AJ26:AJ34,AJ35:AJ50,AJ51:AJ53,AJ54:AJ60,AJ61:AJ63)</f>
        <v>#NUM!</v>
      </c>
    </row>
    <row r="75" spans="1:43" outlineLevel="2" collapsed="1" x14ac:dyDescent="0.15">
      <c r="B75" s="60" t="s">
        <v>412</v>
      </c>
      <c r="AI75" s="7" t="e">
        <f>AI74/T74</f>
        <v>#NUM!</v>
      </c>
      <c r="AJ75" s="7" t="e">
        <f>AJ74/U74</f>
        <v>#NUM!</v>
      </c>
    </row>
  </sheetData>
  <mergeCells count="28">
    <mergeCell ref="B2:B3"/>
    <mergeCell ref="C2:C3"/>
    <mergeCell ref="D2:D3"/>
    <mergeCell ref="E2:E3"/>
    <mergeCell ref="AL2:AO2"/>
    <mergeCell ref="AP2:AP3"/>
    <mergeCell ref="AQ2:AQ3"/>
    <mergeCell ref="X2:X3"/>
    <mergeCell ref="Y2:AB2"/>
    <mergeCell ref="AC2:AC3"/>
    <mergeCell ref="AD2:AD3"/>
    <mergeCell ref="AE2:AH2"/>
    <mergeCell ref="A1:F1"/>
    <mergeCell ref="H1:U1"/>
    <mergeCell ref="W1:AJ1"/>
    <mergeCell ref="AI2:AI3"/>
    <mergeCell ref="AJ2:AJ3"/>
    <mergeCell ref="O2:O3"/>
    <mergeCell ref="P2:S2"/>
    <mergeCell ref="T2:T3"/>
    <mergeCell ref="U2:U3"/>
    <mergeCell ref="W2:W3"/>
    <mergeCell ref="F2:F3"/>
    <mergeCell ref="H2:H3"/>
    <mergeCell ref="I2:I3"/>
    <mergeCell ref="J2:M2"/>
    <mergeCell ref="N2:N3"/>
    <mergeCell ref="A2:A3"/>
  </mergeCells>
  <phoneticPr fontId="2" type="noConversion"/>
  <conditionalFormatting sqref="AL5:AL56 AL61:AM69 AL71:AM71">
    <cfRule type="cellIs" dxfId="81" priority="11" operator="greaterThanOrEqual">
      <formula>1.03</formula>
    </cfRule>
    <cfRule type="cellIs" dxfId="80" priority="12" operator="lessThanOrEqual">
      <formula>0.97</formula>
    </cfRule>
  </conditionalFormatting>
  <conditionalFormatting sqref="AM5:AM56">
    <cfRule type="cellIs" dxfId="79" priority="17" operator="greaterThanOrEqual">
      <formula>1.03</formula>
    </cfRule>
    <cfRule type="cellIs" dxfId="78" priority="18" operator="lessThanOrEqual">
      <formula>0.97</formula>
    </cfRule>
  </conditionalFormatting>
  <conditionalFormatting sqref="AN5:AN53 AN64:AN68 AN71">
    <cfRule type="cellIs" dxfId="77" priority="15" operator="greaterThanOrEqual">
      <formula>1.03</formula>
    </cfRule>
    <cfRule type="cellIs" dxfId="76" priority="16" operator="lessThanOrEqual">
      <formula>0.97</formula>
    </cfRule>
  </conditionalFormatting>
  <conditionalFormatting sqref="AO51:AO56 AO68:AO69 AO61:AO63 AO71">
    <cfRule type="cellIs" dxfId="75" priority="13" operator="greaterThanOrEqual">
      <formula>1.03</formula>
    </cfRule>
    <cfRule type="cellIs" dxfId="74" priority="14" operator="lessThanOrEqual">
      <formula>0.97</formula>
    </cfRule>
  </conditionalFormatting>
  <conditionalFormatting sqref="AL57:AL60">
    <cfRule type="cellIs" dxfId="73" priority="5" operator="greaterThanOrEqual">
      <formula>1.03</formula>
    </cfRule>
    <cfRule type="cellIs" dxfId="72" priority="6" operator="lessThanOrEqual">
      <formula>0.97</formula>
    </cfRule>
  </conditionalFormatting>
  <conditionalFormatting sqref="AM57:AM60">
    <cfRule type="cellIs" dxfId="71" priority="9" operator="greaterThanOrEqual">
      <formula>1.03</formula>
    </cfRule>
    <cfRule type="cellIs" dxfId="70" priority="10" operator="lessThanOrEqual">
      <formula>0.97</formula>
    </cfRule>
  </conditionalFormatting>
  <conditionalFormatting sqref="AO57:AO60">
    <cfRule type="cellIs" dxfId="69" priority="7" operator="greaterThanOrEqual">
      <formula>1.03</formula>
    </cfRule>
    <cfRule type="cellIs" dxfId="68" priority="8" operator="lessThanOrEqual">
      <formula>0.97</formula>
    </cfRule>
  </conditionalFormatting>
  <conditionalFormatting sqref="AL70:AM70">
    <cfRule type="cellIs" dxfId="67" priority="1" operator="greaterThanOrEqual">
      <formula>1.03</formula>
    </cfRule>
    <cfRule type="cellIs" dxfId="66" priority="2" operator="lessThanOrEqual">
      <formula>0.97</formula>
    </cfRule>
  </conditionalFormatting>
  <conditionalFormatting sqref="AO70">
    <cfRule type="cellIs" dxfId="65" priority="3" operator="greaterThanOrEqual">
      <formula>1.03</formula>
    </cfRule>
    <cfRule type="cellIs" dxfId="64" priority="4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V311"/>
  <sheetViews>
    <sheetView zoomScaleNormal="100" workbookViewId="0">
      <pane xSplit="2" ySplit="4" topLeftCell="G5" activePane="bottomRight" state="frozen"/>
      <selection pane="topRight" activeCell="C1" sqref="C1"/>
      <selection pane="bottomLeft" activeCell="A5" sqref="A5"/>
      <selection pane="bottomRight" activeCell="O5" sqref="O5:AC299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7" width="11.625" customWidth="1"/>
    <col min="30" max="30" width="1.625" customWidth="1"/>
    <col min="32" max="34" width="10.625" customWidth="1"/>
    <col min="35" max="35" width="11.625" customWidth="1"/>
    <col min="36" max="36" width="12.625" customWidth="1"/>
    <col min="37" max="37" width="10.625" customWidth="1"/>
    <col min="38" max="41" width="12.625" customWidth="1"/>
    <col min="42" max="49" width="11.625" customWidth="1"/>
    <col min="52" max="52" width="1.625" customWidth="1"/>
    <col min="55" max="55" width="1.625" customWidth="1"/>
    <col min="56" max="59" width="11.625" customWidth="1"/>
    <col min="60" max="60" width="1.625" customWidth="1"/>
    <col min="61" max="64" width="11.625" customWidth="1"/>
    <col min="65" max="65" width="1.625" customWidth="1"/>
    <col min="66" max="69" width="11.625" customWidth="1"/>
    <col min="70" max="70" width="1.625" customWidth="1"/>
    <col min="71" max="74" width="11.625" customWidth="1"/>
    <col min="75" max="75" width="1.625" customWidth="1"/>
  </cols>
  <sheetData>
    <row r="1" spans="1:74" x14ac:dyDescent="0.15">
      <c r="A1" s="105" t="s">
        <v>868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E1" s="102" t="str">
        <f>Summary!C2</f>
        <v>v20.0-rc1-trisoup-raht+18edges+flagCtx_test</v>
      </c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</row>
    <row r="2" spans="1:74" ht="30" customHeight="1" x14ac:dyDescent="0.1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143</v>
      </c>
      <c r="U2" s="104"/>
      <c r="V2" s="104"/>
      <c r="W2" s="104"/>
      <c r="X2" s="103" t="s">
        <v>804</v>
      </c>
      <c r="Y2" s="103"/>
      <c r="Z2" s="103"/>
      <c r="AA2" s="103"/>
      <c r="AB2" s="107" t="s">
        <v>155</v>
      </c>
      <c r="AC2" s="106" t="s">
        <v>158</v>
      </c>
      <c r="AE2" s="107" t="s">
        <v>112</v>
      </c>
      <c r="AF2" s="103" t="s">
        <v>115</v>
      </c>
      <c r="AG2" s="103"/>
      <c r="AH2" s="103"/>
      <c r="AI2" s="103"/>
      <c r="AJ2" s="107" t="s">
        <v>128</v>
      </c>
      <c r="AK2" s="106" t="s">
        <v>22</v>
      </c>
      <c r="AL2" s="104" t="s">
        <v>133</v>
      </c>
      <c r="AM2" s="104"/>
      <c r="AN2" s="104"/>
      <c r="AO2" s="104"/>
      <c r="AP2" s="103" t="s">
        <v>143</v>
      </c>
      <c r="AQ2" s="103"/>
      <c r="AR2" s="103"/>
      <c r="AS2" s="103"/>
      <c r="AT2" s="104" t="s">
        <v>804</v>
      </c>
      <c r="AU2" s="104"/>
      <c r="AV2" s="104"/>
      <c r="AW2" s="104"/>
      <c r="AX2" s="106" t="s">
        <v>155</v>
      </c>
      <c r="AY2" s="107" t="s">
        <v>158</v>
      </c>
      <c r="BA2" s="106" t="s">
        <v>195</v>
      </c>
      <c r="BB2" s="107" t="s">
        <v>195</v>
      </c>
      <c r="BD2" s="103" t="s">
        <v>200</v>
      </c>
      <c r="BE2" s="103"/>
      <c r="BF2" s="103"/>
      <c r="BG2" s="103"/>
      <c r="BI2" s="104" t="s">
        <v>846</v>
      </c>
      <c r="BJ2" s="104"/>
      <c r="BK2" s="104"/>
      <c r="BL2" s="104"/>
      <c r="BN2" s="103" t="s">
        <v>209</v>
      </c>
      <c r="BO2" s="103"/>
      <c r="BP2" s="103"/>
      <c r="BQ2" s="103"/>
      <c r="BS2" s="104" t="s">
        <v>859</v>
      </c>
      <c r="BT2" s="104"/>
      <c r="BU2" s="104"/>
      <c r="BV2" s="104"/>
    </row>
    <row r="3" spans="1:74" ht="27.75" thickBot="1" x14ac:dyDescent="0.2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2" t="s">
        <v>144</v>
      </c>
      <c r="Y3" s="12" t="s">
        <v>147</v>
      </c>
      <c r="Z3" s="12" t="s">
        <v>150</v>
      </c>
      <c r="AA3" s="12" t="s">
        <v>125</v>
      </c>
      <c r="AB3" s="107"/>
      <c r="AC3" s="106"/>
      <c r="AE3" s="107"/>
      <c r="AF3" s="12" t="s">
        <v>116</v>
      </c>
      <c r="AG3" s="12" t="s">
        <v>119</v>
      </c>
      <c r="AH3" s="12" t="s">
        <v>122</v>
      </c>
      <c r="AI3" s="12" t="s">
        <v>125</v>
      </c>
      <c r="AJ3" s="107"/>
      <c r="AK3" s="106"/>
      <c r="AL3" s="11" t="s">
        <v>116</v>
      </c>
      <c r="AM3" s="11" t="s">
        <v>119</v>
      </c>
      <c r="AN3" s="11" t="s">
        <v>138</v>
      </c>
      <c r="AO3" s="11" t="s">
        <v>125</v>
      </c>
      <c r="AP3" s="12" t="s">
        <v>144</v>
      </c>
      <c r="AQ3" s="12" t="s">
        <v>147</v>
      </c>
      <c r="AR3" s="12" t="s">
        <v>150</v>
      </c>
      <c r="AS3" s="12" t="s">
        <v>125</v>
      </c>
      <c r="AT3" s="11" t="s">
        <v>144</v>
      </c>
      <c r="AU3" s="11" t="s">
        <v>147</v>
      </c>
      <c r="AV3" s="11" t="s">
        <v>150</v>
      </c>
      <c r="AW3" s="11" t="s">
        <v>125</v>
      </c>
      <c r="AX3" s="106"/>
      <c r="AY3" s="107"/>
      <c r="BA3" s="106"/>
      <c r="BB3" s="107"/>
      <c r="BD3" s="12" t="s">
        <v>144</v>
      </c>
      <c r="BE3" s="12" t="s">
        <v>147</v>
      </c>
      <c r="BF3" s="12" t="s">
        <v>150</v>
      </c>
      <c r="BG3" s="12" t="s">
        <v>125</v>
      </c>
      <c r="BI3" s="11" t="s">
        <v>144</v>
      </c>
      <c r="BJ3" s="11" t="s">
        <v>147</v>
      </c>
      <c r="BK3" s="11" t="s">
        <v>150</v>
      </c>
      <c r="BL3" s="11" t="s">
        <v>125</v>
      </c>
      <c r="BN3" s="12" t="s">
        <v>144</v>
      </c>
      <c r="BO3" s="12" t="s">
        <v>147</v>
      </c>
      <c r="BP3" s="12" t="s">
        <v>150</v>
      </c>
      <c r="BQ3" s="12" t="s">
        <v>125</v>
      </c>
      <c r="BS3" s="11" t="s">
        <v>144</v>
      </c>
      <c r="BT3" s="11" t="s">
        <v>147</v>
      </c>
      <c r="BU3" s="11" t="s">
        <v>150</v>
      </c>
      <c r="BV3" s="11" t="s">
        <v>125</v>
      </c>
    </row>
    <row r="4" spans="1:7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805</v>
      </c>
      <c r="Y4" s="14" t="s">
        <v>807</v>
      </c>
      <c r="Z4" s="14" t="s">
        <v>809</v>
      </c>
      <c r="AA4" s="14" t="s">
        <v>811</v>
      </c>
      <c r="AB4" s="13" t="s">
        <v>156</v>
      </c>
      <c r="AC4" s="14" t="s">
        <v>159</v>
      </c>
      <c r="AE4" s="13" t="s">
        <v>161</v>
      </c>
      <c r="AF4" s="14" t="s">
        <v>163</v>
      </c>
      <c r="AG4" s="14" t="s">
        <v>165</v>
      </c>
      <c r="AH4" s="14" t="s">
        <v>167</v>
      </c>
      <c r="AI4" s="14" t="s">
        <v>169</v>
      </c>
      <c r="AJ4" s="13" t="s">
        <v>171</v>
      </c>
      <c r="AK4" s="14" t="s">
        <v>173</v>
      </c>
      <c r="AL4" s="13" t="s">
        <v>175</v>
      </c>
      <c r="AM4" s="13" t="s">
        <v>177</v>
      </c>
      <c r="AN4" s="13" t="s">
        <v>179</v>
      </c>
      <c r="AO4" s="13" t="s">
        <v>181</v>
      </c>
      <c r="AP4" s="14" t="s">
        <v>183</v>
      </c>
      <c r="AQ4" s="14" t="s">
        <v>185</v>
      </c>
      <c r="AR4" s="14" t="s">
        <v>187</v>
      </c>
      <c r="AS4" s="14" t="s">
        <v>189</v>
      </c>
      <c r="AT4" s="13" t="s">
        <v>830</v>
      </c>
      <c r="AU4" s="13" t="s">
        <v>832</v>
      </c>
      <c r="AV4" s="13" t="s">
        <v>834</v>
      </c>
      <c r="AW4" s="13" t="s">
        <v>836</v>
      </c>
      <c r="AX4" s="14" t="s">
        <v>191</v>
      </c>
      <c r="AY4" s="13" t="s">
        <v>193</v>
      </c>
      <c r="BA4" s="14" t="s">
        <v>196</v>
      </c>
      <c r="BB4" s="13" t="s">
        <v>198</v>
      </c>
      <c r="BD4" s="14" t="s">
        <v>201</v>
      </c>
      <c r="BE4" s="14" t="s">
        <v>203</v>
      </c>
      <c r="BF4" s="14" t="s">
        <v>205</v>
      </c>
      <c r="BG4" s="14" t="s">
        <v>207</v>
      </c>
      <c r="BI4" s="13" t="s">
        <v>847</v>
      </c>
      <c r="BJ4" s="13" t="s">
        <v>849</v>
      </c>
      <c r="BK4" s="13" t="s">
        <v>851</v>
      </c>
      <c r="BL4" s="13" t="s">
        <v>853</v>
      </c>
      <c r="BN4" s="14" t="s">
        <v>210</v>
      </c>
      <c r="BO4" s="14" t="s">
        <v>212</v>
      </c>
      <c r="BP4" s="14" t="s">
        <v>214</v>
      </c>
      <c r="BQ4" s="14" t="s">
        <v>216</v>
      </c>
      <c r="BS4" s="13" t="s">
        <v>860</v>
      </c>
      <c r="BT4" s="13" t="s">
        <v>862</v>
      </c>
      <c r="BU4" s="13" t="s">
        <v>864</v>
      </c>
      <c r="BV4" s="13" t="s">
        <v>866</v>
      </c>
    </row>
    <row r="5" spans="1:7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>IF(OR(ISBLANK(#REF!),ISBLANK(G5)),"·",#REF!*G5/F5/1000000)</f>
        <v>·</v>
      </c>
      <c r="J5" s="19" t="e">
        <f>IF(ISBLANK(#REF!),"·",#REF!/D5)</f>
        <v>#REF!</v>
      </c>
      <c r="K5" s="19" t="e">
        <f>IF(#REF!="","·",#REF!/D5)</f>
        <v>#REF!</v>
      </c>
      <c r="L5" s="19" t="e">
        <f>IF(ISBLANK(#REF!),"·",#REF!/D5)</f>
        <v>#REF!</v>
      </c>
      <c r="M5" s="20"/>
      <c r="N5" s="19" t="e">
        <f>IF(ISBLANK(#REF!),"·",#REF!/#REF!)</f>
        <v>#REF!</v>
      </c>
      <c r="O5" s="21"/>
      <c r="P5" s="22"/>
      <c r="Q5" s="22"/>
      <c r="R5" s="22"/>
      <c r="S5" s="23"/>
      <c r="T5" s="24"/>
      <c r="U5" s="24"/>
      <c r="V5" s="24"/>
      <c r="W5" s="25"/>
      <c r="X5" s="24"/>
      <c r="Y5" s="24"/>
      <c r="Z5" s="24"/>
      <c r="AA5" s="25"/>
      <c r="AB5" s="26"/>
      <c r="AC5" s="26"/>
      <c r="AE5" s="18" t="str">
        <f t="shared" ref="AE5:AE68" si="0">IF(OR(ISBLANK(P5),ISBLANK(G5)),"·",P5*G5/F5/1000000)</f>
        <v>·</v>
      </c>
      <c r="AF5" s="19" t="str">
        <f t="shared" ref="AF5:AF68" si="1">IF(ISBLANK(P5),"·",P5/D5)</f>
        <v>·</v>
      </c>
      <c r="AG5" s="19" t="str">
        <f t="shared" ref="AG5:AG68" si="2">IF(Q5="","·",Q5/D5)</f>
        <v>·</v>
      </c>
      <c r="AH5" s="19" t="str">
        <f t="shared" ref="AH5:AH68" si="3">IF(ISBLANK(R5),"·",R5/D5)</f>
        <v>·</v>
      </c>
      <c r="AI5" s="20"/>
      <c r="AJ5" s="19" t="str">
        <f t="shared" ref="AJ5:AJ68" si="4">IF(ISBLANK(P5),"·",P5/O5)</f>
        <v>·</v>
      </c>
      <c r="BA5" s="27" t="e">
        <f>(Q5/P5) - (#REF!/#REF!)</f>
        <v>#DIV/0!</v>
      </c>
      <c r="BB5" s="27" t="e">
        <f t="array" ref="BB5">AVERAGE(Q5:Q9/P5:P9) - AVERAGE(#REF!/#REF!)</f>
        <v>#DIV/0!</v>
      </c>
      <c r="BD5" s="28" t="str">
        <f>_xlfn.SINGLE(IF( OR(ISBLANK(_xlfn.SINGLE(#REF!)),ISBLANK(_xlfn.SINGLE(R5:R9)), ISBLANK(_xlfn.SINGLE(#REF!)),ISBLANK(_xlfn.SINGLE(T5:T9))), "·", bdRateExtend(#REF!,#REF!, R5:R9,T5:T9)))</f>
        <v>·</v>
      </c>
      <c r="BE5" s="28" t="str">
        <f>_xlfn.SINGLE(IF( OR(ISBLANK(_xlfn.SINGLE(#REF!)),ISBLANK(_xlfn.SINGLE(R5:R9)), ISBLANK(_xlfn.SINGLE(#REF!)),ISBLANK(_xlfn.SINGLE(U5:U9))), "·", bdRateExtend(#REF!,#REF!, R5:R9,U5:U9)))</f>
        <v>·</v>
      </c>
      <c r="BF5" s="28" t="str">
        <f>_xlfn.SINGLE(IF( OR(ISBLANK(_xlfn.SINGLE(#REF!)),ISBLANK(_xlfn.SINGLE(R5:R9)), ISBLANK(_xlfn.SINGLE(#REF!)),ISBLANK(_xlfn.SINGLE(V5:V9))), "·", bdRateExtend(#REF!,#REF!, R5:R9,V5:V9)))</f>
        <v>·</v>
      </c>
      <c r="BG5" s="29"/>
      <c r="BI5" s="28" t="str">
        <f>_xlfn.SINGLE(IF( OR(ISBLANK(_xlfn.SINGLE(#REF!)),ISBLANK(_xlfn.SINGLE(R5:R9)), ISBLANK(_xlfn.SINGLE(#REF!)),ISBLANK(_xlfn.SINGLE(X5:X9))), "·", bdRateExtend(#REF!,#REF!, R5:R9,X5:X9)))</f>
        <v>·</v>
      </c>
      <c r="BJ5" s="28" t="str">
        <f>_xlfn.SINGLE(IF( OR(ISBLANK(_xlfn.SINGLE(#REF!)),ISBLANK(_xlfn.SINGLE(R5:R9)), ISBLANK(_xlfn.SINGLE(#REF!)),ISBLANK(_xlfn.SINGLE(Y5:Y9))), "·", bdRateExtend(#REF!,#REF!, R5:R9,Y5:Y9)))</f>
        <v>·</v>
      </c>
      <c r="BK5" s="28" t="str">
        <f>_xlfn.SINGLE(IF( OR(ISBLANK(_xlfn.SINGLE(#REF!)),ISBLANK(_xlfn.SINGLE(R5:R9)), ISBLANK(_xlfn.SINGLE(#REF!)),ISBLANK(_xlfn.SINGLE(Z5:Z9))), "·", bdRateExtend(#REF!,#REF!, R5:R9,Z5:Z9)))</f>
        <v>·</v>
      </c>
      <c r="BL5" s="29"/>
      <c r="BN5" s="28" t="str">
        <f>_xlfn.SINGLE(IF( OR(ISBLANK(_xlfn.SINGLE(#REF!)),ISBLANK(_xlfn.SINGLE(P5:P9)), ISBLANK(_xlfn.SINGLE(#REF!)),ISBLANK(_xlfn.SINGLE(T5:T9))), "·", bdRateExtend(#REF!,#REF!, P5:P9,T5:T9)))</f>
        <v>·</v>
      </c>
      <c r="BO5" s="28" t="str">
        <f>_xlfn.SINGLE(IF( OR(ISBLANK(_xlfn.SINGLE(#REF!)),ISBLANK(_xlfn.SINGLE(P5:P9)), ISBLANK(_xlfn.SINGLE(#REF!)),ISBLANK(_xlfn.SINGLE(U5:U9))), "·", bdRateExtend(#REF!,#REF!, P5:P9,U5:U9)))</f>
        <v>·</v>
      </c>
      <c r="BP5" s="28" t="str">
        <f>_xlfn.SINGLE(IF( OR(ISBLANK(_xlfn.SINGLE(#REF!)),ISBLANK(_xlfn.SINGLE(P5:P9)), ISBLANK(_xlfn.SINGLE(#REF!)),ISBLANK(_xlfn.SINGLE(V5:V9))), "·", bdRateExtend(#REF!,#REF!, P5:P9,V5:V9)))</f>
        <v>·</v>
      </c>
      <c r="BQ5" s="29"/>
      <c r="BS5" s="28" t="str">
        <f>_xlfn.SINGLE(IF( OR(ISBLANK(_xlfn.SINGLE(#REF!)),ISBLANK(_xlfn.SINGLE(P5:P9)), ISBLANK(_xlfn.SINGLE(#REF!)),ISBLANK(_xlfn.SINGLE(X5:X9))), "·", bdRateExtend(#REF!,#REF!, P5:P9,X5:X9)))</f>
        <v>·</v>
      </c>
      <c r="BT5" s="28" t="str">
        <f>_xlfn.SINGLE(IF( OR(ISBLANK(_xlfn.SINGLE(#REF!)),ISBLANK(_xlfn.SINGLE(P5:P9)), ISBLANK(_xlfn.SINGLE(#REF!)),ISBLANK(_xlfn.SINGLE(Y5:Y9))), "·", bdRateExtend(#REF!,#REF!, P5:P9,Y5:Y9)))</f>
        <v>·</v>
      </c>
      <c r="BU5" s="28" t="str">
        <f>_xlfn.SINGLE(IF( OR(ISBLANK(_xlfn.SINGLE(#REF!)),ISBLANK(_xlfn.SINGLE(P5:P9)), ISBLANK(_xlfn.SINGLE(#REF!)),ISBLANK(_xlfn.SINGLE(Z5:Z9))), "·", bdRateExtend(#REF!,#REF!, P5:P9,Z5:Z9)))</f>
        <v>·</v>
      </c>
      <c r="BV5" s="29"/>
    </row>
    <row r="6" spans="1:7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>IF(OR(ISBLANK(#REF!),ISBLANK(G6)),"·",#REF!*G6/F6/1000000)</f>
        <v>·</v>
      </c>
      <c r="J6" s="34" t="e">
        <f>IF(ISBLANK(#REF!),"·",#REF!/D6)</f>
        <v>#REF!</v>
      </c>
      <c r="K6" s="34" t="e">
        <f>IF(#REF!="","·",#REF!/D6)</f>
        <v>#REF!</v>
      </c>
      <c r="L6" s="34" t="e">
        <f>IF(ISBLANK(#REF!),"·",#REF!/D6)</f>
        <v>#REF!</v>
      </c>
      <c r="M6" s="35"/>
      <c r="N6" s="34" t="e">
        <f>IF(ISBLANK(#REF!),"·",#REF!/#REF!)</f>
        <v>#REF!</v>
      </c>
      <c r="O6" s="36"/>
      <c r="P6" s="37"/>
      <c r="Q6" s="37"/>
      <c r="R6" s="37"/>
      <c r="S6" s="38"/>
      <c r="T6" s="39"/>
      <c r="U6" s="39"/>
      <c r="V6" s="39"/>
      <c r="W6" s="40"/>
      <c r="X6" s="39"/>
      <c r="Y6" s="39"/>
      <c r="Z6" s="39"/>
      <c r="AA6" s="40"/>
      <c r="AB6" s="41"/>
      <c r="AC6" s="41"/>
      <c r="AE6" s="33" t="str">
        <f t="shared" si="0"/>
        <v>·</v>
      </c>
      <c r="AF6" s="34" t="str">
        <f t="shared" si="1"/>
        <v>·</v>
      </c>
      <c r="AG6" s="34" t="str">
        <f t="shared" si="2"/>
        <v>·</v>
      </c>
      <c r="AH6" s="34" t="str">
        <f t="shared" si="3"/>
        <v>·</v>
      </c>
      <c r="AI6" s="35"/>
      <c r="AJ6" s="34" t="str">
        <f t="shared" si="4"/>
        <v>·</v>
      </c>
      <c r="BA6" s="42" t="e">
        <f>(Q6/P6) - (#REF!/#REF!)</f>
        <v>#DIV/0!</v>
      </c>
      <c r="BB6" s="42"/>
      <c r="BD6" s="43"/>
      <c r="BE6" s="43"/>
      <c r="BF6" s="43"/>
      <c r="BG6" s="44"/>
      <c r="BI6" s="43"/>
      <c r="BJ6" s="43"/>
      <c r="BK6" s="43"/>
      <c r="BL6" s="44"/>
      <c r="BN6" s="43"/>
      <c r="BO6" s="43"/>
      <c r="BP6" s="43"/>
      <c r="BQ6" s="44"/>
      <c r="BS6" s="43"/>
      <c r="BT6" s="43"/>
      <c r="BU6" s="43"/>
      <c r="BV6" s="44"/>
    </row>
    <row r="7" spans="1:7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>IF(OR(ISBLANK(#REF!),ISBLANK(G7)),"·",#REF!*G7/F7/1000000)</f>
        <v>·</v>
      </c>
      <c r="J7" s="19" t="e">
        <f>IF(ISBLANK(#REF!),"·",#REF!/D7)</f>
        <v>#REF!</v>
      </c>
      <c r="K7" s="19" t="e">
        <f>IF(#REF!="","·",#REF!/D7)</f>
        <v>#REF!</v>
      </c>
      <c r="L7" s="19" t="e">
        <f>IF(ISBLANK(#REF!),"·",#REF!/D7)</f>
        <v>#REF!</v>
      </c>
      <c r="M7" s="20"/>
      <c r="N7" s="19" t="e">
        <f>IF(ISBLANK(#REF!),"·",#REF!/#REF!)</f>
        <v>#REF!</v>
      </c>
      <c r="O7" s="21"/>
      <c r="P7" s="22"/>
      <c r="Q7" s="22"/>
      <c r="R7" s="22"/>
      <c r="S7" s="23"/>
      <c r="T7" s="24"/>
      <c r="U7" s="24"/>
      <c r="V7" s="24"/>
      <c r="W7" s="25"/>
      <c r="X7" s="24"/>
      <c r="Y7" s="24"/>
      <c r="Z7" s="24"/>
      <c r="AA7" s="25"/>
      <c r="AB7" s="26"/>
      <c r="AC7" s="26"/>
      <c r="AE7" s="18" t="str">
        <f t="shared" si="0"/>
        <v>·</v>
      </c>
      <c r="AF7" s="19" t="str">
        <f t="shared" si="1"/>
        <v>·</v>
      </c>
      <c r="AG7" s="19" t="str">
        <f t="shared" si="2"/>
        <v>·</v>
      </c>
      <c r="AH7" s="19" t="str">
        <f t="shared" si="3"/>
        <v>·</v>
      </c>
      <c r="AI7" s="20"/>
      <c r="AJ7" s="19" t="str">
        <f t="shared" si="4"/>
        <v>·</v>
      </c>
      <c r="BA7" s="27" t="e">
        <f>(Q7/P7) - (#REF!/#REF!)</f>
        <v>#DIV/0!</v>
      </c>
      <c r="BB7" s="27"/>
      <c r="BD7" s="28"/>
      <c r="BE7" s="28"/>
      <c r="BF7" s="28"/>
      <c r="BG7" s="29"/>
      <c r="BI7" s="28"/>
      <c r="BJ7" s="28"/>
      <c r="BK7" s="28"/>
      <c r="BL7" s="29"/>
      <c r="BN7" s="28"/>
      <c r="BO7" s="28"/>
      <c r="BP7" s="28"/>
      <c r="BQ7" s="29"/>
      <c r="BS7" s="28"/>
      <c r="BT7" s="28"/>
      <c r="BU7" s="28"/>
      <c r="BV7" s="29"/>
    </row>
    <row r="8" spans="1:7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>IF(OR(ISBLANK(#REF!),ISBLANK(G8)),"·",#REF!*G8/F8/1000000)</f>
        <v>·</v>
      </c>
      <c r="J8" s="34" t="e">
        <f>IF(ISBLANK(#REF!),"·",#REF!/D8)</f>
        <v>#REF!</v>
      </c>
      <c r="K8" s="34" t="e">
        <f>IF(#REF!="","·",#REF!/D8)</f>
        <v>#REF!</v>
      </c>
      <c r="L8" s="34" t="e">
        <f>IF(ISBLANK(#REF!),"·",#REF!/D8)</f>
        <v>#REF!</v>
      </c>
      <c r="M8" s="35"/>
      <c r="N8" s="34" t="e">
        <f>IF(ISBLANK(#REF!),"·",#REF!/#REF!)</f>
        <v>#REF!</v>
      </c>
      <c r="O8" s="36"/>
      <c r="P8" s="37"/>
      <c r="Q8" s="37"/>
      <c r="R8" s="37"/>
      <c r="S8" s="38"/>
      <c r="T8" s="39"/>
      <c r="U8" s="39"/>
      <c r="V8" s="39"/>
      <c r="W8" s="40"/>
      <c r="X8" s="39"/>
      <c r="Y8" s="39"/>
      <c r="Z8" s="39"/>
      <c r="AA8" s="40"/>
      <c r="AB8" s="41"/>
      <c r="AC8" s="41"/>
      <c r="AE8" s="33" t="str">
        <f t="shared" si="0"/>
        <v>·</v>
      </c>
      <c r="AF8" s="34" t="str">
        <f t="shared" si="1"/>
        <v>·</v>
      </c>
      <c r="AG8" s="34" t="str">
        <f t="shared" si="2"/>
        <v>·</v>
      </c>
      <c r="AH8" s="34" t="str">
        <f t="shared" si="3"/>
        <v>·</v>
      </c>
      <c r="AI8" s="35"/>
      <c r="AJ8" s="34" t="str">
        <f t="shared" si="4"/>
        <v>·</v>
      </c>
      <c r="BA8" s="42" t="e">
        <f>(Q8/P8) - (#REF!/#REF!)</f>
        <v>#DIV/0!</v>
      </c>
      <c r="BB8" s="42"/>
      <c r="BD8" s="43"/>
      <c r="BE8" s="43"/>
      <c r="BF8" s="43"/>
      <c r="BG8" s="44"/>
      <c r="BI8" s="43"/>
      <c r="BJ8" s="43"/>
      <c r="BK8" s="43"/>
      <c r="BL8" s="44"/>
      <c r="BN8" s="43"/>
      <c r="BO8" s="43"/>
      <c r="BP8" s="43"/>
      <c r="BQ8" s="44"/>
      <c r="BS8" s="43"/>
      <c r="BT8" s="43"/>
      <c r="BU8" s="43"/>
      <c r="BV8" s="44"/>
    </row>
    <row r="9" spans="1:74" ht="14.25" outlineLevel="1" thickBot="1" x14ac:dyDescent="0.2">
      <c r="A9" s="15"/>
      <c r="B9" s="64" t="s">
        <v>223</v>
      </c>
      <c r="C9" s="66" t="s">
        <v>229</v>
      </c>
      <c r="D9" s="64">
        <v>2925514</v>
      </c>
      <c r="E9" s="65">
        <v>11</v>
      </c>
      <c r="F9" s="66">
        <v>1</v>
      </c>
      <c r="G9" s="66"/>
      <c r="I9" s="68" t="str">
        <f>IF(OR(ISBLANK(#REF!),ISBLANK(G9)),"·",#REF!*G9/F9/1000000)</f>
        <v>·</v>
      </c>
      <c r="J9" s="69" t="e">
        <f>IF(ISBLANK(#REF!),"·",#REF!/D9)</f>
        <v>#REF!</v>
      </c>
      <c r="K9" s="69" t="e">
        <f>IF(#REF!="","·",#REF!/D9)</f>
        <v>#REF!</v>
      </c>
      <c r="L9" s="69" t="e">
        <f>IF(ISBLANK(#REF!),"·",#REF!/D9)</f>
        <v>#REF!</v>
      </c>
      <c r="M9" s="70"/>
      <c r="N9" s="69" t="e">
        <f>IF(ISBLANK(#REF!),"·",#REF!/#REF!)</f>
        <v>#REF!</v>
      </c>
      <c r="O9" s="71"/>
      <c r="P9" s="72"/>
      <c r="Q9" s="72"/>
      <c r="R9" s="72"/>
      <c r="S9" s="73"/>
      <c r="T9" s="77"/>
      <c r="U9" s="77"/>
      <c r="V9" s="77"/>
      <c r="W9" s="78"/>
      <c r="X9" s="77"/>
      <c r="Y9" s="77"/>
      <c r="Z9" s="77"/>
      <c r="AA9" s="78"/>
      <c r="AB9" s="74"/>
      <c r="AC9" s="74"/>
      <c r="AE9" s="68" t="str">
        <f t="shared" si="0"/>
        <v>·</v>
      </c>
      <c r="AF9" s="69" t="str">
        <f t="shared" si="1"/>
        <v>·</v>
      </c>
      <c r="AG9" s="69" t="str">
        <f t="shared" si="2"/>
        <v>·</v>
      </c>
      <c r="AH9" s="69" t="str">
        <f t="shared" si="3"/>
        <v>·</v>
      </c>
      <c r="AI9" s="70"/>
      <c r="AJ9" s="69" t="str">
        <f t="shared" si="4"/>
        <v>·</v>
      </c>
      <c r="BA9" s="67" t="e">
        <f>(Q9/P9) - (#REF!/#REF!)</f>
        <v>#DIV/0!</v>
      </c>
      <c r="BB9" s="67"/>
      <c r="BD9" s="75"/>
      <c r="BE9" s="75"/>
      <c r="BF9" s="75"/>
      <c r="BG9" s="76"/>
      <c r="BI9" s="75"/>
      <c r="BJ9" s="75"/>
      <c r="BK9" s="75"/>
      <c r="BL9" s="76"/>
      <c r="BN9" s="75"/>
      <c r="BO9" s="75"/>
      <c r="BP9" s="75"/>
      <c r="BQ9" s="76"/>
      <c r="BS9" s="75"/>
      <c r="BT9" s="75"/>
      <c r="BU9" s="75"/>
      <c r="BV9" s="76"/>
    </row>
    <row r="10" spans="1:74" x14ac:dyDescent="0.15">
      <c r="A10" s="30"/>
      <c r="B10" s="30" t="s">
        <v>233</v>
      </c>
      <c r="C10" s="31" t="s">
        <v>225</v>
      </c>
      <c r="D10" s="30">
        <v>2592758</v>
      </c>
      <c r="E10" s="32">
        <v>11</v>
      </c>
      <c r="F10" s="31">
        <v>1</v>
      </c>
      <c r="G10" s="31"/>
      <c r="I10" s="33" t="str">
        <f>IF(OR(ISBLANK(#REF!),ISBLANK(G10)),"·",#REF!*G10/F10/1000000)</f>
        <v>·</v>
      </c>
      <c r="J10" s="34" t="e">
        <f>IF(ISBLANK(#REF!),"·",#REF!/D10)</f>
        <v>#REF!</v>
      </c>
      <c r="K10" s="34" t="e">
        <f>IF(#REF!="","·",#REF!/D10)</f>
        <v>#REF!</v>
      </c>
      <c r="L10" s="34" t="e">
        <f>IF(ISBLANK(#REF!),"·",#REF!/D10)</f>
        <v>#REF!</v>
      </c>
      <c r="M10" s="35"/>
      <c r="N10" s="34" t="e">
        <f>IF(ISBLANK(#REF!),"·",#REF!/#REF!)</f>
        <v>#REF!</v>
      </c>
      <c r="O10" s="36"/>
      <c r="P10" s="37"/>
      <c r="Q10" s="37"/>
      <c r="R10" s="37"/>
      <c r="S10" s="38"/>
      <c r="T10" s="39"/>
      <c r="U10" s="39"/>
      <c r="V10" s="39"/>
      <c r="W10" s="40"/>
      <c r="X10" s="39"/>
      <c r="Y10" s="39"/>
      <c r="Z10" s="39"/>
      <c r="AA10" s="40"/>
      <c r="AB10" s="41"/>
      <c r="AC10" s="41"/>
      <c r="AE10" s="33" t="str">
        <f t="shared" si="0"/>
        <v>·</v>
      </c>
      <c r="AF10" s="34" t="str">
        <f t="shared" si="1"/>
        <v>·</v>
      </c>
      <c r="AG10" s="34" t="str">
        <f t="shared" si="2"/>
        <v>·</v>
      </c>
      <c r="AH10" s="34" t="str">
        <f t="shared" si="3"/>
        <v>·</v>
      </c>
      <c r="AI10" s="35"/>
      <c r="AJ10" s="34" t="str">
        <f t="shared" si="4"/>
        <v>·</v>
      </c>
      <c r="BA10" s="42" t="e">
        <f>(Q10/P10) - (#REF!/#REF!)</f>
        <v>#DIV/0!</v>
      </c>
      <c r="BB10" s="42" t="e">
        <f t="array" ref="BB10">AVERAGE(Q10:Q14/P10:P14) - AVERAGE(#REF!/#REF!)</f>
        <v>#DIV/0!</v>
      </c>
      <c r="BD10" s="43" t="str">
        <f>_xlfn.SINGLE(IF( OR(ISBLANK(_xlfn.SINGLE(#REF!)),ISBLANK(_xlfn.SINGLE(R10:R14)), ISBLANK(_xlfn.SINGLE(#REF!)),ISBLANK(_xlfn.SINGLE(T10:T14))), "·", bdRateExtend(#REF!,#REF!, R10:R14,T10:T14)))</f>
        <v>·</v>
      </c>
      <c r="BE10" s="43" t="str">
        <f>_xlfn.SINGLE(IF( OR(ISBLANK(_xlfn.SINGLE(#REF!)),ISBLANK(_xlfn.SINGLE(R10:R14)), ISBLANK(_xlfn.SINGLE(#REF!)),ISBLANK(_xlfn.SINGLE(U10:U14))), "·", bdRateExtend(#REF!,#REF!, R10:R14,U10:U14)))</f>
        <v>·</v>
      </c>
      <c r="BF10" s="43" t="str">
        <f>_xlfn.SINGLE(IF( OR(ISBLANK(_xlfn.SINGLE(#REF!)),ISBLANK(_xlfn.SINGLE(R10:R14)), ISBLANK(_xlfn.SINGLE(#REF!)),ISBLANK(_xlfn.SINGLE(V10:V14))), "·", bdRateExtend(#REF!,#REF!, R10:R14,V10:V14)))</f>
        <v>·</v>
      </c>
      <c r="BG10" s="44"/>
      <c r="BI10" s="43" t="str">
        <f>_xlfn.SINGLE(IF( OR(ISBLANK(_xlfn.SINGLE(#REF!)),ISBLANK(_xlfn.SINGLE(R10:R14)), ISBLANK(_xlfn.SINGLE(#REF!)),ISBLANK(_xlfn.SINGLE(X10:X14))), "·", bdRateExtend(#REF!,#REF!, R10:R14,X10:X14)))</f>
        <v>·</v>
      </c>
      <c r="BJ10" s="43" t="str">
        <f>_xlfn.SINGLE(IF( OR(ISBLANK(_xlfn.SINGLE(#REF!)),ISBLANK(_xlfn.SINGLE(R10:R14)), ISBLANK(_xlfn.SINGLE(#REF!)),ISBLANK(_xlfn.SINGLE(Y10:Y14))), "·", bdRateExtend(#REF!,#REF!, R10:R14,Y10:Y14)))</f>
        <v>·</v>
      </c>
      <c r="BK10" s="43" t="str">
        <f>_xlfn.SINGLE(IF( OR(ISBLANK(_xlfn.SINGLE(#REF!)),ISBLANK(_xlfn.SINGLE(R10:R14)), ISBLANK(_xlfn.SINGLE(#REF!)),ISBLANK(_xlfn.SINGLE(Z10:Z14))), "·", bdRateExtend(#REF!,#REF!, R10:R14,Z10:Z14)))</f>
        <v>·</v>
      </c>
      <c r="BL10" s="44"/>
      <c r="BN10" s="43" t="str">
        <f>_xlfn.SINGLE(IF( OR(ISBLANK(_xlfn.SINGLE(#REF!)),ISBLANK(_xlfn.SINGLE(P10:P14)), ISBLANK(_xlfn.SINGLE(#REF!)),ISBLANK(_xlfn.SINGLE(T10:T14))), "·", bdRateExtend(#REF!,#REF!, P10:P14,T10:T14)))</f>
        <v>·</v>
      </c>
      <c r="BO10" s="43" t="str">
        <f>_xlfn.SINGLE(IF( OR(ISBLANK(_xlfn.SINGLE(#REF!)),ISBLANK(_xlfn.SINGLE(P10:P14)), ISBLANK(_xlfn.SINGLE(#REF!)),ISBLANK(_xlfn.SINGLE(U10:U14))), "·", bdRateExtend(#REF!,#REF!, P10:P14,U10:U14)))</f>
        <v>·</v>
      </c>
      <c r="BP10" s="43" t="str">
        <f>_xlfn.SINGLE(IF( OR(ISBLANK(_xlfn.SINGLE(#REF!)),ISBLANK(_xlfn.SINGLE(P10:P14)), ISBLANK(_xlfn.SINGLE(#REF!)),ISBLANK(_xlfn.SINGLE(V10:V14))), "·", bdRateExtend(#REF!,#REF!, P10:P14,V10:V14)))</f>
        <v>·</v>
      </c>
      <c r="BQ10" s="44"/>
      <c r="BS10" s="43" t="str">
        <f>_xlfn.SINGLE(IF( OR(ISBLANK(_xlfn.SINGLE(#REF!)),ISBLANK(_xlfn.SINGLE(P10:P14)), ISBLANK(_xlfn.SINGLE(#REF!)),ISBLANK(_xlfn.SINGLE(X10:X14))), "·", bdRateExtend(#REF!,#REF!, P10:P14,X10:X14)))</f>
        <v>·</v>
      </c>
      <c r="BT10" s="43" t="str">
        <f>_xlfn.SINGLE(IF( OR(ISBLANK(_xlfn.SINGLE(#REF!)),ISBLANK(_xlfn.SINGLE(P10:P14)), ISBLANK(_xlfn.SINGLE(#REF!)),ISBLANK(_xlfn.SINGLE(Y10:Y14))), "·", bdRateExtend(#REF!,#REF!, P10:P14,Y10:Y14)))</f>
        <v>·</v>
      </c>
      <c r="BU10" s="43" t="str">
        <f>_xlfn.SINGLE(IF( OR(ISBLANK(_xlfn.SINGLE(#REF!)),ISBLANK(_xlfn.SINGLE(P10:P14)), ISBLANK(_xlfn.SINGLE(#REF!)),ISBLANK(_xlfn.SINGLE(Z10:Z14))), "·", bdRateExtend(#REF!,#REF!, P10:P14,Z10:Z14)))</f>
        <v>·</v>
      </c>
      <c r="BV10" s="44"/>
    </row>
    <row r="11" spans="1:74" outlineLevel="1" x14ac:dyDescent="0.15">
      <c r="A11" s="15"/>
      <c r="B11" s="15" t="s">
        <v>233</v>
      </c>
      <c r="C11" s="16" t="s">
        <v>226</v>
      </c>
      <c r="D11" s="15">
        <v>2592758</v>
      </c>
      <c r="E11" s="17">
        <v>11</v>
      </c>
      <c r="F11" s="16">
        <v>1</v>
      </c>
      <c r="G11" s="16"/>
      <c r="I11" s="18" t="str">
        <f>IF(OR(ISBLANK(#REF!),ISBLANK(G11)),"·",#REF!*G11/F11/1000000)</f>
        <v>·</v>
      </c>
      <c r="J11" s="19" t="e">
        <f>IF(ISBLANK(#REF!),"·",#REF!/D11)</f>
        <v>#REF!</v>
      </c>
      <c r="K11" s="19" t="e">
        <f>IF(#REF!="","·",#REF!/D11)</f>
        <v>#REF!</v>
      </c>
      <c r="L11" s="19" t="e">
        <f>IF(ISBLANK(#REF!),"·",#REF!/D11)</f>
        <v>#REF!</v>
      </c>
      <c r="M11" s="20"/>
      <c r="N11" s="19" t="e">
        <f>IF(ISBLANK(#REF!),"·",#REF!/#REF!)</f>
        <v>#REF!</v>
      </c>
      <c r="O11" s="21"/>
      <c r="P11" s="22"/>
      <c r="Q11" s="22"/>
      <c r="R11" s="22"/>
      <c r="S11" s="23"/>
      <c r="T11" s="24"/>
      <c r="U11" s="24"/>
      <c r="V11" s="24"/>
      <c r="W11" s="25"/>
      <c r="X11" s="24"/>
      <c r="Y11" s="24"/>
      <c r="Z11" s="24"/>
      <c r="AA11" s="25"/>
      <c r="AB11" s="26"/>
      <c r="AC11" s="26"/>
      <c r="AE11" s="18" t="str">
        <f t="shared" si="0"/>
        <v>·</v>
      </c>
      <c r="AF11" s="19" t="str">
        <f t="shared" si="1"/>
        <v>·</v>
      </c>
      <c r="AG11" s="19" t="str">
        <f t="shared" si="2"/>
        <v>·</v>
      </c>
      <c r="AH11" s="19" t="str">
        <f t="shared" si="3"/>
        <v>·</v>
      </c>
      <c r="AI11" s="20"/>
      <c r="AJ11" s="19" t="str">
        <f t="shared" si="4"/>
        <v>·</v>
      </c>
      <c r="BA11" s="27" t="e">
        <f>(Q11/P11) - (#REF!/#REF!)</f>
        <v>#DIV/0!</v>
      </c>
      <c r="BB11" s="27"/>
      <c r="BD11" s="28"/>
      <c r="BE11" s="28"/>
      <c r="BF11" s="28"/>
      <c r="BG11" s="29"/>
      <c r="BI11" s="28"/>
      <c r="BJ11" s="28"/>
      <c r="BK11" s="28"/>
      <c r="BL11" s="29"/>
      <c r="BN11" s="28"/>
      <c r="BO11" s="28"/>
      <c r="BP11" s="28"/>
      <c r="BQ11" s="29"/>
      <c r="BS11" s="28"/>
      <c r="BT11" s="28"/>
      <c r="BU11" s="28"/>
      <c r="BV11" s="29"/>
    </row>
    <row r="12" spans="1:74" outlineLevel="1" x14ac:dyDescent="0.15">
      <c r="A12" s="30"/>
      <c r="B12" s="30" t="s">
        <v>233</v>
      </c>
      <c r="C12" s="31" t="s">
        <v>227</v>
      </c>
      <c r="D12" s="30">
        <v>2592758</v>
      </c>
      <c r="E12" s="32">
        <v>11</v>
      </c>
      <c r="F12" s="31">
        <v>1</v>
      </c>
      <c r="G12" s="31"/>
      <c r="I12" s="33" t="str">
        <f>IF(OR(ISBLANK(#REF!),ISBLANK(G12)),"·",#REF!*G12/F12/1000000)</f>
        <v>·</v>
      </c>
      <c r="J12" s="34" t="e">
        <f>IF(ISBLANK(#REF!),"·",#REF!/D12)</f>
        <v>#REF!</v>
      </c>
      <c r="K12" s="34" t="e">
        <f>IF(#REF!="","·",#REF!/D12)</f>
        <v>#REF!</v>
      </c>
      <c r="L12" s="34" t="e">
        <f>IF(ISBLANK(#REF!),"·",#REF!/D12)</f>
        <v>#REF!</v>
      </c>
      <c r="M12" s="35"/>
      <c r="N12" s="34" t="e">
        <f>IF(ISBLANK(#REF!),"·",#REF!/#REF!)</f>
        <v>#REF!</v>
      </c>
      <c r="O12" s="36"/>
      <c r="P12" s="37"/>
      <c r="Q12" s="37"/>
      <c r="R12" s="37"/>
      <c r="S12" s="38"/>
      <c r="T12" s="39"/>
      <c r="U12" s="39"/>
      <c r="V12" s="39"/>
      <c r="W12" s="40"/>
      <c r="X12" s="39"/>
      <c r="Y12" s="39"/>
      <c r="Z12" s="39"/>
      <c r="AA12" s="40"/>
      <c r="AB12" s="41"/>
      <c r="AC12" s="41"/>
      <c r="AE12" s="33" t="str">
        <f t="shared" si="0"/>
        <v>·</v>
      </c>
      <c r="AF12" s="34" t="str">
        <f t="shared" si="1"/>
        <v>·</v>
      </c>
      <c r="AG12" s="34" t="str">
        <f t="shared" si="2"/>
        <v>·</v>
      </c>
      <c r="AH12" s="34" t="str">
        <f t="shared" si="3"/>
        <v>·</v>
      </c>
      <c r="AI12" s="35"/>
      <c r="AJ12" s="34" t="str">
        <f t="shared" si="4"/>
        <v>·</v>
      </c>
      <c r="BA12" s="42" t="e">
        <f>(Q12/P12) - (#REF!/#REF!)</f>
        <v>#DIV/0!</v>
      </c>
      <c r="BB12" s="42"/>
      <c r="BD12" s="43"/>
      <c r="BE12" s="43"/>
      <c r="BF12" s="43"/>
      <c r="BG12" s="44"/>
      <c r="BI12" s="43"/>
      <c r="BJ12" s="43"/>
      <c r="BK12" s="43"/>
      <c r="BL12" s="44"/>
      <c r="BN12" s="43"/>
      <c r="BO12" s="43"/>
      <c r="BP12" s="43"/>
      <c r="BQ12" s="44"/>
      <c r="BS12" s="43"/>
      <c r="BT12" s="43"/>
      <c r="BU12" s="43"/>
      <c r="BV12" s="44"/>
    </row>
    <row r="13" spans="1:74" outlineLevel="1" x14ac:dyDescent="0.15">
      <c r="A13" s="15"/>
      <c r="B13" s="15" t="s">
        <v>233</v>
      </c>
      <c r="C13" s="16" t="s">
        <v>228</v>
      </c>
      <c r="D13" s="15">
        <v>2592758</v>
      </c>
      <c r="E13" s="17">
        <v>11</v>
      </c>
      <c r="F13" s="16">
        <v>1</v>
      </c>
      <c r="G13" s="16"/>
      <c r="I13" s="18" t="str">
        <f>IF(OR(ISBLANK(#REF!),ISBLANK(G13)),"·",#REF!*G13/F13/1000000)</f>
        <v>·</v>
      </c>
      <c r="J13" s="19" t="e">
        <f>IF(ISBLANK(#REF!),"·",#REF!/D13)</f>
        <v>#REF!</v>
      </c>
      <c r="K13" s="19" t="e">
        <f>IF(#REF!="","·",#REF!/D13)</f>
        <v>#REF!</v>
      </c>
      <c r="L13" s="19" t="e">
        <f>IF(ISBLANK(#REF!),"·",#REF!/D13)</f>
        <v>#REF!</v>
      </c>
      <c r="M13" s="20"/>
      <c r="N13" s="19" t="e">
        <f>IF(ISBLANK(#REF!),"·",#REF!/#REF!)</f>
        <v>#REF!</v>
      </c>
      <c r="O13" s="21"/>
      <c r="P13" s="22"/>
      <c r="Q13" s="22"/>
      <c r="R13" s="22"/>
      <c r="S13" s="23"/>
      <c r="T13" s="24"/>
      <c r="U13" s="24"/>
      <c r="V13" s="24"/>
      <c r="W13" s="25"/>
      <c r="X13" s="24"/>
      <c r="Y13" s="24"/>
      <c r="Z13" s="24"/>
      <c r="AA13" s="25"/>
      <c r="AB13" s="26"/>
      <c r="AC13" s="26"/>
      <c r="AE13" s="18" t="str">
        <f t="shared" si="0"/>
        <v>·</v>
      </c>
      <c r="AF13" s="19" t="str">
        <f t="shared" si="1"/>
        <v>·</v>
      </c>
      <c r="AG13" s="19" t="str">
        <f t="shared" si="2"/>
        <v>·</v>
      </c>
      <c r="AH13" s="19" t="str">
        <f t="shared" si="3"/>
        <v>·</v>
      </c>
      <c r="AI13" s="20"/>
      <c r="AJ13" s="19" t="str">
        <f t="shared" si="4"/>
        <v>·</v>
      </c>
      <c r="BA13" s="27" t="e">
        <f>(Q13/P13) - (#REF!/#REF!)</f>
        <v>#DIV/0!</v>
      </c>
      <c r="BB13" s="27"/>
      <c r="BD13" s="28"/>
      <c r="BE13" s="28"/>
      <c r="BF13" s="28"/>
      <c r="BG13" s="29"/>
      <c r="BI13" s="28"/>
      <c r="BJ13" s="28"/>
      <c r="BK13" s="28"/>
      <c r="BL13" s="29"/>
      <c r="BN13" s="28"/>
      <c r="BO13" s="28"/>
      <c r="BP13" s="28"/>
      <c r="BQ13" s="29"/>
      <c r="BS13" s="28"/>
      <c r="BT13" s="28"/>
      <c r="BU13" s="28"/>
      <c r="BV13" s="29"/>
    </row>
    <row r="14" spans="1:74" ht="14.25" outlineLevel="1" thickBot="1" x14ac:dyDescent="0.2">
      <c r="A14" s="30"/>
      <c r="B14" s="45" t="s">
        <v>233</v>
      </c>
      <c r="C14" s="46" t="s">
        <v>229</v>
      </c>
      <c r="D14" s="45">
        <v>2592758</v>
      </c>
      <c r="E14" s="47">
        <v>11</v>
      </c>
      <c r="F14" s="46">
        <v>1</v>
      </c>
      <c r="G14" s="46"/>
      <c r="I14" s="48" t="str">
        <f>IF(OR(ISBLANK(#REF!),ISBLANK(G14)),"·",#REF!*G14/F14/1000000)</f>
        <v>·</v>
      </c>
      <c r="J14" s="49" t="e">
        <f>IF(ISBLANK(#REF!),"·",#REF!/D14)</f>
        <v>#REF!</v>
      </c>
      <c r="K14" s="49" t="e">
        <f>IF(#REF!="","·",#REF!/D14)</f>
        <v>#REF!</v>
      </c>
      <c r="L14" s="49" t="e">
        <f>IF(ISBLANK(#REF!),"·",#REF!/D14)</f>
        <v>#REF!</v>
      </c>
      <c r="M14" s="50"/>
      <c r="N14" s="49" t="e">
        <f>IF(ISBLANK(#REF!),"·",#REF!/#REF!)</f>
        <v>#REF!</v>
      </c>
      <c r="O14" s="51"/>
      <c r="P14" s="52"/>
      <c r="Q14" s="52"/>
      <c r="R14" s="52"/>
      <c r="S14" s="53"/>
      <c r="T14" s="54"/>
      <c r="U14" s="54"/>
      <c r="V14" s="54"/>
      <c r="W14" s="55"/>
      <c r="X14" s="54"/>
      <c r="Y14" s="54"/>
      <c r="Z14" s="54"/>
      <c r="AA14" s="55"/>
      <c r="AB14" s="56"/>
      <c r="AC14" s="56"/>
      <c r="AE14" s="48" t="str">
        <f t="shared" si="0"/>
        <v>·</v>
      </c>
      <c r="AF14" s="49" t="str">
        <f t="shared" si="1"/>
        <v>·</v>
      </c>
      <c r="AG14" s="49" t="str">
        <f t="shared" si="2"/>
        <v>·</v>
      </c>
      <c r="AH14" s="49" t="str">
        <f t="shared" si="3"/>
        <v>·</v>
      </c>
      <c r="AI14" s="50"/>
      <c r="AJ14" s="49" t="str">
        <f t="shared" si="4"/>
        <v>·</v>
      </c>
      <c r="BA14" s="57" t="e">
        <f>(Q14/P14) - (#REF!/#REF!)</f>
        <v>#DIV/0!</v>
      </c>
      <c r="BB14" s="57"/>
      <c r="BD14" s="58"/>
      <c r="BE14" s="58"/>
      <c r="BF14" s="58"/>
      <c r="BG14" s="59"/>
      <c r="BI14" s="58"/>
      <c r="BJ14" s="58"/>
      <c r="BK14" s="58"/>
      <c r="BL14" s="59"/>
      <c r="BN14" s="58"/>
      <c r="BO14" s="58"/>
      <c r="BP14" s="58"/>
      <c r="BQ14" s="59"/>
      <c r="BS14" s="58"/>
      <c r="BT14" s="58"/>
      <c r="BU14" s="58"/>
      <c r="BV14" s="59"/>
    </row>
    <row r="15" spans="1:74" x14ac:dyDescent="0.15">
      <c r="A15" s="15"/>
      <c r="B15" s="15" t="s">
        <v>236</v>
      </c>
      <c r="C15" s="16" t="s">
        <v>225</v>
      </c>
      <c r="D15" s="15">
        <v>4061755</v>
      </c>
      <c r="E15" s="17">
        <v>11</v>
      </c>
      <c r="F15" s="16">
        <v>1</v>
      </c>
      <c r="G15" s="16"/>
      <c r="I15" s="18" t="str">
        <f>IF(OR(ISBLANK(#REF!),ISBLANK(G15)),"·",#REF!*G15/F15/1000000)</f>
        <v>·</v>
      </c>
      <c r="J15" s="19" t="e">
        <f>IF(ISBLANK(#REF!),"·",#REF!/D15)</f>
        <v>#REF!</v>
      </c>
      <c r="K15" s="19" t="e">
        <f>IF(#REF!="","·",#REF!/D15)</f>
        <v>#REF!</v>
      </c>
      <c r="L15" s="19" t="e">
        <f>IF(ISBLANK(#REF!),"·",#REF!/D15)</f>
        <v>#REF!</v>
      </c>
      <c r="M15" s="20"/>
      <c r="N15" s="19" t="e">
        <f>IF(ISBLANK(#REF!),"·",#REF!/#REF!)</f>
        <v>#REF!</v>
      </c>
      <c r="O15" s="21"/>
      <c r="P15" s="22"/>
      <c r="Q15" s="22"/>
      <c r="R15" s="22"/>
      <c r="S15" s="23"/>
      <c r="T15" s="24"/>
      <c r="U15" s="24"/>
      <c r="V15" s="24"/>
      <c r="W15" s="25"/>
      <c r="X15" s="24"/>
      <c r="Y15" s="24"/>
      <c r="Z15" s="24"/>
      <c r="AA15" s="25"/>
      <c r="AB15" s="26"/>
      <c r="AC15" s="26"/>
      <c r="AE15" s="18" t="str">
        <f t="shared" si="0"/>
        <v>·</v>
      </c>
      <c r="AF15" s="19" t="str">
        <f t="shared" si="1"/>
        <v>·</v>
      </c>
      <c r="AG15" s="19" t="str">
        <f t="shared" si="2"/>
        <v>·</v>
      </c>
      <c r="AH15" s="19" t="str">
        <f t="shared" si="3"/>
        <v>·</v>
      </c>
      <c r="AI15" s="20"/>
      <c r="AJ15" s="19" t="str">
        <f t="shared" si="4"/>
        <v>·</v>
      </c>
      <c r="BA15" s="27" t="e">
        <f>(Q15/P15) - (#REF!/#REF!)</f>
        <v>#DIV/0!</v>
      </c>
      <c r="BB15" s="27" t="e">
        <f t="array" ref="BB15">AVERAGE(Q15:Q19/P15:P19) - AVERAGE(#REF!/#REF!)</f>
        <v>#DIV/0!</v>
      </c>
      <c r="BD15" s="28" t="str">
        <f>_xlfn.SINGLE(IF( OR(ISBLANK(_xlfn.SINGLE(#REF!)),ISBLANK(_xlfn.SINGLE(R15:R19)), ISBLANK(_xlfn.SINGLE(#REF!)),ISBLANK(_xlfn.SINGLE(T15:T19))), "·", bdRateExtend(#REF!,#REF!, R15:R19,T15:T19)))</f>
        <v>·</v>
      </c>
      <c r="BE15" s="28" t="str">
        <f>_xlfn.SINGLE(IF( OR(ISBLANK(_xlfn.SINGLE(#REF!)),ISBLANK(_xlfn.SINGLE(R15:R19)), ISBLANK(_xlfn.SINGLE(#REF!)),ISBLANK(_xlfn.SINGLE(U15:U19))), "·", bdRateExtend(#REF!,#REF!, R15:R19,U15:U19)))</f>
        <v>·</v>
      </c>
      <c r="BF15" s="28" t="str">
        <f>_xlfn.SINGLE(IF( OR(ISBLANK(_xlfn.SINGLE(#REF!)),ISBLANK(_xlfn.SINGLE(R15:R19)), ISBLANK(_xlfn.SINGLE(#REF!)),ISBLANK(_xlfn.SINGLE(V15:V19))), "·", bdRateExtend(#REF!,#REF!, R15:R19,V15:V19)))</f>
        <v>·</v>
      </c>
      <c r="BG15" s="29"/>
      <c r="BI15" s="28" t="str">
        <f>_xlfn.SINGLE(IF( OR(ISBLANK(_xlfn.SINGLE(#REF!)),ISBLANK(_xlfn.SINGLE(R15:R19)), ISBLANK(_xlfn.SINGLE(#REF!)),ISBLANK(_xlfn.SINGLE(X15:X19))), "·", bdRateExtend(#REF!,#REF!, R15:R19,X15:X19)))</f>
        <v>·</v>
      </c>
      <c r="BJ15" s="28" t="str">
        <f>_xlfn.SINGLE(IF( OR(ISBLANK(_xlfn.SINGLE(#REF!)),ISBLANK(_xlfn.SINGLE(R15:R19)), ISBLANK(_xlfn.SINGLE(#REF!)),ISBLANK(_xlfn.SINGLE(Y15:Y19))), "·", bdRateExtend(#REF!,#REF!, R15:R19,Y15:Y19)))</f>
        <v>·</v>
      </c>
      <c r="BK15" s="28" t="str">
        <f>_xlfn.SINGLE(IF( OR(ISBLANK(_xlfn.SINGLE(#REF!)),ISBLANK(_xlfn.SINGLE(R15:R19)), ISBLANK(_xlfn.SINGLE(#REF!)),ISBLANK(_xlfn.SINGLE(Z15:Z19))), "·", bdRateExtend(#REF!,#REF!, R15:R19,Z15:Z19)))</f>
        <v>·</v>
      </c>
      <c r="BL15" s="29"/>
      <c r="BN15" s="28" t="str">
        <f>_xlfn.SINGLE(IF( OR(ISBLANK(_xlfn.SINGLE(#REF!)),ISBLANK(_xlfn.SINGLE(P15:P19)), ISBLANK(_xlfn.SINGLE(#REF!)),ISBLANK(_xlfn.SINGLE(T15:T19))), "·", bdRateExtend(#REF!,#REF!, P15:P19,T15:T19)))</f>
        <v>·</v>
      </c>
      <c r="BO15" s="28" t="str">
        <f>_xlfn.SINGLE(IF( OR(ISBLANK(_xlfn.SINGLE(#REF!)),ISBLANK(_xlfn.SINGLE(P15:P19)), ISBLANK(_xlfn.SINGLE(#REF!)),ISBLANK(_xlfn.SINGLE(U15:U19))), "·", bdRateExtend(#REF!,#REF!, P15:P19,U15:U19)))</f>
        <v>·</v>
      </c>
      <c r="BP15" s="28" t="str">
        <f>_xlfn.SINGLE(IF( OR(ISBLANK(_xlfn.SINGLE(#REF!)),ISBLANK(_xlfn.SINGLE(P15:P19)), ISBLANK(_xlfn.SINGLE(#REF!)),ISBLANK(_xlfn.SINGLE(V15:V19))), "·", bdRateExtend(#REF!,#REF!, P15:P19,V15:V19)))</f>
        <v>·</v>
      </c>
      <c r="BQ15" s="29"/>
      <c r="BS15" s="28" t="str">
        <f>_xlfn.SINGLE(IF( OR(ISBLANK(_xlfn.SINGLE(#REF!)),ISBLANK(_xlfn.SINGLE(P15:P19)), ISBLANK(_xlfn.SINGLE(#REF!)),ISBLANK(_xlfn.SINGLE(X15:X19))), "·", bdRateExtend(#REF!,#REF!, P15:P19,X15:X19)))</f>
        <v>·</v>
      </c>
      <c r="BT15" s="28" t="str">
        <f>_xlfn.SINGLE(IF( OR(ISBLANK(_xlfn.SINGLE(#REF!)),ISBLANK(_xlfn.SINGLE(P15:P19)), ISBLANK(_xlfn.SINGLE(#REF!)),ISBLANK(_xlfn.SINGLE(Y15:Y19))), "·", bdRateExtend(#REF!,#REF!, P15:P19,Y15:Y19)))</f>
        <v>·</v>
      </c>
      <c r="BU15" s="28" t="str">
        <f>_xlfn.SINGLE(IF( OR(ISBLANK(_xlfn.SINGLE(#REF!)),ISBLANK(_xlfn.SINGLE(P15:P19)), ISBLANK(_xlfn.SINGLE(#REF!)),ISBLANK(_xlfn.SINGLE(Z15:Z19))), "·", bdRateExtend(#REF!,#REF!, P15:P19,Z15:Z19)))</f>
        <v>·</v>
      </c>
      <c r="BV15" s="29"/>
    </row>
    <row r="16" spans="1:74" outlineLevel="1" x14ac:dyDescent="0.15">
      <c r="A16" s="30"/>
      <c r="B16" s="30" t="s">
        <v>236</v>
      </c>
      <c r="C16" s="31" t="s">
        <v>226</v>
      </c>
      <c r="D16" s="30">
        <v>4061755</v>
      </c>
      <c r="E16" s="32">
        <v>11</v>
      </c>
      <c r="F16" s="31">
        <v>1</v>
      </c>
      <c r="G16" s="31"/>
      <c r="I16" s="33" t="str">
        <f>IF(OR(ISBLANK(#REF!),ISBLANK(G16)),"·",#REF!*G16/F16/1000000)</f>
        <v>·</v>
      </c>
      <c r="J16" s="34" t="e">
        <f>IF(ISBLANK(#REF!),"·",#REF!/D16)</f>
        <v>#REF!</v>
      </c>
      <c r="K16" s="34" t="e">
        <f>IF(#REF!="","·",#REF!/D16)</f>
        <v>#REF!</v>
      </c>
      <c r="L16" s="34" t="e">
        <f>IF(ISBLANK(#REF!),"·",#REF!/D16)</f>
        <v>#REF!</v>
      </c>
      <c r="M16" s="35"/>
      <c r="N16" s="34" t="e">
        <f>IF(ISBLANK(#REF!),"·",#REF!/#REF!)</f>
        <v>#REF!</v>
      </c>
      <c r="O16" s="36"/>
      <c r="P16" s="37"/>
      <c r="Q16" s="37"/>
      <c r="R16" s="37"/>
      <c r="S16" s="38"/>
      <c r="T16" s="39"/>
      <c r="U16" s="39"/>
      <c r="V16" s="39"/>
      <c r="W16" s="40"/>
      <c r="X16" s="39"/>
      <c r="Y16" s="39"/>
      <c r="Z16" s="39"/>
      <c r="AA16" s="40"/>
      <c r="AB16" s="41"/>
      <c r="AC16" s="41"/>
      <c r="AE16" s="33" t="str">
        <f t="shared" si="0"/>
        <v>·</v>
      </c>
      <c r="AF16" s="34" t="str">
        <f t="shared" si="1"/>
        <v>·</v>
      </c>
      <c r="AG16" s="34" t="str">
        <f t="shared" si="2"/>
        <v>·</v>
      </c>
      <c r="AH16" s="34" t="str">
        <f t="shared" si="3"/>
        <v>·</v>
      </c>
      <c r="AI16" s="35"/>
      <c r="AJ16" s="34" t="str">
        <f t="shared" si="4"/>
        <v>·</v>
      </c>
      <c r="BA16" s="42" t="e">
        <f>(Q16/P16) - (#REF!/#REF!)</f>
        <v>#DIV/0!</v>
      </c>
      <c r="BB16" s="42"/>
      <c r="BD16" s="43"/>
      <c r="BE16" s="43"/>
      <c r="BF16" s="43"/>
      <c r="BG16" s="44"/>
      <c r="BI16" s="43"/>
      <c r="BJ16" s="43"/>
      <c r="BK16" s="43"/>
      <c r="BL16" s="44"/>
      <c r="BN16" s="43"/>
      <c r="BO16" s="43"/>
      <c r="BP16" s="43"/>
      <c r="BQ16" s="44"/>
      <c r="BS16" s="43"/>
      <c r="BT16" s="43"/>
      <c r="BU16" s="43"/>
      <c r="BV16" s="44"/>
    </row>
    <row r="17" spans="1:74" outlineLevel="1" x14ac:dyDescent="0.15">
      <c r="A17" s="15"/>
      <c r="B17" s="15" t="s">
        <v>236</v>
      </c>
      <c r="C17" s="16" t="s">
        <v>227</v>
      </c>
      <c r="D17" s="15">
        <v>4061755</v>
      </c>
      <c r="E17" s="17">
        <v>11</v>
      </c>
      <c r="F17" s="16">
        <v>1</v>
      </c>
      <c r="G17" s="16"/>
      <c r="I17" s="18" t="str">
        <f>IF(OR(ISBLANK(#REF!),ISBLANK(G17)),"·",#REF!*G17/F17/1000000)</f>
        <v>·</v>
      </c>
      <c r="J17" s="19" t="e">
        <f>IF(ISBLANK(#REF!),"·",#REF!/D17)</f>
        <v>#REF!</v>
      </c>
      <c r="K17" s="19" t="e">
        <f>IF(#REF!="","·",#REF!/D17)</f>
        <v>#REF!</v>
      </c>
      <c r="L17" s="19" t="e">
        <f>IF(ISBLANK(#REF!),"·",#REF!/D17)</f>
        <v>#REF!</v>
      </c>
      <c r="M17" s="20"/>
      <c r="N17" s="19" t="e">
        <f>IF(ISBLANK(#REF!),"·",#REF!/#REF!)</f>
        <v>#REF!</v>
      </c>
      <c r="O17" s="21"/>
      <c r="P17" s="22"/>
      <c r="Q17" s="22"/>
      <c r="R17" s="22"/>
      <c r="S17" s="23"/>
      <c r="T17" s="24"/>
      <c r="U17" s="24"/>
      <c r="V17" s="24"/>
      <c r="W17" s="25"/>
      <c r="X17" s="24"/>
      <c r="Y17" s="24"/>
      <c r="Z17" s="24"/>
      <c r="AA17" s="25"/>
      <c r="AB17" s="26"/>
      <c r="AC17" s="26"/>
      <c r="AE17" s="18" t="str">
        <f t="shared" si="0"/>
        <v>·</v>
      </c>
      <c r="AF17" s="19" t="str">
        <f t="shared" si="1"/>
        <v>·</v>
      </c>
      <c r="AG17" s="19" t="str">
        <f t="shared" si="2"/>
        <v>·</v>
      </c>
      <c r="AH17" s="19" t="str">
        <f t="shared" si="3"/>
        <v>·</v>
      </c>
      <c r="AI17" s="20"/>
      <c r="AJ17" s="19" t="str">
        <f t="shared" si="4"/>
        <v>·</v>
      </c>
      <c r="BA17" s="27" t="e">
        <f>(Q17/P17) - (#REF!/#REF!)</f>
        <v>#DIV/0!</v>
      </c>
      <c r="BB17" s="27"/>
      <c r="BD17" s="28"/>
      <c r="BE17" s="28"/>
      <c r="BF17" s="28"/>
      <c r="BG17" s="29"/>
      <c r="BI17" s="28"/>
      <c r="BJ17" s="28"/>
      <c r="BK17" s="28"/>
      <c r="BL17" s="29"/>
      <c r="BN17" s="28"/>
      <c r="BO17" s="28"/>
      <c r="BP17" s="28"/>
      <c r="BQ17" s="29"/>
      <c r="BS17" s="28"/>
      <c r="BT17" s="28"/>
      <c r="BU17" s="28"/>
      <c r="BV17" s="29"/>
    </row>
    <row r="18" spans="1:74" outlineLevel="1" x14ac:dyDescent="0.15">
      <c r="A18" s="30"/>
      <c r="B18" s="30" t="s">
        <v>236</v>
      </c>
      <c r="C18" s="31" t="s">
        <v>228</v>
      </c>
      <c r="D18" s="30">
        <v>4061755</v>
      </c>
      <c r="E18" s="32">
        <v>11</v>
      </c>
      <c r="F18" s="31">
        <v>1</v>
      </c>
      <c r="G18" s="31"/>
      <c r="I18" s="33" t="str">
        <f>IF(OR(ISBLANK(#REF!),ISBLANK(G18)),"·",#REF!*G18/F18/1000000)</f>
        <v>·</v>
      </c>
      <c r="J18" s="34" t="e">
        <f>IF(ISBLANK(#REF!),"·",#REF!/D18)</f>
        <v>#REF!</v>
      </c>
      <c r="K18" s="34" t="e">
        <f>IF(#REF!="","·",#REF!/D18)</f>
        <v>#REF!</v>
      </c>
      <c r="L18" s="34" t="e">
        <f>IF(ISBLANK(#REF!),"·",#REF!/D18)</f>
        <v>#REF!</v>
      </c>
      <c r="M18" s="35"/>
      <c r="N18" s="34" t="e">
        <f>IF(ISBLANK(#REF!),"·",#REF!/#REF!)</f>
        <v>#REF!</v>
      </c>
      <c r="O18" s="36"/>
      <c r="P18" s="37"/>
      <c r="Q18" s="37"/>
      <c r="R18" s="37"/>
      <c r="S18" s="38"/>
      <c r="T18" s="39"/>
      <c r="U18" s="39"/>
      <c r="V18" s="39"/>
      <c r="W18" s="40"/>
      <c r="X18" s="39"/>
      <c r="Y18" s="39"/>
      <c r="Z18" s="39"/>
      <c r="AA18" s="40"/>
      <c r="AB18" s="41"/>
      <c r="AC18" s="41"/>
      <c r="AE18" s="33" t="str">
        <f t="shared" si="0"/>
        <v>·</v>
      </c>
      <c r="AF18" s="34" t="str">
        <f t="shared" si="1"/>
        <v>·</v>
      </c>
      <c r="AG18" s="34" t="str">
        <f t="shared" si="2"/>
        <v>·</v>
      </c>
      <c r="AH18" s="34" t="str">
        <f t="shared" si="3"/>
        <v>·</v>
      </c>
      <c r="AI18" s="35"/>
      <c r="AJ18" s="34" t="str">
        <f t="shared" si="4"/>
        <v>·</v>
      </c>
      <c r="BA18" s="42" t="e">
        <f>(Q18/P18) - (#REF!/#REF!)</f>
        <v>#DIV/0!</v>
      </c>
      <c r="BB18" s="42"/>
      <c r="BD18" s="43"/>
      <c r="BE18" s="43"/>
      <c r="BF18" s="43"/>
      <c r="BG18" s="44"/>
      <c r="BI18" s="43"/>
      <c r="BJ18" s="43"/>
      <c r="BK18" s="43"/>
      <c r="BL18" s="44"/>
      <c r="BN18" s="43"/>
      <c r="BO18" s="43"/>
      <c r="BP18" s="43"/>
      <c r="BQ18" s="44"/>
      <c r="BS18" s="43"/>
      <c r="BT18" s="43"/>
      <c r="BU18" s="43"/>
      <c r="BV18" s="44"/>
    </row>
    <row r="19" spans="1:74" ht="14.25" outlineLevel="1" thickBot="1" x14ac:dyDescent="0.2">
      <c r="A19" s="15"/>
      <c r="B19" s="64" t="s">
        <v>236</v>
      </c>
      <c r="C19" s="66" t="s">
        <v>229</v>
      </c>
      <c r="D19" s="64">
        <v>4061755</v>
      </c>
      <c r="E19" s="65">
        <v>11</v>
      </c>
      <c r="F19" s="66">
        <v>1</v>
      </c>
      <c r="G19" s="66"/>
      <c r="I19" s="68" t="str">
        <f>IF(OR(ISBLANK(#REF!),ISBLANK(G19)),"·",#REF!*G19/F19/1000000)</f>
        <v>·</v>
      </c>
      <c r="J19" s="69" t="e">
        <f>IF(ISBLANK(#REF!),"·",#REF!/D19)</f>
        <v>#REF!</v>
      </c>
      <c r="K19" s="69" t="e">
        <f>IF(#REF!="","·",#REF!/D19)</f>
        <v>#REF!</v>
      </c>
      <c r="L19" s="69" t="e">
        <f>IF(ISBLANK(#REF!),"·",#REF!/D19)</f>
        <v>#REF!</v>
      </c>
      <c r="M19" s="70"/>
      <c r="N19" s="69" t="e">
        <f>IF(ISBLANK(#REF!),"·",#REF!/#REF!)</f>
        <v>#REF!</v>
      </c>
      <c r="O19" s="71"/>
      <c r="P19" s="72"/>
      <c r="Q19" s="72"/>
      <c r="R19" s="72"/>
      <c r="S19" s="73"/>
      <c r="T19" s="77"/>
      <c r="U19" s="77"/>
      <c r="V19" s="77"/>
      <c r="W19" s="78"/>
      <c r="X19" s="77"/>
      <c r="Y19" s="77"/>
      <c r="Z19" s="77"/>
      <c r="AA19" s="78"/>
      <c r="AB19" s="74"/>
      <c r="AC19" s="74"/>
      <c r="AE19" s="68" t="str">
        <f t="shared" si="0"/>
        <v>·</v>
      </c>
      <c r="AF19" s="69" t="str">
        <f t="shared" si="1"/>
        <v>·</v>
      </c>
      <c r="AG19" s="69" t="str">
        <f t="shared" si="2"/>
        <v>·</v>
      </c>
      <c r="AH19" s="69" t="str">
        <f t="shared" si="3"/>
        <v>·</v>
      </c>
      <c r="AI19" s="70"/>
      <c r="AJ19" s="69" t="str">
        <f t="shared" si="4"/>
        <v>·</v>
      </c>
      <c r="BA19" s="67" t="e">
        <f>(Q19/P19) - (#REF!/#REF!)</f>
        <v>#DIV/0!</v>
      </c>
      <c r="BB19" s="67"/>
      <c r="BD19" s="75"/>
      <c r="BE19" s="75"/>
      <c r="BF19" s="75"/>
      <c r="BG19" s="76"/>
      <c r="BI19" s="75"/>
      <c r="BJ19" s="75"/>
      <c r="BK19" s="75"/>
      <c r="BL19" s="76"/>
      <c r="BN19" s="75"/>
      <c r="BO19" s="75"/>
      <c r="BP19" s="75"/>
      <c r="BQ19" s="76"/>
      <c r="BS19" s="75"/>
      <c r="BT19" s="75"/>
      <c r="BU19" s="75"/>
      <c r="BV19" s="76"/>
    </row>
    <row r="20" spans="1:74" x14ac:dyDescent="0.15">
      <c r="A20" s="30"/>
      <c r="B20" s="30" t="s">
        <v>239</v>
      </c>
      <c r="C20" s="31" t="s">
        <v>225</v>
      </c>
      <c r="D20" s="30">
        <v>857966</v>
      </c>
      <c r="E20" s="32">
        <v>10</v>
      </c>
      <c r="F20" s="31">
        <v>1</v>
      </c>
      <c r="G20" s="31"/>
      <c r="I20" s="33" t="str">
        <f>IF(OR(ISBLANK(#REF!),ISBLANK(G20)),"·",#REF!*G20/F20/1000000)</f>
        <v>·</v>
      </c>
      <c r="J20" s="34" t="e">
        <f>IF(ISBLANK(#REF!),"·",#REF!/D20)</f>
        <v>#REF!</v>
      </c>
      <c r="K20" s="34" t="e">
        <f>IF(#REF!="","·",#REF!/D20)</f>
        <v>#REF!</v>
      </c>
      <c r="L20" s="34" t="e">
        <f>IF(ISBLANK(#REF!),"·",#REF!/D20)</f>
        <v>#REF!</v>
      </c>
      <c r="M20" s="35"/>
      <c r="N20" s="34" t="e">
        <f>IF(ISBLANK(#REF!),"·",#REF!/#REF!)</f>
        <v>#REF!</v>
      </c>
      <c r="O20" s="36"/>
      <c r="P20" s="37"/>
      <c r="Q20" s="37"/>
      <c r="R20" s="37"/>
      <c r="S20" s="38"/>
      <c r="T20" s="39"/>
      <c r="U20" s="39"/>
      <c r="V20" s="39"/>
      <c r="W20" s="40"/>
      <c r="X20" s="39"/>
      <c r="Y20" s="39"/>
      <c r="Z20" s="39"/>
      <c r="AA20" s="40"/>
      <c r="AB20" s="41"/>
      <c r="AC20" s="41"/>
      <c r="AE20" s="33" t="str">
        <f t="shared" si="0"/>
        <v>·</v>
      </c>
      <c r="AF20" s="34" t="str">
        <f t="shared" si="1"/>
        <v>·</v>
      </c>
      <c r="AG20" s="34" t="str">
        <f t="shared" si="2"/>
        <v>·</v>
      </c>
      <c r="AH20" s="34" t="str">
        <f t="shared" si="3"/>
        <v>·</v>
      </c>
      <c r="AI20" s="35"/>
      <c r="AJ20" s="34" t="str">
        <f t="shared" si="4"/>
        <v>·</v>
      </c>
      <c r="BA20" s="42" t="e">
        <f>(Q20/P20) - (#REF!/#REF!)</f>
        <v>#DIV/0!</v>
      </c>
      <c r="BB20" s="42" t="e">
        <f t="array" ref="BB20">AVERAGE(Q20:Q24/P20:P24) - AVERAGE(#REF!/#REF!)</f>
        <v>#DIV/0!</v>
      </c>
      <c r="BD20" s="43" t="str">
        <f>_xlfn.SINGLE(IF( OR(ISBLANK(_xlfn.SINGLE(#REF!)),ISBLANK(_xlfn.SINGLE(R20:R24)), ISBLANK(_xlfn.SINGLE(#REF!)),ISBLANK(_xlfn.SINGLE(T20:T24))), "·", bdRateExtend(#REF!,#REF!, R20:R24,T20:T24)))</f>
        <v>·</v>
      </c>
      <c r="BE20" s="43" t="str">
        <f>_xlfn.SINGLE(IF( OR(ISBLANK(_xlfn.SINGLE(#REF!)),ISBLANK(_xlfn.SINGLE(R20:R24)), ISBLANK(_xlfn.SINGLE(#REF!)),ISBLANK(_xlfn.SINGLE(U20:U24))), "·", bdRateExtend(#REF!,#REF!, R20:R24,U20:U24)))</f>
        <v>·</v>
      </c>
      <c r="BF20" s="43" t="str">
        <f>_xlfn.SINGLE(IF( OR(ISBLANK(_xlfn.SINGLE(#REF!)),ISBLANK(_xlfn.SINGLE(R20:R24)), ISBLANK(_xlfn.SINGLE(#REF!)),ISBLANK(_xlfn.SINGLE(V20:V24))), "·", bdRateExtend(#REF!,#REF!, R20:R24,V20:V24)))</f>
        <v>·</v>
      </c>
      <c r="BG20" s="44"/>
      <c r="BI20" s="43" t="str">
        <f>_xlfn.SINGLE(IF( OR(ISBLANK(_xlfn.SINGLE(#REF!)),ISBLANK(_xlfn.SINGLE(R20:R24)), ISBLANK(_xlfn.SINGLE(#REF!)),ISBLANK(_xlfn.SINGLE(X20:X24))), "·", bdRateExtend(#REF!,#REF!, R20:R24,X20:X24)))</f>
        <v>·</v>
      </c>
      <c r="BJ20" s="43" t="str">
        <f>_xlfn.SINGLE(IF( OR(ISBLANK(_xlfn.SINGLE(#REF!)),ISBLANK(_xlfn.SINGLE(R20:R24)), ISBLANK(_xlfn.SINGLE(#REF!)),ISBLANK(_xlfn.SINGLE(Y20:Y24))), "·", bdRateExtend(#REF!,#REF!, R20:R24,Y20:Y24)))</f>
        <v>·</v>
      </c>
      <c r="BK20" s="43" t="str">
        <f>_xlfn.SINGLE(IF( OR(ISBLANK(_xlfn.SINGLE(#REF!)),ISBLANK(_xlfn.SINGLE(R20:R24)), ISBLANK(_xlfn.SINGLE(#REF!)),ISBLANK(_xlfn.SINGLE(Z20:Z24))), "·", bdRateExtend(#REF!,#REF!, R20:R24,Z20:Z24)))</f>
        <v>·</v>
      </c>
      <c r="BL20" s="44"/>
      <c r="BN20" s="43" t="str">
        <f>_xlfn.SINGLE(IF( OR(ISBLANK(_xlfn.SINGLE(#REF!)),ISBLANK(_xlfn.SINGLE(P20:P24)), ISBLANK(_xlfn.SINGLE(#REF!)),ISBLANK(_xlfn.SINGLE(T20:T24))), "·", bdRateExtend(#REF!,#REF!, P20:P24,T20:T24)))</f>
        <v>·</v>
      </c>
      <c r="BO20" s="43" t="str">
        <f>_xlfn.SINGLE(IF( OR(ISBLANK(_xlfn.SINGLE(#REF!)),ISBLANK(_xlfn.SINGLE(P20:P24)), ISBLANK(_xlfn.SINGLE(#REF!)),ISBLANK(_xlfn.SINGLE(U20:U24))), "·", bdRateExtend(#REF!,#REF!, P20:P24,U20:U24)))</f>
        <v>·</v>
      </c>
      <c r="BP20" s="43" t="str">
        <f>_xlfn.SINGLE(IF( OR(ISBLANK(_xlfn.SINGLE(#REF!)),ISBLANK(_xlfn.SINGLE(P20:P24)), ISBLANK(_xlfn.SINGLE(#REF!)),ISBLANK(_xlfn.SINGLE(V20:V24))), "·", bdRateExtend(#REF!,#REF!, P20:P24,V20:V24)))</f>
        <v>·</v>
      </c>
      <c r="BQ20" s="44"/>
      <c r="BS20" s="43" t="str">
        <f>_xlfn.SINGLE(IF( OR(ISBLANK(_xlfn.SINGLE(#REF!)),ISBLANK(_xlfn.SINGLE(P20:P24)), ISBLANK(_xlfn.SINGLE(#REF!)),ISBLANK(_xlfn.SINGLE(X20:X24))), "·", bdRateExtend(#REF!,#REF!, P20:P24,X20:X24)))</f>
        <v>·</v>
      </c>
      <c r="BT20" s="43" t="str">
        <f>_xlfn.SINGLE(IF( OR(ISBLANK(_xlfn.SINGLE(#REF!)),ISBLANK(_xlfn.SINGLE(P20:P24)), ISBLANK(_xlfn.SINGLE(#REF!)),ISBLANK(_xlfn.SINGLE(Y20:Y24))), "·", bdRateExtend(#REF!,#REF!, P20:P24,Y20:Y24)))</f>
        <v>·</v>
      </c>
      <c r="BU20" s="43" t="str">
        <f>_xlfn.SINGLE(IF( OR(ISBLANK(_xlfn.SINGLE(#REF!)),ISBLANK(_xlfn.SINGLE(P20:P24)), ISBLANK(_xlfn.SINGLE(#REF!)),ISBLANK(_xlfn.SINGLE(Z20:Z24))), "·", bdRateExtend(#REF!,#REF!, P20:P24,Z20:Z24)))</f>
        <v>·</v>
      </c>
      <c r="BV20" s="44"/>
    </row>
    <row r="21" spans="1:74" outlineLevel="1" x14ac:dyDescent="0.15">
      <c r="A21" s="15"/>
      <c r="B21" s="15" t="s">
        <v>239</v>
      </c>
      <c r="C21" s="16" t="s">
        <v>226</v>
      </c>
      <c r="D21" s="15">
        <v>857966</v>
      </c>
      <c r="E21" s="17">
        <v>10</v>
      </c>
      <c r="F21" s="16">
        <v>1</v>
      </c>
      <c r="G21" s="16"/>
      <c r="I21" s="18" t="str">
        <f>IF(OR(ISBLANK(#REF!),ISBLANK(G21)),"·",#REF!*G21/F21/1000000)</f>
        <v>·</v>
      </c>
      <c r="J21" s="19" t="e">
        <f>IF(ISBLANK(#REF!),"·",#REF!/D21)</f>
        <v>#REF!</v>
      </c>
      <c r="K21" s="19" t="e">
        <f>IF(#REF!="","·",#REF!/D21)</f>
        <v>#REF!</v>
      </c>
      <c r="L21" s="19" t="e">
        <f>IF(ISBLANK(#REF!),"·",#REF!/D21)</f>
        <v>#REF!</v>
      </c>
      <c r="M21" s="20"/>
      <c r="N21" s="19" t="e">
        <f>IF(ISBLANK(#REF!),"·",#REF!/#REF!)</f>
        <v>#REF!</v>
      </c>
      <c r="O21" s="21"/>
      <c r="P21" s="22"/>
      <c r="Q21" s="22"/>
      <c r="R21" s="22"/>
      <c r="S21" s="23"/>
      <c r="T21" s="24"/>
      <c r="U21" s="24"/>
      <c r="V21" s="24"/>
      <c r="W21" s="25"/>
      <c r="X21" s="24"/>
      <c r="Y21" s="24"/>
      <c r="Z21" s="24"/>
      <c r="AA21" s="25"/>
      <c r="AB21" s="26"/>
      <c r="AC21" s="26"/>
      <c r="AE21" s="18" t="str">
        <f t="shared" si="0"/>
        <v>·</v>
      </c>
      <c r="AF21" s="19" t="str">
        <f t="shared" si="1"/>
        <v>·</v>
      </c>
      <c r="AG21" s="19" t="str">
        <f t="shared" si="2"/>
        <v>·</v>
      </c>
      <c r="AH21" s="19" t="str">
        <f t="shared" si="3"/>
        <v>·</v>
      </c>
      <c r="AI21" s="20"/>
      <c r="AJ21" s="19" t="str">
        <f t="shared" si="4"/>
        <v>·</v>
      </c>
      <c r="BA21" s="27" t="e">
        <f>(Q21/P21) - (#REF!/#REF!)</f>
        <v>#DIV/0!</v>
      </c>
      <c r="BB21" s="27"/>
      <c r="BD21" s="28"/>
      <c r="BE21" s="28"/>
      <c r="BF21" s="28"/>
      <c r="BG21" s="29"/>
      <c r="BI21" s="28"/>
      <c r="BJ21" s="28"/>
      <c r="BK21" s="28"/>
      <c r="BL21" s="29"/>
      <c r="BN21" s="28"/>
      <c r="BO21" s="28"/>
      <c r="BP21" s="28"/>
      <c r="BQ21" s="29"/>
      <c r="BS21" s="28"/>
      <c r="BT21" s="28"/>
      <c r="BU21" s="28"/>
      <c r="BV21" s="29"/>
    </row>
    <row r="22" spans="1:74" outlineLevel="1" x14ac:dyDescent="0.15">
      <c r="A22" s="30"/>
      <c r="B22" s="30" t="s">
        <v>239</v>
      </c>
      <c r="C22" s="31" t="s">
        <v>227</v>
      </c>
      <c r="D22" s="30">
        <v>857966</v>
      </c>
      <c r="E22" s="32">
        <v>10</v>
      </c>
      <c r="F22" s="31">
        <v>1</v>
      </c>
      <c r="G22" s="31"/>
      <c r="I22" s="33" t="str">
        <f>IF(OR(ISBLANK(#REF!),ISBLANK(G22)),"·",#REF!*G22/F22/1000000)</f>
        <v>·</v>
      </c>
      <c r="J22" s="34" t="e">
        <f>IF(ISBLANK(#REF!),"·",#REF!/D22)</f>
        <v>#REF!</v>
      </c>
      <c r="K22" s="34" t="e">
        <f>IF(#REF!="","·",#REF!/D22)</f>
        <v>#REF!</v>
      </c>
      <c r="L22" s="34" t="e">
        <f>IF(ISBLANK(#REF!),"·",#REF!/D22)</f>
        <v>#REF!</v>
      </c>
      <c r="M22" s="35"/>
      <c r="N22" s="34" t="e">
        <f>IF(ISBLANK(#REF!),"·",#REF!/#REF!)</f>
        <v>#REF!</v>
      </c>
      <c r="O22" s="36"/>
      <c r="P22" s="37"/>
      <c r="Q22" s="37"/>
      <c r="R22" s="37"/>
      <c r="S22" s="38"/>
      <c r="T22" s="39"/>
      <c r="U22" s="39"/>
      <c r="V22" s="39"/>
      <c r="W22" s="40"/>
      <c r="X22" s="39"/>
      <c r="Y22" s="39"/>
      <c r="Z22" s="39"/>
      <c r="AA22" s="40"/>
      <c r="AB22" s="41"/>
      <c r="AC22" s="41"/>
      <c r="AE22" s="33" t="str">
        <f t="shared" si="0"/>
        <v>·</v>
      </c>
      <c r="AF22" s="34" t="str">
        <f t="shared" si="1"/>
        <v>·</v>
      </c>
      <c r="AG22" s="34" t="str">
        <f t="shared" si="2"/>
        <v>·</v>
      </c>
      <c r="AH22" s="34" t="str">
        <f t="shared" si="3"/>
        <v>·</v>
      </c>
      <c r="AI22" s="35"/>
      <c r="AJ22" s="34" t="str">
        <f t="shared" si="4"/>
        <v>·</v>
      </c>
      <c r="BA22" s="42" t="e">
        <f>(Q22/P22) - (#REF!/#REF!)</f>
        <v>#DIV/0!</v>
      </c>
      <c r="BB22" s="42"/>
      <c r="BD22" s="43"/>
      <c r="BE22" s="43"/>
      <c r="BF22" s="43"/>
      <c r="BG22" s="44"/>
      <c r="BI22" s="43"/>
      <c r="BJ22" s="43"/>
      <c r="BK22" s="43"/>
      <c r="BL22" s="44"/>
      <c r="BN22" s="43"/>
      <c r="BO22" s="43"/>
      <c r="BP22" s="43"/>
      <c r="BQ22" s="44"/>
      <c r="BS22" s="43"/>
      <c r="BT22" s="43"/>
      <c r="BU22" s="43"/>
      <c r="BV22" s="44"/>
    </row>
    <row r="23" spans="1:74" outlineLevel="1" x14ac:dyDescent="0.15">
      <c r="A23" s="15"/>
      <c r="B23" s="15" t="s">
        <v>239</v>
      </c>
      <c r="C23" s="16" t="s">
        <v>228</v>
      </c>
      <c r="D23" s="15">
        <v>857966</v>
      </c>
      <c r="E23" s="17">
        <v>10</v>
      </c>
      <c r="F23" s="16">
        <v>1</v>
      </c>
      <c r="G23" s="16"/>
      <c r="I23" s="18" t="str">
        <f>IF(OR(ISBLANK(#REF!),ISBLANK(G23)),"·",#REF!*G23/F23/1000000)</f>
        <v>·</v>
      </c>
      <c r="J23" s="19" t="e">
        <f>IF(ISBLANK(#REF!),"·",#REF!/D23)</f>
        <v>#REF!</v>
      </c>
      <c r="K23" s="19" t="e">
        <f>IF(#REF!="","·",#REF!/D23)</f>
        <v>#REF!</v>
      </c>
      <c r="L23" s="19" t="e">
        <f>IF(ISBLANK(#REF!),"·",#REF!/D23)</f>
        <v>#REF!</v>
      </c>
      <c r="M23" s="20"/>
      <c r="N23" s="19" t="e">
        <f>IF(ISBLANK(#REF!),"·",#REF!/#REF!)</f>
        <v>#REF!</v>
      </c>
      <c r="O23" s="21"/>
      <c r="P23" s="22"/>
      <c r="Q23" s="22"/>
      <c r="R23" s="22"/>
      <c r="S23" s="23"/>
      <c r="T23" s="24"/>
      <c r="U23" s="24"/>
      <c r="V23" s="24"/>
      <c r="W23" s="25"/>
      <c r="X23" s="24"/>
      <c r="Y23" s="24"/>
      <c r="Z23" s="24"/>
      <c r="AA23" s="25"/>
      <c r="AB23" s="26"/>
      <c r="AC23" s="26"/>
      <c r="AE23" s="18" t="str">
        <f t="shared" si="0"/>
        <v>·</v>
      </c>
      <c r="AF23" s="19" t="str">
        <f t="shared" si="1"/>
        <v>·</v>
      </c>
      <c r="AG23" s="19" t="str">
        <f t="shared" si="2"/>
        <v>·</v>
      </c>
      <c r="AH23" s="19" t="str">
        <f t="shared" si="3"/>
        <v>·</v>
      </c>
      <c r="AI23" s="20"/>
      <c r="AJ23" s="19" t="str">
        <f t="shared" si="4"/>
        <v>·</v>
      </c>
      <c r="BA23" s="27" t="e">
        <f>(Q23/P23) - (#REF!/#REF!)</f>
        <v>#DIV/0!</v>
      </c>
      <c r="BB23" s="27"/>
      <c r="BD23" s="28"/>
      <c r="BE23" s="28"/>
      <c r="BF23" s="28"/>
      <c r="BG23" s="29"/>
      <c r="BI23" s="28"/>
      <c r="BJ23" s="28"/>
      <c r="BK23" s="28"/>
      <c r="BL23" s="29"/>
      <c r="BN23" s="28"/>
      <c r="BO23" s="28"/>
      <c r="BP23" s="28"/>
      <c r="BQ23" s="29"/>
      <c r="BS23" s="28"/>
      <c r="BT23" s="28"/>
      <c r="BU23" s="28"/>
      <c r="BV23" s="29"/>
    </row>
    <row r="24" spans="1:74" ht="14.25" outlineLevel="1" thickBot="1" x14ac:dyDescent="0.2">
      <c r="A24" s="30"/>
      <c r="B24" s="45" t="s">
        <v>239</v>
      </c>
      <c r="C24" s="46" t="s">
        <v>229</v>
      </c>
      <c r="D24" s="45">
        <v>857966</v>
      </c>
      <c r="E24" s="47">
        <v>10</v>
      </c>
      <c r="F24" s="46">
        <v>1</v>
      </c>
      <c r="G24" s="46"/>
      <c r="I24" s="48" t="str">
        <f>IF(OR(ISBLANK(#REF!),ISBLANK(G24)),"·",#REF!*G24/F24/1000000)</f>
        <v>·</v>
      </c>
      <c r="J24" s="49" t="e">
        <f>IF(ISBLANK(#REF!),"·",#REF!/D24)</f>
        <v>#REF!</v>
      </c>
      <c r="K24" s="49" t="e">
        <f>IF(#REF!="","·",#REF!/D24)</f>
        <v>#REF!</v>
      </c>
      <c r="L24" s="49" t="e">
        <f>IF(ISBLANK(#REF!),"·",#REF!/D24)</f>
        <v>#REF!</v>
      </c>
      <c r="M24" s="50"/>
      <c r="N24" s="49" t="e">
        <f>IF(ISBLANK(#REF!),"·",#REF!/#REF!)</f>
        <v>#REF!</v>
      </c>
      <c r="O24" s="51"/>
      <c r="P24" s="52"/>
      <c r="Q24" s="52"/>
      <c r="R24" s="52"/>
      <c r="S24" s="53"/>
      <c r="T24" s="54"/>
      <c r="U24" s="54"/>
      <c r="V24" s="54"/>
      <c r="W24" s="55"/>
      <c r="X24" s="54"/>
      <c r="Y24" s="54"/>
      <c r="Z24" s="54"/>
      <c r="AA24" s="55"/>
      <c r="AB24" s="56"/>
      <c r="AC24" s="56"/>
      <c r="AE24" s="48" t="str">
        <f t="shared" si="0"/>
        <v>·</v>
      </c>
      <c r="AF24" s="49" t="str">
        <f t="shared" si="1"/>
        <v>·</v>
      </c>
      <c r="AG24" s="49" t="str">
        <f t="shared" si="2"/>
        <v>·</v>
      </c>
      <c r="AH24" s="49" t="str">
        <f t="shared" si="3"/>
        <v>·</v>
      </c>
      <c r="AI24" s="50"/>
      <c r="AJ24" s="49" t="str">
        <f t="shared" si="4"/>
        <v>·</v>
      </c>
      <c r="BA24" s="57" t="e">
        <f>(Q24/P24) - (#REF!/#REF!)</f>
        <v>#DIV/0!</v>
      </c>
      <c r="BB24" s="57"/>
      <c r="BD24" s="58"/>
      <c r="BE24" s="58"/>
      <c r="BF24" s="58"/>
      <c r="BG24" s="59"/>
      <c r="BI24" s="58"/>
      <c r="BJ24" s="58"/>
      <c r="BK24" s="58"/>
      <c r="BL24" s="59"/>
      <c r="BN24" s="58"/>
      <c r="BO24" s="58"/>
      <c r="BP24" s="58"/>
      <c r="BQ24" s="59"/>
      <c r="BS24" s="58"/>
      <c r="BT24" s="58"/>
      <c r="BU24" s="58"/>
      <c r="BV24" s="59"/>
    </row>
    <row r="25" spans="1:74" x14ac:dyDescent="0.15">
      <c r="A25" s="15"/>
      <c r="B25" s="15" t="s">
        <v>242</v>
      </c>
      <c r="C25" s="16" t="s">
        <v>225</v>
      </c>
      <c r="D25" s="15">
        <v>805285</v>
      </c>
      <c r="E25" s="17">
        <v>10</v>
      </c>
      <c r="F25" s="16">
        <v>1</v>
      </c>
      <c r="G25" s="16"/>
      <c r="I25" s="18" t="str">
        <f>IF(OR(ISBLANK(#REF!),ISBLANK(G25)),"·",#REF!*G25/F25/1000000)</f>
        <v>·</v>
      </c>
      <c r="J25" s="19" t="e">
        <f>IF(ISBLANK(#REF!),"·",#REF!/D25)</f>
        <v>#REF!</v>
      </c>
      <c r="K25" s="19" t="e">
        <f>IF(#REF!="","·",#REF!/D25)</f>
        <v>#REF!</v>
      </c>
      <c r="L25" s="19" t="e">
        <f>IF(ISBLANK(#REF!),"·",#REF!/D25)</f>
        <v>#REF!</v>
      </c>
      <c r="M25" s="20"/>
      <c r="N25" s="19" t="e">
        <f>IF(ISBLANK(#REF!),"·",#REF!/#REF!)</f>
        <v>#REF!</v>
      </c>
      <c r="O25" s="21"/>
      <c r="P25" s="22"/>
      <c r="Q25" s="22"/>
      <c r="R25" s="22"/>
      <c r="S25" s="23"/>
      <c r="T25" s="24"/>
      <c r="U25" s="24"/>
      <c r="V25" s="24"/>
      <c r="W25" s="25"/>
      <c r="X25" s="24"/>
      <c r="Y25" s="24"/>
      <c r="Z25" s="24"/>
      <c r="AA25" s="25"/>
      <c r="AB25" s="26"/>
      <c r="AC25" s="26"/>
      <c r="AE25" s="18" t="str">
        <f t="shared" si="0"/>
        <v>·</v>
      </c>
      <c r="AF25" s="19" t="str">
        <f t="shared" si="1"/>
        <v>·</v>
      </c>
      <c r="AG25" s="19" t="str">
        <f t="shared" si="2"/>
        <v>·</v>
      </c>
      <c r="AH25" s="19" t="str">
        <f t="shared" si="3"/>
        <v>·</v>
      </c>
      <c r="AI25" s="20"/>
      <c r="AJ25" s="19" t="str">
        <f t="shared" si="4"/>
        <v>·</v>
      </c>
      <c r="BA25" s="27" t="e">
        <f>(Q25/P25) - (#REF!/#REF!)</f>
        <v>#DIV/0!</v>
      </c>
      <c r="BB25" s="27" t="e">
        <f t="array" ref="BB25">AVERAGE(Q25:Q29/P25:P29) - AVERAGE(#REF!/#REF!)</f>
        <v>#DIV/0!</v>
      </c>
      <c r="BD25" s="28" t="str">
        <f>_xlfn.SINGLE(IF( OR(ISBLANK(_xlfn.SINGLE(#REF!)),ISBLANK(_xlfn.SINGLE(R25:R29)), ISBLANK(_xlfn.SINGLE(#REF!)),ISBLANK(_xlfn.SINGLE(T25:T29))), "·", bdRateExtend(#REF!,#REF!, R25:R29,T25:T29)))</f>
        <v>·</v>
      </c>
      <c r="BE25" s="28" t="str">
        <f>_xlfn.SINGLE(IF( OR(ISBLANK(_xlfn.SINGLE(#REF!)),ISBLANK(_xlfn.SINGLE(R25:R29)), ISBLANK(_xlfn.SINGLE(#REF!)),ISBLANK(_xlfn.SINGLE(U25:U29))), "·", bdRateExtend(#REF!,#REF!, R25:R29,U25:U29)))</f>
        <v>·</v>
      </c>
      <c r="BF25" s="28" t="str">
        <f>_xlfn.SINGLE(IF( OR(ISBLANK(_xlfn.SINGLE(#REF!)),ISBLANK(_xlfn.SINGLE(R25:R29)), ISBLANK(_xlfn.SINGLE(#REF!)),ISBLANK(_xlfn.SINGLE(V25:V29))), "·", bdRateExtend(#REF!,#REF!, R25:R29,V25:V29)))</f>
        <v>·</v>
      </c>
      <c r="BG25" s="29"/>
      <c r="BI25" s="28" t="str">
        <f>_xlfn.SINGLE(IF( OR(ISBLANK(_xlfn.SINGLE(#REF!)),ISBLANK(_xlfn.SINGLE(R25:R29)), ISBLANK(_xlfn.SINGLE(#REF!)),ISBLANK(_xlfn.SINGLE(X25:X29))), "·", bdRateExtend(#REF!,#REF!, R25:R29,X25:X29)))</f>
        <v>·</v>
      </c>
      <c r="BJ25" s="28" t="str">
        <f>_xlfn.SINGLE(IF( OR(ISBLANK(_xlfn.SINGLE(#REF!)),ISBLANK(_xlfn.SINGLE(R25:R29)), ISBLANK(_xlfn.SINGLE(#REF!)),ISBLANK(_xlfn.SINGLE(Y25:Y29))), "·", bdRateExtend(#REF!,#REF!, R25:R29,Y25:Y29)))</f>
        <v>·</v>
      </c>
      <c r="BK25" s="28" t="str">
        <f>_xlfn.SINGLE(IF( OR(ISBLANK(_xlfn.SINGLE(#REF!)),ISBLANK(_xlfn.SINGLE(R25:R29)), ISBLANK(_xlfn.SINGLE(#REF!)),ISBLANK(_xlfn.SINGLE(Z25:Z29))), "·", bdRateExtend(#REF!,#REF!, R25:R29,Z25:Z29)))</f>
        <v>·</v>
      </c>
      <c r="BL25" s="29"/>
      <c r="BN25" s="28" t="str">
        <f>_xlfn.SINGLE(IF( OR(ISBLANK(_xlfn.SINGLE(#REF!)),ISBLANK(_xlfn.SINGLE(P25:P29)), ISBLANK(_xlfn.SINGLE(#REF!)),ISBLANK(_xlfn.SINGLE(T25:T29))), "·", bdRateExtend(#REF!,#REF!, P25:P29,T25:T29)))</f>
        <v>·</v>
      </c>
      <c r="BO25" s="28" t="str">
        <f>_xlfn.SINGLE(IF( OR(ISBLANK(_xlfn.SINGLE(#REF!)),ISBLANK(_xlfn.SINGLE(P25:P29)), ISBLANK(_xlfn.SINGLE(#REF!)),ISBLANK(_xlfn.SINGLE(U25:U29))), "·", bdRateExtend(#REF!,#REF!, P25:P29,U25:U29)))</f>
        <v>·</v>
      </c>
      <c r="BP25" s="28" t="str">
        <f>_xlfn.SINGLE(IF( OR(ISBLANK(_xlfn.SINGLE(#REF!)),ISBLANK(_xlfn.SINGLE(P25:P29)), ISBLANK(_xlfn.SINGLE(#REF!)),ISBLANK(_xlfn.SINGLE(V25:V29))), "·", bdRateExtend(#REF!,#REF!, P25:P29,V25:V29)))</f>
        <v>·</v>
      </c>
      <c r="BQ25" s="29"/>
      <c r="BS25" s="28" t="str">
        <f>_xlfn.SINGLE(IF( OR(ISBLANK(_xlfn.SINGLE(#REF!)),ISBLANK(_xlfn.SINGLE(P25:P29)), ISBLANK(_xlfn.SINGLE(#REF!)),ISBLANK(_xlfn.SINGLE(X25:X29))), "·", bdRateExtend(#REF!,#REF!, P25:P29,X25:X29)))</f>
        <v>·</v>
      </c>
      <c r="BT25" s="28" t="str">
        <f>_xlfn.SINGLE(IF( OR(ISBLANK(_xlfn.SINGLE(#REF!)),ISBLANK(_xlfn.SINGLE(P25:P29)), ISBLANK(_xlfn.SINGLE(#REF!)),ISBLANK(_xlfn.SINGLE(Y25:Y29))), "·", bdRateExtend(#REF!,#REF!, P25:P29,Y25:Y29)))</f>
        <v>·</v>
      </c>
      <c r="BU25" s="28" t="str">
        <f>_xlfn.SINGLE(IF( OR(ISBLANK(_xlfn.SINGLE(#REF!)),ISBLANK(_xlfn.SINGLE(P25:P29)), ISBLANK(_xlfn.SINGLE(#REF!)),ISBLANK(_xlfn.SINGLE(Z25:Z29))), "·", bdRateExtend(#REF!,#REF!, P25:P29,Z25:Z29)))</f>
        <v>·</v>
      </c>
      <c r="BV25" s="29"/>
    </row>
    <row r="26" spans="1:74" outlineLevel="1" x14ac:dyDescent="0.15">
      <c r="A26" s="30"/>
      <c r="B26" s="30" t="s">
        <v>242</v>
      </c>
      <c r="C26" s="31" t="s">
        <v>226</v>
      </c>
      <c r="D26" s="30">
        <v>805285</v>
      </c>
      <c r="E26" s="32">
        <v>10</v>
      </c>
      <c r="F26" s="31">
        <v>1</v>
      </c>
      <c r="G26" s="31"/>
      <c r="I26" s="33" t="str">
        <f>IF(OR(ISBLANK(#REF!),ISBLANK(G26)),"·",#REF!*G26/F26/1000000)</f>
        <v>·</v>
      </c>
      <c r="J26" s="34" t="e">
        <f>IF(ISBLANK(#REF!),"·",#REF!/D26)</f>
        <v>#REF!</v>
      </c>
      <c r="K26" s="34" t="e">
        <f>IF(#REF!="","·",#REF!/D26)</f>
        <v>#REF!</v>
      </c>
      <c r="L26" s="34" t="e">
        <f>IF(ISBLANK(#REF!),"·",#REF!/D26)</f>
        <v>#REF!</v>
      </c>
      <c r="M26" s="35"/>
      <c r="N26" s="34" t="e">
        <f>IF(ISBLANK(#REF!),"·",#REF!/#REF!)</f>
        <v>#REF!</v>
      </c>
      <c r="O26" s="36"/>
      <c r="P26" s="37"/>
      <c r="Q26" s="37"/>
      <c r="R26" s="37"/>
      <c r="S26" s="38"/>
      <c r="T26" s="39"/>
      <c r="U26" s="39"/>
      <c r="V26" s="39"/>
      <c r="W26" s="40"/>
      <c r="X26" s="39"/>
      <c r="Y26" s="39"/>
      <c r="Z26" s="39"/>
      <c r="AA26" s="40"/>
      <c r="AB26" s="41"/>
      <c r="AC26" s="41"/>
      <c r="AE26" s="33" t="str">
        <f t="shared" si="0"/>
        <v>·</v>
      </c>
      <c r="AF26" s="34" t="str">
        <f t="shared" si="1"/>
        <v>·</v>
      </c>
      <c r="AG26" s="34" t="str">
        <f t="shared" si="2"/>
        <v>·</v>
      </c>
      <c r="AH26" s="34" t="str">
        <f t="shared" si="3"/>
        <v>·</v>
      </c>
      <c r="AI26" s="35"/>
      <c r="AJ26" s="34" t="str">
        <f t="shared" si="4"/>
        <v>·</v>
      </c>
      <c r="BA26" s="42" t="e">
        <f>(Q26/P26) - (#REF!/#REF!)</f>
        <v>#DIV/0!</v>
      </c>
      <c r="BB26" s="42"/>
      <c r="BD26" s="43"/>
      <c r="BE26" s="43"/>
      <c r="BF26" s="43"/>
      <c r="BG26" s="44"/>
      <c r="BI26" s="43"/>
      <c r="BJ26" s="43"/>
      <c r="BK26" s="43"/>
      <c r="BL26" s="44"/>
      <c r="BN26" s="43"/>
      <c r="BO26" s="43"/>
      <c r="BP26" s="43"/>
      <c r="BQ26" s="44"/>
      <c r="BS26" s="43"/>
      <c r="BT26" s="43"/>
      <c r="BU26" s="43"/>
      <c r="BV26" s="44"/>
    </row>
    <row r="27" spans="1:74" outlineLevel="1" x14ac:dyDescent="0.15">
      <c r="A27" s="15"/>
      <c r="B27" s="15" t="s">
        <v>242</v>
      </c>
      <c r="C27" s="16" t="s">
        <v>227</v>
      </c>
      <c r="D27" s="15">
        <v>805285</v>
      </c>
      <c r="E27" s="17">
        <v>10</v>
      </c>
      <c r="F27" s="16">
        <v>1</v>
      </c>
      <c r="G27" s="16"/>
      <c r="I27" s="18" t="str">
        <f>IF(OR(ISBLANK(#REF!),ISBLANK(G27)),"·",#REF!*G27/F27/1000000)</f>
        <v>·</v>
      </c>
      <c r="J27" s="19" t="e">
        <f>IF(ISBLANK(#REF!),"·",#REF!/D27)</f>
        <v>#REF!</v>
      </c>
      <c r="K27" s="19" t="e">
        <f>IF(#REF!="","·",#REF!/D27)</f>
        <v>#REF!</v>
      </c>
      <c r="L27" s="19" t="e">
        <f>IF(ISBLANK(#REF!),"·",#REF!/D27)</f>
        <v>#REF!</v>
      </c>
      <c r="M27" s="20"/>
      <c r="N27" s="19" t="e">
        <f>IF(ISBLANK(#REF!),"·",#REF!/#REF!)</f>
        <v>#REF!</v>
      </c>
      <c r="O27" s="21"/>
      <c r="P27" s="22"/>
      <c r="Q27" s="22"/>
      <c r="R27" s="22"/>
      <c r="S27" s="23"/>
      <c r="T27" s="24"/>
      <c r="U27" s="24"/>
      <c r="V27" s="24"/>
      <c r="W27" s="25"/>
      <c r="X27" s="24"/>
      <c r="Y27" s="24"/>
      <c r="Z27" s="24"/>
      <c r="AA27" s="25"/>
      <c r="AB27" s="26"/>
      <c r="AC27" s="26"/>
      <c r="AE27" s="18" t="str">
        <f t="shared" si="0"/>
        <v>·</v>
      </c>
      <c r="AF27" s="19" t="str">
        <f t="shared" si="1"/>
        <v>·</v>
      </c>
      <c r="AG27" s="19" t="str">
        <f t="shared" si="2"/>
        <v>·</v>
      </c>
      <c r="AH27" s="19" t="str">
        <f t="shared" si="3"/>
        <v>·</v>
      </c>
      <c r="AI27" s="20"/>
      <c r="AJ27" s="19" t="str">
        <f t="shared" si="4"/>
        <v>·</v>
      </c>
      <c r="BA27" s="27" t="e">
        <f>(Q27/P27) - (#REF!/#REF!)</f>
        <v>#DIV/0!</v>
      </c>
      <c r="BB27" s="27"/>
      <c r="BD27" s="28"/>
      <c r="BE27" s="28"/>
      <c r="BF27" s="28"/>
      <c r="BG27" s="29"/>
      <c r="BI27" s="28"/>
      <c r="BJ27" s="28"/>
      <c r="BK27" s="28"/>
      <c r="BL27" s="29"/>
      <c r="BN27" s="28"/>
      <c r="BO27" s="28"/>
      <c r="BP27" s="28"/>
      <c r="BQ27" s="29"/>
      <c r="BS27" s="28"/>
      <c r="BT27" s="28"/>
      <c r="BU27" s="28"/>
      <c r="BV27" s="29"/>
    </row>
    <row r="28" spans="1:74" outlineLevel="1" x14ac:dyDescent="0.15">
      <c r="A28" s="30"/>
      <c r="B28" s="30" t="s">
        <v>242</v>
      </c>
      <c r="C28" s="31" t="s">
        <v>228</v>
      </c>
      <c r="D28" s="30">
        <v>805285</v>
      </c>
      <c r="E28" s="32">
        <v>10</v>
      </c>
      <c r="F28" s="31">
        <v>1</v>
      </c>
      <c r="G28" s="31"/>
      <c r="I28" s="33" t="str">
        <f>IF(OR(ISBLANK(#REF!),ISBLANK(G28)),"·",#REF!*G28/F28/1000000)</f>
        <v>·</v>
      </c>
      <c r="J28" s="34" t="e">
        <f>IF(ISBLANK(#REF!),"·",#REF!/D28)</f>
        <v>#REF!</v>
      </c>
      <c r="K28" s="34" t="e">
        <f>IF(#REF!="","·",#REF!/D28)</f>
        <v>#REF!</v>
      </c>
      <c r="L28" s="34" t="e">
        <f>IF(ISBLANK(#REF!),"·",#REF!/D28)</f>
        <v>#REF!</v>
      </c>
      <c r="M28" s="35"/>
      <c r="N28" s="34" t="e">
        <f>IF(ISBLANK(#REF!),"·",#REF!/#REF!)</f>
        <v>#REF!</v>
      </c>
      <c r="O28" s="36"/>
      <c r="P28" s="37"/>
      <c r="Q28" s="37"/>
      <c r="R28" s="37"/>
      <c r="S28" s="38"/>
      <c r="T28" s="39"/>
      <c r="U28" s="39"/>
      <c r="V28" s="39"/>
      <c r="W28" s="40"/>
      <c r="X28" s="39"/>
      <c r="Y28" s="39"/>
      <c r="Z28" s="39"/>
      <c r="AA28" s="40"/>
      <c r="AB28" s="41"/>
      <c r="AC28" s="41"/>
      <c r="AE28" s="33" t="str">
        <f t="shared" si="0"/>
        <v>·</v>
      </c>
      <c r="AF28" s="34" t="str">
        <f t="shared" si="1"/>
        <v>·</v>
      </c>
      <c r="AG28" s="34" t="str">
        <f t="shared" si="2"/>
        <v>·</v>
      </c>
      <c r="AH28" s="34" t="str">
        <f t="shared" si="3"/>
        <v>·</v>
      </c>
      <c r="AI28" s="35"/>
      <c r="AJ28" s="34" t="str">
        <f t="shared" si="4"/>
        <v>·</v>
      </c>
      <c r="BA28" s="42" t="e">
        <f>(Q28/P28) - (#REF!/#REF!)</f>
        <v>#DIV/0!</v>
      </c>
      <c r="BB28" s="42"/>
      <c r="BD28" s="43"/>
      <c r="BE28" s="43"/>
      <c r="BF28" s="43"/>
      <c r="BG28" s="44"/>
      <c r="BI28" s="43"/>
      <c r="BJ28" s="43"/>
      <c r="BK28" s="43"/>
      <c r="BL28" s="44"/>
      <c r="BN28" s="43"/>
      <c r="BO28" s="43"/>
      <c r="BP28" s="43"/>
      <c r="BQ28" s="44"/>
      <c r="BS28" s="43"/>
      <c r="BT28" s="43"/>
      <c r="BU28" s="43"/>
      <c r="BV28" s="44"/>
    </row>
    <row r="29" spans="1:74" ht="14.25" outlineLevel="1" thickBot="1" x14ac:dyDescent="0.2">
      <c r="A29" s="15"/>
      <c r="B29" s="64" t="s">
        <v>242</v>
      </c>
      <c r="C29" s="66" t="s">
        <v>229</v>
      </c>
      <c r="D29" s="64">
        <v>805285</v>
      </c>
      <c r="E29" s="65">
        <v>10</v>
      </c>
      <c r="F29" s="66">
        <v>1</v>
      </c>
      <c r="G29" s="66"/>
      <c r="I29" s="68" t="str">
        <f>IF(OR(ISBLANK(#REF!),ISBLANK(G29)),"·",#REF!*G29/F29/1000000)</f>
        <v>·</v>
      </c>
      <c r="J29" s="69" t="e">
        <f>IF(ISBLANK(#REF!),"·",#REF!/D29)</f>
        <v>#REF!</v>
      </c>
      <c r="K29" s="69" t="e">
        <f>IF(#REF!="","·",#REF!/D29)</f>
        <v>#REF!</v>
      </c>
      <c r="L29" s="69" t="e">
        <f>IF(ISBLANK(#REF!),"·",#REF!/D29)</f>
        <v>#REF!</v>
      </c>
      <c r="M29" s="70"/>
      <c r="N29" s="69" t="e">
        <f>IF(ISBLANK(#REF!),"·",#REF!/#REF!)</f>
        <v>#REF!</v>
      </c>
      <c r="O29" s="71"/>
      <c r="P29" s="72"/>
      <c r="Q29" s="72"/>
      <c r="R29" s="72"/>
      <c r="S29" s="73"/>
      <c r="T29" s="77"/>
      <c r="U29" s="77"/>
      <c r="V29" s="77"/>
      <c r="W29" s="78"/>
      <c r="X29" s="77"/>
      <c r="Y29" s="77"/>
      <c r="Z29" s="77"/>
      <c r="AA29" s="78"/>
      <c r="AB29" s="74"/>
      <c r="AC29" s="74"/>
      <c r="AE29" s="68" t="str">
        <f t="shared" si="0"/>
        <v>·</v>
      </c>
      <c r="AF29" s="69" t="str">
        <f t="shared" si="1"/>
        <v>·</v>
      </c>
      <c r="AG29" s="69" t="str">
        <f t="shared" si="2"/>
        <v>·</v>
      </c>
      <c r="AH29" s="69" t="str">
        <f t="shared" si="3"/>
        <v>·</v>
      </c>
      <c r="AI29" s="70"/>
      <c r="AJ29" s="69" t="str">
        <f t="shared" si="4"/>
        <v>·</v>
      </c>
      <c r="BA29" s="67" t="e">
        <f>(Q29/P29) - (#REF!/#REF!)</f>
        <v>#DIV/0!</v>
      </c>
      <c r="BB29" s="67"/>
      <c r="BD29" s="75"/>
      <c r="BE29" s="75"/>
      <c r="BF29" s="75"/>
      <c r="BG29" s="76"/>
      <c r="BI29" s="75"/>
      <c r="BJ29" s="75"/>
      <c r="BK29" s="75"/>
      <c r="BL29" s="76"/>
      <c r="BN29" s="75"/>
      <c r="BO29" s="75"/>
      <c r="BP29" s="75"/>
      <c r="BQ29" s="76"/>
      <c r="BS29" s="75"/>
      <c r="BT29" s="75"/>
      <c r="BU29" s="75"/>
      <c r="BV29" s="76"/>
    </row>
    <row r="30" spans="1:74" x14ac:dyDescent="0.15">
      <c r="A30" s="30"/>
      <c r="B30" s="30" t="s">
        <v>245</v>
      </c>
      <c r="C30" s="31" t="s">
        <v>225</v>
      </c>
      <c r="D30" s="30">
        <v>1000993</v>
      </c>
      <c r="E30" s="32">
        <v>10</v>
      </c>
      <c r="F30" s="31">
        <v>1</v>
      </c>
      <c r="G30" s="31"/>
      <c r="I30" s="33" t="str">
        <f>IF(OR(ISBLANK(#REF!),ISBLANK(G30)),"·",#REF!*G30/F30/1000000)</f>
        <v>·</v>
      </c>
      <c r="J30" s="34" t="e">
        <f>IF(ISBLANK(#REF!),"·",#REF!/D30)</f>
        <v>#REF!</v>
      </c>
      <c r="K30" s="34" t="e">
        <f>IF(#REF!="","·",#REF!/D30)</f>
        <v>#REF!</v>
      </c>
      <c r="L30" s="34" t="e">
        <f>IF(ISBLANK(#REF!),"·",#REF!/D30)</f>
        <v>#REF!</v>
      </c>
      <c r="M30" s="35"/>
      <c r="N30" s="34" t="e">
        <f>IF(ISBLANK(#REF!),"·",#REF!/#REF!)</f>
        <v>#REF!</v>
      </c>
      <c r="O30" s="36"/>
      <c r="P30" s="37"/>
      <c r="Q30" s="37"/>
      <c r="R30" s="37"/>
      <c r="S30" s="38"/>
      <c r="T30" s="39"/>
      <c r="U30" s="39"/>
      <c r="V30" s="39"/>
      <c r="W30" s="40"/>
      <c r="X30" s="39"/>
      <c r="Y30" s="39"/>
      <c r="Z30" s="39"/>
      <c r="AA30" s="40"/>
      <c r="AB30" s="41"/>
      <c r="AC30" s="41"/>
      <c r="AE30" s="33" t="str">
        <f t="shared" si="0"/>
        <v>·</v>
      </c>
      <c r="AF30" s="34" t="str">
        <f t="shared" si="1"/>
        <v>·</v>
      </c>
      <c r="AG30" s="34" t="str">
        <f t="shared" si="2"/>
        <v>·</v>
      </c>
      <c r="AH30" s="34" t="str">
        <f t="shared" si="3"/>
        <v>·</v>
      </c>
      <c r="AI30" s="35"/>
      <c r="AJ30" s="34" t="str">
        <f t="shared" si="4"/>
        <v>·</v>
      </c>
      <c r="BA30" s="42" t="e">
        <f>(Q30/P30) - (#REF!/#REF!)</f>
        <v>#DIV/0!</v>
      </c>
      <c r="BB30" s="42" t="e">
        <f t="array" ref="BB30">AVERAGE(Q30:Q34/P30:P34) - AVERAGE(#REF!/#REF!)</f>
        <v>#DIV/0!</v>
      </c>
      <c r="BD30" s="43" t="str">
        <f>_xlfn.SINGLE(IF( OR(ISBLANK(_xlfn.SINGLE(#REF!)),ISBLANK(_xlfn.SINGLE(R30:R34)), ISBLANK(_xlfn.SINGLE(#REF!)),ISBLANK(_xlfn.SINGLE(T30:T34))), "·", bdRateExtend(#REF!,#REF!, R30:R34,T30:T34)))</f>
        <v>·</v>
      </c>
      <c r="BE30" s="43" t="str">
        <f>_xlfn.SINGLE(IF( OR(ISBLANK(_xlfn.SINGLE(#REF!)),ISBLANK(_xlfn.SINGLE(R30:R34)), ISBLANK(_xlfn.SINGLE(#REF!)),ISBLANK(_xlfn.SINGLE(U30:U34))), "·", bdRateExtend(#REF!,#REF!, R30:R34,U30:U34)))</f>
        <v>·</v>
      </c>
      <c r="BF30" s="43" t="str">
        <f>_xlfn.SINGLE(IF( OR(ISBLANK(_xlfn.SINGLE(#REF!)),ISBLANK(_xlfn.SINGLE(R30:R34)), ISBLANK(_xlfn.SINGLE(#REF!)),ISBLANK(_xlfn.SINGLE(V30:V34))), "·", bdRateExtend(#REF!,#REF!, R30:R34,V30:V34)))</f>
        <v>·</v>
      </c>
      <c r="BG30" s="44"/>
      <c r="BI30" s="43" t="str">
        <f>_xlfn.SINGLE(IF( OR(ISBLANK(_xlfn.SINGLE(#REF!)),ISBLANK(_xlfn.SINGLE(R30:R34)), ISBLANK(_xlfn.SINGLE(#REF!)),ISBLANK(_xlfn.SINGLE(X30:X34))), "·", bdRateExtend(#REF!,#REF!, R30:R34,X30:X34)))</f>
        <v>·</v>
      </c>
      <c r="BJ30" s="43" t="str">
        <f>_xlfn.SINGLE(IF( OR(ISBLANK(_xlfn.SINGLE(#REF!)),ISBLANK(_xlfn.SINGLE(R30:R34)), ISBLANK(_xlfn.SINGLE(#REF!)),ISBLANK(_xlfn.SINGLE(Y30:Y34))), "·", bdRateExtend(#REF!,#REF!, R30:R34,Y30:Y34)))</f>
        <v>·</v>
      </c>
      <c r="BK30" s="43" t="str">
        <f>_xlfn.SINGLE(IF( OR(ISBLANK(_xlfn.SINGLE(#REF!)),ISBLANK(_xlfn.SINGLE(R30:R34)), ISBLANK(_xlfn.SINGLE(#REF!)),ISBLANK(_xlfn.SINGLE(Z30:Z34))), "·", bdRateExtend(#REF!,#REF!, R30:R34,Z30:Z34)))</f>
        <v>·</v>
      </c>
      <c r="BL30" s="44"/>
      <c r="BN30" s="43" t="str">
        <f>_xlfn.SINGLE(IF( OR(ISBLANK(_xlfn.SINGLE(#REF!)),ISBLANK(_xlfn.SINGLE(P30:P34)), ISBLANK(_xlfn.SINGLE(#REF!)),ISBLANK(_xlfn.SINGLE(T30:T34))), "·", bdRateExtend(#REF!,#REF!, P30:P34,T30:T34)))</f>
        <v>·</v>
      </c>
      <c r="BO30" s="43" t="str">
        <f>_xlfn.SINGLE(IF( OR(ISBLANK(_xlfn.SINGLE(#REF!)),ISBLANK(_xlfn.SINGLE(P30:P34)), ISBLANK(_xlfn.SINGLE(#REF!)),ISBLANK(_xlfn.SINGLE(U30:U34))), "·", bdRateExtend(#REF!,#REF!, P30:P34,U30:U34)))</f>
        <v>·</v>
      </c>
      <c r="BP30" s="43" t="str">
        <f>_xlfn.SINGLE(IF( OR(ISBLANK(_xlfn.SINGLE(#REF!)),ISBLANK(_xlfn.SINGLE(P30:P34)), ISBLANK(_xlfn.SINGLE(#REF!)),ISBLANK(_xlfn.SINGLE(V30:V34))), "·", bdRateExtend(#REF!,#REF!, P30:P34,V30:V34)))</f>
        <v>·</v>
      </c>
      <c r="BQ30" s="44"/>
      <c r="BS30" s="43" t="str">
        <f>_xlfn.SINGLE(IF( OR(ISBLANK(_xlfn.SINGLE(#REF!)),ISBLANK(_xlfn.SINGLE(P30:P34)), ISBLANK(_xlfn.SINGLE(#REF!)),ISBLANK(_xlfn.SINGLE(X30:X34))), "·", bdRateExtend(#REF!,#REF!, P30:P34,X30:X34)))</f>
        <v>·</v>
      </c>
      <c r="BT30" s="43" t="str">
        <f>_xlfn.SINGLE(IF( OR(ISBLANK(_xlfn.SINGLE(#REF!)),ISBLANK(_xlfn.SINGLE(P30:P34)), ISBLANK(_xlfn.SINGLE(#REF!)),ISBLANK(_xlfn.SINGLE(Y30:Y34))), "·", bdRateExtend(#REF!,#REF!, P30:P34,Y30:Y34)))</f>
        <v>·</v>
      </c>
      <c r="BU30" s="43" t="str">
        <f>_xlfn.SINGLE(IF( OR(ISBLANK(_xlfn.SINGLE(#REF!)),ISBLANK(_xlfn.SINGLE(P30:P34)), ISBLANK(_xlfn.SINGLE(#REF!)),ISBLANK(_xlfn.SINGLE(Z30:Z34))), "·", bdRateExtend(#REF!,#REF!, P30:P34,Z30:Z34)))</f>
        <v>·</v>
      </c>
      <c r="BV30" s="44"/>
    </row>
    <row r="31" spans="1:74" outlineLevel="1" x14ac:dyDescent="0.15">
      <c r="A31" s="15"/>
      <c r="B31" s="15" t="s">
        <v>245</v>
      </c>
      <c r="C31" s="16" t="s">
        <v>226</v>
      </c>
      <c r="D31" s="15">
        <v>1000993</v>
      </c>
      <c r="E31" s="17">
        <v>10</v>
      </c>
      <c r="F31" s="16">
        <v>1</v>
      </c>
      <c r="G31" s="16"/>
      <c r="I31" s="18" t="str">
        <f>IF(OR(ISBLANK(#REF!),ISBLANK(G31)),"·",#REF!*G31/F31/1000000)</f>
        <v>·</v>
      </c>
      <c r="J31" s="19" t="e">
        <f>IF(ISBLANK(#REF!),"·",#REF!/D31)</f>
        <v>#REF!</v>
      </c>
      <c r="K31" s="19" t="e">
        <f>IF(#REF!="","·",#REF!/D31)</f>
        <v>#REF!</v>
      </c>
      <c r="L31" s="19" t="e">
        <f>IF(ISBLANK(#REF!),"·",#REF!/D31)</f>
        <v>#REF!</v>
      </c>
      <c r="M31" s="20"/>
      <c r="N31" s="19" t="e">
        <f>IF(ISBLANK(#REF!),"·",#REF!/#REF!)</f>
        <v>#REF!</v>
      </c>
      <c r="O31" s="21"/>
      <c r="P31" s="22"/>
      <c r="Q31" s="22"/>
      <c r="R31" s="22"/>
      <c r="S31" s="23"/>
      <c r="T31" s="24"/>
      <c r="U31" s="24"/>
      <c r="V31" s="24"/>
      <c r="W31" s="25"/>
      <c r="X31" s="24"/>
      <c r="Y31" s="24"/>
      <c r="Z31" s="24"/>
      <c r="AA31" s="25"/>
      <c r="AB31" s="26"/>
      <c r="AC31" s="26"/>
      <c r="AE31" s="18" t="str">
        <f t="shared" si="0"/>
        <v>·</v>
      </c>
      <c r="AF31" s="19" t="str">
        <f t="shared" si="1"/>
        <v>·</v>
      </c>
      <c r="AG31" s="19" t="str">
        <f t="shared" si="2"/>
        <v>·</v>
      </c>
      <c r="AH31" s="19" t="str">
        <f t="shared" si="3"/>
        <v>·</v>
      </c>
      <c r="AI31" s="20"/>
      <c r="AJ31" s="19" t="str">
        <f t="shared" si="4"/>
        <v>·</v>
      </c>
      <c r="BA31" s="27" t="e">
        <f>(Q31/P31) - (#REF!/#REF!)</f>
        <v>#DIV/0!</v>
      </c>
      <c r="BB31" s="27"/>
      <c r="BD31" s="28"/>
      <c r="BE31" s="28"/>
      <c r="BF31" s="28"/>
      <c r="BG31" s="29"/>
      <c r="BI31" s="28"/>
      <c r="BJ31" s="28"/>
      <c r="BK31" s="28"/>
      <c r="BL31" s="29"/>
      <c r="BN31" s="28"/>
      <c r="BO31" s="28"/>
      <c r="BP31" s="28"/>
      <c r="BQ31" s="29"/>
      <c r="BS31" s="28"/>
      <c r="BT31" s="28"/>
      <c r="BU31" s="28"/>
      <c r="BV31" s="29"/>
    </row>
    <row r="32" spans="1:74" outlineLevel="1" x14ac:dyDescent="0.15">
      <c r="A32" s="30"/>
      <c r="B32" s="30" t="s">
        <v>245</v>
      </c>
      <c r="C32" s="31" t="s">
        <v>227</v>
      </c>
      <c r="D32" s="30">
        <v>1000993</v>
      </c>
      <c r="E32" s="32">
        <v>10</v>
      </c>
      <c r="F32" s="31">
        <v>1</v>
      </c>
      <c r="G32" s="31"/>
      <c r="I32" s="33" t="str">
        <f>IF(OR(ISBLANK(#REF!),ISBLANK(G32)),"·",#REF!*G32/F32/1000000)</f>
        <v>·</v>
      </c>
      <c r="J32" s="34" t="e">
        <f>IF(ISBLANK(#REF!),"·",#REF!/D32)</f>
        <v>#REF!</v>
      </c>
      <c r="K32" s="34" t="e">
        <f>IF(#REF!="","·",#REF!/D32)</f>
        <v>#REF!</v>
      </c>
      <c r="L32" s="34" t="e">
        <f>IF(ISBLANK(#REF!),"·",#REF!/D32)</f>
        <v>#REF!</v>
      </c>
      <c r="M32" s="35"/>
      <c r="N32" s="34" t="e">
        <f>IF(ISBLANK(#REF!),"·",#REF!/#REF!)</f>
        <v>#REF!</v>
      </c>
      <c r="O32" s="36"/>
      <c r="P32" s="37"/>
      <c r="Q32" s="37"/>
      <c r="R32" s="37"/>
      <c r="S32" s="38"/>
      <c r="T32" s="39"/>
      <c r="U32" s="39"/>
      <c r="V32" s="39"/>
      <c r="W32" s="40"/>
      <c r="X32" s="39"/>
      <c r="Y32" s="39"/>
      <c r="Z32" s="39"/>
      <c r="AA32" s="40"/>
      <c r="AB32" s="41"/>
      <c r="AC32" s="41"/>
      <c r="AE32" s="33" t="str">
        <f t="shared" si="0"/>
        <v>·</v>
      </c>
      <c r="AF32" s="34" t="str">
        <f t="shared" si="1"/>
        <v>·</v>
      </c>
      <c r="AG32" s="34" t="str">
        <f t="shared" si="2"/>
        <v>·</v>
      </c>
      <c r="AH32" s="34" t="str">
        <f t="shared" si="3"/>
        <v>·</v>
      </c>
      <c r="AI32" s="35"/>
      <c r="AJ32" s="34" t="str">
        <f t="shared" si="4"/>
        <v>·</v>
      </c>
      <c r="BA32" s="42" t="e">
        <f>(Q32/P32) - (#REF!/#REF!)</f>
        <v>#DIV/0!</v>
      </c>
      <c r="BB32" s="42"/>
      <c r="BD32" s="43"/>
      <c r="BE32" s="43"/>
      <c r="BF32" s="43"/>
      <c r="BG32" s="44"/>
      <c r="BI32" s="43"/>
      <c r="BJ32" s="43"/>
      <c r="BK32" s="43"/>
      <c r="BL32" s="44"/>
      <c r="BN32" s="43"/>
      <c r="BO32" s="43"/>
      <c r="BP32" s="43"/>
      <c r="BQ32" s="44"/>
      <c r="BS32" s="43"/>
      <c r="BT32" s="43"/>
      <c r="BU32" s="43"/>
      <c r="BV32" s="44"/>
    </row>
    <row r="33" spans="1:74" outlineLevel="1" x14ac:dyDescent="0.15">
      <c r="A33" s="15"/>
      <c r="B33" s="15" t="s">
        <v>245</v>
      </c>
      <c r="C33" s="16" t="s">
        <v>228</v>
      </c>
      <c r="D33" s="15">
        <v>1000993</v>
      </c>
      <c r="E33" s="17">
        <v>10</v>
      </c>
      <c r="F33" s="16">
        <v>1</v>
      </c>
      <c r="G33" s="16"/>
      <c r="I33" s="18" t="str">
        <f>IF(OR(ISBLANK(#REF!),ISBLANK(G33)),"·",#REF!*G33/F33/1000000)</f>
        <v>·</v>
      </c>
      <c r="J33" s="19" t="e">
        <f>IF(ISBLANK(#REF!),"·",#REF!/D33)</f>
        <v>#REF!</v>
      </c>
      <c r="K33" s="19" t="e">
        <f>IF(#REF!="","·",#REF!/D33)</f>
        <v>#REF!</v>
      </c>
      <c r="L33" s="19" t="e">
        <f>IF(ISBLANK(#REF!),"·",#REF!/D33)</f>
        <v>#REF!</v>
      </c>
      <c r="M33" s="20"/>
      <c r="N33" s="19" t="e">
        <f>IF(ISBLANK(#REF!),"·",#REF!/#REF!)</f>
        <v>#REF!</v>
      </c>
      <c r="O33" s="21"/>
      <c r="P33" s="22"/>
      <c r="Q33" s="22"/>
      <c r="R33" s="22"/>
      <c r="S33" s="23"/>
      <c r="T33" s="24"/>
      <c r="U33" s="24"/>
      <c r="V33" s="24"/>
      <c r="W33" s="25"/>
      <c r="X33" s="24"/>
      <c r="Y33" s="24"/>
      <c r="Z33" s="24"/>
      <c r="AA33" s="25"/>
      <c r="AB33" s="26"/>
      <c r="AC33" s="26"/>
      <c r="AE33" s="18" t="str">
        <f t="shared" si="0"/>
        <v>·</v>
      </c>
      <c r="AF33" s="19" t="str">
        <f t="shared" si="1"/>
        <v>·</v>
      </c>
      <c r="AG33" s="19" t="str">
        <f t="shared" si="2"/>
        <v>·</v>
      </c>
      <c r="AH33" s="19" t="str">
        <f t="shared" si="3"/>
        <v>·</v>
      </c>
      <c r="AI33" s="20"/>
      <c r="AJ33" s="19" t="str">
        <f t="shared" si="4"/>
        <v>·</v>
      </c>
      <c r="BA33" s="27" t="e">
        <f>(Q33/P33) - (#REF!/#REF!)</f>
        <v>#DIV/0!</v>
      </c>
      <c r="BB33" s="27"/>
      <c r="BD33" s="28"/>
      <c r="BE33" s="28"/>
      <c r="BF33" s="28"/>
      <c r="BG33" s="29"/>
      <c r="BI33" s="28"/>
      <c r="BJ33" s="28"/>
      <c r="BK33" s="28"/>
      <c r="BL33" s="29"/>
      <c r="BN33" s="28"/>
      <c r="BO33" s="28"/>
      <c r="BP33" s="28"/>
      <c r="BQ33" s="29"/>
      <c r="BS33" s="28"/>
      <c r="BT33" s="28"/>
      <c r="BU33" s="28"/>
      <c r="BV33" s="29"/>
    </row>
    <row r="34" spans="1:74" ht="14.25" outlineLevel="1" thickBot="1" x14ac:dyDescent="0.2">
      <c r="A34" s="30"/>
      <c r="B34" s="45" t="s">
        <v>245</v>
      </c>
      <c r="C34" s="46" t="s">
        <v>229</v>
      </c>
      <c r="D34" s="45">
        <v>1000993</v>
      </c>
      <c r="E34" s="47">
        <v>10</v>
      </c>
      <c r="F34" s="46">
        <v>1</v>
      </c>
      <c r="G34" s="46"/>
      <c r="I34" s="48" t="str">
        <f>IF(OR(ISBLANK(#REF!),ISBLANK(G34)),"·",#REF!*G34/F34/1000000)</f>
        <v>·</v>
      </c>
      <c r="J34" s="49" t="e">
        <f>IF(ISBLANK(#REF!),"·",#REF!/D34)</f>
        <v>#REF!</v>
      </c>
      <c r="K34" s="49" t="e">
        <f>IF(#REF!="","·",#REF!/D34)</f>
        <v>#REF!</v>
      </c>
      <c r="L34" s="49" t="e">
        <f>IF(ISBLANK(#REF!),"·",#REF!/D34)</f>
        <v>#REF!</v>
      </c>
      <c r="M34" s="50"/>
      <c r="N34" s="49" t="e">
        <f>IF(ISBLANK(#REF!),"·",#REF!/#REF!)</f>
        <v>#REF!</v>
      </c>
      <c r="O34" s="51"/>
      <c r="P34" s="52"/>
      <c r="Q34" s="52"/>
      <c r="R34" s="52"/>
      <c r="S34" s="53"/>
      <c r="T34" s="54"/>
      <c r="U34" s="54"/>
      <c r="V34" s="54"/>
      <c r="W34" s="55"/>
      <c r="X34" s="54"/>
      <c r="Y34" s="54"/>
      <c r="Z34" s="54"/>
      <c r="AA34" s="55"/>
      <c r="AB34" s="56"/>
      <c r="AC34" s="56"/>
      <c r="AE34" s="48" t="str">
        <f t="shared" si="0"/>
        <v>·</v>
      </c>
      <c r="AF34" s="49" t="str">
        <f t="shared" si="1"/>
        <v>·</v>
      </c>
      <c r="AG34" s="49" t="str">
        <f t="shared" si="2"/>
        <v>·</v>
      </c>
      <c r="AH34" s="49" t="str">
        <f t="shared" si="3"/>
        <v>·</v>
      </c>
      <c r="AI34" s="50"/>
      <c r="AJ34" s="49" t="str">
        <f t="shared" si="4"/>
        <v>·</v>
      </c>
      <c r="BA34" s="57" t="e">
        <f>(Q34/P34) - (#REF!/#REF!)</f>
        <v>#DIV/0!</v>
      </c>
      <c r="BB34" s="57"/>
      <c r="BD34" s="58"/>
      <c r="BE34" s="58"/>
      <c r="BF34" s="58"/>
      <c r="BG34" s="59"/>
      <c r="BI34" s="58"/>
      <c r="BJ34" s="58"/>
      <c r="BK34" s="58"/>
      <c r="BL34" s="59"/>
      <c r="BN34" s="58"/>
      <c r="BO34" s="58"/>
      <c r="BP34" s="58"/>
      <c r="BQ34" s="59"/>
      <c r="BS34" s="58"/>
      <c r="BT34" s="58"/>
      <c r="BU34" s="58"/>
      <c r="BV34" s="59"/>
    </row>
    <row r="35" spans="1:74" x14ac:dyDescent="0.15">
      <c r="A35" s="15"/>
      <c r="B35" s="15" t="s">
        <v>248</v>
      </c>
      <c r="C35" s="16" t="s">
        <v>225</v>
      </c>
      <c r="D35" s="15">
        <v>757691</v>
      </c>
      <c r="E35" s="17">
        <v>10</v>
      </c>
      <c r="F35" s="16">
        <v>1</v>
      </c>
      <c r="G35" s="16"/>
      <c r="I35" s="18" t="str">
        <f>IF(OR(ISBLANK(#REF!),ISBLANK(G35)),"·",#REF!*G35/F35/1000000)</f>
        <v>·</v>
      </c>
      <c r="J35" s="19" t="e">
        <f>IF(ISBLANK(#REF!),"·",#REF!/D35)</f>
        <v>#REF!</v>
      </c>
      <c r="K35" s="19" t="e">
        <f>IF(#REF!="","·",#REF!/D35)</f>
        <v>#REF!</v>
      </c>
      <c r="L35" s="19" t="e">
        <f>IF(ISBLANK(#REF!),"·",#REF!/D35)</f>
        <v>#REF!</v>
      </c>
      <c r="M35" s="20"/>
      <c r="N35" s="19" t="e">
        <f>IF(ISBLANK(#REF!),"·",#REF!/#REF!)</f>
        <v>#REF!</v>
      </c>
      <c r="O35" s="21"/>
      <c r="P35" s="22"/>
      <c r="Q35" s="22"/>
      <c r="R35" s="22"/>
      <c r="S35" s="23"/>
      <c r="T35" s="24"/>
      <c r="U35" s="24"/>
      <c r="V35" s="24"/>
      <c r="W35" s="25"/>
      <c r="X35" s="24"/>
      <c r="Y35" s="24"/>
      <c r="Z35" s="24"/>
      <c r="AA35" s="25"/>
      <c r="AB35" s="26"/>
      <c r="AC35" s="26"/>
      <c r="AE35" s="18" t="str">
        <f t="shared" si="0"/>
        <v>·</v>
      </c>
      <c r="AF35" s="19" t="str">
        <f t="shared" si="1"/>
        <v>·</v>
      </c>
      <c r="AG35" s="19" t="str">
        <f t="shared" si="2"/>
        <v>·</v>
      </c>
      <c r="AH35" s="19" t="str">
        <f t="shared" si="3"/>
        <v>·</v>
      </c>
      <c r="AI35" s="20"/>
      <c r="AJ35" s="19" t="str">
        <f t="shared" si="4"/>
        <v>·</v>
      </c>
      <c r="BA35" s="27" t="e">
        <f>(Q35/P35) - (#REF!/#REF!)</f>
        <v>#DIV/0!</v>
      </c>
      <c r="BB35" s="27" t="e">
        <f t="array" ref="BB35">AVERAGE(Q35:Q39/P35:P39) - AVERAGE(#REF!/#REF!)</f>
        <v>#DIV/0!</v>
      </c>
      <c r="BD35" s="28" t="str">
        <f>_xlfn.SINGLE(IF( OR(ISBLANK(_xlfn.SINGLE(#REF!)),ISBLANK(_xlfn.SINGLE(R35:R39)), ISBLANK(_xlfn.SINGLE(#REF!)),ISBLANK(_xlfn.SINGLE(T35:T39))), "·", bdRateExtend(#REF!,#REF!, R35:R39,T35:T39)))</f>
        <v>·</v>
      </c>
      <c r="BE35" s="28" t="str">
        <f>_xlfn.SINGLE(IF( OR(ISBLANK(_xlfn.SINGLE(#REF!)),ISBLANK(_xlfn.SINGLE(R35:R39)), ISBLANK(_xlfn.SINGLE(#REF!)),ISBLANK(_xlfn.SINGLE(U35:U39))), "·", bdRateExtend(#REF!,#REF!, R35:R39,U35:U39)))</f>
        <v>·</v>
      </c>
      <c r="BF35" s="28" t="str">
        <f>_xlfn.SINGLE(IF( OR(ISBLANK(_xlfn.SINGLE(#REF!)),ISBLANK(_xlfn.SINGLE(R35:R39)), ISBLANK(_xlfn.SINGLE(#REF!)),ISBLANK(_xlfn.SINGLE(V35:V39))), "·", bdRateExtend(#REF!,#REF!, R35:R39,V35:V39)))</f>
        <v>·</v>
      </c>
      <c r="BG35" s="29"/>
      <c r="BI35" s="28" t="str">
        <f>_xlfn.SINGLE(IF( OR(ISBLANK(_xlfn.SINGLE(#REF!)),ISBLANK(_xlfn.SINGLE(R35:R39)), ISBLANK(_xlfn.SINGLE(#REF!)),ISBLANK(_xlfn.SINGLE(X35:X39))), "·", bdRateExtend(#REF!,#REF!, R35:R39,X35:X39)))</f>
        <v>·</v>
      </c>
      <c r="BJ35" s="28" t="str">
        <f>_xlfn.SINGLE(IF( OR(ISBLANK(_xlfn.SINGLE(#REF!)),ISBLANK(_xlfn.SINGLE(R35:R39)), ISBLANK(_xlfn.SINGLE(#REF!)),ISBLANK(_xlfn.SINGLE(Y35:Y39))), "·", bdRateExtend(#REF!,#REF!, R35:R39,Y35:Y39)))</f>
        <v>·</v>
      </c>
      <c r="BK35" s="28" t="str">
        <f>_xlfn.SINGLE(IF( OR(ISBLANK(_xlfn.SINGLE(#REF!)),ISBLANK(_xlfn.SINGLE(R35:R39)), ISBLANK(_xlfn.SINGLE(#REF!)),ISBLANK(_xlfn.SINGLE(Z35:Z39))), "·", bdRateExtend(#REF!,#REF!, R35:R39,Z35:Z39)))</f>
        <v>·</v>
      </c>
      <c r="BL35" s="29"/>
      <c r="BN35" s="28" t="str">
        <f>_xlfn.SINGLE(IF( OR(ISBLANK(_xlfn.SINGLE(#REF!)),ISBLANK(_xlfn.SINGLE(P35:P39)), ISBLANK(_xlfn.SINGLE(#REF!)),ISBLANK(_xlfn.SINGLE(T35:T39))), "·", bdRateExtend(#REF!,#REF!, P35:P39,T35:T39)))</f>
        <v>·</v>
      </c>
      <c r="BO35" s="28" t="str">
        <f>_xlfn.SINGLE(IF( OR(ISBLANK(_xlfn.SINGLE(#REF!)),ISBLANK(_xlfn.SINGLE(P35:P39)), ISBLANK(_xlfn.SINGLE(#REF!)),ISBLANK(_xlfn.SINGLE(U35:U39))), "·", bdRateExtend(#REF!,#REF!, P35:P39,U35:U39)))</f>
        <v>·</v>
      </c>
      <c r="BP35" s="28" t="str">
        <f>_xlfn.SINGLE(IF( OR(ISBLANK(_xlfn.SINGLE(#REF!)),ISBLANK(_xlfn.SINGLE(P35:P39)), ISBLANK(_xlfn.SINGLE(#REF!)),ISBLANK(_xlfn.SINGLE(V35:V39))), "·", bdRateExtend(#REF!,#REF!, P35:P39,V35:V39)))</f>
        <v>·</v>
      </c>
      <c r="BQ35" s="29"/>
      <c r="BS35" s="28" t="str">
        <f>_xlfn.SINGLE(IF( OR(ISBLANK(_xlfn.SINGLE(#REF!)),ISBLANK(_xlfn.SINGLE(P35:P39)), ISBLANK(_xlfn.SINGLE(#REF!)),ISBLANK(_xlfn.SINGLE(X35:X39))), "·", bdRateExtend(#REF!,#REF!, P35:P39,X35:X39)))</f>
        <v>·</v>
      </c>
      <c r="BT35" s="28" t="str">
        <f>_xlfn.SINGLE(IF( OR(ISBLANK(_xlfn.SINGLE(#REF!)),ISBLANK(_xlfn.SINGLE(P35:P39)), ISBLANK(_xlfn.SINGLE(#REF!)),ISBLANK(_xlfn.SINGLE(Y35:Y39))), "·", bdRateExtend(#REF!,#REF!, P35:P39,Y35:Y39)))</f>
        <v>·</v>
      </c>
      <c r="BU35" s="28" t="str">
        <f>_xlfn.SINGLE(IF( OR(ISBLANK(_xlfn.SINGLE(#REF!)),ISBLANK(_xlfn.SINGLE(P35:P39)), ISBLANK(_xlfn.SINGLE(#REF!)),ISBLANK(_xlfn.SINGLE(Z35:Z39))), "·", bdRateExtend(#REF!,#REF!, P35:P39,Z35:Z39)))</f>
        <v>·</v>
      </c>
      <c r="BV35" s="29"/>
    </row>
    <row r="36" spans="1:74" outlineLevel="1" x14ac:dyDescent="0.15">
      <c r="A36" s="30"/>
      <c r="B36" s="30" t="s">
        <v>248</v>
      </c>
      <c r="C36" s="31" t="s">
        <v>226</v>
      </c>
      <c r="D36" s="30">
        <v>757691</v>
      </c>
      <c r="E36" s="32">
        <v>10</v>
      </c>
      <c r="F36" s="31">
        <v>1</v>
      </c>
      <c r="G36" s="31"/>
      <c r="I36" s="33" t="str">
        <f>IF(OR(ISBLANK(#REF!),ISBLANK(G36)),"·",#REF!*G36/F36/1000000)</f>
        <v>·</v>
      </c>
      <c r="J36" s="34" t="e">
        <f>IF(ISBLANK(#REF!),"·",#REF!/D36)</f>
        <v>#REF!</v>
      </c>
      <c r="K36" s="34" t="e">
        <f>IF(#REF!="","·",#REF!/D36)</f>
        <v>#REF!</v>
      </c>
      <c r="L36" s="34" t="e">
        <f>IF(ISBLANK(#REF!),"·",#REF!/D36)</f>
        <v>#REF!</v>
      </c>
      <c r="M36" s="35"/>
      <c r="N36" s="34" t="e">
        <f>IF(ISBLANK(#REF!),"·",#REF!/#REF!)</f>
        <v>#REF!</v>
      </c>
      <c r="O36" s="36"/>
      <c r="P36" s="37"/>
      <c r="Q36" s="37"/>
      <c r="R36" s="37"/>
      <c r="S36" s="38"/>
      <c r="T36" s="39"/>
      <c r="U36" s="39"/>
      <c r="V36" s="39"/>
      <c r="W36" s="40"/>
      <c r="X36" s="39"/>
      <c r="Y36" s="39"/>
      <c r="Z36" s="39"/>
      <c r="AA36" s="40"/>
      <c r="AB36" s="41"/>
      <c r="AC36" s="41"/>
      <c r="AE36" s="33" t="str">
        <f t="shared" si="0"/>
        <v>·</v>
      </c>
      <c r="AF36" s="34" t="str">
        <f t="shared" si="1"/>
        <v>·</v>
      </c>
      <c r="AG36" s="34" t="str">
        <f t="shared" si="2"/>
        <v>·</v>
      </c>
      <c r="AH36" s="34" t="str">
        <f t="shared" si="3"/>
        <v>·</v>
      </c>
      <c r="AI36" s="35"/>
      <c r="AJ36" s="34" t="str">
        <f t="shared" si="4"/>
        <v>·</v>
      </c>
      <c r="BA36" s="42" t="e">
        <f>(Q36/P36) - (#REF!/#REF!)</f>
        <v>#DIV/0!</v>
      </c>
      <c r="BB36" s="42"/>
      <c r="BD36" s="43"/>
      <c r="BE36" s="43"/>
      <c r="BF36" s="43"/>
      <c r="BG36" s="44"/>
      <c r="BI36" s="43"/>
      <c r="BJ36" s="43"/>
      <c r="BK36" s="43"/>
      <c r="BL36" s="44"/>
      <c r="BN36" s="43"/>
      <c r="BO36" s="43"/>
      <c r="BP36" s="43"/>
      <c r="BQ36" s="44"/>
      <c r="BS36" s="43"/>
      <c r="BT36" s="43"/>
      <c r="BU36" s="43"/>
      <c r="BV36" s="44"/>
    </row>
    <row r="37" spans="1:74" outlineLevel="1" x14ac:dyDescent="0.15">
      <c r="A37" s="15"/>
      <c r="B37" s="15" t="s">
        <v>248</v>
      </c>
      <c r="C37" s="16" t="s">
        <v>227</v>
      </c>
      <c r="D37" s="15">
        <v>757691</v>
      </c>
      <c r="E37" s="17">
        <v>10</v>
      </c>
      <c r="F37" s="16">
        <v>1</v>
      </c>
      <c r="G37" s="16"/>
      <c r="I37" s="18" t="str">
        <f>IF(OR(ISBLANK(#REF!),ISBLANK(G37)),"·",#REF!*G37/F37/1000000)</f>
        <v>·</v>
      </c>
      <c r="J37" s="19" t="e">
        <f>IF(ISBLANK(#REF!),"·",#REF!/D37)</f>
        <v>#REF!</v>
      </c>
      <c r="K37" s="19" t="e">
        <f>IF(#REF!="","·",#REF!/D37)</f>
        <v>#REF!</v>
      </c>
      <c r="L37" s="19" t="e">
        <f>IF(ISBLANK(#REF!),"·",#REF!/D37)</f>
        <v>#REF!</v>
      </c>
      <c r="M37" s="20"/>
      <c r="N37" s="19" t="e">
        <f>IF(ISBLANK(#REF!),"·",#REF!/#REF!)</f>
        <v>#REF!</v>
      </c>
      <c r="O37" s="21"/>
      <c r="P37" s="22"/>
      <c r="Q37" s="22"/>
      <c r="R37" s="22"/>
      <c r="S37" s="23"/>
      <c r="T37" s="24"/>
      <c r="U37" s="24"/>
      <c r="V37" s="24"/>
      <c r="W37" s="25"/>
      <c r="X37" s="24"/>
      <c r="Y37" s="24"/>
      <c r="Z37" s="24"/>
      <c r="AA37" s="25"/>
      <c r="AB37" s="26"/>
      <c r="AC37" s="26"/>
      <c r="AE37" s="18" t="str">
        <f t="shared" si="0"/>
        <v>·</v>
      </c>
      <c r="AF37" s="19" t="str">
        <f t="shared" si="1"/>
        <v>·</v>
      </c>
      <c r="AG37" s="19" t="str">
        <f t="shared" si="2"/>
        <v>·</v>
      </c>
      <c r="AH37" s="19" t="str">
        <f t="shared" si="3"/>
        <v>·</v>
      </c>
      <c r="AI37" s="20"/>
      <c r="AJ37" s="19" t="str">
        <f t="shared" si="4"/>
        <v>·</v>
      </c>
      <c r="BA37" s="27" t="e">
        <f>(Q37/P37) - (#REF!/#REF!)</f>
        <v>#DIV/0!</v>
      </c>
      <c r="BB37" s="27"/>
      <c r="BD37" s="28"/>
      <c r="BE37" s="28"/>
      <c r="BF37" s="28"/>
      <c r="BG37" s="29"/>
      <c r="BI37" s="28"/>
      <c r="BJ37" s="28"/>
      <c r="BK37" s="28"/>
      <c r="BL37" s="29"/>
      <c r="BN37" s="28"/>
      <c r="BO37" s="28"/>
      <c r="BP37" s="28"/>
      <c r="BQ37" s="29"/>
      <c r="BS37" s="28"/>
      <c r="BT37" s="28"/>
      <c r="BU37" s="28"/>
      <c r="BV37" s="29"/>
    </row>
    <row r="38" spans="1:74" outlineLevel="1" x14ac:dyDescent="0.15">
      <c r="A38" s="30"/>
      <c r="B38" s="30" t="s">
        <v>248</v>
      </c>
      <c r="C38" s="31" t="s">
        <v>228</v>
      </c>
      <c r="D38" s="30">
        <v>757691</v>
      </c>
      <c r="E38" s="32">
        <v>10</v>
      </c>
      <c r="F38" s="31">
        <v>1</v>
      </c>
      <c r="G38" s="31"/>
      <c r="I38" s="33" t="str">
        <f>IF(OR(ISBLANK(#REF!),ISBLANK(G38)),"·",#REF!*G38/F38/1000000)</f>
        <v>·</v>
      </c>
      <c r="J38" s="34" t="e">
        <f>IF(ISBLANK(#REF!),"·",#REF!/D38)</f>
        <v>#REF!</v>
      </c>
      <c r="K38" s="34" t="e">
        <f>IF(#REF!="","·",#REF!/D38)</f>
        <v>#REF!</v>
      </c>
      <c r="L38" s="34" t="e">
        <f>IF(ISBLANK(#REF!),"·",#REF!/D38)</f>
        <v>#REF!</v>
      </c>
      <c r="M38" s="35"/>
      <c r="N38" s="34" t="e">
        <f>IF(ISBLANK(#REF!),"·",#REF!/#REF!)</f>
        <v>#REF!</v>
      </c>
      <c r="O38" s="36"/>
      <c r="P38" s="37"/>
      <c r="Q38" s="37"/>
      <c r="R38" s="37"/>
      <c r="S38" s="38"/>
      <c r="T38" s="39"/>
      <c r="U38" s="39"/>
      <c r="V38" s="39"/>
      <c r="W38" s="40"/>
      <c r="X38" s="39"/>
      <c r="Y38" s="39"/>
      <c r="Z38" s="39"/>
      <c r="AA38" s="40"/>
      <c r="AB38" s="41"/>
      <c r="AC38" s="41"/>
      <c r="AE38" s="33" t="str">
        <f t="shared" si="0"/>
        <v>·</v>
      </c>
      <c r="AF38" s="34" t="str">
        <f t="shared" si="1"/>
        <v>·</v>
      </c>
      <c r="AG38" s="34" t="str">
        <f t="shared" si="2"/>
        <v>·</v>
      </c>
      <c r="AH38" s="34" t="str">
        <f t="shared" si="3"/>
        <v>·</v>
      </c>
      <c r="AI38" s="35"/>
      <c r="AJ38" s="34" t="str">
        <f t="shared" si="4"/>
        <v>·</v>
      </c>
      <c r="BA38" s="42" t="e">
        <f>(Q38/P38) - (#REF!/#REF!)</f>
        <v>#DIV/0!</v>
      </c>
      <c r="BB38" s="42"/>
      <c r="BD38" s="43"/>
      <c r="BE38" s="43"/>
      <c r="BF38" s="43"/>
      <c r="BG38" s="44"/>
      <c r="BI38" s="43"/>
      <c r="BJ38" s="43"/>
      <c r="BK38" s="43"/>
      <c r="BL38" s="44"/>
      <c r="BN38" s="43"/>
      <c r="BO38" s="43"/>
      <c r="BP38" s="43"/>
      <c r="BQ38" s="44"/>
      <c r="BS38" s="43"/>
      <c r="BT38" s="43"/>
      <c r="BU38" s="43"/>
      <c r="BV38" s="44"/>
    </row>
    <row r="39" spans="1:74" ht="14.25" outlineLevel="1" thickBot="1" x14ac:dyDescent="0.2">
      <c r="A39" s="15"/>
      <c r="B39" s="64" t="s">
        <v>248</v>
      </c>
      <c r="C39" s="66" t="s">
        <v>229</v>
      </c>
      <c r="D39" s="64">
        <v>757691</v>
      </c>
      <c r="E39" s="65">
        <v>10</v>
      </c>
      <c r="F39" s="66">
        <v>1</v>
      </c>
      <c r="G39" s="66"/>
      <c r="I39" s="68" t="str">
        <f>IF(OR(ISBLANK(#REF!),ISBLANK(G39)),"·",#REF!*G39/F39/1000000)</f>
        <v>·</v>
      </c>
      <c r="J39" s="69" t="e">
        <f>IF(ISBLANK(#REF!),"·",#REF!/D39)</f>
        <v>#REF!</v>
      </c>
      <c r="K39" s="69" t="e">
        <f>IF(#REF!="","·",#REF!/D39)</f>
        <v>#REF!</v>
      </c>
      <c r="L39" s="69" t="e">
        <f>IF(ISBLANK(#REF!),"·",#REF!/D39)</f>
        <v>#REF!</v>
      </c>
      <c r="M39" s="70"/>
      <c r="N39" s="69" t="e">
        <f>IF(ISBLANK(#REF!),"·",#REF!/#REF!)</f>
        <v>#REF!</v>
      </c>
      <c r="O39" s="71"/>
      <c r="P39" s="72"/>
      <c r="Q39" s="72"/>
      <c r="R39" s="72"/>
      <c r="S39" s="73"/>
      <c r="T39" s="77"/>
      <c r="U39" s="77"/>
      <c r="V39" s="77"/>
      <c r="W39" s="78"/>
      <c r="X39" s="77"/>
      <c r="Y39" s="77"/>
      <c r="Z39" s="77"/>
      <c r="AA39" s="78"/>
      <c r="AB39" s="74"/>
      <c r="AC39" s="74"/>
      <c r="AE39" s="68" t="str">
        <f t="shared" si="0"/>
        <v>·</v>
      </c>
      <c r="AF39" s="69" t="str">
        <f t="shared" si="1"/>
        <v>·</v>
      </c>
      <c r="AG39" s="69" t="str">
        <f t="shared" si="2"/>
        <v>·</v>
      </c>
      <c r="AH39" s="69" t="str">
        <f t="shared" si="3"/>
        <v>·</v>
      </c>
      <c r="AI39" s="70"/>
      <c r="AJ39" s="69" t="str">
        <f t="shared" si="4"/>
        <v>·</v>
      </c>
      <c r="BA39" s="67" t="e">
        <f>(Q39/P39) - (#REF!/#REF!)</f>
        <v>#DIV/0!</v>
      </c>
      <c r="BB39" s="67"/>
      <c r="BD39" s="75"/>
      <c r="BE39" s="75"/>
      <c r="BF39" s="75"/>
      <c r="BG39" s="76"/>
      <c r="BI39" s="75"/>
      <c r="BJ39" s="75"/>
      <c r="BK39" s="75"/>
      <c r="BL39" s="76"/>
      <c r="BN39" s="75"/>
      <c r="BO39" s="75"/>
      <c r="BP39" s="75"/>
      <c r="BQ39" s="76"/>
      <c r="BS39" s="75"/>
      <c r="BT39" s="75"/>
      <c r="BU39" s="75"/>
      <c r="BV39" s="76"/>
    </row>
    <row r="40" spans="1:74" x14ac:dyDescent="0.15">
      <c r="A40" s="30"/>
      <c r="B40" s="30" t="s">
        <v>251</v>
      </c>
      <c r="C40" s="31" t="s">
        <v>225</v>
      </c>
      <c r="D40" s="30">
        <v>1089091</v>
      </c>
      <c r="E40" s="32">
        <v>10</v>
      </c>
      <c r="F40" s="31">
        <v>1</v>
      </c>
      <c r="G40" s="31"/>
      <c r="I40" s="33" t="str">
        <f>IF(OR(ISBLANK(#REF!),ISBLANK(G40)),"·",#REF!*G40/F40/1000000)</f>
        <v>·</v>
      </c>
      <c r="J40" s="34" t="e">
        <f>IF(ISBLANK(#REF!),"·",#REF!/D40)</f>
        <v>#REF!</v>
      </c>
      <c r="K40" s="34" t="e">
        <f>IF(#REF!="","·",#REF!/D40)</f>
        <v>#REF!</v>
      </c>
      <c r="L40" s="34" t="e">
        <f>IF(ISBLANK(#REF!),"·",#REF!/D40)</f>
        <v>#REF!</v>
      </c>
      <c r="M40" s="35"/>
      <c r="N40" s="34" t="e">
        <f>IF(ISBLANK(#REF!),"·",#REF!/#REF!)</f>
        <v>#REF!</v>
      </c>
      <c r="O40" s="36"/>
      <c r="P40" s="37"/>
      <c r="Q40" s="37"/>
      <c r="R40" s="37"/>
      <c r="S40" s="38"/>
      <c r="T40" s="39"/>
      <c r="U40" s="39"/>
      <c r="V40" s="39"/>
      <c r="W40" s="40"/>
      <c r="X40" s="39"/>
      <c r="Y40" s="39"/>
      <c r="Z40" s="39"/>
      <c r="AA40" s="40"/>
      <c r="AB40" s="41"/>
      <c r="AC40" s="41"/>
      <c r="AE40" s="33" t="str">
        <f t="shared" si="0"/>
        <v>·</v>
      </c>
      <c r="AF40" s="34" t="str">
        <f t="shared" si="1"/>
        <v>·</v>
      </c>
      <c r="AG40" s="34" t="str">
        <f t="shared" si="2"/>
        <v>·</v>
      </c>
      <c r="AH40" s="34" t="str">
        <f t="shared" si="3"/>
        <v>·</v>
      </c>
      <c r="AI40" s="35"/>
      <c r="AJ40" s="34" t="str">
        <f t="shared" si="4"/>
        <v>·</v>
      </c>
      <c r="BA40" s="42" t="e">
        <f>(Q40/P40) - (#REF!/#REF!)</f>
        <v>#DIV/0!</v>
      </c>
      <c r="BB40" s="42" t="e">
        <f t="array" ref="BB40">AVERAGE(Q40:Q44/P40:P44) - AVERAGE(#REF!/#REF!)</f>
        <v>#DIV/0!</v>
      </c>
      <c r="BD40" s="43" t="str">
        <f>_xlfn.SINGLE(IF( OR(ISBLANK(_xlfn.SINGLE(#REF!)),ISBLANK(_xlfn.SINGLE(R40:R44)), ISBLANK(_xlfn.SINGLE(#REF!)),ISBLANK(_xlfn.SINGLE(T40:T44))), "·", bdRateExtend(#REF!,#REF!, R40:R44,T40:T44)))</f>
        <v>·</v>
      </c>
      <c r="BE40" s="43" t="str">
        <f>_xlfn.SINGLE(IF( OR(ISBLANK(_xlfn.SINGLE(#REF!)),ISBLANK(_xlfn.SINGLE(R40:R44)), ISBLANK(_xlfn.SINGLE(#REF!)),ISBLANK(_xlfn.SINGLE(U40:U44))), "·", bdRateExtend(#REF!,#REF!, R40:R44,U40:U44)))</f>
        <v>·</v>
      </c>
      <c r="BF40" s="43" t="str">
        <f>_xlfn.SINGLE(IF( OR(ISBLANK(_xlfn.SINGLE(#REF!)),ISBLANK(_xlfn.SINGLE(R40:R44)), ISBLANK(_xlfn.SINGLE(#REF!)),ISBLANK(_xlfn.SINGLE(V40:V44))), "·", bdRateExtend(#REF!,#REF!, R40:R44,V40:V44)))</f>
        <v>·</v>
      </c>
      <c r="BG40" s="44"/>
      <c r="BI40" s="43" t="str">
        <f>_xlfn.SINGLE(IF( OR(ISBLANK(_xlfn.SINGLE(#REF!)),ISBLANK(_xlfn.SINGLE(R40:R44)), ISBLANK(_xlfn.SINGLE(#REF!)),ISBLANK(_xlfn.SINGLE(X40:X44))), "·", bdRateExtend(#REF!,#REF!, R40:R44,X40:X44)))</f>
        <v>·</v>
      </c>
      <c r="BJ40" s="43" t="str">
        <f>_xlfn.SINGLE(IF( OR(ISBLANK(_xlfn.SINGLE(#REF!)),ISBLANK(_xlfn.SINGLE(R40:R44)), ISBLANK(_xlfn.SINGLE(#REF!)),ISBLANK(_xlfn.SINGLE(Y40:Y44))), "·", bdRateExtend(#REF!,#REF!, R40:R44,Y40:Y44)))</f>
        <v>·</v>
      </c>
      <c r="BK40" s="43" t="str">
        <f>_xlfn.SINGLE(IF( OR(ISBLANK(_xlfn.SINGLE(#REF!)),ISBLANK(_xlfn.SINGLE(R40:R44)), ISBLANK(_xlfn.SINGLE(#REF!)),ISBLANK(_xlfn.SINGLE(Z40:Z44))), "·", bdRateExtend(#REF!,#REF!, R40:R44,Z40:Z44)))</f>
        <v>·</v>
      </c>
      <c r="BL40" s="44"/>
      <c r="BN40" s="43" t="str">
        <f>_xlfn.SINGLE(IF( OR(ISBLANK(_xlfn.SINGLE(#REF!)),ISBLANK(_xlfn.SINGLE(P40:P44)), ISBLANK(_xlfn.SINGLE(#REF!)),ISBLANK(_xlfn.SINGLE(T40:T44))), "·", bdRateExtend(#REF!,#REF!, P40:P44,T40:T44)))</f>
        <v>·</v>
      </c>
      <c r="BO40" s="43" t="str">
        <f>_xlfn.SINGLE(IF( OR(ISBLANK(_xlfn.SINGLE(#REF!)),ISBLANK(_xlfn.SINGLE(P40:P44)), ISBLANK(_xlfn.SINGLE(#REF!)),ISBLANK(_xlfn.SINGLE(U40:U44))), "·", bdRateExtend(#REF!,#REF!, P40:P44,U40:U44)))</f>
        <v>·</v>
      </c>
      <c r="BP40" s="43" t="str">
        <f>_xlfn.SINGLE(IF( OR(ISBLANK(_xlfn.SINGLE(#REF!)),ISBLANK(_xlfn.SINGLE(P40:P44)), ISBLANK(_xlfn.SINGLE(#REF!)),ISBLANK(_xlfn.SINGLE(V40:V44))), "·", bdRateExtend(#REF!,#REF!, P40:P44,V40:V44)))</f>
        <v>·</v>
      </c>
      <c r="BQ40" s="44"/>
      <c r="BS40" s="43" t="str">
        <f>_xlfn.SINGLE(IF( OR(ISBLANK(_xlfn.SINGLE(#REF!)),ISBLANK(_xlfn.SINGLE(P40:P44)), ISBLANK(_xlfn.SINGLE(#REF!)),ISBLANK(_xlfn.SINGLE(X40:X44))), "·", bdRateExtend(#REF!,#REF!, P40:P44,X40:X44)))</f>
        <v>·</v>
      </c>
      <c r="BT40" s="43" t="str">
        <f>_xlfn.SINGLE(IF( OR(ISBLANK(_xlfn.SINGLE(#REF!)),ISBLANK(_xlfn.SINGLE(P40:P44)), ISBLANK(_xlfn.SINGLE(#REF!)),ISBLANK(_xlfn.SINGLE(Y40:Y44))), "·", bdRateExtend(#REF!,#REF!, P40:P44,Y40:Y44)))</f>
        <v>·</v>
      </c>
      <c r="BU40" s="43" t="str">
        <f>_xlfn.SINGLE(IF( OR(ISBLANK(_xlfn.SINGLE(#REF!)),ISBLANK(_xlfn.SINGLE(P40:P44)), ISBLANK(_xlfn.SINGLE(#REF!)),ISBLANK(_xlfn.SINGLE(Z40:Z44))), "·", bdRateExtend(#REF!,#REF!, P40:P44,Z40:Z44)))</f>
        <v>·</v>
      </c>
      <c r="BV40" s="44"/>
    </row>
    <row r="41" spans="1:74" outlineLevel="1" x14ac:dyDescent="0.15">
      <c r="A41" s="15"/>
      <c r="B41" s="15" t="s">
        <v>251</v>
      </c>
      <c r="C41" s="16" t="s">
        <v>226</v>
      </c>
      <c r="D41" s="15">
        <v>1089091</v>
      </c>
      <c r="E41" s="17">
        <v>10</v>
      </c>
      <c r="F41" s="16">
        <v>1</v>
      </c>
      <c r="G41" s="16"/>
      <c r="I41" s="18" t="str">
        <f>IF(OR(ISBLANK(#REF!),ISBLANK(G41)),"·",#REF!*G41/F41/1000000)</f>
        <v>·</v>
      </c>
      <c r="J41" s="19" t="e">
        <f>IF(ISBLANK(#REF!),"·",#REF!/D41)</f>
        <v>#REF!</v>
      </c>
      <c r="K41" s="19" t="e">
        <f>IF(#REF!="","·",#REF!/D41)</f>
        <v>#REF!</v>
      </c>
      <c r="L41" s="19" t="e">
        <f>IF(ISBLANK(#REF!),"·",#REF!/D41)</f>
        <v>#REF!</v>
      </c>
      <c r="M41" s="20"/>
      <c r="N41" s="19" t="e">
        <f>IF(ISBLANK(#REF!),"·",#REF!/#REF!)</f>
        <v>#REF!</v>
      </c>
      <c r="O41" s="21"/>
      <c r="P41" s="22"/>
      <c r="Q41" s="22"/>
      <c r="R41" s="22"/>
      <c r="S41" s="23"/>
      <c r="T41" s="24"/>
      <c r="U41" s="24"/>
      <c r="V41" s="24"/>
      <c r="W41" s="25"/>
      <c r="X41" s="24"/>
      <c r="Y41" s="24"/>
      <c r="Z41" s="24"/>
      <c r="AA41" s="25"/>
      <c r="AB41" s="26"/>
      <c r="AC41" s="26"/>
      <c r="AE41" s="18" t="str">
        <f t="shared" si="0"/>
        <v>·</v>
      </c>
      <c r="AF41" s="19" t="str">
        <f t="shared" si="1"/>
        <v>·</v>
      </c>
      <c r="AG41" s="19" t="str">
        <f t="shared" si="2"/>
        <v>·</v>
      </c>
      <c r="AH41" s="19" t="str">
        <f t="shared" si="3"/>
        <v>·</v>
      </c>
      <c r="AI41" s="20"/>
      <c r="AJ41" s="19" t="str">
        <f t="shared" si="4"/>
        <v>·</v>
      </c>
      <c r="BA41" s="27" t="e">
        <f>(Q41/P41) - (#REF!/#REF!)</f>
        <v>#DIV/0!</v>
      </c>
      <c r="BB41" s="27"/>
      <c r="BD41" s="28"/>
      <c r="BE41" s="28"/>
      <c r="BF41" s="28"/>
      <c r="BG41" s="29"/>
      <c r="BI41" s="28"/>
      <c r="BJ41" s="28"/>
      <c r="BK41" s="28"/>
      <c r="BL41" s="29"/>
      <c r="BN41" s="28"/>
      <c r="BO41" s="28"/>
      <c r="BP41" s="28"/>
      <c r="BQ41" s="29"/>
      <c r="BS41" s="28"/>
      <c r="BT41" s="28"/>
      <c r="BU41" s="28"/>
      <c r="BV41" s="29"/>
    </row>
    <row r="42" spans="1:74" outlineLevel="1" x14ac:dyDescent="0.15">
      <c r="A42" s="30"/>
      <c r="B42" s="30" t="s">
        <v>251</v>
      </c>
      <c r="C42" s="31" t="s">
        <v>227</v>
      </c>
      <c r="D42" s="30">
        <v>1089091</v>
      </c>
      <c r="E42" s="32">
        <v>10</v>
      </c>
      <c r="F42" s="31">
        <v>1</v>
      </c>
      <c r="G42" s="31"/>
      <c r="I42" s="33" t="str">
        <f>IF(OR(ISBLANK(#REF!),ISBLANK(G42)),"·",#REF!*G42/F42/1000000)</f>
        <v>·</v>
      </c>
      <c r="J42" s="34" t="e">
        <f>IF(ISBLANK(#REF!),"·",#REF!/D42)</f>
        <v>#REF!</v>
      </c>
      <c r="K42" s="34" t="e">
        <f>IF(#REF!="","·",#REF!/D42)</f>
        <v>#REF!</v>
      </c>
      <c r="L42" s="34" t="e">
        <f>IF(ISBLANK(#REF!),"·",#REF!/D42)</f>
        <v>#REF!</v>
      </c>
      <c r="M42" s="35"/>
      <c r="N42" s="34" t="e">
        <f>IF(ISBLANK(#REF!),"·",#REF!/#REF!)</f>
        <v>#REF!</v>
      </c>
      <c r="O42" s="36"/>
      <c r="P42" s="37"/>
      <c r="Q42" s="37"/>
      <c r="R42" s="37"/>
      <c r="S42" s="38"/>
      <c r="T42" s="39"/>
      <c r="U42" s="39"/>
      <c r="V42" s="39"/>
      <c r="W42" s="40"/>
      <c r="X42" s="39"/>
      <c r="Y42" s="39"/>
      <c r="Z42" s="39"/>
      <c r="AA42" s="40"/>
      <c r="AB42" s="41"/>
      <c r="AC42" s="41"/>
      <c r="AE42" s="33" t="str">
        <f t="shared" si="0"/>
        <v>·</v>
      </c>
      <c r="AF42" s="34" t="str">
        <f t="shared" si="1"/>
        <v>·</v>
      </c>
      <c r="AG42" s="34" t="str">
        <f t="shared" si="2"/>
        <v>·</v>
      </c>
      <c r="AH42" s="34" t="str">
        <f t="shared" si="3"/>
        <v>·</v>
      </c>
      <c r="AI42" s="35"/>
      <c r="AJ42" s="34" t="str">
        <f t="shared" si="4"/>
        <v>·</v>
      </c>
      <c r="BA42" s="42" t="e">
        <f>(Q42/P42) - (#REF!/#REF!)</f>
        <v>#DIV/0!</v>
      </c>
      <c r="BB42" s="42"/>
      <c r="BD42" s="43"/>
      <c r="BE42" s="43"/>
      <c r="BF42" s="43"/>
      <c r="BG42" s="44"/>
      <c r="BI42" s="43"/>
      <c r="BJ42" s="43"/>
      <c r="BK42" s="43"/>
      <c r="BL42" s="44"/>
      <c r="BN42" s="43"/>
      <c r="BO42" s="43"/>
      <c r="BP42" s="43"/>
      <c r="BQ42" s="44"/>
      <c r="BS42" s="43"/>
      <c r="BT42" s="43"/>
      <c r="BU42" s="43"/>
      <c r="BV42" s="44"/>
    </row>
    <row r="43" spans="1:74" outlineLevel="1" x14ac:dyDescent="0.15">
      <c r="A43" s="15"/>
      <c r="B43" s="15" t="s">
        <v>251</v>
      </c>
      <c r="C43" s="16" t="s">
        <v>228</v>
      </c>
      <c r="D43" s="15">
        <v>1089091</v>
      </c>
      <c r="E43" s="17">
        <v>10</v>
      </c>
      <c r="F43" s="16">
        <v>1</v>
      </c>
      <c r="G43" s="16"/>
      <c r="I43" s="18" t="str">
        <f>IF(OR(ISBLANK(#REF!),ISBLANK(G43)),"·",#REF!*G43/F43/1000000)</f>
        <v>·</v>
      </c>
      <c r="J43" s="19" t="e">
        <f>IF(ISBLANK(#REF!),"·",#REF!/D43)</f>
        <v>#REF!</v>
      </c>
      <c r="K43" s="19" t="e">
        <f>IF(#REF!="","·",#REF!/D43)</f>
        <v>#REF!</v>
      </c>
      <c r="L43" s="19" t="e">
        <f>IF(ISBLANK(#REF!),"·",#REF!/D43)</f>
        <v>#REF!</v>
      </c>
      <c r="M43" s="20"/>
      <c r="N43" s="19" t="e">
        <f>IF(ISBLANK(#REF!),"·",#REF!/#REF!)</f>
        <v>#REF!</v>
      </c>
      <c r="O43" s="21"/>
      <c r="P43" s="22"/>
      <c r="Q43" s="22"/>
      <c r="R43" s="22"/>
      <c r="S43" s="23"/>
      <c r="T43" s="24"/>
      <c r="U43" s="24"/>
      <c r="V43" s="24"/>
      <c r="W43" s="25"/>
      <c r="X43" s="24"/>
      <c r="Y43" s="24"/>
      <c r="Z43" s="24"/>
      <c r="AA43" s="25"/>
      <c r="AB43" s="26"/>
      <c r="AC43" s="26"/>
      <c r="AE43" s="18" t="str">
        <f t="shared" si="0"/>
        <v>·</v>
      </c>
      <c r="AF43" s="19" t="str">
        <f t="shared" si="1"/>
        <v>·</v>
      </c>
      <c r="AG43" s="19" t="str">
        <f t="shared" si="2"/>
        <v>·</v>
      </c>
      <c r="AH43" s="19" t="str">
        <f t="shared" si="3"/>
        <v>·</v>
      </c>
      <c r="AI43" s="20"/>
      <c r="AJ43" s="19" t="str">
        <f t="shared" si="4"/>
        <v>·</v>
      </c>
      <c r="BA43" s="27" t="e">
        <f>(Q43/P43) - (#REF!/#REF!)</f>
        <v>#DIV/0!</v>
      </c>
      <c r="BB43" s="27"/>
      <c r="BD43" s="28"/>
      <c r="BE43" s="28"/>
      <c r="BF43" s="28"/>
      <c r="BG43" s="29"/>
      <c r="BI43" s="28"/>
      <c r="BJ43" s="28"/>
      <c r="BK43" s="28"/>
      <c r="BL43" s="29"/>
      <c r="BN43" s="28"/>
      <c r="BO43" s="28"/>
      <c r="BP43" s="28"/>
      <c r="BQ43" s="29"/>
      <c r="BS43" s="28"/>
      <c r="BT43" s="28"/>
      <c r="BU43" s="28"/>
      <c r="BV43" s="29"/>
    </row>
    <row r="44" spans="1:74" ht="14.25" outlineLevel="1" thickBot="1" x14ac:dyDescent="0.2">
      <c r="A44" s="30"/>
      <c r="B44" s="45" t="s">
        <v>251</v>
      </c>
      <c r="C44" s="46" t="s">
        <v>229</v>
      </c>
      <c r="D44" s="45">
        <v>1089091</v>
      </c>
      <c r="E44" s="47">
        <v>10</v>
      </c>
      <c r="F44" s="46">
        <v>1</v>
      </c>
      <c r="G44" s="46"/>
      <c r="I44" s="48" t="str">
        <f>IF(OR(ISBLANK(#REF!),ISBLANK(G44)),"·",#REF!*G44/F44/1000000)</f>
        <v>·</v>
      </c>
      <c r="J44" s="49" t="e">
        <f>IF(ISBLANK(#REF!),"·",#REF!/D44)</f>
        <v>#REF!</v>
      </c>
      <c r="K44" s="49" t="e">
        <f>IF(#REF!="","·",#REF!/D44)</f>
        <v>#REF!</v>
      </c>
      <c r="L44" s="49" t="e">
        <f>IF(ISBLANK(#REF!),"·",#REF!/D44)</f>
        <v>#REF!</v>
      </c>
      <c r="M44" s="50"/>
      <c r="N44" s="49" t="e">
        <f>IF(ISBLANK(#REF!),"·",#REF!/#REF!)</f>
        <v>#REF!</v>
      </c>
      <c r="O44" s="51"/>
      <c r="P44" s="52"/>
      <c r="Q44" s="52"/>
      <c r="R44" s="52"/>
      <c r="S44" s="53"/>
      <c r="T44" s="54"/>
      <c r="U44" s="54"/>
      <c r="V44" s="54"/>
      <c r="W44" s="55"/>
      <c r="X44" s="54"/>
      <c r="Y44" s="54"/>
      <c r="Z44" s="54"/>
      <c r="AA44" s="55"/>
      <c r="AB44" s="56"/>
      <c r="AC44" s="56"/>
      <c r="AE44" s="48" t="str">
        <f t="shared" si="0"/>
        <v>·</v>
      </c>
      <c r="AF44" s="49" t="str">
        <f t="shared" si="1"/>
        <v>·</v>
      </c>
      <c r="AG44" s="49" t="str">
        <f t="shared" si="2"/>
        <v>·</v>
      </c>
      <c r="AH44" s="49" t="str">
        <f t="shared" si="3"/>
        <v>·</v>
      </c>
      <c r="AI44" s="50"/>
      <c r="AJ44" s="49" t="str">
        <f t="shared" si="4"/>
        <v>·</v>
      </c>
      <c r="BA44" s="57" t="e">
        <f>(Q44/P44) - (#REF!/#REF!)</f>
        <v>#DIV/0!</v>
      </c>
      <c r="BB44" s="57"/>
      <c r="BD44" s="58"/>
      <c r="BE44" s="58"/>
      <c r="BF44" s="58"/>
      <c r="BG44" s="59"/>
      <c r="BI44" s="58"/>
      <c r="BJ44" s="58"/>
      <c r="BK44" s="58"/>
      <c r="BL44" s="59"/>
      <c r="BN44" s="58"/>
      <c r="BO44" s="58"/>
      <c r="BP44" s="58"/>
      <c r="BQ44" s="59"/>
      <c r="BS44" s="58"/>
      <c r="BT44" s="58"/>
      <c r="BU44" s="58"/>
      <c r="BV44" s="59"/>
    </row>
    <row r="45" spans="1:74" x14ac:dyDescent="0.15">
      <c r="A45" s="15"/>
      <c r="B45" s="15" t="s">
        <v>254</v>
      </c>
      <c r="C45" s="16" t="s">
        <v>225</v>
      </c>
      <c r="D45" s="15">
        <v>3130215</v>
      </c>
      <c r="E45" s="17">
        <v>12</v>
      </c>
      <c r="F45" s="16">
        <v>1</v>
      </c>
      <c r="G45" s="16"/>
      <c r="I45" s="18" t="str">
        <f>IF(OR(ISBLANK(#REF!),ISBLANK(G45)),"·",#REF!*G45/F45/1000000)</f>
        <v>·</v>
      </c>
      <c r="J45" s="19" t="e">
        <f>IF(ISBLANK(#REF!),"·",#REF!/D45)</f>
        <v>#REF!</v>
      </c>
      <c r="K45" s="19" t="e">
        <f>IF(#REF!="","·",#REF!/D45)</f>
        <v>#REF!</v>
      </c>
      <c r="L45" s="19" t="e">
        <f>IF(ISBLANK(#REF!),"·",#REF!/D45)</f>
        <v>#REF!</v>
      </c>
      <c r="M45" s="20"/>
      <c r="N45" s="19" t="e">
        <f>IF(ISBLANK(#REF!),"·",#REF!/#REF!)</f>
        <v>#REF!</v>
      </c>
      <c r="O45" s="21"/>
      <c r="P45" s="22"/>
      <c r="Q45" s="22"/>
      <c r="R45" s="22"/>
      <c r="S45" s="23"/>
      <c r="T45" s="24"/>
      <c r="U45" s="24"/>
      <c r="V45" s="24"/>
      <c r="W45" s="25"/>
      <c r="X45" s="24"/>
      <c r="Y45" s="24"/>
      <c r="Z45" s="24"/>
      <c r="AA45" s="25"/>
      <c r="AB45" s="26"/>
      <c r="AC45" s="26"/>
      <c r="AE45" s="18" t="str">
        <f t="shared" si="0"/>
        <v>·</v>
      </c>
      <c r="AF45" s="19" t="str">
        <f t="shared" si="1"/>
        <v>·</v>
      </c>
      <c r="AG45" s="19" t="str">
        <f t="shared" si="2"/>
        <v>·</v>
      </c>
      <c r="AH45" s="19" t="str">
        <f t="shared" si="3"/>
        <v>·</v>
      </c>
      <c r="AI45" s="20"/>
      <c r="AJ45" s="19" t="str">
        <f t="shared" si="4"/>
        <v>·</v>
      </c>
      <c r="BA45" s="27" t="e">
        <f>(Q45/P45) - (#REF!/#REF!)</f>
        <v>#DIV/0!</v>
      </c>
      <c r="BB45" s="27" t="e">
        <f t="array" ref="BB45">AVERAGE(Q45:Q49/P45:P49) - AVERAGE(#REF!/#REF!)</f>
        <v>#DIV/0!</v>
      </c>
      <c r="BD45" s="28" t="str">
        <f>_xlfn.SINGLE(IF( OR(ISBLANK(_xlfn.SINGLE(#REF!)),ISBLANK(_xlfn.SINGLE(R45:R49)), ISBLANK(_xlfn.SINGLE(#REF!)),ISBLANK(_xlfn.SINGLE(T45:T49))), "·", bdRateExtend(#REF!,#REF!, R45:R49,T45:T49)))</f>
        <v>·</v>
      </c>
      <c r="BE45" s="28" t="str">
        <f>_xlfn.SINGLE(IF( OR(ISBLANK(_xlfn.SINGLE(#REF!)),ISBLANK(_xlfn.SINGLE(R45:R49)), ISBLANK(_xlfn.SINGLE(#REF!)),ISBLANK(_xlfn.SINGLE(U45:U49))), "·", bdRateExtend(#REF!,#REF!, R45:R49,U45:U49)))</f>
        <v>·</v>
      </c>
      <c r="BF45" s="28" t="str">
        <f>_xlfn.SINGLE(IF( OR(ISBLANK(_xlfn.SINGLE(#REF!)),ISBLANK(_xlfn.SINGLE(R45:R49)), ISBLANK(_xlfn.SINGLE(#REF!)),ISBLANK(_xlfn.SINGLE(V45:V49))), "·", bdRateExtend(#REF!,#REF!, R45:R49,V45:V49)))</f>
        <v>·</v>
      </c>
      <c r="BG45" s="29"/>
      <c r="BI45" s="28" t="str">
        <f>_xlfn.SINGLE(IF( OR(ISBLANK(_xlfn.SINGLE(#REF!)),ISBLANK(_xlfn.SINGLE(R45:R49)), ISBLANK(_xlfn.SINGLE(#REF!)),ISBLANK(_xlfn.SINGLE(X45:X49))), "·", bdRateExtend(#REF!,#REF!, R45:R49,X45:X49)))</f>
        <v>·</v>
      </c>
      <c r="BJ45" s="28" t="str">
        <f>_xlfn.SINGLE(IF( OR(ISBLANK(_xlfn.SINGLE(#REF!)),ISBLANK(_xlfn.SINGLE(R45:R49)), ISBLANK(_xlfn.SINGLE(#REF!)),ISBLANK(_xlfn.SINGLE(Y45:Y49))), "·", bdRateExtend(#REF!,#REF!, R45:R49,Y45:Y49)))</f>
        <v>·</v>
      </c>
      <c r="BK45" s="28" t="str">
        <f>_xlfn.SINGLE(IF( OR(ISBLANK(_xlfn.SINGLE(#REF!)),ISBLANK(_xlfn.SINGLE(R45:R49)), ISBLANK(_xlfn.SINGLE(#REF!)),ISBLANK(_xlfn.SINGLE(Z45:Z49))), "·", bdRateExtend(#REF!,#REF!, R45:R49,Z45:Z49)))</f>
        <v>·</v>
      </c>
      <c r="BL45" s="29"/>
      <c r="BN45" s="28" t="str">
        <f>_xlfn.SINGLE(IF( OR(ISBLANK(_xlfn.SINGLE(#REF!)),ISBLANK(_xlfn.SINGLE(P45:P49)), ISBLANK(_xlfn.SINGLE(#REF!)),ISBLANK(_xlfn.SINGLE(T45:T49))), "·", bdRateExtend(#REF!,#REF!, P45:P49,T45:T49)))</f>
        <v>·</v>
      </c>
      <c r="BO45" s="28" t="str">
        <f>_xlfn.SINGLE(IF( OR(ISBLANK(_xlfn.SINGLE(#REF!)),ISBLANK(_xlfn.SINGLE(P45:P49)), ISBLANK(_xlfn.SINGLE(#REF!)),ISBLANK(_xlfn.SINGLE(U45:U49))), "·", bdRateExtend(#REF!,#REF!, P45:P49,U45:U49)))</f>
        <v>·</v>
      </c>
      <c r="BP45" s="28" t="str">
        <f>_xlfn.SINGLE(IF( OR(ISBLANK(_xlfn.SINGLE(#REF!)),ISBLANK(_xlfn.SINGLE(P45:P49)), ISBLANK(_xlfn.SINGLE(#REF!)),ISBLANK(_xlfn.SINGLE(V45:V49))), "·", bdRateExtend(#REF!,#REF!, P45:P49,V45:V49)))</f>
        <v>·</v>
      </c>
      <c r="BQ45" s="29"/>
      <c r="BS45" s="28" t="str">
        <f>_xlfn.SINGLE(IF( OR(ISBLANK(_xlfn.SINGLE(#REF!)),ISBLANK(_xlfn.SINGLE(P45:P49)), ISBLANK(_xlfn.SINGLE(#REF!)),ISBLANK(_xlfn.SINGLE(X45:X49))), "·", bdRateExtend(#REF!,#REF!, P45:P49,X45:X49)))</f>
        <v>·</v>
      </c>
      <c r="BT45" s="28" t="str">
        <f>_xlfn.SINGLE(IF( OR(ISBLANK(_xlfn.SINGLE(#REF!)),ISBLANK(_xlfn.SINGLE(P45:P49)), ISBLANK(_xlfn.SINGLE(#REF!)),ISBLANK(_xlfn.SINGLE(Y45:Y49))), "·", bdRateExtend(#REF!,#REF!, P45:P49,Y45:Y49)))</f>
        <v>·</v>
      </c>
      <c r="BU45" s="28" t="str">
        <f>_xlfn.SINGLE(IF( OR(ISBLANK(_xlfn.SINGLE(#REF!)),ISBLANK(_xlfn.SINGLE(P45:P49)), ISBLANK(_xlfn.SINGLE(#REF!)),ISBLANK(_xlfn.SINGLE(Z45:Z49))), "·", bdRateExtend(#REF!,#REF!, P45:P49,Z45:Z49)))</f>
        <v>·</v>
      </c>
      <c r="BV45" s="29"/>
    </row>
    <row r="46" spans="1:74" outlineLevel="1" x14ac:dyDescent="0.15">
      <c r="A46" s="30"/>
      <c r="B46" s="30" t="s">
        <v>254</v>
      </c>
      <c r="C46" s="31" t="s">
        <v>226</v>
      </c>
      <c r="D46" s="30">
        <v>3130215</v>
      </c>
      <c r="E46" s="32">
        <v>12</v>
      </c>
      <c r="F46" s="31">
        <v>1</v>
      </c>
      <c r="G46" s="31"/>
      <c r="I46" s="33" t="str">
        <f>IF(OR(ISBLANK(#REF!),ISBLANK(G46)),"·",#REF!*G46/F46/1000000)</f>
        <v>·</v>
      </c>
      <c r="J46" s="34" t="e">
        <f>IF(ISBLANK(#REF!),"·",#REF!/D46)</f>
        <v>#REF!</v>
      </c>
      <c r="K46" s="34" t="e">
        <f>IF(#REF!="","·",#REF!/D46)</f>
        <v>#REF!</v>
      </c>
      <c r="L46" s="34" t="e">
        <f>IF(ISBLANK(#REF!),"·",#REF!/D46)</f>
        <v>#REF!</v>
      </c>
      <c r="M46" s="35"/>
      <c r="N46" s="34" t="e">
        <f>IF(ISBLANK(#REF!),"·",#REF!/#REF!)</f>
        <v>#REF!</v>
      </c>
      <c r="O46" s="36"/>
      <c r="P46" s="37"/>
      <c r="Q46" s="37"/>
      <c r="R46" s="37"/>
      <c r="S46" s="38"/>
      <c r="T46" s="39"/>
      <c r="U46" s="39"/>
      <c r="V46" s="39"/>
      <c r="W46" s="40"/>
      <c r="X46" s="39"/>
      <c r="Y46" s="39"/>
      <c r="Z46" s="39"/>
      <c r="AA46" s="40"/>
      <c r="AB46" s="41"/>
      <c r="AC46" s="41"/>
      <c r="AE46" s="33" t="str">
        <f t="shared" si="0"/>
        <v>·</v>
      </c>
      <c r="AF46" s="34" t="str">
        <f t="shared" si="1"/>
        <v>·</v>
      </c>
      <c r="AG46" s="34" t="str">
        <f t="shared" si="2"/>
        <v>·</v>
      </c>
      <c r="AH46" s="34" t="str">
        <f t="shared" si="3"/>
        <v>·</v>
      </c>
      <c r="AI46" s="35"/>
      <c r="AJ46" s="34" t="str">
        <f t="shared" si="4"/>
        <v>·</v>
      </c>
      <c r="BA46" s="42" t="e">
        <f>(Q46/P46) - (#REF!/#REF!)</f>
        <v>#DIV/0!</v>
      </c>
      <c r="BB46" s="42"/>
      <c r="BD46" s="43"/>
      <c r="BE46" s="43"/>
      <c r="BF46" s="43"/>
      <c r="BG46" s="44"/>
      <c r="BI46" s="43"/>
      <c r="BJ46" s="43"/>
      <c r="BK46" s="43"/>
      <c r="BL46" s="44"/>
      <c r="BN46" s="43"/>
      <c r="BO46" s="43"/>
      <c r="BP46" s="43"/>
      <c r="BQ46" s="44"/>
      <c r="BS46" s="43"/>
      <c r="BT46" s="43"/>
      <c r="BU46" s="43"/>
      <c r="BV46" s="44"/>
    </row>
    <row r="47" spans="1:74" outlineLevel="1" x14ac:dyDescent="0.15">
      <c r="A47" s="15"/>
      <c r="B47" s="15" t="s">
        <v>254</v>
      </c>
      <c r="C47" s="16" t="s">
        <v>227</v>
      </c>
      <c r="D47" s="15">
        <v>3130215</v>
      </c>
      <c r="E47" s="17">
        <v>12</v>
      </c>
      <c r="F47" s="16">
        <v>1</v>
      </c>
      <c r="G47" s="16"/>
      <c r="I47" s="18" t="str">
        <f>IF(OR(ISBLANK(#REF!),ISBLANK(G47)),"·",#REF!*G47/F47/1000000)</f>
        <v>·</v>
      </c>
      <c r="J47" s="19" t="e">
        <f>IF(ISBLANK(#REF!),"·",#REF!/D47)</f>
        <v>#REF!</v>
      </c>
      <c r="K47" s="19" t="e">
        <f>IF(#REF!="","·",#REF!/D47)</f>
        <v>#REF!</v>
      </c>
      <c r="L47" s="19" t="e">
        <f>IF(ISBLANK(#REF!),"·",#REF!/D47)</f>
        <v>#REF!</v>
      </c>
      <c r="M47" s="20"/>
      <c r="N47" s="19" t="e">
        <f>IF(ISBLANK(#REF!),"·",#REF!/#REF!)</f>
        <v>#REF!</v>
      </c>
      <c r="O47" s="21"/>
      <c r="P47" s="22"/>
      <c r="Q47" s="22"/>
      <c r="R47" s="22"/>
      <c r="S47" s="23"/>
      <c r="T47" s="24"/>
      <c r="U47" s="24"/>
      <c r="V47" s="24"/>
      <c r="W47" s="25"/>
      <c r="X47" s="24"/>
      <c r="Y47" s="24"/>
      <c r="Z47" s="24"/>
      <c r="AA47" s="25"/>
      <c r="AB47" s="26"/>
      <c r="AC47" s="26"/>
      <c r="AE47" s="18" t="str">
        <f t="shared" si="0"/>
        <v>·</v>
      </c>
      <c r="AF47" s="19" t="str">
        <f t="shared" si="1"/>
        <v>·</v>
      </c>
      <c r="AG47" s="19" t="str">
        <f t="shared" si="2"/>
        <v>·</v>
      </c>
      <c r="AH47" s="19" t="str">
        <f t="shared" si="3"/>
        <v>·</v>
      </c>
      <c r="AI47" s="20"/>
      <c r="AJ47" s="19" t="str">
        <f t="shared" si="4"/>
        <v>·</v>
      </c>
      <c r="BA47" s="27" t="e">
        <f>(Q47/P47) - (#REF!/#REF!)</f>
        <v>#DIV/0!</v>
      </c>
      <c r="BB47" s="27"/>
      <c r="BD47" s="28"/>
      <c r="BE47" s="28"/>
      <c r="BF47" s="28"/>
      <c r="BG47" s="29"/>
      <c r="BI47" s="28"/>
      <c r="BJ47" s="28"/>
      <c r="BK47" s="28"/>
      <c r="BL47" s="29"/>
      <c r="BN47" s="28"/>
      <c r="BO47" s="28"/>
      <c r="BP47" s="28"/>
      <c r="BQ47" s="29"/>
      <c r="BS47" s="28"/>
      <c r="BT47" s="28"/>
      <c r="BU47" s="28"/>
      <c r="BV47" s="29"/>
    </row>
    <row r="48" spans="1:74" outlineLevel="1" x14ac:dyDescent="0.15">
      <c r="A48" s="30"/>
      <c r="B48" s="30" t="s">
        <v>254</v>
      </c>
      <c r="C48" s="31" t="s">
        <v>228</v>
      </c>
      <c r="D48" s="30">
        <v>3130215</v>
      </c>
      <c r="E48" s="32">
        <v>12</v>
      </c>
      <c r="F48" s="31">
        <v>1</v>
      </c>
      <c r="G48" s="31"/>
      <c r="I48" s="33" t="str">
        <f>IF(OR(ISBLANK(#REF!),ISBLANK(G48)),"·",#REF!*G48/F48/1000000)</f>
        <v>·</v>
      </c>
      <c r="J48" s="34" t="e">
        <f>IF(ISBLANK(#REF!),"·",#REF!/D48)</f>
        <v>#REF!</v>
      </c>
      <c r="K48" s="34" t="e">
        <f>IF(#REF!="","·",#REF!/D48)</f>
        <v>#REF!</v>
      </c>
      <c r="L48" s="34" t="e">
        <f>IF(ISBLANK(#REF!),"·",#REF!/D48)</f>
        <v>#REF!</v>
      </c>
      <c r="M48" s="35"/>
      <c r="N48" s="34" t="e">
        <f>IF(ISBLANK(#REF!),"·",#REF!/#REF!)</f>
        <v>#REF!</v>
      </c>
      <c r="O48" s="36"/>
      <c r="P48" s="37"/>
      <c r="Q48" s="37"/>
      <c r="R48" s="37"/>
      <c r="S48" s="38"/>
      <c r="T48" s="39"/>
      <c r="U48" s="39"/>
      <c r="V48" s="39"/>
      <c r="W48" s="40"/>
      <c r="X48" s="39"/>
      <c r="Y48" s="39"/>
      <c r="Z48" s="39"/>
      <c r="AA48" s="40"/>
      <c r="AB48" s="41"/>
      <c r="AC48" s="41"/>
      <c r="AE48" s="33" t="str">
        <f t="shared" si="0"/>
        <v>·</v>
      </c>
      <c r="AF48" s="34" t="str">
        <f t="shared" si="1"/>
        <v>·</v>
      </c>
      <c r="AG48" s="34" t="str">
        <f t="shared" si="2"/>
        <v>·</v>
      </c>
      <c r="AH48" s="34" t="str">
        <f t="shared" si="3"/>
        <v>·</v>
      </c>
      <c r="AI48" s="35"/>
      <c r="AJ48" s="34" t="str">
        <f t="shared" si="4"/>
        <v>·</v>
      </c>
      <c r="BA48" s="42" t="e">
        <f>(Q48/P48) - (#REF!/#REF!)</f>
        <v>#DIV/0!</v>
      </c>
      <c r="BB48" s="42"/>
      <c r="BD48" s="43"/>
      <c r="BE48" s="43"/>
      <c r="BF48" s="43"/>
      <c r="BG48" s="44"/>
      <c r="BI48" s="43"/>
      <c r="BJ48" s="43"/>
      <c r="BK48" s="43"/>
      <c r="BL48" s="44"/>
      <c r="BN48" s="43"/>
      <c r="BO48" s="43"/>
      <c r="BP48" s="43"/>
      <c r="BQ48" s="44"/>
      <c r="BS48" s="43"/>
      <c r="BT48" s="43"/>
      <c r="BU48" s="43"/>
      <c r="BV48" s="44"/>
    </row>
    <row r="49" spans="1:74" ht="14.25" outlineLevel="1" thickBot="1" x14ac:dyDescent="0.2">
      <c r="A49" s="64"/>
      <c r="B49" s="64" t="s">
        <v>254</v>
      </c>
      <c r="C49" s="66" t="s">
        <v>229</v>
      </c>
      <c r="D49" s="64">
        <v>3130215</v>
      </c>
      <c r="E49" s="65">
        <v>12</v>
      </c>
      <c r="F49" s="66">
        <v>1</v>
      </c>
      <c r="G49" s="66"/>
      <c r="I49" s="68" t="str">
        <f>IF(OR(ISBLANK(#REF!),ISBLANK(G49)),"·",#REF!*G49/F49/1000000)</f>
        <v>·</v>
      </c>
      <c r="J49" s="69" t="e">
        <f>IF(ISBLANK(#REF!),"·",#REF!/D49)</f>
        <v>#REF!</v>
      </c>
      <c r="K49" s="69" t="e">
        <f>IF(#REF!="","·",#REF!/D49)</f>
        <v>#REF!</v>
      </c>
      <c r="L49" s="69" t="e">
        <f>IF(ISBLANK(#REF!),"·",#REF!/D49)</f>
        <v>#REF!</v>
      </c>
      <c r="M49" s="70"/>
      <c r="N49" s="69" t="e">
        <f>IF(ISBLANK(#REF!),"·",#REF!/#REF!)</f>
        <v>#REF!</v>
      </c>
      <c r="O49" s="71"/>
      <c r="P49" s="72"/>
      <c r="Q49" s="72"/>
      <c r="R49" s="72"/>
      <c r="S49" s="73"/>
      <c r="T49" s="77"/>
      <c r="U49" s="77"/>
      <c r="V49" s="77"/>
      <c r="W49" s="78"/>
      <c r="X49" s="77"/>
      <c r="Y49" s="77"/>
      <c r="Z49" s="77"/>
      <c r="AA49" s="78"/>
      <c r="AB49" s="74"/>
      <c r="AC49" s="74"/>
      <c r="AE49" s="68" t="str">
        <f t="shared" si="0"/>
        <v>·</v>
      </c>
      <c r="AF49" s="69" t="str">
        <f t="shared" si="1"/>
        <v>·</v>
      </c>
      <c r="AG49" s="69" t="str">
        <f t="shared" si="2"/>
        <v>·</v>
      </c>
      <c r="AH49" s="69" t="str">
        <f t="shared" si="3"/>
        <v>·</v>
      </c>
      <c r="AI49" s="70"/>
      <c r="AJ49" s="69" t="str">
        <f t="shared" si="4"/>
        <v>·</v>
      </c>
      <c r="BA49" s="67" t="e">
        <f>(Q49/P49) - (#REF!/#REF!)</f>
        <v>#DIV/0!</v>
      </c>
      <c r="BB49" s="67"/>
      <c r="BD49" s="75"/>
      <c r="BE49" s="75"/>
      <c r="BF49" s="75"/>
      <c r="BG49" s="76"/>
      <c r="BI49" s="75"/>
      <c r="BJ49" s="75"/>
      <c r="BK49" s="75"/>
      <c r="BL49" s="76"/>
      <c r="BN49" s="75"/>
      <c r="BO49" s="75"/>
      <c r="BP49" s="75"/>
      <c r="BQ49" s="76"/>
      <c r="BS49" s="75"/>
      <c r="BT49" s="75"/>
      <c r="BU49" s="75"/>
      <c r="BV49" s="76"/>
    </row>
    <row r="50" spans="1:74" x14ac:dyDescent="0.15">
      <c r="A50" s="30" t="s">
        <v>258</v>
      </c>
      <c r="B50" s="30" t="s">
        <v>257</v>
      </c>
      <c r="C50" s="31" t="s">
        <v>225</v>
      </c>
      <c r="D50" s="30">
        <v>3493085</v>
      </c>
      <c r="E50" s="32">
        <v>12</v>
      </c>
      <c r="F50" s="31">
        <v>1</v>
      </c>
      <c r="G50" s="31"/>
      <c r="I50" s="33" t="str">
        <f>IF(OR(ISBLANK(#REF!),ISBLANK(G50)),"·",#REF!*G50/F50/1000000)</f>
        <v>·</v>
      </c>
      <c r="J50" s="34" t="e">
        <f>IF(ISBLANK(#REF!),"·",#REF!/D50)</f>
        <v>#REF!</v>
      </c>
      <c r="K50" s="34" t="e">
        <f>IF(#REF!="","·",#REF!/D50)</f>
        <v>#REF!</v>
      </c>
      <c r="L50" s="34" t="e">
        <f>IF(ISBLANK(#REF!),"·",#REF!/D50)</f>
        <v>#REF!</v>
      </c>
      <c r="M50" s="35"/>
      <c r="N50" s="34" t="e">
        <f>IF(ISBLANK(#REF!),"·",#REF!/#REF!)</f>
        <v>#REF!</v>
      </c>
      <c r="O50" s="36"/>
      <c r="P50" s="37"/>
      <c r="Q50" s="37"/>
      <c r="R50" s="37"/>
      <c r="S50" s="38"/>
      <c r="T50" s="39"/>
      <c r="U50" s="39"/>
      <c r="V50" s="39"/>
      <c r="W50" s="40"/>
      <c r="X50" s="39"/>
      <c r="Y50" s="39"/>
      <c r="Z50" s="39"/>
      <c r="AA50" s="40"/>
      <c r="AB50" s="41"/>
      <c r="AC50" s="41"/>
      <c r="AE50" s="33" t="str">
        <f t="shared" si="0"/>
        <v>·</v>
      </c>
      <c r="AF50" s="34" t="str">
        <f t="shared" si="1"/>
        <v>·</v>
      </c>
      <c r="AG50" s="34" t="str">
        <f t="shared" si="2"/>
        <v>·</v>
      </c>
      <c r="AH50" s="34" t="str">
        <f t="shared" si="3"/>
        <v>·</v>
      </c>
      <c r="AI50" s="35"/>
      <c r="AJ50" s="34" t="str">
        <f t="shared" si="4"/>
        <v>·</v>
      </c>
      <c r="BA50" s="42" t="e">
        <f>(Q50/P50) - (#REF!/#REF!)</f>
        <v>#DIV/0!</v>
      </c>
      <c r="BB50" s="42" t="e">
        <f t="array" ref="BB50">AVERAGE(Q50:Q54/P50:P54) - AVERAGE(#REF!/#REF!)</f>
        <v>#DIV/0!</v>
      </c>
      <c r="BD50" s="43" t="str">
        <f>_xlfn.SINGLE(IF( OR(ISBLANK(_xlfn.SINGLE(#REF!)),ISBLANK(_xlfn.SINGLE(R50:R54)), ISBLANK(_xlfn.SINGLE(#REF!)),ISBLANK(_xlfn.SINGLE(T50:T54))), "·", bdRateExtend(#REF!,#REF!, R50:R54,T50:T54)))</f>
        <v>·</v>
      </c>
      <c r="BE50" s="43" t="str">
        <f>_xlfn.SINGLE(IF( OR(ISBLANK(_xlfn.SINGLE(#REF!)),ISBLANK(_xlfn.SINGLE(R50:R54)), ISBLANK(_xlfn.SINGLE(#REF!)),ISBLANK(_xlfn.SINGLE(U50:U54))), "·", bdRateExtend(#REF!,#REF!, R50:R54,U50:U54)))</f>
        <v>·</v>
      </c>
      <c r="BF50" s="43" t="str">
        <f>_xlfn.SINGLE(IF( OR(ISBLANK(_xlfn.SINGLE(#REF!)),ISBLANK(_xlfn.SINGLE(R50:R54)), ISBLANK(_xlfn.SINGLE(#REF!)),ISBLANK(_xlfn.SINGLE(V50:V54))), "·", bdRateExtend(#REF!,#REF!, R50:R54,V50:V54)))</f>
        <v>·</v>
      </c>
      <c r="BG50" s="44"/>
      <c r="BI50" s="43" t="str">
        <f>_xlfn.SINGLE(IF( OR(ISBLANK(_xlfn.SINGLE(#REF!)),ISBLANK(_xlfn.SINGLE(R50:R54)), ISBLANK(_xlfn.SINGLE(#REF!)),ISBLANK(_xlfn.SINGLE(X50:X54))), "·", bdRateExtend(#REF!,#REF!, R50:R54,X50:X54)))</f>
        <v>·</v>
      </c>
      <c r="BJ50" s="43" t="str">
        <f>_xlfn.SINGLE(IF( OR(ISBLANK(_xlfn.SINGLE(#REF!)),ISBLANK(_xlfn.SINGLE(R50:R54)), ISBLANK(_xlfn.SINGLE(#REF!)),ISBLANK(_xlfn.SINGLE(Y50:Y54))), "·", bdRateExtend(#REF!,#REF!, R50:R54,Y50:Y54)))</f>
        <v>·</v>
      </c>
      <c r="BK50" s="43" t="str">
        <f>_xlfn.SINGLE(IF( OR(ISBLANK(_xlfn.SINGLE(#REF!)),ISBLANK(_xlfn.SINGLE(R50:R54)), ISBLANK(_xlfn.SINGLE(#REF!)),ISBLANK(_xlfn.SINGLE(Z50:Z54))), "·", bdRateExtend(#REF!,#REF!, R50:R54,Z50:Z54)))</f>
        <v>·</v>
      </c>
      <c r="BL50" s="44"/>
      <c r="BN50" s="43" t="str">
        <f>_xlfn.SINGLE(IF( OR(ISBLANK(_xlfn.SINGLE(#REF!)),ISBLANK(_xlfn.SINGLE(P50:P54)), ISBLANK(_xlfn.SINGLE(#REF!)),ISBLANK(_xlfn.SINGLE(T50:T54))), "·", bdRateExtend(#REF!,#REF!, P50:P54,T50:T54)))</f>
        <v>·</v>
      </c>
      <c r="BO50" s="43" t="str">
        <f>_xlfn.SINGLE(IF( OR(ISBLANK(_xlfn.SINGLE(#REF!)),ISBLANK(_xlfn.SINGLE(P50:P54)), ISBLANK(_xlfn.SINGLE(#REF!)),ISBLANK(_xlfn.SINGLE(U50:U54))), "·", bdRateExtend(#REF!,#REF!, P50:P54,U50:U54)))</f>
        <v>·</v>
      </c>
      <c r="BP50" s="43" t="str">
        <f>_xlfn.SINGLE(IF( OR(ISBLANK(_xlfn.SINGLE(#REF!)),ISBLANK(_xlfn.SINGLE(P50:P54)), ISBLANK(_xlfn.SINGLE(#REF!)),ISBLANK(_xlfn.SINGLE(V50:V54))), "·", bdRateExtend(#REF!,#REF!, P50:P54,V50:V54)))</f>
        <v>·</v>
      </c>
      <c r="BQ50" s="44"/>
      <c r="BS50" s="43" t="str">
        <f>_xlfn.SINGLE(IF( OR(ISBLANK(_xlfn.SINGLE(#REF!)),ISBLANK(_xlfn.SINGLE(P50:P54)), ISBLANK(_xlfn.SINGLE(#REF!)),ISBLANK(_xlfn.SINGLE(X50:X54))), "·", bdRateExtend(#REF!,#REF!, P50:P54,X50:X54)))</f>
        <v>·</v>
      </c>
      <c r="BT50" s="43" t="str">
        <f>_xlfn.SINGLE(IF( OR(ISBLANK(_xlfn.SINGLE(#REF!)),ISBLANK(_xlfn.SINGLE(P50:P54)), ISBLANK(_xlfn.SINGLE(#REF!)),ISBLANK(_xlfn.SINGLE(Y50:Y54))), "·", bdRateExtend(#REF!,#REF!, P50:P54,Y50:Y54)))</f>
        <v>·</v>
      </c>
      <c r="BU50" s="43" t="str">
        <f>_xlfn.SINGLE(IF( OR(ISBLANK(_xlfn.SINGLE(#REF!)),ISBLANK(_xlfn.SINGLE(P50:P54)), ISBLANK(_xlfn.SINGLE(#REF!)),ISBLANK(_xlfn.SINGLE(Z50:Z54))), "·", bdRateExtend(#REF!,#REF!, P50:P54,Z50:Z54)))</f>
        <v>·</v>
      </c>
      <c r="BV50" s="44"/>
    </row>
    <row r="51" spans="1:74" outlineLevel="1" x14ac:dyDescent="0.15">
      <c r="A51" s="15"/>
      <c r="B51" s="15" t="s">
        <v>257</v>
      </c>
      <c r="C51" s="16" t="s">
        <v>226</v>
      </c>
      <c r="D51" s="15">
        <v>3493085</v>
      </c>
      <c r="E51" s="17">
        <v>12</v>
      </c>
      <c r="F51" s="16">
        <v>1</v>
      </c>
      <c r="G51" s="16"/>
      <c r="I51" s="18" t="str">
        <f>IF(OR(ISBLANK(#REF!),ISBLANK(G51)),"·",#REF!*G51/F51/1000000)</f>
        <v>·</v>
      </c>
      <c r="J51" s="19" t="e">
        <f>IF(ISBLANK(#REF!),"·",#REF!/D51)</f>
        <v>#REF!</v>
      </c>
      <c r="K51" s="19" t="e">
        <f>IF(#REF!="","·",#REF!/D51)</f>
        <v>#REF!</v>
      </c>
      <c r="L51" s="19" t="e">
        <f>IF(ISBLANK(#REF!),"·",#REF!/D51)</f>
        <v>#REF!</v>
      </c>
      <c r="M51" s="20"/>
      <c r="N51" s="19" t="e">
        <f>IF(ISBLANK(#REF!),"·",#REF!/#REF!)</f>
        <v>#REF!</v>
      </c>
      <c r="O51" s="21"/>
      <c r="P51" s="22"/>
      <c r="Q51" s="22"/>
      <c r="R51" s="22"/>
      <c r="S51" s="23"/>
      <c r="T51" s="24"/>
      <c r="U51" s="24"/>
      <c r="V51" s="24"/>
      <c r="W51" s="25"/>
      <c r="X51" s="24"/>
      <c r="Y51" s="24"/>
      <c r="Z51" s="24"/>
      <c r="AA51" s="25"/>
      <c r="AB51" s="26"/>
      <c r="AC51" s="26"/>
      <c r="AE51" s="18" t="str">
        <f t="shared" si="0"/>
        <v>·</v>
      </c>
      <c r="AF51" s="19" t="str">
        <f t="shared" si="1"/>
        <v>·</v>
      </c>
      <c r="AG51" s="19" t="str">
        <f t="shared" si="2"/>
        <v>·</v>
      </c>
      <c r="AH51" s="19" t="str">
        <f t="shared" si="3"/>
        <v>·</v>
      </c>
      <c r="AI51" s="20"/>
      <c r="AJ51" s="19" t="str">
        <f t="shared" si="4"/>
        <v>·</v>
      </c>
      <c r="BA51" s="27" t="e">
        <f>(Q51/P51) - (#REF!/#REF!)</f>
        <v>#DIV/0!</v>
      </c>
      <c r="BB51" s="27"/>
      <c r="BD51" s="28"/>
      <c r="BE51" s="28"/>
      <c r="BF51" s="28"/>
      <c r="BG51" s="29"/>
      <c r="BI51" s="28"/>
      <c r="BJ51" s="28"/>
      <c r="BK51" s="28"/>
      <c r="BL51" s="29"/>
      <c r="BN51" s="28"/>
      <c r="BO51" s="28"/>
      <c r="BP51" s="28"/>
      <c r="BQ51" s="29"/>
      <c r="BS51" s="28"/>
      <c r="BT51" s="28"/>
      <c r="BU51" s="28"/>
      <c r="BV51" s="29"/>
    </row>
    <row r="52" spans="1:74" outlineLevel="1" x14ac:dyDescent="0.15">
      <c r="A52" s="30"/>
      <c r="B52" s="30" t="s">
        <v>257</v>
      </c>
      <c r="C52" s="31" t="s">
        <v>227</v>
      </c>
      <c r="D52" s="30">
        <v>3493085</v>
      </c>
      <c r="E52" s="32">
        <v>12</v>
      </c>
      <c r="F52" s="31">
        <v>1</v>
      </c>
      <c r="G52" s="31"/>
      <c r="I52" s="33" t="str">
        <f>IF(OR(ISBLANK(#REF!),ISBLANK(G52)),"·",#REF!*G52/F52/1000000)</f>
        <v>·</v>
      </c>
      <c r="J52" s="34" t="e">
        <f>IF(ISBLANK(#REF!),"·",#REF!/D52)</f>
        <v>#REF!</v>
      </c>
      <c r="K52" s="34" t="e">
        <f>IF(#REF!="","·",#REF!/D52)</f>
        <v>#REF!</v>
      </c>
      <c r="L52" s="34" t="e">
        <f>IF(ISBLANK(#REF!),"·",#REF!/D52)</f>
        <v>#REF!</v>
      </c>
      <c r="M52" s="35"/>
      <c r="N52" s="34" t="e">
        <f>IF(ISBLANK(#REF!),"·",#REF!/#REF!)</f>
        <v>#REF!</v>
      </c>
      <c r="O52" s="36"/>
      <c r="P52" s="37"/>
      <c r="Q52" s="37"/>
      <c r="R52" s="37"/>
      <c r="S52" s="38"/>
      <c r="T52" s="39"/>
      <c r="U52" s="39"/>
      <c r="V52" s="39"/>
      <c r="W52" s="40"/>
      <c r="X52" s="39"/>
      <c r="Y52" s="39"/>
      <c r="Z52" s="39"/>
      <c r="AA52" s="40"/>
      <c r="AB52" s="41"/>
      <c r="AC52" s="41"/>
      <c r="AE52" s="33" t="str">
        <f t="shared" si="0"/>
        <v>·</v>
      </c>
      <c r="AF52" s="34" t="str">
        <f t="shared" si="1"/>
        <v>·</v>
      </c>
      <c r="AG52" s="34" t="str">
        <f t="shared" si="2"/>
        <v>·</v>
      </c>
      <c r="AH52" s="34" t="str">
        <f t="shared" si="3"/>
        <v>·</v>
      </c>
      <c r="AI52" s="35"/>
      <c r="AJ52" s="34" t="str">
        <f t="shared" si="4"/>
        <v>·</v>
      </c>
      <c r="BA52" s="42" t="e">
        <f>(Q52/P52) - (#REF!/#REF!)</f>
        <v>#DIV/0!</v>
      </c>
      <c r="BB52" s="42"/>
      <c r="BD52" s="43"/>
      <c r="BE52" s="43"/>
      <c r="BF52" s="43"/>
      <c r="BG52" s="44"/>
      <c r="BI52" s="43"/>
      <c r="BJ52" s="43"/>
      <c r="BK52" s="43"/>
      <c r="BL52" s="44"/>
      <c r="BN52" s="43"/>
      <c r="BO52" s="43"/>
      <c r="BP52" s="43"/>
      <c r="BQ52" s="44"/>
      <c r="BS52" s="43"/>
      <c r="BT52" s="43"/>
      <c r="BU52" s="43"/>
      <c r="BV52" s="44"/>
    </row>
    <row r="53" spans="1:74" outlineLevel="1" x14ac:dyDescent="0.15">
      <c r="A53" s="15"/>
      <c r="B53" s="15" t="s">
        <v>257</v>
      </c>
      <c r="C53" s="16" t="s">
        <v>228</v>
      </c>
      <c r="D53" s="15">
        <v>3493085</v>
      </c>
      <c r="E53" s="17">
        <v>12</v>
      </c>
      <c r="F53" s="16">
        <v>1</v>
      </c>
      <c r="G53" s="16"/>
      <c r="I53" s="18" t="str">
        <f>IF(OR(ISBLANK(#REF!),ISBLANK(G53)),"·",#REF!*G53/F53/1000000)</f>
        <v>·</v>
      </c>
      <c r="J53" s="19" t="e">
        <f>IF(ISBLANK(#REF!),"·",#REF!/D53)</f>
        <v>#REF!</v>
      </c>
      <c r="K53" s="19" t="e">
        <f>IF(#REF!="","·",#REF!/D53)</f>
        <v>#REF!</v>
      </c>
      <c r="L53" s="19" t="e">
        <f>IF(ISBLANK(#REF!),"·",#REF!/D53)</f>
        <v>#REF!</v>
      </c>
      <c r="M53" s="20"/>
      <c r="N53" s="19" t="e">
        <f>IF(ISBLANK(#REF!),"·",#REF!/#REF!)</f>
        <v>#REF!</v>
      </c>
      <c r="O53" s="21"/>
      <c r="P53" s="22"/>
      <c r="Q53" s="22"/>
      <c r="R53" s="22"/>
      <c r="S53" s="23"/>
      <c r="T53" s="24"/>
      <c r="U53" s="24"/>
      <c r="V53" s="24"/>
      <c r="W53" s="25"/>
      <c r="X53" s="24"/>
      <c r="Y53" s="24"/>
      <c r="Z53" s="24"/>
      <c r="AA53" s="25"/>
      <c r="AB53" s="26"/>
      <c r="AC53" s="26"/>
      <c r="AE53" s="18" t="str">
        <f t="shared" si="0"/>
        <v>·</v>
      </c>
      <c r="AF53" s="19" t="str">
        <f t="shared" si="1"/>
        <v>·</v>
      </c>
      <c r="AG53" s="19" t="str">
        <f t="shared" si="2"/>
        <v>·</v>
      </c>
      <c r="AH53" s="19" t="str">
        <f t="shared" si="3"/>
        <v>·</v>
      </c>
      <c r="AI53" s="20"/>
      <c r="AJ53" s="19" t="str">
        <f t="shared" si="4"/>
        <v>·</v>
      </c>
      <c r="BA53" s="27" t="e">
        <f>(Q53/P53) - (#REF!/#REF!)</f>
        <v>#DIV/0!</v>
      </c>
      <c r="BB53" s="27"/>
      <c r="BD53" s="28"/>
      <c r="BE53" s="28"/>
      <c r="BF53" s="28"/>
      <c r="BG53" s="29"/>
      <c r="BI53" s="28"/>
      <c r="BJ53" s="28"/>
      <c r="BK53" s="28"/>
      <c r="BL53" s="29"/>
      <c r="BN53" s="28"/>
      <c r="BO53" s="28"/>
      <c r="BP53" s="28"/>
      <c r="BQ53" s="29"/>
      <c r="BS53" s="28"/>
      <c r="BT53" s="28"/>
      <c r="BU53" s="28"/>
      <c r="BV53" s="29"/>
    </row>
    <row r="54" spans="1:74" ht="14.25" outlineLevel="1" thickBot="1" x14ac:dyDescent="0.2">
      <c r="A54" s="30"/>
      <c r="B54" s="45" t="s">
        <v>257</v>
      </c>
      <c r="C54" s="46" t="s">
        <v>229</v>
      </c>
      <c r="D54" s="45">
        <v>3493085</v>
      </c>
      <c r="E54" s="47">
        <v>12</v>
      </c>
      <c r="F54" s="46">
        <v>1</v>
      </c>
      <c r="G54" s="46"/>
      <c r="I54" s="48" t="str">
        <f>IF(OR(ISBLANK(#REF!),ISBLANK(G54)),"·",#REF!*G54/F54/1000000)</f>
        <v>·</v>
      </c>
      <c r="J54" s="49" t="e">
        <f>IF(ISBLANK(#REF!),"·",#REF!/D54)</f>
        <v>#REF!</v>
      </c>
      <c r="K54" s="49" t="e">
        <f>IF(#REF!="","·",#REF!/D54)</f>
        <v>#REF!</v>
      </c>
      <c r="L54" s="49" t="e">
        <f>IF(ISBLANK(#REF!),"·",#REF!/D54)</f>
        <v>#REF!</v>
      </c>
      <c r="M54" s="50"/>
      <c r="N54" s="49" t="e">
        <f>IF(ISBLANK(#REF!),"·",#REF!/#REF!)</f>
        <v>#REF!</v>
      </c>
      <c r="O54" s="51"/>
      <c r="P54" s="52"/>
      <c r="Q54" s="52"/>
      <c r="R54" s="52"/>
      <c r="S54" s="53"/>
      <c r="T54" s="54"/>
      <c r="U54" s="54"/>
      <c r="V54" s="54"/>
      <c r="W54" s="55"/>
      <c r="X54" s="54"/>
      <c r="Y54" s="54"/>
      <c r="Z54" s="54"/>
      <c r="AA54" s="55"/>
      <c r="AB54" s="56"/>
      <c r="AC54" s="56"/>
      <c r="AE54" s="48" t="str">
        <f t="shared" si="0"/>
        <v>·</v>
      </c>
      <c r="AF54" s="49" t="str">
        <f t="shared" si="1"/>
        <v>·</v>
      </c>
      <c r="AG54" s="49" t="str">
        <f t="shared" si="2"/>
        <v>·</v>
      </c>
      <c r="AH54" s="49" t="str">
        <f t="shared" si="3"/>
        <v>·</v>
      </c>
      <c r="AI54" s="50"/>
      <c r="AJ54" s="49" t="str">
        <f t="shared" si="4"/>
        <v>·</v>
      </c>
      <c r="BA54" s="57" t="e">
        <f>(Q54/P54) - (#REF!/#REF!)</f>
        <v>#DIV/0!</v>
      </c>
      <c r="BB54" s="57"/>
      <c r="BD54" s="58"/>
      <c r="BE54" s="58"/>
      <c r="BF54" s="58"/>
      <c r="BG54" s="59"/>
      <c r="BI54" s="58"/>
      <c r="BJ54" s="58"/>
      <c r="BK54" s="58"/>
      <c r="BL54" s="59"/>
      <c r="BN54" s="58"/>
      <c r="BO54" s="58"/>
      <c r="BP54" s="58"/>
      <c r="BQ54" s="59"/>
      <c r="BS54" s="58"/>
      <c r="BT54" s="58"/>
      <c r="BU54" s="58"/>
      <c r="BV54" s="59"/>
    </row>
    <row r="55" spans="1:74" x14ac:dyDescent="0.15">
      <c r="A55" s="15"/>
      <c r="B55" s="15" t="s">
        <v>261</v>
      </c>
      <c r="C55" s="16" t="s">
        <v>225</v>
      </c>
      <c r="D55" s="15">
        <v>1596085</v>
      </c>
      <c r="E55" s="17">
        <v>12</v>
      </c>
      <c r="F55" s="16">
        <v>1</v>
      </c>
      <c r="G55" s="16"/>
      <c r="I55" s="18" t="str">
        <f>IF(OR(ISBLANK(#REF!),ISBLANK(G55)),"·",#REF!*G55/F55/1000000)</f>
        <v>·</v>
      </c>
      <c r="J55" s="19" t="e">
        <f>IF(ISBLANK(#REF!),"·",#REF!/D55)</f>
        <v>#REF!</v>
      </c>
      <c r="K55" s="19" t="e">
        <f>IF(#REF!="","·",#REF!/D55)</f>
        <v>#REF!</v>
      </c>
      <c r="L55" s="19" t="e">
        <f>IF(ISBLANK(#REF!),"·",#REF!/D55)</f>
        <v>#REF!</v>
      </c>
      <c r="M55" s="20"/>
      <c r="N55" s="19" t="e">
        <f>IF(ISBLANK(#REF!),"·",#REF!/#REF!)</f>
        <v>#REF!</v>
      </c>
      <c r="O55" s="21"/>
      <c r="P55" s="22"/>
      <c r="Q55" s="22"/>
      <c r="R55" s="22"/>
      <c r="S55" s="23"/>
      <c r="T55" s="24"/>
      <c r="U55" s="24"/>
      <c r="V55" s="24"/>
      <c r="W55" s="25"/>
      <c r="X55" s="24"/>
      <c r="Y55" s="24"/>
      <c r="Z55" s="24"/>
      <c r="AA55" s="25"/>
      <c r="AB55" s="26"/>
      <c r="AC55" s="26"/>
      <c r="AE55" s="18" t="str">
        <f t="shared" si="0"/>
        <v>·</v>
      </c>
      <c r="AF55" s="19" t="str">
        <f t="shared" si="1"/>
        <v>·</v>
      </c>
      <c r="AG55" s="19" t="str">
        <f t="shared" si="2"/>
        <v>·</v>
      </c>
      <c r="AH55" s="19" t="str">
        <f t="shared" si="3"/>
        <v>·</v>
      </c>
      <c r="AI55" s="20"/>
      <c r="AJ55" s="19" t="str">
        <f t="shared" si="4"/>
        <v>·</v>
      </c>
      <c r="BA55" s="27" t="e">
        <f>(Q55/P55) - (#REF!/#REF!)</f>
        <v>#DIV/0!</v>
      </c>
      <c r="BB55" s="27" t="e">
        <f t="array" ref="BB55">AVERAGE(Q55:Q59/P55:P59) - AVERAGE(#REF!/#REF!)</f>
        <v>#DIV/0!</v>
      </c>
      <c r="BD55" s="28" t="str">
        <f>_xlfn.SINGLE(IF( OR(ISBLANK(_xlfn.SINGLE(#REF!)),ISBLANK(_xlfn.SINGLE(R55:R59)), ISBLANK(_xlfn.SINGLE(#REF!)),ISBLANK(_xlfn.SINGLE(T55:T59))), "·", bdRateExtend(#REF!,#REF!, R55:R59,T55:T59)))</f>
        <v>·</v>
      </c>
      <c r="BE55" s="28" t="str">
        <f>_xlfn.SINGLE(IF( OR(ISBLANK(_xlfn.SINGLE(#REF!)),ISBLANK(_xlfn.SINGLE(R55:R59)), ISBLANK(_xlfn.SINGLE(#REF!)),ISBLANK(_xlfn.SINGLE(U55:U59))), "·", bdRateExtend(#REF!,#REF!, R55:R59,U55:U59)))</f>
        <v>·</v>
      </c>
      <c r="BF55" s="28" t="str">
        <f>_xlfn.SINGLE(IF( OR(ISBLANK(_xlfn.SINGLE(#REF!)),ISBLANK(_xlfn.SINGLE(R55:R59)), ISBLANK(_xlfn.SINGLE(#REF!)),ISBLANK(_xlfn.SINGLE(V55:V59))), "·", bdRateExtend(#REF!,#REF!, R55:R59,V55:V59)))</f>
        <v>·</v>
      </c>
      <c r="BG55" s="29"/>
      <c r="BI55" s="28" t="str">
        <f>_xlfn.SINGLE(IF( OR(ISBLANK(_xlfn.SINGLE(#REF!)),ISBLANK(_xlfn.SINGLE(R55:R59)), ISBLANK(_xlfn.SINGLE(#REF!)),ISBLANK(_xlfn.SINGLE(X55:X59))), "·", bdRateExtend(#REF!,#REF!, R55:R59,X55:X59)))</f>
        <v>·</v>
      </c>
      <c r="BJ55" s="28" t="str">
        <f>_xlfn.SINGLE(IF( OR(ISBLANK(_xlfn.SINGLE(#REF!)),ISBLANK(_xlfn.SINGLE(R55:R59)), ISBLANK(_xlfn.SINGLE(#REF!)),ISBLANK(_xlfn.SINGLE(Y55:Y59))), "·", bdRateExtend(#REF!,#REF!, R55:R59,Y55:Y59)))</f>
        <v>·</v>
      </c>
      <c r="BK55" s="28" t="str">
        <f>_xlfn.SINGLE(IF( OR(ISBLANK(_xlfn.SINGLE(#REF!)),ISBLANK(_xlfn.SINGLE(R55:R59)), ISBLANK(_xlfn.SINGLE(#REF!)),ISBLANK(_xlfn.SINGLE(Z55:Z59))), "·", bdRateExtend(#REF!,#REF!, R55:R59,Z55:Z59)))</f>
        <v>·</v>
      </c>
      <c r="BL55" s="29"/>
      <c r="BN55" s="28" t="str">
        <f>_xlfn.SINGLE(IF( OR(ISBLANK(_xlfn.SINGLE(#REF!)),ISBLANK(_xlfn.SINGLE(P55:P59)), ISBLANK(_xlfn.SINGLE(#REF!)),ISBLANK(_xlfn.SINGLE(T55:T59))), "·", bdRateExtend(#REF!,#REF!, P55:P59,T55:T59)))</f>
        <v>·</v>
      </c>
      <c r="BO55" s="28" t="str">
        <f>_xlfn.SINGLE(IF( OR(ISBLANK(_xlfn.SINGLE(#REF!)),ISBLANK(_xlfn.SINGLE(P55:P59)), ISBLANK(_xlfn.SINGLE(#REF!)),ISBLANK(_xlfn.SINGLE(U55:U59))), "·", bdRateExtend(#REF!,#REF!, P55:P59,U55:U59)))</f>
        <v>·</v>
      </c>
      <c r="BP55" s="28" t="str">
        <f>_xlfn.SINGLE(IF( OR(ISBLANK(_xlfn.SINGLE(#REF!)),ISBLANK(_xlfn.SINGLE(P55:P59)), ISBLANK(_xlfn.SINGLE(#REF!)),ISBLANK(_xlfn.SINGLE(V55:V59))), "·", bdRateExtend(#REF!,#REF!, P55:P59,V55:V59)))</f>
        <v>·</v>
      </c>
      <c r="BQ55" s="29"/>
      <c r="BS55" s="28" t="str">
        <f>_xlfn.SINGLE(IF( OR(ISBLANK(_xlfn.SINGLE(#REF!)),ISBLANK(_xlfn.SINGLE(P55:P59)), ISBLANK(_xlfn.SINGLE(#REF!)),ISBLANK(_xlfn.SINGLE(X55:X59))), "·", bdRateExtend(#REF!,#REF!, P55:P59,X55:X59)))</f>
        <v>·</v>
      </c>
      <c r="BT55" s="28" t="str">
        <f>_xlfn.SINGLE(IF( OR(ISBLANK(_xlfn.SINGLE(#REF!)),ISBLANK(_xlfn.SINGLE(P55:P59)), ISBLANK(_xlfn.SINGLE(#REF!)),ISBLANK(_xlfn.SINGLE(Y55:Y59))), "·", bdRateExtend(#REF!,#REF!, P55:P59,Y55:Y59)))</f>
        <v>·</v>
      </c>
      <c r="BU55" s="28" t="str">
        <f>_xlfn.SINGLE(IF( OR(ISBLANK(_xlfn.SINGLE(#REF!)),ISBLANK(_xlfn.SINGLE(P55:P59)), ISBLANK(_xlfn.SINGLE(#REF!)),ISBLANK(_xlfn.SINGLE(Z55:Z59))), "·", bdRateExtend(#REF!,#REF!, P55:P59,Z55:Z59)))</f>
        <v>·</v>
      </c>
      <c r="BV55" s="29"/>
    </row>
    <row r="56" spans="1:74" outlineLevel="1" x14ac:dyDescent="0.15">
      <c r="A56" s="30"/>
      <c r="B56" s="30" t="s">
        <v>261</v>
      </c>
      <c r="C56" s="31" t="s">
        <v>226</v>
      </c>
      <c r="D56" s="30">
        <v>1596085</v>
      </c>
      <c r="E56" s="32">
        <v>12</v>
      </c>
      <c r="F56" s="31">
        <v>1</v>
      </c>
      <c r="G56" s="31"/>
      <c r="I56" s="33" t="str">
        <f>IF(OR(ISBLANK(#REF!),ISBLANK(G56)),"·",#REF!*G56/F56/1000000)</f>
        <v>·</v>
      </c>
      <c r="J56" s="34" t="e">
        <f>IF(ISBLANK(#REF!),"·",#REF!/D56)</f>
        <v>#REF!</v>
      </c>
      <c r="K56" s="34" t="e">
        <f>IF(#REF!="","·",#REF!/D56)</f>
        <v>#REF!</v>
      </c>
      <c r="L56" s="34" t="e">
        <f>IF(ISBLANK(#REF!),"·",#REF!/D56)</f>
        <v>#REF!</v>
      </c>
      <c r="M56" s="35"/>
      <c r="N56" s="34" t="e">
        <f>IF(ISBLANK(#REF!),"·",#REF!/#REF!)</f>
        <v>#REF!</v>
      </c>
      <c r="O56" s="36"/>
      <c r="P56" s="37"/>
      <c r="Q56" s="37"/>
      <c r="R56" s="37"/>
      <c r="S56" s="38"/>
      <c r="T56" s="39"/>
      <c r="U56" s="39"/>
      <c r="V56" s="39"/>
      <c r="W56" s="40"/>
      <c r="X56" s="39"/>
      <c r="Y56" s="39"/>
      <c r="Z56" s="39"/>
      <c r="AA56" s="40"/>
      <c r="AB56" s="41"/>
      <c r="AC56" s="41"/>
      <c r="AE56" s="33" t="str">
        <f t="shared" si="0"/>
        <v>·</v>
      </c>
      <c r="AF56" s="34" t="str">
        <f t="shared" si="1"/>
        <v>·</v>
      </c>
      <c r="AG56" s="34" t="str">
        <f t="shared" si="2"/>
        <v>·</v>
      </c>
      <c r="AH56" s="34" t="str">
        <f t="shared" si="3"/>
        <v>·</v>
      </c>
      <c r="AI56" s="35"/>
      <c r="AJ56" s="34" t="str">
        <f t="shared" si="4"/>
        <v>·</v>
      </c>
      <c r="BA56" s="42" t="e">
        <f>(Q56/P56) - (#REF!/#REF!)</f>
        <v>#DIV/0!</v>
      </c>
      <c r="BB56" s="42"/>
      <c r="BD56" s="43"/>
      <c r="BE56" s="43"/>
      <c r="BF56" s="43"/>
      <c r="BG56" s="44"/>
      <c r="BI56" s="43"/>
      <c r="BJ56" s="43"/>
      <c r="BK56" s="43"/>
      <c r="BL56" s="44"/>
      <c r="BN56" s="43"/>
      <c r="BO56" s="43"/>
      <c r="BP56" s="43"/>
      <c r="BQ56" s="44"/>
      <c r="BS56" s="43"/>
      <c r="BT56" s="43"/>
      <c r="BU56" s="43"/>
      <c r="BV56" s="44"/>
    </row>
    <row r="57" spans="1:74" outlineLevel="1" x14ac:dyDescent="0.15">
      <c r="A57" s="15"/>
      <c r="B57" s="15" t="s">
        <v>261</v>
      </c>
      <c r="C57" s="16" t="s">
        <v>227</v>
      </c>
      <c r="D57" s="15">
        <v>1596085</v>
      </c>
      <c r="E57" s="17">
        <v>12</v>
      </c>
      <c r="F57" s="16">
        <v>1</v>
      </c>
      <c r="G57" s="16"/>
      <c r="I57" s="18" t="str">
        <f>IF(OR(ISBLANK(#REF!),ISBLANK(G57)),"·",#REF!*G57/F57/1000000)</f>
        <v>·</v>
      </c>
      <c r="J57" s="19" t="e">
        <f>IF(ISBLANK(#REF!),"·",#REF!/D57)</f>
        <v>#REF!</v>
      </c>
      <c r="K57" s="19" t="e">
        <f>IF(#REF!="","·",#REF!/D57)</f>
        <v>#REF!</v>
      </c>
      <c r="L57" s="19" t="e">
        <f>IF(ISBLANK(#REF!),"·",#REF!/D57)</f>
        <v>#REF!</v>
      </c>
      <c r="M57" s="20"/>
      <c r="N57" s="19" t="e">
        <f>IF(ISBLANK(#REF!),"·",#REF!/#REF!)</f>
        <v>#REF!</v>
      </c>
      <c r="O57" s="21"/>
      <c r="P57" s="22"/>
      <c r="Q57" s="22"/>
      <c r="R57" s="22"/>
      <c r="S57" s="23"/>
      <c r="T57" s="24"/>
      <c r="U57" s="24"/>
      <c r="V57" s="24"/>
      <c r="W57" s="25"/>
      <c r="X57" s="24"/>
      <c r="Y57" s="24"/>
      <c r="Z57" s="24"/>
      <c r="AA57" s="25"/>
      <c r="AB57" s="26"/>
      <c r="AC57" s="26"/>
      <c r="AE57" s="18" t="str">
        <f t="shared" si="0"/>
        <v>·</v>
      </c>
      <c r="AF57" s="19" t="str">
        <f t="shared" si="1"/>
        <v>·</v>
      </c>
      <c r="AG57" s="19" t="str">
        <f t="shared" si="2"/>
        <v>·</v>
      </c>
      <c r="AH57" s="19" t="str">
        <f t="shared" si="3"/>
        <v>·</v>
      </c>
      <c r="AI57" s="20"/>
      <c r="AJ57" s="19" t="str">
        <f t="shared" si="4"/>
        <v>·</v>
      </c>
      <c r="BA57" s="27" t="e">
        <f>(Q57/P57) - (#REF!/#REF!)</f>
        <v>#DIV/0!</v>
      </c>
      <c r="BB57" s="27"/>
      <c r="BD57" s="28"/>
      <c r="BE57" s="28"/>
      <c r="BF57" s="28"/>
      <c r="BG57" s="29"/>
      <c r="BI57" s="28"/>
      <c r="BJ57" s="28"/>
      <c r="BK57" s="28"/>
      <c r="BL57" s="29"/>
      <c r="BN57" s="28"/>
      <c r="BO57" s="28"/>
      <c r="BP57" s="28"/>
      <c r="BQ57" s="29"/>
      <c r="BS57" s="28"/>
      <c r="BT57" s="28"/>
      <c r="BU57" s="28"/>
      <c r="BV57" s="29"/>
    </row>
    <row r="58" spans="1:74" outlineLevel="1" x14ac:dyDescent="0.15">
      <c r="A58" s="30"/>
      <c r="B58" s="30" t="s">
        <v>261</v>
      </c>
      <c r="C58" s="31" t="s">
        <v>228</v>
      </c>
      <c r="D58" s="30">
        <v>1596085</v>
      </c>
      <c r="E58" s="32">
        <v>12</v>
      </c>
      <c r="F58" s="31">
        <v>1</v>
      </c>
      <c r="G58" s="31"/>
      <c r="I58" s="33" t="str">
        <f>IF(OR(ISBLANK(#REF!),ISBLANK(G58)),"·",#REF!*G58/F58/1000000)</f>
        <v>·</v>
      </c>
      <c r="J58" s="34" t="e">
        <f>IF(ISBLANK(#REF!),"·",#REF!/D58)</f>
        <v>#REF!</v>
      </c>
      <c r="K58" s="34" t="e">
        <f>IF(#REF!="","·",#REF!/D58)</f>
        <v>#REF!</v>
      </c>
      <c r="L58" s="34" t="e">
        <f>IF(ISBLANK(#REF!),"·",#REF!/D58)</f>
        <v>#REF!</v>
      </c>
      <c r="M58" s="35"/>
      <c r="N58" s="34" t="e">
        <f>IF(ISBLANK(#REF!),"·",#REF!/#REF!)</f>
        <v>#REF!</v>
      </c>
      <c r="O58" s="36"/>
      <c r="P58" s="37"/>
      <c r="Q58" s="37"/>
      <c r="R58" s="37"/>
      <c r="S58" s="38"/>
      <c r="T58" s="39"/>
      <c r="U58" s="39"/>
      <c r="V58" s="39"/>
      <c r="W58" s="40"/>
      <c r="X58" s="39"/>
      <c r="Y58" s="39"/>
      <c r="Z58" s="39"/>
      <c r="AA58" s="40"/>
      <c r="AB58" s="41"/>
      <c r="AC58" s="41"/>
      <c r="AE58" s="33" t="str">
        <f t="shared" si="0"/>
        <v>·</v>
      </c>
      <c r="AF58" s="34" t="str">
        <f t="shared" si="1"/>
        <v>·</v>
      </c>
      <c r="AG58" s="34" t="str">
        <f t="shared" si="2"/>
        <v>·</v>
      </c>
      <c r="AH58" s="34" t="str">
        <f t="shared" si="3"/>
        <v>·</v>
      </c>
      <c r="AI58" s="35"/>
      <c r="AJ58" s="34" t="str">
        <f t="shared" si="4"/>
        <v>·</v>
      </c>
      <c r="BA58" s="42" t="e">
        <f>(Q58/P58) - (#REF!/#REF!)</f>
        <v>#DIV/0!</v>
      </c>
      <c r="BB58" s="42"/>
      <c r="BD58" s="43"/>
      <c r="BE58" s="43"/>
      <c r="BF58" s="43"/>
      <c r="BG58" s="44"/>
      <c r="BI58" s="43"/>
      <c r="BJ58" s="43"/>
      <c r="BK58" s="43"/>
      <c r="BL58" s="44"/>
      <c r="BN58" s="43"/>
      <c r="BO58" s="43"/>
      <c r="BP58" s="43"/>
      <c r="BQ58" s="44"/>
      <c r="BS58" s="43"/>
      <c r="BT58" s="43"/>
      <c r="BU58" s="43"/>
      <c r="BV58" s="44"/>
    </row>
    <row r="59" spans="1:74" ht="14.25" outlineLevel="1" thickBot="1" x14ac:dyDescent="0.2">
      <c r="A59" s="15"/>
      <c r="B59" s="64" t="s">
        <v>261</v>
      </c>
      <c r="C59" s="66" t="s">
        <v>229</v>
      </c>
      <c r="D59" s="64">
        <v>1596085</v>
      </c>
      <c r="E59" s="65">
        <v>12</v>
      </c>
      <c r="F59" s="66">
        <v>1</v>
      </c>
      <c r="G59" s="66"/>
      <c r="I59" s="68" t="str">
        <f>IF(OR(ISBLANK(#REF!),ISBLANK(G59)),"·",#REF!*G59/F59/1000000)</f>
        <v>·</v>
      </c>
      <c r="J59" s="69" t="e">
        <f>IF(ISBLANK(#REF!),"·",#REF!/D59)</f>
        <v>#REF!</v>
      </c>
      <c r="K59" s="69" t="e">
        <f>IF(#REF!="","·",#REF!/D59)</f>
        <v>#REF!</v>
      </c>
      <c r="L59" s="69" t="e">
        <f>IF(ISBLANK(#REF!),"·",#REF!/D59)</f>
        <v>#REF!</v>
      </c>
      <c r="M59" s="70"/>
      <c r="N59" s="69" t="e">
        <f>IF(ISBLANK(#REF!),"·",#REF!/#REF!)</f>
        <v>#REF!</v>
      </c>
      <c r="O59" s="71"/>
      <c r="P59" s="72"/>
      <c r="Q59" s="72"/>
      <c r="R59" s="72"/>
      <c r="S59" s="73"/>
      <c r="T59" s="77"/>
      <c r="U59" s="77"/>
      <c r="V59" s="77"/>
      <c r="W59" s="78"/>
      <c r="X59" s="77"/>
      <c r="Y59" s="77"/>
      <c r="Z59" s="77"/>
      <c r="AA59" s="78"/>
      <c r="AB59" s="74"/>
      <c r="AC59" s="74"/>
      <c r="AE59" s="68" t="str">
        <f t="shared" si="0"/>
        <v>·</v>
      </c>
      <c r="AF59" s="69" t="str">
        <f t="shared" si="1"/>
        <v>·</v>
      </c>
      <c r="AG59" s="69" t="str">
        <f t="shared" si="2"/>
        <v>·</v>
      </c>
      <c r="AH59" s="69" t="str">
        <f t="shared" si="3"/>
        <v>·</v>
      </c>
      <c r="AI59" s="70"/>
      <c r="AJ59" s="69" t="str">
        <f t="shared" si="4"/>
        <v>·</v>
      </c>
      <c r="BA59" s="67" t="e">
        <f>(Q59/P59) - (#REF!/#REF!)</f>
        <v>#DIV/0!</v>
      </c>
      <c r="BB59" s="67"/>
      <c r="BD59" s="75"/>
      <c r="BE59" s="75"/>
      <c r="BF59" s="75"/>
      <c r="BG59" s="76"/>
      <c r="BI59" s="75"/>
      <c r="BJ59" s="75"/>
      <c r="BK59" s="75"/>
      <c r="BL59" s="76"/>
      <c r="BN59" s="75"/>
      <c r="BO59" s="75"/>
      <c r="BP59" s="75"/>
      <c r="BQ59" s="76"/>
      <c r="BS59" s="75"/>
      <c r="BT59" s="75"/>
      <c r="BU59" s="75"/>
      <c r="BV59" s="76"/>
    </row>
    <row r="60" spans="1:74" x14ac:dyDescent="0.15">
      <c r="A60" s="30"/>
      <c r="B60" s="30" t="s">
        <v>264</v>
      </c>
      <c r="C60" s="31" t="s">
        <v>225</v>
      </c>
      <c r="D60" s="30">
        <v>8907880</v>
      </c>
      <c r="E60" s="32">
        <v>14</v>
      </c>
      <c r="F60" s="31">
        <v>1</v>
      </c>
      <c r="G60" s="31"/>
      <c r="I60" s="33" t="str">
        <f>IF(OR(ISBLANK(#REF!),ISBLANK(G60)),"·",#REF!*G60/F60/1000000)</f>
        <v>·</v>
      </c>
      <c r="J60" s="34" t="e">
        <f>IF(ISBLANK(#REF!),"·",#REF!/D60)</f>
        <v>#REF!</v>
      </c>
      <c r="K60" s="34" t="e">
        <f>IF(#REF!="","·",#REF!/D60)</f>
        <v>#REF!</v>
      </c>
      <c r="L60" s="34" t="e">
        <f>IF(ISBLANK(#REF!),"·",#REF!/D60)</f>
        <v>#REF!</v>
      </c>
      <c r="M60" s="35"/>
      <c r="N60" s="34" t="e">
        <f>IF(ISBLANK(#REF!),"·",#REF!/#REF!)</f>
        <v>#REF!</v>
      </c>
      <c r="O60" s="36"/>
      <c r="P60" s="37"/>
      <c r="Q60" s="37"/>
      <c r="R60" s="37"/>
      <c r="S60" s="38"/>
      <c r="T60" s="39"/>
      <c r="U60" s="39"/>
      <c r="V60" s="39"/>
      <c r="W60" s="40"/>
      <c r="X60" s="39"/>
      <c r="Y60" s="39"/>
      <c r="Z60" s="39"/>
      <c r="AA60" s="40"/>
      <c r="AB60" s="41"/>
      <c r="AC60" s="41"/>
      <c r="AE60" s="33" t="str">
        <f t="shared" si="0"/>
        <v>·</v>
      </c>
      <c r="AF60" s="34" t="str">
        <f t="shared" si="1"/>
        <v>·</v>
      </c>
      <c r="AG60" s="34" t="str">
        <f t="shared" si="2"/>
        <v>·</v>
      </c>
      <c r="AH60" s="34" t="str">
        <f t="shared" si="3"/>
        <v>·</v>
      </c>
      <c r="AI60" s="35"/>
      <c r="AJ60" s="34" t="str">
        <f t="shared" si="4"/>
        <v>·</v>
      </c>
      <c r="BA60" s="42" t="e">
        <f>(Q60/P60) - (#REF!/#REF!)</f>
        <v>#DIV/0!</v>
      </c>
      <c r="BB60" s="42" t="e">
        <f t="array" ref="BB60">AVERAGE(Q60:Q64/P60:P64) - AVERAGE(#REF!/#REF!)</f>
        <v>#DIV/0!</v>
      </c>
      <c r="BD60" s="43" t="str">
        <f>_xlfn.SINGLE(IF( OR(ISBLANK(_xlfn.SINGLE(#REF!)),ISBLANK(_xlfn.SINGLE(R60:R64)), ISBLANK(_xlfn.SINGLE(#REF!)),ISBLANK(_xlfn.SINGLE(T60:T64))), "·", bdRateExtend(#REF!,#REF!, R60:R64,T60:T64)))</f>
        <v>·</v>
      </c>
      <c r="BE60" s="43" t="str">
        <f>_xlfn.SINGLE(IF( OR(ISBLANK(_xlfn.SINGLE(#REF!)),ISBLANK(_xlfn.SINGLE(R60:R64)), ISBLANK(_xlfn.SINGLE(#REF!)),ISBLANK(_xlfn.SINGLE(U60:U64))), "·", bdRateExtend(#REF!,#REF!, R60:R64,U60:U64)))</f>
        <v>·</v>
      </c>
      <c r="BF60" s="43" t="str">
        <f>_xlfn.SINGLE(IF( OR(ISBLANK(_xlfn.SINGLE(#REF!)),ISBLANK(_xlfn.SINGLE(R60:R64)), ISBLANK(_xlfn.SINGLE(#REF!)),ISBLANK(_xlfn.SINGLE(V60:V64))), "·", bdRateExtend(#REF!,#REF!, R60:R64,V60:V64)))</f>
        <v>·</v>
      </c>
      <c r="BG60" s="44"/>
      <c r="BI60" s="43" t="str">
        <f>_xlfn.SINGLE(IF( OR(ISBLANK(_xlfn.SINGLE(#REF!)),ISBLANK(_xlfn.SINGLE(R60:R64)), ISBLANK(_xlfn.SINGLE(#REF!)),ISBLANK(_xlfn.SINGLE(X60:X64))), "·", bdRateExtend(#REF!,#REF!, R60:R64,X60:X64)))</f>
        <v>·</v>
      </c>
      <c r="BJ60" s="43" t="str">
        <f>_xlfn.SINGLE(IF( OR(ISBLANK(_xlfn.SINGLE(#REF!)),ISBLANK(_xlfn.SINGLE(R60:R64)), ISBLANK(_xlfn.SINGLE(#REF!)),ISBLANK(_xlfn.SINGLE(Y60:Y64))), "·", bdRateExtend(#REF!,#REF!, R60:R64,Y60:Y64)))</f>
        <v>·</v>
      </c>
      <c r="BK60" s="43" t="str">
        <f>_xlfn.SINGLE(IF( OR(ISBLANK(_xlfn.SINGLE(#REF!)),ISBLANK(_xlfn.SINGLE(R60:R64)), ISBLANK(_xlfn.SINGLE(#REF!)),ISBLANK(_xlfn.SINGLE(Z60:Z64))), "·", bdRateExtend(#REF!,#REF!, R60:R64,Z60:Z64)))</f>
        <v>·</v>
      </c>
      <c r="BL60" s="44"/>
      <c r="BN60" s="43" t="str">
        <f>_xlfn.SINGLE(IF( OR(ISBLANK(_xlfn.SINGLE(#REF!)),ISBLANK(_xlfn.SINGLE(P60:P64)), ISBLANK(_xlfn.SINGLE(#REF!)),ISBLANK(_xlfn.SINGLE(T60:T64))), "·", bdRateExtend(#REF!,#REF!, P60:P64,T60:T64)))</f>
        <v>·</v>
      </c>
      <c r="BO60" s="43" t="str">
        <f>_xlfn.SINGLE(IF( OR(ISBLANK(_xlfn.SINGLE(#REF!)),ISBLANK(_xlfn.SINGLE(P60:P64)), ISBLANK(_xlfn.SINGLE(#REF!)),ISBLANK(_xlfn.SINGLE(U60:U64))), "·", bdRateExtend(#REF!,#REF!, P60:P64,U60:U64)))</f>
        <v>·</v>
      </c>
      <c r="BP60" s="43" t="str">
        <f>_xlfn.SINGLE(IF( OR(ISBLANK(_xlfn.SINGLE(#REF!)),ISBLANK(_xlfn.SINGLE(P60:P64)), ISBLANK(_xlfn.SINGLE(#REF!)),ISBLANK(_xlfn.SINGLE(V60:V64))), "·", bdRateExtend(#REF!,#REF!, P60:P64,V60:V64)))</f>
        <v>·</v>
      </c>
      <c r="BQ60" s="44"/>
      <c r="BS60" s="43" t="str">
        <f>_xlfn.SINGLE(IF( OR(ISBLANK(_xlfn.SINGLE(#REF!)),ISBLANK(_xlfn.SINGLE(P60:P64)), ISBLANK(_xlfn.SINGLE(#REF!)),ISBLANK(_xlfn.SINGLE(X60:X64))), "·", bdRateExtend(#REF!,#REF!, P60:P64,X60:X64)))</f>
        <v>·</v>
      </c>
      <c r="BT60" s="43" t="str">
        <f>_xlfn.SINGLE(IF( OR(ISBLANK(_xlfn.SINGLE(#REF!)),ISBLANK(_xlfn.SINGLE(P60:P64)), ISBLANK(_xlfn.SINGLE(#REF!)),ISBLANK(_xlfn.SINGLE(Y60:Y64))), "·", bdRateExtend(#REF!,#REF!, P60:P64,Y60:Y64)))</f>
        <v>·</v>
      </c>
      <c r="BU60" s="43" t="str">
        <f>_xlfn.SINGLE(IF( OR(ISBLANK(_xlfn.SINGLE(#REF!)),ISBLANK(_xlfn.SINGLE(P60:P64)), ISBLANK(_xlfn.SINGLE(#REF!)),ISBLANK(_xlfn.SINGLE(Z60:Z64))), "·", bdRateExtend(#REF!,#REF!, P60:P64,Z60:Z64)))</f>
        <v>·</v>
      </c>
      <c r="BV60" s="44"/>
    </row>
    <row r="61" spans="1:74" outlineLevel="1" x14ac:dyDescent="0.15">
      <c r="A61" s="15"/>
      <c r="B61" s="15" t="s">
        <v>264</v>
      </c>
      <c r="C61" s="16" t="s">
        <v>226</v>
      </c>
      <c r="D61" s="15">
        <v>8907880</v>
      </c>
      <c r="E61" s="17">
        <v>14</v>
      </c>
      <c r="F61" s="16">
        <v>1</v>
      </c>
      <c r="G61" s="16"/>
      <c r="I61" s="18" t="str">
        <f>IF(OR(ISBLANK(#REF!),ISBLANK(G61)),"·",#REF!*G61/F61/1000000)</f>
        <v>·</v>
      </c>
      <c r="J61" s="19" t="e">
        <f>IF(ISBLANK(#REF!),"·",#REF!/D61)</f>
        <v>#REF!</v>
      </c>
      <c r="K61" s="19" t="e">
        <f>IF(#REF!="","·",#REF!/D61)</f>
        <v>#REF!</v>
      </c>
      <c r="L61" s="19" t="e">
        <f>IF(ISBLANK(#REF!),"·",#REF!/D61)</f>
        <v>#REF!</v>
      </c>
      <c r="M61" s="20"/>
      <c r="N61" s="19" t="e">
        <f>IF(ISBLANK(#REF!),"·",#REF!/#REF!)</f>
        <v>#REF!</v>
      </c>
      <c r="O61" s="21"/>
      <c r="P61" s="22"/>
      <c r="Q61" s="22"/>
      <c r="R61" s="22"/>
      <c r="S61" s="23"/>
      <c r="T61" s="24"/>
      <c r="U61" s="24"/>
      <c r="V61" s="24"/>
      <c r="W61" s="25"/>
      <c r="X61" s="24"/>
      <c r="Y61" s="24"/>
      <c r="Z61" s="24"/>
      <c r="AA61" s="25"/>
      <c r="AB61" s="26"/>
      <c r="AC61" s="26"/>
      <c r="AE61" s="18" t="str">
        <f t="shared" si="0"/>
        <v>·</v>
      </c>
      <c r="AF61" s="19" t="str">
        <f t="shared" si="1"/>
        <v>·</v>
      </c>
      <c r="AG61" s="19" t="str">
        <f t="shared" si="2"/>
        <v>·</v>
      </c>
      <c r="AH61" s="19" t="str">
        <f t="shared" si="3"/>
        <v>·</v>
      </c>
      <c r="AI61" s="20"/>
      <c r="AJ61" s="19" t="str">
        <f t="shared" si="4"/>
        <v>·</v>
      </c>
      <c r="BA61" s="27" t="e">
        <f>(Q61/P61) - (#REF!/#REF!)</f>
        <v>#DIV/0!</v>
      </c>
      <c r="BB61" s="27"/>
      <c r="BD61" s="28"/>
      <c r="BE61" s="28"/>
      <c r="BF61" s="28"/>
      <c r="BG61" s="29"/>
      <c r="BI61" s="28"/>
      <c r="BJ61" s="28"/>
      <c r="BK61" s="28"/>
      <c r="BL61" s="29"/>
      <c r="BN61" s="28"/>
      <c r="BO61" s="28"/>
      <c r="BP61" s="28"/>
      <c r="BQ61" s="29"/>
      <c r="BS61" s="28"/>
      <c r="BT61" s="28"/>
      <c r="BU61" s="28"/>
      <c r="BV61" s="29"/>
    </row>
    <row r="62" spans="1:74" outlineLevel="1" x14ac:dyDescent="0.15">
      <c r="A62" s="30"/>
      <c r="B62" s="30" t="s">
        <v>264</v>
      </c>
      <c r="C62" s="31" t="s">
        <v>227</v>
      </c>
      <c r="D62" s="30">
        <v>8907880</v>
      </c>
      <c r="E62" s="32">
        <v>14</v>
      </c>
      <c r="F62" s="31">
        <v>1</v>
      </c>
      <c r="G62" s="31"/>
      <c r="I62" s="33" t="str">
        <f>IF(OR(ISBLANK(#REF!),ISBLANK(G62)),"·",#REF!*G62/F62/1000000)</f>
        <v>·</v>
      </c>
      <c r="J62" s="34" t="e">
        <f>IF(ISBLANK(#REF!),"·",#REF!/D62)</f>
        <v>#REF!</v>
      </c>
      <c r="K62" s="34" t="e">
        <f>IF(#REF!="","·",#REF!/D62)</f>
        <v>#REF!</v>
      </c>
      <c r="L62" s="34" t="e">
        <f>IF(ISBLANK(#REF!),"·",#REF!/D62)</f>
        <v>#REF!</v>
      </c>
      <c r="M62" s="35"/>
      <c r="N62" s="34" t="e">
        <f>IF(ISBLANK(#REF!),"·",#REF!/#REF!)</f>
        <v>#REF!</v>
      </c>
      <c r="O62" s="36"/>
      <c r="P62" s="37"/>
      <c r="Q62" s="37"/>
      <c r="R62" s="37"/>
      <c r="S62" s="38"/>
      <c r="T62" s="39"/>
      <c r="U62" s="39"/>
      <c r="V62" s="39"/>
      <c r="W62" s="40"/>
      <c r="X62" s="39"/>
      <c r="Y62" s="39"/>
      <c r="Z62" s="39"/>
      <c r="AA62" s="40"/>
      <c r="AB62" s="41"/>
      <c r="AC62" s="41"/>
      <c r="AE62" s="33" t="str">
        <f t="shared" si="0"/>
        <v>·</v>
      </c>
      <c r="AF62" s="34" t="str">
        <f t="shared" si="1"/>
        <v>·</v>
      </c>
      <c r="AG62" s="34" t="str">
        <f t="shared" si="2"/>
        <v>·</v>
      </c>
      <c r="AH62" s="34" t="str">
        <f t="shared" si="3"/>
        <v>·</v>
      </c>
      <c r="AI62" s="35"/>
      <c r="AJ62" s="34" t="str">
        <f t="shared" si="4"/>
        <v>·</v>
      </c>
      <c r="BA62" s="42" t="e">
        <f>(Q62/P62) - (#REF!/#REF!)</f>
        <v>#DIV/0!</v>
      </c>
      <c r="BB62" s="42"/>
      <c r="BD62" s="43"/>
      <c r="BE62" s="43"/>
      <c r="BF62" s="43"/>
      <c r="BG62" s="44"/>
      <c r="BI62" s="43"/>
      <c r="BJ62" s="43"/>
      <c r="BK62" s="43"/>
      <c r="BL62" s="44"/>
      <c r="BN62" s="43"/>
      <c r="BO62" s="43"/>
      <c r="BP62" s="43"/>
      <c r="BQ62" s="44"/>
      <c r="BS62" s="43"/>
      <c r="BT62" s="43"/>
      <c r="BU62" s="43"/>
      <c r="BV62" s="44"/>
    </row>
    <row r="63" spans="1:74" outlineLevel="1" x14ac:dyDescent="0.15">
      <c r="A63" s="15"/>
      <c r="B63" s="15" t="s">
        <v>264</v>
      </c>
      <c r="C63" s="16" t="s">
        <v>228</v>
      </c>
      <c r="D63" s="15">
        <v>8907880</v>
      </c>
      <c r="E63" s="17">
        <v>14</v>
      </c>
      <c r="F63" s="16">
        <v>1</v>
      </c>
      <c r="G63" s="16"/>
      <c r="I63" s="18" t="str">
        <f>IF(OR(ISBLANK(#REF!),ISBLANK(G63)),"·",#REF!*G63/F63/1000000)</f>
        <v>·</v>
      </c>
      <c r="J63" s="19" t="e">
        <f>IF(ISBLANK(#REF!),"·",#REF!/D63)</f>
        <v>#REF!</v>
      </c>
      <c r="K63" s="19" t="e">
        <f>IF(#REF!="","·",#REF!/D63)</f>
        <v>#REF!</v>
      </c>
      <c r="L63" s="19" t="e">
        <f>IF(ISBLANK(#REF!),"·",#REF!/D63)</f>
        <v>#REF!</v>
      </c>
      <c r="M63" s="20"/>
      <c r="N63" s="19" t="e">
        <f>IF(ISBLANK(#REF!),"·",#REF!/#REF!)</f>
        <v>#REF!</v>
      </c>
      <c r="O63" s="21"/>
      <c r="P63" s="22"/>
      <c r="Q63" s="22"/>
      <c r="R63" s="22"/>
      <c r="S63" s="23"/>
      <c r="T63" s="24"/>
      <c r="U63" s="24"/>
      <c r="V63" s="24"/>
      <c r="W63" s="25"/>
      <c r="X63" s="24"/>
      <c r="Y63" s="24"/>
      <c r="Z63" s="24"/>
      <c r="AA63" s="25"/>
      <c r="AB63" s="26"/>
      <c r="AC63" s="26"/>
      <c r="AE63" s="18" t="str">
        <f t="shared" si="0"/>
        <v>·</v>
      </c>
      <c r="AF63" s="19" t="str">
        <f t="shared" si="1"/>
        <v>·</v>
      </c>
      <c r="AG63" s="19" t="str">
        <f t="shared" si="2"/>
        <v>·</v>
      </c>
      <c r="AH63" s="19" t="str">
        <f t="shared" si="3"/>
        <v>·</v>
      </c>
      <c r="AI63" s="20"/>
      <c r="AJ63" s="19" t="str">
        <f t="shared" si="4"/>
        <v>·</v>
      </c>
      <c r="BA63" s="27" t="e">
        <f>(Q63/P63) - (#REF!/#REF!)</f>
        <v>#DIV/0!</v>
      </c>
      <c r="BB63" s="27"/>
      <c r="BD63" s="28"/>
      <c r="BE63" s="28"/>
      <c r="BF63" s="28"/>
      <c r="BG63" s="29"/>
      <c r="BI63" s="28"/>
      <c r="BJ63" s="28"/>
      <c r="BK63" s="28"/>
      <c r="BL63" s="29"/>
      <c r="BN63" s="28"/>
      <c r="BO63" s="28"/>
      <c r="BP63" s="28"/>
      <c r="BQ63" s="29"/>
      <c r="BS63" s="28"/>
      <c r="BT63" s="28"/>
      <c r="BU63" s="28"/>
      <c r="BV63" s="29"/>
    </row>
    <row r="64" spans="1:74" ht="14.25" outlineLevel="1" thickBot="1" x14ac:dyDescent="0.2">
      <c r="A64" s="30"/>
      <c r="B64" s="45" t="s">
        <v>264</v>
      </c>
      <c r="C64" s="46" t="s">
        <v>229</v>
      </c>
      <c r="D64" s="45">
        <v>8907880</v>
      </c>
      <c r="E64" s="47">
        <v>14</v>
      </c>
      <c r="F64" s="46">
        <v>1</v>
      </c>
      <c r="G64" s="46"/>
      <c r="I64" s="48" t="str">
        <f>IF(OR(ISBLANK(#REF!),ISBLANK(G64)),"·",#REF!*G64/F64/1000000)</f>
        <v>·</v>
      </c>
      <c r="J64" s="49" t="e">
        <f>IF(ISBLANK(#REF!),"·",#REF!/D64)</f>
        <v>#REF!</v>
      </c>
      <c r="K64" s="49" t="e">
        <f>IF(#REF!="","·",#REF!/D64)</f>
        <v>#REF!</v>
      </c>
      <c r="L64" s="49" t="e">
        <f>IF(ISBLANK(#REF!),"·",#REF!/D64)</f>
        <v>#REF!</v>
      </c>
      <c r="M64" s="50"/>
      <c r="N64" s="49" t="e">
        <f>IF(ISBLANK(#REF!),"·",#REF!/#REF!)</f>
        <v>#REF!</v>
      </c>
      <c r="O64" s="51"/>
      <c r="P64" s="52"/>
      <c r="Q64" s="52"/>
      <c r="R64" s="52"/>
      <c r="S64" s="53"/>
      <c r="T64" s="54"/>
      <c r="U64" s="54"/>
      <c r="V64" s="54"/>
      <c r="W64" s="55"/>
      <c r="X64" s="54"/>
      <c r="Y64" s="54"/>
      <c r="Z64" s="54"/>
      <c r="AA64" s="55"/>
      <c r="AB64" s="56"/>
      <c r="AC64" s="56"/>
      <c r="AE64" s="48" t="str">
        <f t="shared" si="0"/>
        <v>·</v>
      </c>
      <c r="AF64" s="49" t="str">
        <f t="shared" si="1"/>
        <v>·</v>
      </c>
      <c r="AG64" s="49" t="str">
        <f t="shared" si="2"/>
        <v>·</v>
      </c>
      <c r="AH64" s="49" t="str">
        <f t="shared" si="3"/>
        <v>·</v>
      </c>
      <c r="AI64" s="50"/>
      <c r="AJ64" s="49" t="str">
        <f t="shared" si="4"/>
        <v>·</v>
      </c>
      <c r="BA64" s="57" t="e">
        <f>(Q64/P64) - (#REF!/#REF!)</f>
        <v>#DIV/0!</v>
      </c>
      <c r="BB64" s="57"/>
      <c r="BD64" s="58"/>
      <c r="BE64" s="58"/>
      <c r="BF64" s="58"/>
      <c r="BG64" s="59"/>
      <c r="BI64" s="58"/>
      <c r="BJ64" s="58"/>
      <c r="BK64" s="58"/>
      <c r="BL64" s="59"/>
      <c r="BN64" s="58"/>
      <c r="BO64" s="58"/>
      <c r="BP64" s="58"/>
      <c r="BQ64" s="59"/>
      <c r="BS64" s="58"/>
      <c r="BT64" s="58"/>
      <c r="BU64" s="58"/>
      <c r="BV64" s="59"/>
    </row>
    <row r="65" spans="1:74" x14ac:dyDescent="0.15">
      <c r="A65" s="15"/>
      <c r="B65" s="15" t="s">
        <v>267</v>
      </c>
      <c r="C65" s="16" t="s">
        <v>225</v>
      </c>
      <c r="D65" s="15">
        <v>19702134</v>
      </c>
      <c r="E65" s="17">
        <v>14</v>
      </c>
      <c r="F65" s="16">
        <v>1</v>
      </c>
      <c r="G65" s="16"/>
      <c r="I65" s="18" t="str">
        <f>IF(OR(ISBLANK(#REF!),ISBLANK(G65)),"·",#REF!*G65/F65/1000000)</f>
        <v>·</v>
      </c>
      <c r="J65" s="19" t="e">
        <f>IF(ISBLANK(#REF!),"·",#REF!/D65)</f>
        <v>#REF!</v>
      </c>
      <c r="K65" s="19" t="e">
        <f>IF(#REF!="","·",#REF!/D65)</f>
        <v>#REF!</v>
      </c>
      <c r="L65" s="19" t="e">
        <f>IF(ISBLANK(#REF!),"·",#REF!/D65)</f>
        <v>#REF!</v>
      </c>
      <c r="M65" s="20"/>
      <c r="N65" s="19" t="e">
        <f>IF(ISBLANK(#REF!),"·",#REF!/#REF!)</f>
        <v>#REF!</v>
      </c>
      <c r="O65" s="21"/>
      <c r="P65" s="22"/>
      <c r="Q65" s="22"/>
      <c r="R65" s="22"/>
      <c r="S65" s="23"/>
      <c r="T65" s="24"/>
      <c r="U65" s="24"/>
      <c r="V65" s="24"/>
      <c r="W65" s="25"/>
      <c r="X65" s="24"/>
      <c r="Y65" s="24"/>
      <c r="Z65" s="24"/>
      <c r="AA65" s="25"/>
      <c r="AB65" s="26"/>
      <c r="AC65" s="26"/>
      <c r="AE65" s="18" t="str">
        <f t="shared" si="0"/>
        <v>·</v>
      </c>
      <c r="AF65" s="19" t="str">
        <f t="shared" si="1"/>
        <v>·</v>
      </c>
      <c r="AG65" s="19" t="str">
        <f t="shared" si="2"/>
        <v>·</v>
      </c>
      <c r="AH65" s="19" t="str">
        <f t="shared" si="3"/>
        <v>·</v>
      </c>
      <c r="AI65" s="20"/>
      <c r="AJ65" s="19" t="str">
        <f t="shared" si="4"/>
        <v>·</v>
      </c>
      <c r="BA65" s="27" t="e">
        <f>(Q65/P65) - (#REF!/#REF!)</f>
        <v>#DIV/0!</v>
      </c>
      <c r="BB65" s="27" t="e">
        <f t="array" ref="BB65">AVERAGE(Q65:Q69/P65:P69) - AVERAGE(#REF!/#REF!)</f>
        <v>#DIV/0!</v>
      </c>
      <c r="BD65" s="28" t="str">
        <f>_xlfn.SINGLE(IF( OR(ISBLANK(_xlfn.SINGLE(#REF!)),ISBLANK(_xlfn.SINGLE(R65:R69)), ISBLANK(_xlfn.SINGLE(#REF!)),ISBLANK(_xlfn.SINGLE(T65:T69))), "·", bdRateExtend(#REF!,#REF!, R65:R69,T65:T69)))</f>
        <v>·</v>
      </c>
      <c r="BE65" s="28" t="str">
        <f>_xlfn.SINGLE(IF( OR(ISBLANK(_xlfn.SINGLE(#REF!)),ISBLANK(_xlfn.SINGLE(R65:R69)), ISBLANK(_xlfn.SINGLE(#REF!)),ISBLANK(_xlfn.SINGLE(U65:U69))), "·", bdRateExtend(#REF!,#REF!, R65:R69,U65:U69)))</f>
        <v>·</v>
      </c>
      <c r="BF65" s="28" t="str">
        <f>_xlfn.SINGLE(IF( OR(ISBLANK(_xlfn.SINGLE(#REF!)),ISBLANK(_xlfn.SINGLE(R65:R69)), ISBLANK(_xlfn.SINGLE(#REF!)),ISBLANK(_xlfn.SINGLE(V65:V69))), "·", bdRateExtend(#REF!,#REF!, R65:R69,V65:V69)))</f>
        <v>·</v>
      </c>
      <c r="BG65" s="29"/>
      <c r="BI65" s="28" t="str">
        <f>_xlfn.SINGLE(IF( OR(ISBLANK(_xlfn.SINGLE(#REF!)),ISBLANK(_xlfn.SINGLE(R65:R69)), ISBLANK(_xlfn.SINGLE(#REF!)),ISBLANK(_xlfn.SINGLE(X65:X69))), "·", bdRateExtend(#REF!,#REF!, R65:R69,X65:X69)))</f>
        <v>·</v>
      </c>
      <c r="BJ65" s="28" t="str">
        <f>_xlfn.SINGLE(IF( OR(ISBLANK(_xlfn.SINGLE(#REF!)),ISBLANK(_xlfn.SINGLE(R65:R69)), ISBLANK(_xlfn.SINGLE(#REF!)),ISBLANK(_xlfn.SINGLE(Y65:Y69))), "·", bdRateExtend(#REF!,#REF!, R65:R69,Y65:Y69)))</f>
        <v>·</v>
      </c>
      <c r="BK65" s="28" t="str">
        <f>_xlfn.SINGLE(IF( OR(ISBLANK(_xlfn.SINGLE(#REF!)),ISBLANK(_xlfn.SINGLE(R65:R69)), ISBLANK(_xlfn.SINGLE(#REF!)),ISBLANK(_xlfn.SINGLE(Z65:Z69))), "·", bdRateExtend(#REF!,#REF!, R65:R69,Z65:Z69)))</f>
        <v>·</v>
      </c>
      <c r="BL65" s="29"/>
      <c r="BN65" s="28" t="str">
        <f>_xlfn.SINGLE(IF( OR(ISBLANK(_xlfn.SINGLE(#REF!)),ISBLANK(_xlfn.SINGLE(P65:P69)), ISBLANK(_xlfn.SINGLE(#REF!)),ISBLANK(_xlfn.SINGLE(T65:T69))), "·", bdRateExtend(#REF!,#REF!, P65:P69,T65:T69)))</f>
        <v>·</v>
      </c>
      <c r="BO65" s="28" t="str">
        <f>_xlfn.SINGLE(IF( OR(ISBLANK(_xlfn.SINGLE(#REF!)),ISBLANK(_xlfn.SINGLE(P65:P69)), ISBLANK(_xlfn.SINGLE(#REF!)),ISBLANK(_xlfn.SINGLE(U65:U69))), "·", bdRateExtend(#REF!,#REF!, P65:P69,U65:U69)))</f>
        <v>·</v>
      </c>
      <c r="BP65" s="28" t="str">
        <f>_xlfn.SINGLE(IF( OR(ISBLANK(_xlfn.SINGLE(#REF!)),ISBLANK(_xlfn.SINGLE(P65:P69)), ISBLANK(_xlfn.SINGLE(#REF!)),ISBLANK(_xlfn.SINGLE(V65:V69))), "·", bdRateExtend(#REF!,#REF!, P65:P69,V65:V69)))</f>
        <v>·</v>
      </c>
      <c r="BQ65" s="29"/>
      <c r="BS65" s="28" t="str">
        <f>_xlfn.SINGLE(IF( OR(ISBLANK(_xlfn.SINGLE(#REF!)),ISBLANK(_xlfn.SINGLE(P65:P69)), ISBLANK(_xlfn.SINGLE(#REF!)),ISBLANK(_xlfn.SINGLE(X65:X69))), "·", bdRateExtend(#REF!,#REF!, P65:P69,X65:X69)))</f>
        <v>·</v>
      </c>
      <c r="BT65" s="28" t="str">
        <f>_xlfn.SINGLE(IF( OR(ISBLANK(_xlfn.SINGLE(#REF!)),ISBLANK(_xlfn.SINGLE(P65:P69)), ISBLANK(_xlfn.SINGLE(#REF!)),ISBLANK(_xlfn.SINGLE(Y65:Y69))), "·", bdRateExtend(#REF!,#REF!, P65:P69,Y65:Y69)))</f>
        <v>·</v>
      </c>
      <c r="BU65" s="28" t="str">
        <f>_xlfn.SINGLE(IF( OR(ISBLANK(_xlfn.SINGLE(#REF!)),ISBLANK(_xlfn.SINGLE(P65:P69)), ISBLANK(_xlfn.SINGLE(#REF!)),ISBLANK(_xlfn.SINGLE(Z65:Z69))), "·", bdRateExtend(#REF!,#REF!, P65:P69,Z65:Z69)))</f>
        <v>·</v>
      </c>
      <c r="BV65" s="29"/>
    </row>
    <row r="66" spans="1:74" outlineLevel="1" x14ac:dyDescent="0.15">
      <c r="A66" s="30"/>
      <c r="B66" s="30" t="s">
        <v>267</v>
      </c>
      <c r="C66" s="31" t="s">
        <v>226</v>
      </c>
      <c r="D66" s="30">
        <v>19702134</v>
      </c>
      <c r="E66" s="32">
        <v>14</v>
      </c>
      <c r="F66" s="31">
        <v>1</v>
      </c>
      <c r="G66" s="31"/>
      <c r="I66" s="33" t="str">
        <f>IF(OR(ISBLANK(#REF!),ISBLANK(G66)),"·",#REF!*G66/F66/1000000)</f>
        <v>·</v>
      </c>
      <c r="J66" s="34" t="e">
        <f>IF(ISBLANK(#REF!),"·",#REF!/D66)</f>
        <v>#REF!</v>
      </c>
      <c r="K66" s="34" t="e">
        <f>IF(#REF!="","·",#REF!/D66)</f>
        <v>#REF!</v>
      </c>
      <c r="L66" s="34" t="e">
        <f>IF(ISBLANK(#REF!),"·",#REF!/D66)</f>
        <v>#REF!</v>
      </c>
      <c r="M66" s="35"/>
      <c r="N66" s="34" t="e">
        <f>IF(ISBLANK(#REF!),"·",#REF!/#REF!)</f>
        <v>#REF!</v>
      </c>
      <c r="O66" s="36"/>
      <c r="P66" s="37"/>
      <c r="Q66" s="37"/>
      <c r="R66" s="37"/>
      <c r="S66" s="38"/>
      <c r="T66" s="39"/>
      <c r="U66" s="39"/>
      <c r="V66" s="39"/>
      <c r="W66" s="40"/>
      <c r="X66" s="39"/>
      <c r="Y66" s="39"/>
      <c r="Z66" s="39"/>
      <c r="AA66" s="40"/>
      <c r="AB66" s="41"/>
      <c r="AC66" s="41"/>
      <c r="AE66" s="33" t="str">
        <f t="shared" si="0"/>
        <v>·</v>
      </c>
      <c r="AF66" s="34" t="str">
        <f t="shared" si="1"/>
        <v>·</v>
      </c>
      <c r="AG66" s="34" t="str">
        <f t="shared" si="2"/>
        <v>·</v>
      </c>
      <c r="AH66" s="34" t="str">
        <f t="shared" si="3"/>
        <v>·</v>
      </c>
      <c r="AI66" s="35"/>
      <c r="AJ66" s="34" t="str">
        <f t="shared" si="4"/>
        <v>·</v>
      </c>
      <c r="BA66" s="42" t="e">
        <f>(Q66/P66) - (#REF!/#REF!)</f>
        <v>#DIV/0!</v>
      </c>
      <c r="BB66" s="42"/>
      <c r="BD66" s="43"/>
      <c r="BE66" s="43"/>
      <c r="BF66" s="43"/>
      <c r="BG66" s="44"/>
      <c r="BI66" s="43"/>
      <c r="BJ66" s="43"/>
      <c r="BK66" s="43"/>
      <c r="BL66" s="44"/>
      <c r="BN66" s="43"/>
      <c r="BO66" s="43"/>
      <c r="BP66" s="43"/>
      <c r="BQ66" s="44"/>
      <c r="BS66" s="43"/>
      <c r="BT66" s="43"/>
      <c r="BU66" s="43"/>
      <c r="BV66" s="44"/>
    </row>
    <row r="67" spans="1:74" outlineLevel="1" x14ac:dyDescent="0.15">
      <c r="A67" s="15"/>
      <c r="B67" s="15" t="s">
        <v>267</v>
      </c>
      <c r="C67" s="16" t="s">
        <v>227</v>
      </c>
      <c r="D67" s="15">
        <v>19702134</v>
      </c>
      <c r="E67" s="17">
        <v>14</v>
      </c>
      <c r="F67" s="16">
        <v>1</v>
      </c>
      <c r="G67" s="16"/>
      <c r="I67" s="18" t="str">
        <f>IF(OR(ISBLANK(#REF!),ISBLANK(G67)),"·",#REF!*G67/F67/1000000)</f>
        <v>·</v>
      </c>
      <c r="J67" s="19" t="e">
        <f>IF(ISBLANK(#REF!),"·",#REF!/D67)</f>
        <v>#REF!</v>
      </c>
      <c r="K67" s="19" t="e">
        <f>IF(#REF!="","·",#REF!/D67)</f>
        <v>#REF!</v>
      </c>
      <c r="L67" s="19" t="e">
        <f>IF(ISBLANK(#REF!),"·",#REF!/D67)</f>
        <v>#REF!</v>
      </c>
      <c r="M67" s="20"/>
      <c r="N67" s="19" t="e">
        <f>IF(ISBLANK(#REF!),"·",#REF!/#REF!)</f>
        <v>#REF!</v>
      </c>
      <c r="O67" s="21"/>
      <c r="P67" s="22"/>
      <c r="Q67" s="22"/>
      <c r="R67" s="22"/>
      <c r="S67" s="23"/>
      <c r="T67" s="24"/>
      <c r="U67" s="24"/>
      <c r="V67" s="24"/>
      <c r="W67" s="25"/>
      <c r="X67" s="24"/>
      <c r="Y67" s="24"/>
      <c r="Z67" s="24"/>
      <c r="AA67" s="25"/>
      <c r="AB67" s="26"/>
      <c r="AC67" s="26"/>
      <c r="AE67" s="18" t="str">
        <f t="shared" si="0"/>
        <v>·</v>
      </c>
      <c r="AF67" s="19" t="str">
        <f t="shared" si="1"/>
        <v>·</v>
      </c>
      <c r="AG67" s="19" t="str">
        <f t="shared" si="2"/>
        <v>·</v>
      </c>
      <c r="AH67" s="19" t="str">
        <f t="shared" si="3"/>
        <v>·</v>
      </c>
      <c r="AI67" s="20"/>
      <c r="AJ67" s="19" t="str">
        <f t="shared" si="4"/>
        <v>·</v>
      </c>
      <c r="BA67" s="27" t="e">
        <f>(Q67/P67) - (#REF!/#REF!)</f>
        <v>#DIV/0!</v>
      </c>
      <c r="BB67" s="27"/>
      <c r="BD67" s="28"/>
      <c r="BE67" s="28"/>
      <c r="BF67" s="28"/>
      <c r="BG67" s="29"/>
      <c r="BI67" s="28"/>
      <c r="BJ67" s="28"/>
      <c r="BK67" s="28"/>
      <c r="BL67" s="29"/>
      <c r="BN67" s="28"/>
      <c r="BO67" s="28"/>
      <c r="BP67" s="28"/>
      <c r="BQ67" s="29"/>
      <c r="BS67" s="28"/>
      <c r="BT67" s="28"/>
      <c r="BU67" s="28"/>
      <c r="BV67" s="29"/>
    </row>
    <row r="68" spans="1:74" outlineLevel="1" x14ac:dyDescent="0.15">
      <c r="A68" s="30"/>
      <c r="B68" s="30" t="s">
        <v>267</v>
      </c>
      <c r="C68" s="31" t="s">
        <v>228</v>
      </c>
      <c r="D68" s="30">
        <v>19702134</v>
      </c>
      <c r="E68" s="32">
        <v>14</v>
      </c>
      <c r="F68" s="31">
        <v>1</v>
      </c>
      <c r="G68" s="31"/>
      <c r="I68" s="33" t="str">
        <f>IF(OR(ISBLANK(#REF!),ISBLANK(G68)),"·",#REF!*G68/F68/1000000)</f>
        <v>·</v>
      </c>
      <c r="J68" s="34" t="e">
        <f>IF(ISBLANK(#REF!),"·",#REF!/D68)</f>
        <v>#REF!</v>
      </c>
      <c r="K68" s="34" t="e">
        <f>IF(#REF!="","·",#REF!/D68)</f>
        <v>#REF!</v>
      </c>
      <c r="L68" s="34" t="e">
        <f>IF(ISBLANK(#REF!),"·",#REF!/D68)</f>
        <v>#REF!</v>
      </c>
      <c r="M68" s="35"/>
      <c r="N68" s="34" t="e">
        <f>IF(ISBLANK(#REF!),"·",#REF!/#REF!)</f>
        <v>#REF!</v>
      </c>
      <c r="O68" s="36"/>
      <c r="P68" s="37"/>
      <c r="Q68" s="37"/>
      <c r="R68" s="37"/>
      <c r="S68" s="38"/>
      <c r="T68" s="39"/>
      <c r="U68" s="39"/>
      <c r="V68" s="39"/>
      <c r="W68" s="40"/>
      <c r="X68" s="39"/>
      <c r="Y68" s="39"/>
      <c r="Z68" s="39"/>
      <c r="AA68" s="40"/>
      <c r="AB68" s="41"/>
      <c r="AC68" s="41"/>
      <c r="AE68" s="33" t="str">
        <f t="shared" si="0"/>
        <v>·</v>
      </c>
      <c r="AF68" s="34" t="str">
        <f t="shared" si="1"/>
        <v>·</v>
      </c>
      <c r="AG68" s="34" t="str">
        <f t="shared" si="2"/>
        <v>·</v>
      </c>
      <c r="AH68" s="34" t="str">
        <f t="shared" si="3"/>
        <v>·</v>
      </c>
      <c r="AI68" s="35"/>
      <c r="AJ68" s="34" t="str">
        <f t="shared" si="4"/>
        <v>·</v>
      </c>
      <c r="BA68" s="42" t="e">
        <f>(Q68/P68) - (#REF!/#REF!)</f>
        <v>#DIV/0!</v>
      </c>
      <c r="BB68" s="42"/>
      <c r="BD68" s="43"/>
      <c r="BE68" s="43"/>
      <c r="BF68" s="43"/>
      <c r="BG68" s="44"/>
      <c r="BI68" s="43"/>
      <c r="BJ68" s="43"/>
      <c r="BK68" s="43"/>
      <c r="BL68" s="44"/>
      <c r="BN68" s="43"/>
      <c r="BO68" s="43"/>
      <c r="BP68" s="43"/>
      <c r="BQ68" s="44"/>
      <c r="BS68" s="43"/>
      <c r="BT68" s="43"/>
      <c r="BU68" s="43"/>
      <c r="BV68" s="44"/>
    </row>
    <row r="69" spans="1:74" ht="14.25" outlineLevel="1" thickBot="1" x14ac:dyDescent="0.2">
      <c r="A69" s="15"/>
      <c r="B69" s="64" t="s">
        <v>267</v>
      </c>
      <c r="C69" s="66" t="s">
        <v>229</v>
      </c>
      <c r="D69" s="64">
        <v>19702134</v>
      </c>
      <c r="E69" s="65">
        <v>14</v>
      </c>
      <c r="F69" s="66">
        <v>1</v>
      </c>
      <c r="G69" s="66"/>
      <c r="I69" s="68" t="str">
        <f>IF(OR(ISBLANK(#REF!),ISBLANK(G69)),"·",#REF!*G69/F69/1000000)</f>
        <v>·</v>
      </c>
      <c r="J69" s="69" t="e">
        <f>IF(ISBLANK(#REF!),"·",#REF!/D69)</f>
        <v>#REF!</v>
      </c>
      <c r="K69" s="69" t="e">
        <f>IF(#REF!="","·",#REF!/D69)</f>
        <v>#REF!</v>
      </c>
      <c r="L69" s="69" t="e">
        <f>IF(ISBLANK(#REF!),"·",#REF!/D69)</f>
        <v>#REF!</v>
      </c>
      <c r="M69" s="70"/>
      <c r="N69" s="69" t="e">
        <f>IF(ISBLANK(#REF!),"·",#REF!/#REF!)</f>
        <v>#REF!</v>
      </c>
      <c r="O69" s="71"/>
      <c r="P69" s="72"/>
      <c r="Q69" s="72"/>
      <c r="R69" s="72"/>
      <c r="S69" s="73"/>
      <c r="T69" s="77"/>
      <c r="U69" s="77"/>
      <c r="V69" s="77"/>
      <c r="W69" s="78"/>
      <c r="X69" s="77"/>
      <c r="Y69" s="77"/>
      <c r="Z69" s="77"/>
      <c r="AA69" s="78"/>
      <c r="AB69" s="74"/>
      <c r="AC69" s="74"/>
      <c r="AE69" s="68" t="str">
        <f t="shared" ref="AE69:AE132" si="5">IF(OR(ISBLANK(P69),ISBLANK(G69)),"·",P69*G69/F69/1000000)</f>
        <v>·</v>
      </c>
      <c r="AF69" s="69" t="str">
        <f t="shared" ref="AF69:AF132" si="6">IF(ISBLANK(P69),"·",P69/D69)</f>
        <v>·</v>
      </c>
      <c r="AG69" s="69" t="str">
        <f t="shared" ref="AG69:AG132" si="7">IF(Q69="","·",Q69/D69)</f>
        <v>·</v>
      </c>
      <c r="AH69" s="69" t="str">
        <f t="shared" ref="AH69:AH132" si="8">IF(ISBLANK(R69),"·",R69/D69)</f>
        <v>·</v>
      </c>
      <c r="AI69" s="70"/>
      <c r="AJ69" s="69" t="str">
        <f t="shared" ref="AJ69:AJ132" si="9">IF(ISBLANK(P69),"·",P69/O69)</f>
        <v>·</v>
      </c>
      <c r="BA69" s="67" t="e">
        <f>(Q69/P69) - (#REF!/#REF!)</f>
        <v>#DIV/0!</v>
      </c>
      <c r="BB69" s="67"/>
      <c r="BD69" s="75"/>
      <c r="BE69" s="75"/>
      <c r="BF69" s="75"/>
      <c r="BG69" s="76"/>
      <c r="BI69" s="75"/>
      <c r="BJ69" s="75"/>
      <c r="BK69" s="75"/>
      <c r="BL69" s="76"/>
      <c r="BN69" s="75"/>
      <c r="BO69" s="75"/>
      <c r="BP69" s="75"/>
      <c r="BQ69" s="76"/>
      <c r="BS69" s="75"/>
      <c r="BT69" s="75"/>
      <c r="BU69" s="75"/>
      <c r="BV69" s="76"/>
    </row>
    <row r="70" spans="1:74" x14ac:dyDescent="0.15">
      <c r="A70" s="30"/>
      <c r="B70" s="30" t="s">
        <v>270</v>
      </c>
      <c r="C70" s="31" t="s">
        <v>225</v>
      </c>
      <c r="D70" s="30">
        <v>3614251</v>
      </c>
      <c r="E70" s="32">
        <v>12</v>
      </c>
      <c r="F70" s="31">
        <v>1</v>
      </c>
      <c r="G70" s="31"/>
      <c r="I70" s="33" t="str">
        <f>IF(OR(ISBLANK(#REF!),ISBLANK(G70)),"·",#REF!*G70/F70/1000000)</f>
        <v>·</v>
      </c>
      <c r="J70" s="34" t="e">
        <f>IF(ISBLANK(#REF!),"·",#REF!/D70)</f>
        <v>#REF!</v>
      </c>
      <c r="K70" s="34" t="e">
        <f>IF(#REF!="","·",#REF!/D70)</f>
        <v>#REF!</v>
      </c>
      <c r="L70" s="34" t="e">
        <f>IF(ISBLANK(#REF!),"·",#REF!/D70)</f>
        <v>#REF!</v>
      </c>
      <c r="M70" s="35"/>
      <c r="N70" s="34" t="e">
        <f>IF(ISBLANK(#REF!),"·",#REF!/#REF!)</f>
        <v>#REF!</v>
      </c>
      <c r="O70" s="36"/>
      <c r="P70" s="37"/>
      <c r="Q70" s="37"/>
      <c r="R70" s="37"/>
      <c r="S70" s="38"/>
      <c r="T70" s="39"/>
      <c r="U70" s="39"/>
      <c r="V70" s="39"/>
      <c r="W70" s="40"/>
      <c r="X70" s="39"/>
      <c r="Y70" s="39"/>
      <c r="Z70" s="39"/>
      <c r="AA70" s="40"/>
      <c r="AB70" s="41"/>
      <c r="AC70" s="41"/>
      <c r="AE70" s="33" t="str">
        <f t="shared" si="5"/>
        <v>·</v>
      </c>
      <c r="AF70" s="34" t="str">
        <f t="shared" si="6"/>
        <v>·</v>
      </c>
      <c r="AG70" s="34" t="str">
        <f t="shared" si="7"/>
        <v>·</v>
      </c>
      <c r="AH70" s="34" t="str">
        <f t="shared" si="8"/>
        <v>·</v>
      </c>
      <c r="AI70" s="35"/>
      <c r="AJ70" s="34" t="str">
        <f t="shared" si="9"/>
        <v>·</v>
      </c>
      <c r="BA70" s="42" t="e">
        <f>(Q70/P70) - (#REF!/#REF!)</f>
        <v>#DIV/0!</v>
      </c>
      <c r="BB70" s="42" t="e">
        <f t="array" ref="BB70">AVERAGE(Q70:Q74/P70:P74) - AVERAGE(#REF!/#REF!)</f>
        <v>#DIV/0!</v>
      </c>
      <c r="BD70" s="43" t="str">
        <f>_xlfn.SINGLE(IF( OR(ISBLANK(_xlfn.SINGLE(#REF!)),ISBLANK(_xlfn.SINGLE(R70:R74)), ISBLANK(_xlfn.SINGLE(#REF!)),ISBLANK(_xlfn.SINGLE(T70:T74))), "·", bdRateExtend(#REF!,#REF!, R70:R74,T70:T74)))</f>
        <v>·</v>
      </c>
      <c r="BE70" s="43" t="str">
        <f>_xlfn.SINGLE(IF( OR(ISBLANK(_xlfn.SINGLE(#REF!)),ISBLANK(_xlfn.SINGLE(R70:R74)), ISBLANK(_xlfn.SINGLE(#REF!)),ISBLANK(_xlfn.SINGLE(U70:U74))), "·", bdRateExtend(#REF!,#REF!, R70:R74,U70:U74)))</f>
        <v>·</v>
      </c>
      <c r="BF70" s="43" t="str">
        <f>_xlfn.SINGLE(IF( OR(ISBLANK(_xlfn.SINGLE(#REF!)),ISBLANK(_xlfn.SINGLE(R70:R74)), ISBLANK(_xlfn.SINGLE(#REF!)),ISBLANK(_xlfn.SINGLE(V70:V74))), "·", bdRateExtend(#REF!,#REF!, R70:R74,V70:V74)))</f>
        <v>·</v>
      </c>
      <c r="BG70" s="44"/>
      <c r="BI70" s="43" t="str">
        <f>_xlfn.SINGLE(IF( OR(ISBLANK(_xlfn.SINGLE(#REF!)),ISBLANK(_xlfn.SINGLE(R70:R74)), ISBLANK(_xlfn.SINGLE(#REF!)),ISBLANK(_xlfn.SINGLE(X70:X74))), "·", bdRateExtend(#REF!,#REF!, R70:R74,X70:X74)))</f>
        <v>·</v>
      </c>
      <c r="BJ70" s="43" t="str">
        <f>_xlfn.SINGLE(IF( OR(ISBLANK(_xlfn.SINGLE(#REF!)),ISBLANK(_xlfn.SINGLE(R70:R74)), ISBLANK(_xlfn.SINGLE(#REF!)),ISBLANK(_xlfn.SINGLE(Y70:Y74))), "·", bdRateExtend(#REF!,#REF!, R70:R74,Y70:Y74)))</f>
        <v>·</v>
      </c>
      <c r="BK70" s="43" t="str">
        <f>_xlfn.SINGLE(IF( OR(ISBLANK(_xlfn.SINGLE(#REF!)),ISBLANK(_xlfn.SINGLE(R70:R74)), ISBLANK(_xlfn.SINGLE(#REF!)),ISBLANK(_xlfn.SINGLE(Z70:Z74))), "·", bdRateExtend(#REF!,#REF!, R70:R74,Z70:Z74)))</f>
        <v>·</v>
      </c>
      <c r="BL70" s="44"/>
      <c r="BN70" s="43" t="str">
        <f>_xlfn.SINGLE(IF( OR(ISBLANK(_xlfn.SINGLE(#REF!)),ISBLANK(_xlfn.SINGLE(P70:P74)), ISBLANK(_xlfn.SINGLE(#REF!)),ISBLANK(_xlfn.SINGLE(T70:T74))), "·", bdRateExtend(#REF!,#REF!, P70:P74,T70:T74)))</f>
        <v>·</v>
      </c>
      <c r="BO70" s="43" t="str">
        <f>_xlfn.SINGLE(IF( OR(ISBLANK(_xlfn.SINGLE(#REF!)),ISBLANK(_xlfn.SINGLE(P70:P74)), ISBLANK(_xlfn.SINGLE(#REF!)),ISBLANK(_xlfn.SINGLE(U70:U74))), "·", bdRateExtend(#REF!,#REF!, P70:P74,U70:U74)))</f>
        <v>·</v>
      </c>
      <c r="BP70" s="43" t="str">
        <f>_xlfn.SINGLE(IF( OR(ISBLANK(_xlfn.SINGLE(#REF!)),ISBLANK(_xlfn.SINGLE(P70:P74)), ISBLANK(_xlfn.SINGLE(#REF!)),ISBLANK(_xlfn.SINGLE(V70:V74))), "·", bdRateExtend(#REF!,#REF!, P70:P74,V70:V74)))</f>
        <v>·</v>
      </c>
      <c r="BQ70" s="44"/>
      <c r="BS70" s="43" t="str">
        <f>_xlfn.SINGLE(IF( OR(ISBLANK(_xlfn.SINGLE(#REF!)),ISBLANK(_xlfn.SINGLE(P70:P74)), ISBLANK(_xlfn.SINGLE(#REF!)),ISBLANK(_xlfn.SINGLE(X70:X74))), "·", bdRateExtend(#REF!,#REF!, P70:P74,X70:X74)))</f>
        <v>·</v>
      </c>
      <c r="BT70" s="43" t="str">
        <f>_xlfn.SINGLE(IF( OR(ISBLANK(_xlfn.SINGLE(#REF!)),ISBLANK(_xlfn.SINGLE(P70:P74)), ISBLANK(_xlfn.SINGLE(#REF!)),ISBLANK(_xlfn.SINGLE(Y70:Y74))), "·", bdRateExtend(#REF!,#REF!, P70:P74,Y70:Y74)))</f>
        <v>·</v>
      </c>
      <c r="BU70" s="43" t="str">
        <f>_xlfn.SINGLE(IF( OR(ISBLANK(_xlfn.SINGLE(#REF!)),ISBLANK(_xlfn.SINGLE(P70:P74)), ISBLANK(_xlfn.SINGLE(#REF!)),ISBLANK(_xlfn.SINGLE(Z70:Z74))), "·", bdRateExtend(#REF!,#REF!, P70:P74,Z70:Z74)))</f>
        <v>·</v>
      </c>
      <c r="BV70" s="44"/>
    </row>
    <row r="71" spans="1:74" outlineLevel="1" x14ac:dyDescent="0.15">
      <c r="A71" s="15"/>
      <c r="B71" s="15" t="s">
        <v>270</v>
      </c>
      <c r="C71" s="16" t="s">
        <v>226</v>
      </c>
      <c r="D71" s="15">
        <v>3614251</v>
      </c>
      <c r="E71" s="17">
        <v>12</v>
      </c>
      <c r="F71" s="16">
        <v>1</v>
      </c>
      <c r="G71" s="16"/>
      <c r="I71" s="18" t="str">
        <f>IF(OR(ISBLANK(#REF!),ISBLANK(G71)),"·",#REF!*G71/F71/1000000)</f>
        <v>·</v>
      </c>
      <c r="J71" s="19" t="e">
        <f>IF(ISBLANK(#REF!),"·",#REF!/D71)</f>
        <v>#REF!</v>
      </c>
      <c r="K71" s="19" t="e">
        <f>IF(#REF!="","·",#REF!/D71)</f>
        <v>#REF!</v>
      </c>
      <c r="L71" s="19" t="e">
        <f>IF(ISBLANK(#REF!),"·",#REF!/D71)</f>
        <v>#REF!</v>
      </c>
      <c r="M71" s="20"/>
      <c r="N71" s="19" t="e">
        <f>IF(ISBLANK(#REF!),"·",#REF!/#REF!)</f>
        <v>#REF!</v>
      </c>
      <c r="O71" s="21"/>
      <c r="P71" s="22"/>
      <c r="Q71" s="22"/>
      <c r="R71" s="22"/>
      <c r="S71" s="23"/>
      <c r="T71" s="24"/>
      <c r="U71" s="24"/>
      <c r="V71" s="24"/>
      <c r="W71" s="25"/>
      <c r="X71" s="24"/>
      <c r="Y71" s="24"/>
      <c r="Z71" s="24"/>
      <c r="AA71" s="25"/>
      <c r="AB71" s="26"/>
      <c r="AC71" s="26"/>
      <c r="AE71" s="18" t="str">
        <f t="shared" si="5"/>
        <v>·</v>
      </c>
      <c r="AF71" s="19" t="str">
        <f t="shared" si="6"/>
        <v>·</v>
      </c>
      <c r="AG71" s="19" t="str">
        <f t="shared" si="7"/>
        <v>·</v>
      </c>
      <c r="AH71" s="19" t="str">
        <f t="shared" si="8"/>
        <v>·</v>
      </c>
      <c r="AI71" s="20"/>
      <c r="AJ71" s="19" t="str">
        <f t="shared" si="9"/>
        <v>·</v>
      </c>
      <c r="BA71" s="27" t="e">
        <f>(Q71/P71) - (#REF!/#REF!)</f>
        <v>#DIV/0!</v>
      </c>
      <c r="BB71" s="27"/>
      <c r="BD71" s="28"/>
      <c r="BE71" s="28"/>
      <c r="BF71" s="28"/>
      <c r="BG71" s="29"/>
      <c r="BI71" s="28"/>
      <c r="BJ71" s="28"/>
      <c r="BK71" s="28"/>
      <c r="BL71" s="29"/>
      <c r="BN71" s="28"/>
      <c r="BO71" s="28"/>
      <c r="BP71" s="28"/>
      <c r="BQ71" s="29"/>
      <c r="BS71" s="28"/>
      <c r="BT71" s="28"/>
      <c r="BU71" s="28"/>
      <c r="BV71" s="29"/>
    </row>
    <row r="72" spans="1:74" outlineLevel="1" x14ac:dyDescent="0.15">
      <c r="A72" s="30"/>
      <c r="B72" s="30" t="s">
        <v>270</v>
      </c>
      <c r="C72" s="31" t="s">
        <v>227</v>
      </c>
      <c r="D72" s="30">
        <v>3614251</v>
      </c>
      <c r="E72" s="32">
        <v>12</v>
      </c>
      <c r="F72" s="31">
        <v>1</v>
      </c>
      <c r="G72" s="31"/>
      <c r="I72" s="33" t="str">
        <f>IF(OR(ISBLANK(#REF!),ISBLANK(G72)),"·",#REF!*G72/F72/1000000)</f>
        <v>·</v>
      </c>
      <c r="J72" s="34" t="e">
        <f>IF(ISBLANK(#REF!),"·",#REF!/D72)</f>
        <v>#REF!</v>
      </c>
      <c r="K72" s="34" t="e">
        <f>IF(#REF!="","·",#REF!/D72)</f>
        <v>#REF!</v>
      </c>
      <c r="L72" s="34" t="e">
        <f>IF(ISBLANK(#REF!),"·",#REF!/D72)</f>
        <v>#REF!</v>
      </c>
      <c r="M72" s="35"/>
      <c r="N72" s="34" t="e">
        <f>IF(ISBLANK(#REF!),"·",#REF!/#REF!)</f>
        <v>#REF!</v>
      </c>
      <c r="O72" s="36"/>
      <c r="P72" s="37"/>
      <c r="Q72" s="37"/>
      <c r="R72" s="37"/>
      <c r="S72" s="38"/>
      <c r="T72" s="39"/>
      <c r="U72" s="39"/>
      <c r="V72" s="39"/>
      <c r="W72" s="40"/>
      <c r="X72" s="39"/>
      <c r="Y72" s="39"/>
      <c r="Z72" s="39"/>
      <c r="AA72" s="40"/>
      <c r="AB72" s="41"/>
      <c r="AC72" s="41"/>
      <c r="AE72" s="33" t="str">
        <f t="shared" si="5"/>
        <v>·</v>
      </c>
      <c r="AF72" s="34" t="str">
        <f t="shared" si="6"/>
        <v>·</v>
      </c>
      <c r="AG72" s="34" t="str">
        <f t="shared" si="7"/>
        <v>·</v>
      </c>
      <c r="AH72" s="34" t="str">
        <f t="shared" si="8"/>
        <v>·</v>
      </c>
      <c r="AI72" s="35"/>
      <c r="AJ72" s="34" t="str">
        <f t="shared" si="9"/>
        <v>·</v>
      </c>
      <c r="BA72" s="42" t="e">
        <f>(Q72/P72) - (#REF!/#REF!)</f>
        <v>#DIV/0!</v>
      </c>
      <c r="BB72" s="42"/>
      <c r="BD72" s="43"/>
      <c r="BE72" s="43"/>
      <c r="BF72" s="43"/>
      <c r="BG72" s="44"/>
      <c r="BI72" s="43"/>
      <c r="BJ72" s="43"/>
      <c r="BK72" s="43"/>
      <c r="BL72" s="44"/>
      <c r="BN72" s="43"/>
      <c r="BO72" s="43"/>
      <c r="BP72" s="43"/>
      <c r="BQ72" s="44"/>
      <c r="BS72" s="43"/>
      <c r="BT72" s="43"/>
      <c r="BU72" s="43"/>
      <c r="BV72" s="44"/>
    </row>
    <row r="73" spans="1:74" outlineLevel="1" x14ac:dyDescent="0.15">
      <c r="A73" s="15"/>
      <c r="B73" s="15" t="s">
        <v>270</v>
      </c>
      <c r="C73" s="16" t="s">
        <v>228</v>
      </c>
      <c r="D73" s="15">
        <v>3614251</v>
      </c>
      <c r="E73" s="17">
        <v>12</v>
      </c>
      <c r="F73" s="16">
        <v>1</v>
      </c>
      <c r="G73" s="16"/>
      <c r="I73" s="18" t="str">
        <f>IF(OR(ISBLANK(#REF!),ISBLANK(G73)),"·",#REF!*G73/F73/1000000)</f>
        <v>·</v>
      </c>
      <c r="J73" s="19" t="e">
        <f>IF(ISBLANK(#REF!),"·",#REF!/D73)</f>
        <v>#REF!</v>
      </c>
      <c r="K73" s="19" t="e">
        <f>IF(#REF!="","·",#REF!/D73)</f>
        <v>#REF!</v>
      </c>
      <c r="L73" s="19" t="e">
        <f>IF(ISBLANK(#REF!),"·",#REF!/D73)</f>
        <v>#REF!</v>
      </c>
      <c r="M73" s="20"/>
      <c r="N73" s="19" t="e">
        <f>IF(ISBLANK(#REF!),"·",#REF!/#REF!)</f>
        <v>#REF!</v>
      </c>
      <c r="O73" s="21"/>
      <c r="P73" s="22"/>
      <c r="Q73" s="22"/>
      <c r="R73" s="22"/>
      <c r="S73" s="23"/>
      <c r="T73" s="24"/>
      <c r="U73" s="24"/>
      <c r="V73" s="24"/>
      <c r="W73" s="25"/>
      <c r="X73" s="24"/>
      <c r="Y73" s="24"/>
      <c r="Z73" s="24"/>
      <c r="AA73" s="25"/>
      <c r="AB73" s="26"/>
      <c r="AC73" s="26"/>
      <c r="AE73" s="18" t="str">
        <f t="shared" si="5"/>
        <v>·</v>
      </c>
      <c r="AF73" s="19" t="str">
        <f t="shared" si="6"/>
        <v>·</v>
      </c>
      <c r="AG73" s="19" t="str">
        <f t="shared" si="7"/>
        <v>·</v>
      </c>
      <c r="AH73" s="19" t="str">
        <f t="shared" si="8"/>
        <v>·</v>
      </c>
      <c r="AI73" s="20"/>
      <c r="AJ73" s="19" t="str">
        <f t="shared" si="9"/>
        <v>·</v>
      </c>
      <c r="BA73" s="27" t="e">
        <f>(Q73/P73) - (#REF!/#REF!)</f>
        <v>#DIV/0!</v>
      </c>
      <c r="BB73" s="27"/>
      <c r="BD73" s="28"/>
      <c r="BE73" s="28"/>
      <c r="BF73" s="28"/>
      <c r="BG73" s="29"/>
      <c r="BI73" s="28"/>
      <c r="BJ73" s="28"/>
      <c r="BK73" s="28"/>
      <c r="BL73" s="29"/>
      <c r="BN73" s="28"/>
      <c r="BO73" s="28"/>
      <c r="BP73" s="28"/>
      <c r="BQ73" s="29"/>
      <c r="BS73" s="28"/>
      <c r="BT73" s="28"/>
      <c r="BU73" s="28"/>
      <c r="BV73" s="29"/>
    </row>
    <row r="74" spans="1:74" ht="14.25" outlineLevel="1" thickBot="1" x14ac:dyDescent="0.2">
      <c r="A74" s="30"/>
      <c r="B74" s="45" t="s">
        <v>270</v>
      </c>
      <c r="C74" s="46" t="s">
        <v>229</v>
      </c>
      <c r="D74" s="45">
        <v>3614251</v>
      </c>
      <c r="E74" s="47">
        <v>12</v>
      </c>
      <c r="F74" s="46">
        <v>1</v>
      </c>
      <c r="G74" s="46"/>
      <c r="I74" s="48" t="str">
        <f>IF(OR(ISBLANK(#REF!),ISBLANK(G74)),"·",#REF!*G74/F74/1000000)</f>
        <v>·</v>
      </c>
      <c r="J74" s="49" t="e">
        <f>IF(ISBLANK(#REF!),"·",#REF!/D74)</f>
        <v>#REF!</v>
      </c>
      <c r="K74" s="49" t="e">
        <f>IF(#REF!="","·",#REF!/D74)</f>
        <v>#REF!</v>
      </c>
      <c r="L74" s="49" t="e">
        <f>IF(ISBLANK(#REF!),"·",#REF!/D74)</f>
        <v>#REF!</v>
      </c>
      <c r="M74" s="50"/>
      <c r="N74" s="49" t="e">
        <f>IF(ISBLANK(#REF!),"·",#REF!/#REF!)</f>
        <v>#REF!</v>
      </c>
      <c r="O74" s="51"/>
      <c r="P74" s="52"/>
      <c r="Q74" s="52"/>
      <c r="R74" s="52"/>
      <c r="S74" s="53"/>
      <c r="T74" s="54"/>
      <c r="U74" s="54"/>
      <c r="V74" s="54"/>
      <c r="W74" s="55"/>
      <c r="X74" s="54"/>
      <c r="Y74" s="54"/>
      <c r="Z74" s="54"/>
      <c r="AA74" s="55"/>
      <c r="AB74" s="56"/>
      <c r="AC74" s="56"/>
      <c r="AE74" s="48" t="str">
        <f t="shared" si="5"/>
        <v>·</v>
      </c>
      <c r="AF74" s="49" t="str">
        <f t="shared" si="6"/>
        <v>·</v>
      </c>
      <c r="AG74" s="49" t="str">
        <f t="shared" si="7"/>
        <v>·</v>
      </c>
      <c r="AH74" s="49" t="str">
        <f t="shared" si="8"/>
        <v>·</v>
      </c>
      <c r="AI74" s="50"/>
      <c r="AJ74" s="49" t="str">
        <f t="shared" si="9"/>
        <v>·</v>
      </c>
      <c r="BA74" s="57" t="e">
        <f>(Q74/P74) - (#REF!/#REF!)</f>
        <v>#DIV/0!</v>
      </c>
      <c r="BB74" s="57"/>
      <c r="BD74" s="58"/>
      <c r="BE74" s="58"/>
      <c r="BF74" s="58"/>
      <c r="BG74" s="59"/>
      <c r="BI74" s="58"/>
      <c r="BJ74" s="58"/>
      <c r="BK74" s="58"/>
      <c r="BL74" s="59"/>
      <c r="BN74" s="58"/>
      <c r="BO74" s="58"/>
      <c r="BP74" s="58"/>
      <c r="BQ74" s="59"/>
      <c r="BS74" s="58"/>
      <c r="BT74" s="58"/>
      <c r="BU74" s="58"/>
      <c r="BV74" s="59"/>
    </row>
    <row r="75" spans="1:74" x14ac:dyDescent="0.15">
      <c r="A75" s="15"/>
      <c r="B75" s="15" t="s">
        <v>273</v>
      </c>
      <c r="C75" s="16" t="s">
        <v>225</v>
      </c>
      <c r="D75" s="15">
        <v>13903516</v>
      </c>
      <c r="E75" s="17">
        <v>12</v>
      </c>
      <c r="F75" s="16">
        <v>1</v>
      </c>
      <c r="G75" s="16"/>
      <c r="I75" s="18" t="str">
        <f>IF(OR(ISBLANK(#REF!),ISBLANK(G75)),"·",#REF!*G75/F75/1000000)</f>
        <v>·</v>
      </c>
      <c r="J75" s="19" t="e">
        <f>IF(ISBLANK(#REF!),"·",#REF!/D75)</f>
        <v>#REF!</v>
      </c>
      <c r="K75" s="19" t="e">
        <f>IF(#REF!="","·",#REF!/D75)</f>
        <v>#REF!</v>
      </c>
      <c r="L75" s="19" t="e">
        <f>IF(ISBLANK(#REF!),"·",#REF!/D75)</f>
        <v>#REF!</v>
      </c>
      <c r="M75" s="20"/>
      <c r="N75" s="19" t="e">
        <f>IF(ISBLANK(#REF!),"·",#REF!/#REF!)</f>
        <v>#REF!</v>
      </c>
      <c r="O75" s="21"/>
      <c r="P75" s="22"/>
      <c r="Q75" s="22"/>
      <c r="R75" s="22"/>
      <c r="S75" s="23"/>
      <c r="T75" s="24"/>
      <c r="U75" s="24"/>
      <c r="V75" s="24"/>
      <c r="W75" s="25"/>
      <c r="X75" s="24"/>
      <c r="Y75" s="24"/>
      <c r="Z75" s="24"/>
      <c r="AA75" s="25"/>
      <c r="AB75" s="26"/>
      <c r="AC75" s="26"/>
      <c r="AE75" s="18" t="str">
        <f t="shared" si="5"/>
        <v>·</v>
      </c>
      <c r="AF75" s="19" t="str">
        <f t="shared" si="6"/>
        <v>·</v>
      </c>
      <c r="AG75" s="19" t="str">
        <f t="shared" si="7"/>
        <v>·</v>
      </c>
      <c r="AH75" s="19" t="str">
        <f t="shared" si="8"/>
        <v>·</v>
      </c>
      <c r="AI75" s="20"/>
      <c r="AJ75" s="19" t="str">
        <f t="shared" si="9"/>
        <v>·</v>
      </c>
      <c r="BA75" s="27" t="e">
        <f>(Q75/P75) - (#REF!/#REF!)</f>
        <v>#DIV/0!</v>
      </c>
      <c r="BB75" s="27" t="e">
        <f t="array" ref="BB75">AVERAGE(Q75:Q79/P75:P79) - AVERAGE(#REF!/#REF!)</f>
        <v>#DIV/0!</v>
      </c>
      <c r="BD75" s="28" t="str">
        <f>_xlfn.SINGLE(IF( OR(ISBLANK(_xlfn.SINGLE(#REF!)),ISBLANK(_xlfn.SINGLE(R75:R79)), ISBLANK(_xlfn.SINGLE(#REF!)),ISBLANK(_xlfn.SINGLE(T75:T79))), "·", bdRateExtend(#REF!,#REF!, R75:R79,T75:T79)))</f>
        <v>·</v>
      </c>
      <c r="BE75" s="28" t="str">
        <f>_xlfn.SINGLE(IF( OR(ISBLANK(_xlfn.SINGLE(#REF!)),ISBLANK(_xlfn.SINGLE(R75:R79)), ISBLANK(_xlfn.SINGLE(#REF!)),ISBLANK(_xlfn.SINGLE(U75:U79))), "·", bdRateExtend(#REF!,#REF!, R75:R79,U75:U79)))</f>
        <v>·</v>
      </c>
      <c r="BF75" s="28" t="str">
        <f>_xlfn.SINGLE(IF( OR(ISBLANK(_xlfn.SINGLE(#REF!)),ISBLANK(_xlfn.SINGLE(R75:R79)), ISBLANK(_xlfn.SINGLE(#REF!)),ISBLANK(_xlfn.SINGLE(V75:V79))), "·", bdRateExtend(#REF!,#REF!, R75:R79,V75:V79)))</f>
        <v>·</v>
      </c>
      <c r="BG75" s="29"/>
      <c r="BI75" s="28" t="str">
        <f>_xlfn.SINGLE(IF( OR(ISBLANK(_xlfn.SINGLE(#REF!)),ISBLANK(_xlfn.SINGLE(R75:R79)), ISBLANK(_xlfn.SINGLE(#REF!)),ISBLANK(_xlfn.SINGLE(X75:X79))), "·", bdRateExtend(#REF!,#REF!, R75:R79,X75:X79)))</f>
        <v>·</v>
      </c>
      <c r="BJ75" s="28" t="str">
        <f>_xlfn.SINGLE(IF( OR(ISBLANK(_xlfn.SINGLE(#REF!)),ISBLANK(_xlfn.SINGLE(R75:R79)), ISBLANK(_xlfn.SINGLE(#REF!)),ISBLANK(_xlfn.SINGLE(Y75:Y79))), "·", bdRateExtend(#REF!,#REF!, R75:R79,Y75:Y79)))</f>
        <v>·</v>
      </c>
      <c r="BK75" s="28" t="str">
        <f>_xlfn.SINGLE(IF( OR(ISBLANK(_xlfn.SINGLE(#REF!)),ISBLANK(_xlfn.SINGLE(R75:R79)), ISBLANK(_xlfn.SINGLE(#REF!)),ISBLANK(_xlfn.SINGLE(Z75:Z79))), "·", bdRateExtend(#REF!,#REF!, R75:R79,Z75:Z79)))</f>
        <v>·</v>
      </c>
      <c r="BL75" s="29"/>
      <c r="BN75" s="28" t="str">
        <f>_xlfn.SINGLE(IF( OR(ISBLANK(_xlfn.SINGLE(#REF!)),ISBLANK(_xlfn.SINGLE(P75:P79)), ISBLANK(_xlfn.SINGLE(#REF!)),ISBLANK(_xlfn.SINGLE(T75:T79))), "·", bdRateExtend(#REF!,#REF!, P75:P79,T75:T79)))</f>
        <v>·</v>
      </c>
      <c r="BO75" s="28" t="str">
        <f>_xlfn.SINGLE(IF( OR(ISBLANK(_xlfn.SINGLE(#REF!)),ISBLANK(_xlfn.SINGLE(P75:P79)), ISBLANK(_xlfn.SINGLE(#REF!)),ISBLANK(_xlfn.SINGLE(U75:U79))), "·", bdRateExtend(#REF!,#REF!, P75:P79,U75:U79)))</f>
        <v>·</v>
      </c>
      <c r="BP75" s="28" t="str">
        <f>_xlfn.SINGLE(IF( OR(ISBLANK(_xlfn.SINGLE(#REF!)),ISBLANK(_xlfn.SINGLE(P75:P79)), ISBLANK(_xlfn.SINGLE(#REF!)),ISBLANK(_xlfn.SINGLE(V75:V79))), "·", bdRateExtend(#REF!,#REF!, P75:P79,V75:V79)))</f>
        <v>·</v>
      </c>
      <c r="BQ75" s="29"/>
      <c r="BS75" s="28" t="str">
        <f>_xlfn.SINGLE(IF( OR(ISBLANK(_xlfn.SINGLE(#REF!)),ISBLANK(_xlfn.SINGLE(P75:P79)), ISBLANK(_xlfn.SINGLE(#REF!)),ISBLANK(_xlfn.SINGLE(X75:X79))), "·", bdRateExtend(#REF!,#REF!, P75:P79,X75:X79)))</f>
        <v>·</v>
      </c>
      <c r="BT75" s="28" t="str">
        <f>_xlfn.SINGLE(IF( OR(ISBLANK(_xlfn.SINGLE(#REF!)),ISBLANK(_xlfn.SINGLE(P75:P79)), ISBLANK(_xlfn.SINGLE(#REF!)),ISBLANK(_xlfn.SINGLE(Y75:Y79))), "·", bdRateExtend(#REF!,#REF!, P75:P79,Y75:Y79)))</f>
        <v>·</v>
      </c>
      <c r="BU75" s="28" t="str">
        <f>_xlfn.SINGLE(IF( OR(ISBLANK(_xlfn.SINGLE(#REF!)),ISBLANK(_xlfn.SINGLE(P75:P79)), ISBLANK(_xlfn.SINGLE(#REF!)),ISBLANK(_xlfn.SINGLE(Z75:Z79))), "·", bdRateExtend(#REF!,#REF!, P75:P79,Z75:Z79)))</f>
        <v>·</v>
      </c>
      <c r="BV75" s="29"/>
    </row>
    <row r="76" spans="1:74" outlineLevel="1" x14ac:dyDescent="0.15">
      <c r="A76" s="30"/>
      <c r="B76" s="30" t="s">
        <v>273</v>
      </c>
      <c r="C76" s="31" t="s">
        <v>226</v>
      </c>
      <c r="D76" s="30">
        <v>13903516</v>
      </c>
      <c r="E76" s="32">
        <v>12</v>
      </c>
      <c r="F76" s="31">
        <v>1</v>
      </c>
      <c r="G76" s="31"/>
      <c r="I76" s="33" t="str">
        <f>IF(OR(ISBLANK(#REF!),ISBLANK(G76)),"·",#REF!*G76/F76/1000000)</f>
        <v>·</v>
      </c>
      <c r="J76" s="34" t="e">
        <f>IF(ISBLANK(#REF!),"·",#REF!/D76)</f>
        <v>#REF!</v>
      </c>
      <c r="K76" s="34" t="e">
        <f>IF(#REF!="","·",#REF!/D76)</f>
        <v>#REF!</v>
      </c>
      <c r="L76" s="34" t="e">
        <f>IF(ISBLANK(#REF!),"·",#REF!/D76)</f>
        <v>#REF!</v>
      </c>
      <c r="M76" s="35"/>
      <c r="N76" s="34" t="e">
        <f>IF(ISBLANK(#REF!),"·",#REF!/#REF!)</f>
        <v>#REF!</v>
      </c>
      <c r="O76" s="36"/>
      <c r="P76" s="37"/>
      <c r="Q76" s="37"/>
      <c r="R76" s="37"/>
      <c r="S76" s="38"/>
      <c r="T76" s="39"/>
      <c r="U76" s="39"/>
      <c r="V76" s="39"/>
      <c r="W76" s="40"/>
      <c r="X76" s="39"/>
      <c r="Y76" s="39"/>
      <c r="Z76" s="39"/>
      <c r="AA76" s="40"/>
      <c r="AB76" s="41"/>
      <c r="AC76" s="41"/>
      <c r="AE76" s="33" t="str">
        <f t="shared" si="5"/>
        <v>·</v>
      </c>
      <c r="AF76" s="34" t="str">
        <f t="shared" si="6"/>
        <v>·</v>
      </c>
      <c r="AG76" s="34" t="str">
        <f t="shared" si="7"/>
        <v>·</v>
      </c>
      <c r="AH76" s="34" t="str">
        <f t="shared" si="8"/>
        <v>·</v>
      </c>
      <c r="AI76" s="35"/>
      <c r="AJ76" s="34" t="str">
        <f t="shared" si="9"/>
        <v>·</v>
      </c>
      <c r="BA76" s="42" t="e">
        <f>(Q76/P76) - (#REF!/#REF!)</f>
        <v>#DIV/0!</v>
      </c>
      <c r="BB76" s="42"/>
      <c r="BD76" s="43"/>
      <c r="BE76" s="43"/>
      <c r="BF76" s="43"/>
      <c r="BG76" s="44"/>
      <c r="BI76" s="43"/>
      <c r="BJ76" s="43"/>
      <c r="BK76" s="43"/>
      <c r="BL76" s="44"/>
      <c r="BN76" s="43"/>
      <c r="BO76" s="43"/>
      <c r="BP76" s="43"/>
      <c r="BQ76" s="44"/>
      <c r="BS76" s="43"/>
      <c r="BT76" s="43"/>
      <c r="BU76" s="43"/>
      <c r="BV76" s="44"/>
    </row>
    <row r="77" spans="1:74" outlineLevel="1" x14ac:dyDescent="0.15">
      <c r="A77" s="15"/>
      <c r="B77" s="15" t="s">
        <v>273</v>
      </c>
      <c r="C77" s="16" t="s">
        <v>227</v>
      </c>
      <c r="D77" s="15">
        <v>13903516</v>
      </c>
      <c r="E77" s="17">
        <v>12</v>
      </c>
      <c r="F77" s="16">
        <v>1</v>
      </c>
      <c r="G77" s="16"/>
      <c r="I77" s="18" t="str">
        <f>IF(OR(ISBLANK(#REF!),ISBLANK(G77)),"·",#REF!*G77/F77/1000000)</f>
        <v>·</v>
      </c>
      <c r="J77" s="19" t="e">
        <f>IF(ISBLANK(#REF!),"·",#REF!/D77)</f>
        <v>#REF!</v>
      </c>
      <c r="K77" s="19" t="e">
        <f>IF(#REF!="","·",#REF!/D77)</f>
        <v>#REF!</v>
      </c>
      <c r="L77" s="19" t="e">
        <f>IF(ISBLANK(#REF!),"·",#REF!/D77)</f>
        <v>#REF!</v>
      </c>
      <c r="M77" s="20"/>
      <c r="N77" s="19" t="e">
        <f>IF(ISBLANK(#REF!),"·",#REF!/#REF!)</f>
        <v>#REF!</v>
      </c>
      <c r="O77" s="21"/>
      <c r="P77" s="22"/>
      <c r="Q77" s="22"/>
      <c r="R77" s="22"/>
      <c r="S77" s="23"/>
      <c r="T77" s="24"/>
      <c r="U77" s="24"/>
      <c r="V77" s="24"/>
      <c r="W77" s="25"/>
      <c r="X77" s="24"/>
      <c r="Y77" s="24"/>
      <c r="Z77" s="24"/>
      <c r="AA77" s="25"/>
      <c r="AB77" s="26"/>
      <c r="AC77" s="26"/>
      <c r="AE77" s="18" t="str">
        <f t="shared" si="5"/>
        <v>·</v>
      </c>
      <c r="AF77" s="19" t="str">
        <f t="shared" si="6"/>
        <v>·</v>
      </c>
      <c r="AG77" s="19" t="str">
        <f t="shared" si="7"/>
        <v>·</v>
      </c>
      <c r="AH77" s="19" t="str">
        <f t="shared" si="8"/>
        <v>·</v>
      </c>
      <c r="AI77" s="20"/>
      <c r="AJ77" s="19" t="str">
        <f t="shared" si="9"/>
        <v>·</v>
      </c>
      <c r="BA77" s="27" t="e">
        <f>(Q77/P77) - (#REF!/#REF!)</f>
        <v>#DIV/0!</v>
      </c>
      <c r="BB77" s="27"/>
      <c r="BD77" s="28"/>
      <c r="BE77" s="28"/>
      <c r="BF77" s="28"/>
      <c r="BG77" s="29"/>
      <c r="BI77" s="28"/>
      <c r="BJ77" s="28"/>
      <c r="BK77" s="28"/>
      <c r="BL77" s="29"/>
      <c r="BN77" s="28"/>
      <c r="BO77" s="28"/>
      <c r="BP77" s="28"/>
      <c r="BQ77" s="29"/>
      <c r="BS77" s="28"/>
      <c r="BT77" s="28"/>
      <c r="BU77" s="28"/>
      <c r="BV77" s="29"/>
    </row>
    <row r="78" spans="1:74" outlineLevel="1" x14ac:dyDescent="0.15">
      <c r="A78" s="30"/>
      <c r="B78" s="30" t="s">
        <v>273</v>
      </c>
      <c r="C78" s="31" t="s">
        <v>228</v>
      </c>
      <c r="D78" s="30">
        <v>13903516</v>
      </c>
      <c r="E78" s="32">
        <v>12</v>
      </c>
      <c r="F78" s="31">
        <v>1</v>
      </c>
      <c r="G78" s="31"/>
      <c r="I78" s="33" t="str">
        <f>IF(OR(ISBLANK(#REF!),ISBLANK(G78)),"·",#REF!*G78/F78/1000000)</f>
        <v>·</v>
      </c>
      <c r="J78" s="34" t="e">
        <f>IF(ISBLANK(#REF!),"·",#REF!/D78)</f>
        <v>#REF!</v>
      </c>
      <c r="K78" s="34" t="e">
        <f>IF(#REF!="","·",#REF!/D78)</f>
        <v>#REF!</v>
      </c>
      <c r="L78" s="34" t="e">
        <f>IF(ISBLANK(#REF!),"·",#REF!/D78)</f>
        <v>#REF!</v>
      </c>
      <c r="M78" s="35"/>
      <c r="N78" s="34" t="e">
        <f>IF(ISBLANK(#REF!),"·",#REF!/#REF!)</f>
        <v>#REF!</v>
      </c>
      <c r="O78" s="36"/>
      <c r="P78" s="37"/>
      <c r="Q78" s="37"/>
      <c r="R78" s="37"/>
      <c r="S78" s="38"/>
      <c r="T78" s="39"/>
      <c r="U78" s="39"/>
      <c r="V78" s="39"/>
      <c r="W78" s="40"/>
      <c r="X78" s="39"/>
      <c r="Y78" s="39"/>
      <c r="Z78" s="39"/>
      <c r="AA78" s="40"/>
      <c r="AB78" s="41"/>
      <c r="AC78" s="41"/>
      <c r="AE78" s="33" t="str">
        <f t="shared" si="5"/>
        <v>·</v>
      </c>
      <c r="AF78" s="34" t="str">
        <f t="shared" si="6"/>
        <v>·</v>
      </c>
      <c r="AG78" s="34" t="str">
        <f t="shared" si="7"/>
        <v>·</v>
      </c>
      <c r="AH78" s="34" t="str">
        <f t="shared" si="8"/>
        <v>·</v>
      </c>
      <c r="AI78" s="35"/>
      <c r="AJ78" s="34" t="str">
        <f t="shared" si="9"/>
        <v>·</v>
      </c>
      <c r="BA78" s="42" t="e">
        <f>(Q78/P78) - (#REF!/#REF!)</f>
        <v>#DIV/0!</v>
      </c>
      <c r="BB78" s="42"/>
      <c r="BD78" s="43"/>
      <c r="BE78" s="43"/>
      <c r="BF78" s="43"/>
      <c r="BG78" s="44"/>
      <c r="BI78" s="43"/>
      <c r="BJ78" s="43"/>
      <c r="BK78" s="43"/>
      <c r="BL78" s="44"/>
      <c r="BN78" s="43"/>
      <c r="BO78" s="43"/>
      <c r="BP78" s="43"/>
      <c r="BQ78" s="44"/>
      <c r="BS78" s="43"/>
      <c r="BT78" s="43"/>
      <c r="BU78" s="43"/>
      <c r="BV78" s="44"/>
    </row>
    <row r="79" spans="1:74" ht="14.25" outlineLevel="1" thickBot="1" x14ac:dyDescent="0.2">
      <c r="A79" s="15"/>
      <c r="B79" s="64" t="s">
        <v>273</v>
      </c>
      <c r="C79" s="66" t="s">
        <v>229</v>
      </c>
      <c r="D79" s="64">
        <v>13903516</v>
      </c>
      <c r="E79" s="65">
        <v>12</v>
      </c>
      <c r="F79" s="66">
        <v>1</v>
      </c>
      <c r="G79" s="66"/>
      <c r="I79" s="68" t="str">
        <f>IF(OR(ISBLANK(#REF!),ISBLANK(G79)),"·",#REF!*G79/F79/1000000)</f>
        <v>·</v>
      </c>
      <c r="J79" s="69" t="e">
        <f>IF(ISBLANK(#REF!),"·",#REF!/D79)</f>
        <v>#REF!</v>
      </c>
      <c r="K79" s="69" t="e">
        <f>IF(#REF!="","·",#REF!/D79)</f>
        <v>#REF!</v>
      </c>
      <c r="L79" s="69" t="e">
        <f>IF(ISBLANK(#REF!),"·",#REF!/D79)</f>
        <v>#REF!</v>
      </c>
      <c r="M79" s="70"/>
      <c r="N79" s="69" t="e">
        <f>IF(ISBLANK(#REF!),"·",#REF!/#REF!)</f>
        <v>#REF!</v>
      </c>
      <c r="O79" s="71"/>
      <c r="P79" s="72"/>
      <c r="Q79" s="72"/>
      <c r="R79" s="72"/>
      <c r="S79" s="73"/>
      <c r="T79" s="77"/>
      <c r="U79" s="77"/>
      <c r="V79" s="77"/>
      <c r="W79" s="78"/>
      <c r="X79" s="77"/>
      <c r="Y79" s="77"/>
      <c r="Z79" s="77"/>
      <c r="AA79" s="78"/>
      <c r="AB79" s="74"/>
      <c r="AC79" s="74"/>
      <c r="AE79" s="68" t="str">
        <f t="shared" si="5"/>
        <v>·</v>
      </c>
      <c r="AF79" s="69" t="str">
        <f t="shared" si="6"/>
        <v>·</v>
      </c>
      <c r="AG79" s="69" t="str">
        <f t="shared" si="7"/>
        <v>·</v>
      </c>
      <c r="AH79" s="69" t="str">
        <f t="shared" si="8"/>
        <v>·</v>
      </c>
      <c r="AI79" s="70"/>
      <c r="AJ79" s="69" t="str">
        <f t="shared" si="9"/>
        <v>·</v>
      </c>
      <c r="BA79" s="67" t="e">
        <f>(Q79/P79) - (#REF!/#REF!)</f>
        <v>#DIV/0!</v>
      </c>
      <c r="BB79" s="67"/>
      <c r="BD79" s="75"/>
      <c r="BE79" s="75"/>
      <c r="BF79" s="75"/>
      <c r="BG79" s="76"/>
      <c r="BI79" s="75"/>
      <c r="BJ79" s="75"/>
      <c r="BK79" s="75"/>
      <c r="BL79" s="76"/>
      <c r="BN79" s="75"/>
      <c r="BO79" s="75"/>
      <c r="BP79" s="75"/>
      <c r="BQ79" s="76"/>
      <c r="BS79" s="75"/>
      <c r="BT79" s="75"/>
      <c r="BU79" s="75"/>
      <c r="BV79" s="76"/>
    </row>
    <row r="80" spans="1:74" x14ac:dyDescent="0.15">
      <c r="A80" s="30"/>
      <c r="B80" s="30" t="s">
        <v>276</v>
      </c>
      <c r="C80" s="31" t="s">
        <v>225</v>
      </c>
      <c r="D80" s="30">
        <v>4848745</v>
      </c>
      <c r="E80" s="32">
        <v>12</v>
      </c>
      <c r="F80" s="31">
        <v>1</v>
      </c>
      <c r="G80" s="31"/>
      <c r="I80" s="33" t="str">
        <f>IF(OR(ISBLANK(#REF!),ISBLANK(G80)),"·",#REF!*G80/F80/1000000)</f>
        <v>·</v>
      </c>
      <c r="J80" s="34" t="e">
        <f>IF(ISBLANK(#REF!),"·",#REF!/D80)</f>
        <v>#REF!</v>
      </c>
      <c r="K80" s="34" t="e">
        <f>IF(#REF!="","·",#REF!/D80)</f>
        <v>#REF!</v>
      </c>
      <c r="L80" s="34" t="e">
        <f>IF(ISBLANK(#REF!),"·",#REF!/D80)</f>
        <v>#REF!</v>
      </c>
      <c r="M80" s="35"/>
      <c r="N80" s="34" t="e">
        <f>IF(ISBLANK(#REF!),"·",#REF!/#REF!)</f>
        <v>#REF!</v>
      </c>
      <c r="O80" s="36"/>
      <c r="P80" s="37"/>
      <c r="Q80" s="37"/>
      <c r="R80" s="37"/>
      <c r="S80" s="38"/>
      <c r="T80" s="39"/>
      <c r="U80" s="39"/>
      <c r="V80" s="39"/>
      <c r="W80" s="40"/>
      <c r="X80" s="39"/>
      <c r="Y80" s="39"/>
      <c r="Z80" s="39"/>
      <c r="AA80" s="40"/>
      <c r="AB80" s="41"/>
      <c r="AC80" s="41"/>
      <c r="AE80" s="33" t="str">
        <f t="shared" si="5"/>
        <v>·</v>
      </c>
      <c r="AF80" s="34" t="str">
        <f t="shared" si="6"/>
        <v>·</v>
      </c>
      <c r="AG80" s="34" t="str">
        <f t="shared" si="7"/>
        <v>·</v>
      </c>
      <c r="AH80" s="34" t="str">
        <f t="shared" si="8"/>
        <v>·</v>
      </c>
      <c r="AI80" s="35"/>
      <c r="AJ80" s="34" t="str">
        <f t="shared" si="9"/>
        <v>·</v>
      </c>
      <c r="BA80" s="42" t="e">
        <f>(Q80/P80) - (#REF!/#REF!)</f>
        <v>#DIV/0!</v>
      </c>
      <c r="BB80" s="42" t="e">
        <f t="array" ref="BB80">AVERAGE(Q80:Q84/P80:P84) - AVERAGE(#REF!/#REF!)</f>
        <v>#DIV/0!</v>
      </c>
      <c r="BD80" s="43" t="str">
        <f>_xlfn.SINGLE(IF( OR(ISBLANK(_xlfn.SINGLE(#REF!)),ISBLANK(_xlfn.SINGLE(R80:R84)), ISBLANK(_xlfn.SINGLE(#REF!)),ISBLANK(_xlfn.SINGLE(T80:T84))), "·", bdRateExtend(#REF!,#REF!, R80:R84,T80:T84)))</f>
        <v>·</v>
      </c>
      <c r="BE80" s="43" t="str">
        <f>_xlfn.SINGLE(IF( OR(ISBLANK(_xlfn.SINGLE(#REF!)),ISBLANK(_xlfn.SINGLE(R80:R84)), ISBLANK(_xlfn.SINGLE(#REF!)),ISBLANK(_xlfn.SINGLE(U80:U84))), "·", bdRateExtend(#REF!,#REF!, R80:R84,U80:U84)))</f>
        <v>·</v>
      </c>
      <c r="BF80" s="43" t="str">
        <f>_xlfn.SINGLE(IF( OR(ISBLANK(_xlfn.SINGLE(#REF!)),ISBLANK(_xlfn.SINGLE(R80:R84)), ISBLANK(_xlfn.SINGLE(#REF!)),ISBLANK(_xlfn.SINGLE(V80:V84))), "·", bdRateExtend(#REF!,#REF!, R80:R84,V80:V84)))</f>
        <v>·</v>
      </c>
      <c r="BG80" s="44"/>
      <c r="BI80" s="43" t="str">
        <f>_xlfn.SINGLE(IF( OR(ISBLANK(_xlfn.SINGLE(#REF!)),ISBLANK(_xlfn.SINGLE(R80:R84)), ISBLANK(_xlfn.SINGLE(#REF!)),ISBLANK(_xlfn.SINGLE(X80:X84))), "·", bdRateExtend(#REF!,#REF!, R80:R84,X80:X84)))</f>
        <v>·</v>
      </c>
      <c r="BJ80" s="43" t="str">
        <f>_xlfn.SINGLE(IF( OR(ISBLANK(_xlfn.SINGLE(#REF!)),ISBLANK(_xlfn.SINGLE(R80:R84)), ISBLANK(_xlfn.SINGLE(#REF!)),ISBLANK(_xlfn.SINGLE(Y80:Y84))), "·", bdRateExtend(#REF!,#REF!, R80:R84,Y80:Y84)))</f>
        <v>·</v>
      </c>
      <c r="BK80" s="43" t="str">
        <f>_xlfn.SINGLE(IF( OR(ISBLANK(_xlfn.SINGLE(#REF!)),ISBLANK(_xlfn.SINGLE(R80:R84)), ISBLANK(_xlfn.SINGLE(#REF!)),ISBLANK(_xlfn.SINGLE(Z80:Z84))), "·", bdRateExtend(#REF!,#REF!, R80:R84,Z80:Z84)))</f>
        <v>·</v>
      </c>
      <c r="BL80" s="44"/>
      <c r="BN80" s="43" t="str">
        <f>_xlfn.SINGLE(IF( OR(ISBLANK(_xlfn.SINGLE(#REF!)),ISBLANK(_xlfn.SINGLE(P80:P84)), ISBLANK(_xlfn.SINGLE(#REF!)),ISBLANK(_xlfn.SINGLE(T80:T84))), "·", bdRateExtend(#REF!,#REF!, P80:P84,T80:T84)))</f>
        <v>·</v>
      </c>
      <c r="BO80" s="43" t="str">
        <f>_xlfn.SINGLE(IF( OR(ISBLANK(_xlfn.SINGLE(#REF!)),ISBLANK(_xlfn.SINGLE(P80:P84)), ISBLANK(_xlfn.SINGLE(#REF!)),ISBLANK(_xlfn.SINGLE(U80:U84))), "·", bdRateExtend(#REF!,#REF!, P80:P84,U80:U84)))</f>
        <v>·</v>
      </c>
      <c r="BP80" s="43" t="str">
        <f>_xlfn.SINGLE(IF( OR(ISBLANK(_xlfn.SINGLE(#REF!)),ISBLANK(_xlfn.SINGLE(P80:P84)), ISBLANK(_xlfn.SINGLE(#REF!)),ISBLANK(_xlfn.SINGLE(V80:V84))), "·", bdRateExtend(#REF!,#REF!, P80:P84,V80:V84)))</f>
        <v>·</v>
      </c>
      <c r="BQ80" s="44"/>
      <c r="BS80" s="43" t="str">
        <f>_xlfn.SINGLE(IF( OR(ISBLANK(_xlfn.SINGLE(#REF!)),ISBLANK(_xlfn.SINGLE(P80:P84)), ISBLANK(_xlfn.SINGLE(#REF!)),ISBLANK(_xlfn.SINGLE(X80:X84))), "·", bdRateExtend(#REF!,#REF!, P80:P84,X80:X84)))</f>
        <v>·</v>
      </c>
      <c r="BT80" s="43" t="str">
        <f>_xlfn.SINGLE(IF( OR(ISBLANK(_xlfn.SINGLE(#REF!)),ISBLANK(_xlfn.SINGLE(P80:P84)), ISBLANK(_xlfn.SINGLE(#REF!)),ISBLANK(_xlfn.SINGLE(Y80:Y84))), "·", bdRateExtend(#REF!,#REF!, P80:P84,Y80:Y84)))</f>
        <v>·</v>
      </c>
      <c r="BU80" s="43" t="str">
        <f>_xlfn.SINGLE(IF( OR(ISBLANK(_xlfn.SINGLE(#REF!)),ISBLANK(_xlfn.SINGLE(P80:P84)), ISBLANK(_xlfn.SINGLE(#REF!)),ISBLANK(_xlfn.SINGLE(Z80:Z84))), "·", bdRateExtend(#REF!,#REF!, P80:P84,Z80:Z84)))</f>
        <v>·</v>
      </c>
      <c r="BV80" s="44"/>
    </row>
    <row r="81" spans="1:74" outlineLevel="1" x14ac:dyDescent="0.15">
      <c r="A81" s="15"/>
      <c r="B81" s="15" t="s">
        <v>276</v>
      </c>
      <c r="C81" s="16" t="s">
        <v>226</v>
      </c>
      <c r="D81" s="15">
        <v>4848745</v>
      </c>
      <c r="E81" s="17">
        <v>12</v>
      </c>
      <c r="F81" s="16">
        <v>1</v>
      </c>
      <c r="G81" s="16"/>
      <c r="I81" s="18" t="str">
        <f>IF(OR(ISBLANK(#REF!),ISBLANK(G81)),"·",#REF!*G81/F81/1000000)</f>
        <v>·</v>
      </c>
      <c r="J81" s="19" t="e">
        <f>IF(ISBLANK(#REF!),"·",#REF!/D81)</f>
        <v>#REF!</v>
      </c>
      <c r="K81" s="19" t="e">
        <f>IF(#REF!="","·",#REF!/D81)</f>
        <v>#REF!</v>
      </c>
      <c r="L81" s="19" t="e">
        <f>IF(ISBLANK(#REF!),"·",#REF!/D81)</f>
        <v>#REF!</v>
      </c>
      <c r="M81" s="20"/>
      <c r="N81" s="19" t="e">
        <f>IF(ISBLANK(#REF!),"·",#REF!/#REF!)</f>
        <v>#REF!</v>
      </c>
      <c r="O81" s="21"/>
      <c r="P81" s="22"/>
      <c r="Q81" s="22"/>
      <c r="R81" s="22"/>
      <c r="S81" s="23"/>
      <c r="T81" s="24"/>
      <c r="U81" s="24"/>
      <c r="V81" s="24"/>
      <c r="W81" s="25"/>
      <c r="X81" s="24"/>
      <c r="Y81" s="24"/>
      <c r="Z81" s="24"/>
      <c r="AA81" s="25"/>
      <c r="AB81" s="26"/>
      <c r="AC81" s="26"/>
      <c r="AE81" s="18" t="str">
        <f t="shared" si="5"/>
        <v>·</v>
      </c>
      <c r="AF81" s="19" t="str">
        <f t="shared" si="6"/>
        <v>·</v>
      </c>
      <c r="AG81" s="19" t="str">
        <f t="shared" si="7"/>
        <v>·</v>
      </c>
      <c r="AH81" s="19" t="str">
        <f t="shared" si="8"/>
        <v>·</v>
      </c>
      <c r="AI81" s="20"/>
      <c r="AJ81" s="19" t="str">
        <f t="shared" si="9"/>
        <v>·</v>
      </c>
      <c r="BA81" s="27" t="e">
        <f>(Q81/P81) - (#REF!/#REF!)</f>
        <v>#DIV/0!</v>
      </c>
      <c r="BB81" s="27"/>
      <c r="BD81" s="28"/>
      <c r="BE81" s="28"/>
      <c r="BF81" s="28"/>
      <c r="BG81" s="29"/>
      <c r="BI81" s="28"/>
      <c r="BJ81" s="28"/>
      <c r="BK81" s="28"/>
      <c r="BL81" s="29"/>
      <c r="BN81" s="28"/>
      <c r="BO81" s="28"/>
      <c r="BP81" s="28"/>
      <c r="BQ81" s="29"/>
      <c r="BS81" s="28"/>
      <c r="BT81" s="28"/>
      <c r="BU81" s="28"/>
      <c r="BV81" s="29"/>
    </row>
    <row r="82" spans="1:74" outlineLevel="1" x14ac:dyDescent="0.15">
      <c r="A82" s="30"/>
      <c r="B82" s="30" t="s">
        <v>276</v>
      </c>
      <c r="C82" s="31" t="s">
        <v>227</v>
      </c>
      <c r="D82" s="30">
        <v>4848745</v>
      </c>
      <c r="E82" s="32">
        <v>12</v>
      </c>
      <c r="F82" s="31">
        <v>1</v>
      </c>
      <c r="G82" s="31"/>
      <c r="I82" s="33" t="str">
        <f>IF(OR(ISBLANK(#REF!),ISBLANK(G82)),"·",#REF!*G82/F82/1000000)</f>
        <v>·</v>
      </c>
      <c r="J82" s="34" t="e">
        <f>IF(ISBLANK(#REF!),"·",#REF!/D82)</f>
        <v>#REF!</v>
      </c>
      <c r="K82" s="34" t="e">
        <f>IF(#REF!="","·",#REF!/D82)</f>
        <v>#REF!</v>
      </c>
      <c r="L82" s="34" t="e">
        <f>IF(ISBLANK(#REF!),"·",#REF!/D82)</f>
        <v>#REF!</v>
      </c>
      <c r="M82" s="35"/>
      <c r="N82" s="34" t="e">
        <f>IF(ISBLANK(#REF!),"·",#REF!/#REF!)</f>
        <v>#REF!</v>
      </c>
      <c r="O82" s="36"/>
      <c r="P82" s="37"/>
      <c r="Q82" s="37"/>
      <c r="R82" s="37"/>
      <c r="S82" s="38"/>
      <c r="T82" s="39"/>
      <c r="U82" s="39"/>
      <c r="V82" s="39"/>
      <c r="W82" s="40"/>
      <c r="X82" s="39"/>
      <c r="Y82" s="39"/>
      <c r="Z82" s="39"/>
      <c r="AA82" s="40"/>
      <c r="AB82" s="41"/>
      <c r="AC82" s="41"/>
      <c r="AE82" s="33" t="str">
        <f t="shared" si="5"/>
        <v>·</v>
      </c>
      <c r="AF82" s="34" t="str">
        <f t="shared" si="6"/>
        <v>·</v>
      </c>
      <c r="AG82" s="34" t="str">
        <f t="shared" si="7"/>
        <v>·</v>
      </c>
      <c r="AH82" s="34" t="str">
        <f t="shared" si="8"/>
        <v>·</v>
      </c>
      <c r="AI82" s="35"/>
      <c r="AJ82" s="34" t="str">
        <f t="shared" si="9"/>
        <v>·</v>
      </c>
      <c r="BA82" s="42" t="e">
        <f>(Q82/P82) - (#REF!/#REF!)</f>
        <v>#DIV/0!</v>
      </c>
      <c r="BB82" s="42"/>
      <c r="BD82" s="43"/>
      <c r="BE82" s="43"/>
      <c r="BF82" s="43"/>
      <c r="BG82" s="44"/>
      <c r="BI82" s="43"/>
      <c r="BJ82" s="43"/>
      <c r="BK82" s="43"/>
      <c r="BL82" s="44"/>
      <c r="BN82" s="43"/>
      <c r="BO82" s="43"/>
      <c r="BP82" s="43"/>
      <c r="BQ82" s="44"/>
      <c r="BS82" s="43"/>
      <c r="BT82" s="43"/>
      <c r="BU82" s="43"/>
      <c r="BV82" s="44"/>
    </row>
    <row r="83" spans="1:74" outlineLevel="1" x14ac:dyDescent="0.15">
      <c r="A83" s="15"/>
      <c r="B83" s="15" t="s">
        <v>276</v>
      </c>
      <c r="C83" s="16" t="s">
        <v>228</v>
      </c>
      <c r="D83" s="15">
        <v>4848745</v>
      </c>
      <c r="E83" s="17">
        <v>12</v>
      </c>
      <c r="F83" s="16">
        <v>1</v>
      </c>
      <c r="G83" s="16"/>
      <c r="I83" s="18" t="str">
        <f>IF(OR(ISBLANK(#REF!),ISBLANK(G83)),"·",#REF!*G83/F83/1000000)</f>
        <v>·</v>
      </c>
      <c r="J83" s="19" t="e">
        <f>IF(ISBLANK(#REF!),"·",#REF!/D83)</f>
        <v>#REF!</v>
      </c>
      <c r="K83" s="19" t="e">
        <f>IF(#REF!="","·",#REF!/D83)</f>
        <v>#REF!</v>
      </c>
      <c r="L83" s="19" t="e">
        <f>IF(ISBLANK(#REF!),"·",#REF!/D83)</f>
        <v>#REF!</v>
      </c>
      <c r="M83" s="20"/>
      <c r="N83" s="19" t="e">
        <f>IF(ISBLANK(#REF!),"·",#REF!/#REF!)</f>
        <v>#REF!</v>
      </c>
      <c r="O83" s="21"/>
      <c r="P83" s="22"/>
      <c r="Q83" s="22"/>
      <c r="R83" s="22"/>
      <c r="S83" s="23"/>
      <c r="T83" s="24"/>
      <c r="U83" s="24"/>
      <c r="V83" s="24"/>
      <c r="W83" s="25"/>
      <c r="X83" s="24"/>
      <c r="Y83" s="24"/>
      <c r="Z83" s="24"/>
      <c r="AA83" s="25"/>
      <c r="AB83" s="26"/>
      <c r="AC83" s="26"/>
      <c r="AE83" s="18" t="str">
        <f t="shared" si="5"/>
        <v>·</v>
      </c>
      <c r="AF83" s="19" t="str">
        <f t="shared" si="6"/>
        <v>·</v>
      </c>
      <c r="AG83" s="19" t="str">
        <f t="shared" si="7"/>
        <v>·</v>
      </c>
      <c r="AH83" s="19" t="str">
        <f t="shared" si="8"/>
        <v>·</v>
      </c>
      <c r="AI83" s="20"/>
      <c r="AJ83" s="19" t="str">
        <f t="shared" si="9"/>
        <v>·</v>
      </c>
      <c r="BA83" s="27" t="e">
        <f>(Q83/P83) - (#REF!/#REF!)</f>
        <v>#DIV/0!</v>
      </c>
      <c r="BB83" s="27"/>
      <c r="BD83" s="28"/>
      <c r="BE83" s="28"/>
      <c r="BF83" s="28"/>
      <c r="BG83" s="29"/>
      <c r="BI83" s="28"/>
      <c r="BJ83" s="28"/>
      <c r="BK83" s="28"/>
      <c r="BL83" s="29"/>
      <c r="BN83" s="28"/>
      <c r="BO83" s="28"/>
      <c r="BP83" s="28"/>
      <c r="BQ83" s="29"/>
      <c r="BS83" s="28"/>
      <c r="BT83" s="28"/>
      <c r="BU83" s="28"/>
      <c r="BV83" s="29"/>
    </row>
    <row r="84" spans="1:74" ht="14.25" outlineLevel="1" thickBot="1" x14ac:dyDescent="0.2">
      <c r="A84" s="30"/>
      <c r="B84" s="45" t="s">
        <v>276</v>
      </c>
      <c r="C84" s="46" t="s">
        <v>229</v>
      </c>
      <c r="D84" s="45">
        <v>4848745</v>
      </c>
      <c r="E84" s="47">
        <v>12</v>
      </c>
      <c r="F84" s="46">
        <v>1</v>
      </c>
      <c r="G84" s="46"/>
      <c r="I84" s="48" t="str">
        <f>IF(OR(ISBLANK(#REF!),ISBLANK(G84)),"·",#REF!*G84/F84/1000000)</f>
        <v>·</v>
      </c>
      <c r="J84" s="49" t="e">
        <f>IF(ISBLANK(#REF!),"·",#REF!/D84)</f>
        <v>#REF!</v>
      </c>
      <c r="K84" s="49" t="e">
        <f>IF(#REF!="","·",#REF!/D84)</f>
        <v>#REF!</v>
      </c>
      <c r="L84" s="49" t="e">
        <f>IF(ISBLANK(#REF!),"·",#REF!/D84)</f>
        <v>#REF!</v>
      </c>
      <c r="M84" s="50"/>
      <c r="N84" s="49" t="e">
        <f>IF(ISBLANK(#REF!),"·",#REF!/#REF!)</f>
        <v>#REF!</v>
      </c>
      <c r="O84" s="51"/>
      <c r="P84" s="52"/>
      <c r="Q84" s="52"/>
      <c r="R84" s="52"/>
      <c r="S84" s="53"/>
      <c r="T84" s="54"/>
      <c r="U84" s="54"/>
      <c r="V84" s="54"/>
      <c r="W84" s="55"/>
      <c r="X84" s="54"/>
      <c r="Y84" s="54"/>
      <c r="Z84" s="54"/>
      <c r="AA84" s="55"/>
      <c r="AB84" s="56"/>
      <c r="AC84" s="56"/>
      <c r="AE84" s="48" t="str">
        <f t="shared" si="5"/>
        <v>·</v>
      </c>
      <c r="AF84" s="49" t="str">
        <f t="shared" si="6"/>
        <v>·</v>
      </c>
      <c r="AG84" s="49" t="str">
        <f t="shared" si="7"/>
        <v>·</v>
      </c>
      <c r="AH84" s="49" t="str">
        <f t="shared" si="8"/>
        <v>·</v>
      </c>
      <c r="AI84" s="50"/>
      <c r="AJ84" s="49" t="str">
        <f t="shared" si="9"/>
        <v>·</v>
      </c>
      <c r="BA84" s="57" t="e">
        <f>(Q84/P84) - (#REF!/#REF!)</f>
        <v>#DIV/0!</v>
      </c>
      <c r="BB84" s="57"/>
      <c r="BD84" s="58"/>
      <c r="BE84" s="58"/>
      <c r="BF84" s="58"/>
      <c r="BG84" s="59"/>
      <c r="BI84" s="58"/>
      <c r="BJ84" s="58"/>
      <c r="BK84" s="58"/>
      <c r="BL84" s="59"/>
      <c r="BN84" s="58"/>
      <c r="BO84" s="58"/>
      <c r="BP84" s="58"/>
      <c r="BQ84" s="59"/>
      <c r="BS84" s="58"/>
      <c r="BT84" s="58"/>
      <c r="BU84" s="58"/>
      <c r="BV84" s="59"/>
    </row>
    <row r="85" spans="1:74" x14ac:dyDescent="0.15">
      <c r="A85" s="15"/>
      <c r="B85" s="15" t="s">
        <v>279</v>
      </c>
      <c r="C85" s="16" t="s">
        <v>225</v>
      </c>
      <c r="D85" s="15">
        <v>71948094</v>
      </c>
      <c r="E85" s="17">
        <v>14</v>
      </c>
      <c r="F85" s="16">
        <v>1</v>
      </c>
      <c r="G85" s="16"/>
      <c r="I85" s="18" t="str">
        <f>IF(OR(ISBLANK(#REF!),ISBLANK(G85)),"·",#REF!*G85/F85/1000000)</f>
        <v>·</v>
      </c>
      <c r="J85" s="19" t="e">
        <f>IF(ISBLANK(#REF!),"·",#REF!/D85)</f>
        <v>#REF!</v>
      </c>
      <c r="K85" s="19" t="e">
        <f>IF(#REF!="","·",#REF!/D85)</f>
        <v>#REF!</v>
      </c>
      <c r="L85" s="19" t="e">
        <f>IF(ISBLANK(#REF!),"·",#REF!/D85)</f>
        <v>#REF!</v>
      </c>
      <c r="M85" s="20"/>
      <c r="N85" s="19" t="e">
        <f>IF(ISBLANK(#REF!),"·",#REF!/#REF!)</f>
        <v>#REF!</v>
      </c>
      <c r="O85" s="21"/>
      <c r="P85" s="22"/>
      <c r="Q85" s="22"/>
      <c r="R85" s="22"/>
      <c r="S85" s="23"/>
      <c r="T85" s="24"/>
      <c r="U85" s="24"/>
      <c r="V85" s="24"/>
      <c r="W85" s="25"/>
      <c r="X85" s="24"/>
      <c r="Y85" s="24"/>
      <c r="Z85" s="24"/>
      <c r="AA85" s="25"/>
      <c r="AB85" s="26"/>
      <c r="AC85" s="26"/>
      <c r="AE85" s="18" t="str">
        <f t="shared" si="5"/>
        <v>·</v>
      </c>
      <c r="AF85" s="19" t="str">
        <f t="shared" si="6"/>
        <v>·</v>
      </c>
      <c r="AG85" s="19" t="str">
        <f t="shared" si="7"/>
        <v>·</v>
      </c>
      <c r="AH85" s="19" t="str">
        <f t="shared" si="8"/>
        <v>·</v>
      </c>
      <c r="AI85" s="20"/>
      <c r="AJ85" s="19" t="str">
        <f t="shared" si="9"/>
        <v>·</v>
      </c>
      <c r="BA85" s="27" t="e">
        <f>(Q85/P85) - (#REF!/#REF!)</f>
        <v>#DIV/0!</v>
      </c>
      <c r="BB85" s="27" t="e">
        <f t="array" ref="BB85">AVERAGE(Q85:Q89/P85:P89) - AVERAGE(#REF!/#REF!)</f>
        <v>#DIV/0!</v>
      </c>
      <c r="BD85" s="28" t="str">
        <f>_xlfn.SINGLE(IF( OR(ISBLANK(_xlfn.SINGLE(#REF!)),ISBLANK(_xlfn.SINGLE(R85:R89)), ISBLANK(_xlfn.SINGLE(#REF!)),ISBLANK(_xlfn.SINGLE(T85:T89))), "·", bdRateExtend(#REF!,#REF!, R85:R89,T85:T89)))</f>
        <v>·</v>
      </c>
      <c r="BE85" s="28" t="str">
        <f>_xlfn.SINGLE(IF( OR(ISBLANK(_xlfn.SINGLE(#REF!)),ISBLANK(_xlfn.SINGLE(R85:R89)), ISBLANK(_xlfn.SINGLE(#REF!)),ISBLANK(_xlfn.SINGLE(U85:U89))), "·", bdRateExtend(#REF!,#REF!, R85:R89,U85:U89)))</f>
        <v>·</v>
      </c>
      <c r="BF85" s="28" t="str">
        <f>_xlfn.SINGLE(IF( OR(ISBLANK(_xlfn.SINGLE(#REF!)),ISBLANK(_xlfn.SINGLE(R85:R89)), ISBLANK(_xlfn.SINGLE(#REF!)),ISBLANK(_xlfn.SINGLE(V85:V89))), "·", bdRateExtend(#REF!,#REF!, R85:R89,V85:V89)))</f>
        <v>·</v>
      </c>
      <c r="BG85" s="29"/>
      <c r="BI85" s="28" t="str">
        <f>_xlfn.SINGLE(IF( OR(ISBLANK(_xlfn.SINGLE(#REF!)),ISBLANK(_xlfn.SINGLE(R85:R89)), ISBLANK(_xlfn.SINGLE(#REF!)),ISBLANK(_xlfn.SINGLE(X85:X89))), "·", bdRateExtend(#REF!,#REF!, R85:R89,X85:X89)))</f>
        <v>·</v>
      </c>
      <c r="BJ85" s="28" t="str">
        <f>_xlfn.SINGLE(IF( OR(ISBLANK(_xlfn.SINGLE(#REF!)),ISBLANK(_xlfn.SINGLE(R85:R89)), ISBLANK(_xlfn.SINGLE(#REF!)),ISBLANK(_xlfn.SINGLE(Y85:Y89))), "·", bdRateExtend(#REF!,#REF!, R85:R89,Y85:Y89)))</f>
        <v>·</v>
      </c>
      <c r="BK85" s="28" t="str">
        <f>_xlfn.SINGLE(IF( OR(ISBLANK(_xlfn.SINGLE(#REF!)),ISBLANK(_xlfn.SINGLE(R85:R89)), ISBLANK(_xlfn.SINGLE(#REF!)),ISBLANK(_xlfn.SINGLE(Z85:Z89))), "·", bdRateExtend(#REF!,#REF!, R85:R89,Z85:Z89)))</f>
        <v>·</v>
      </c>
      <c r="BL85" s="29"/>
      <c r="BN85" s="28" t="str">
        <f>_xlfn.SINGLE(IF( OR(ISBLANK(_xlfn.SINGLE(#REF!)),ISBLANK(_xlfn.SINGLE(P85:P89)), ISBLANK(_xlfn.SINGLE(#REF!)),ISBLANK(_xlfn.SINGLE(T85:T89))), "·", bdRateExtend(#REF!,#REF!, P85:P89,T85:T89)))</f>
        <v>·</v>
      </c>
      <c r="BO85" s="28" t="str">
        <f>_xlfn.SINGLE(IF( OR(ISBLANK(_xlfn.SINGLE(#REF!)),ISBLANK(_xlfn.SINGLE(P85:P89)), ISBLANK(_xlfn.SINGLE(#REF!)),ISBLANK(_xlfn.SINGLE(U85:U89))), "·", bdRateExtend(#REF!,#REF!, P85:P89,U85:U89)))</f>
        <v>·</v>
      </c>
      <c r="BP85" s="28" t="str">
        <f>_xlfn.SINGLE(IF( OR(ISBLANK(_xlfn.SINGLE(#REF!)),ISBLANK(_xlfn.SINGLE(P85:P89)), ISBLANK(_xlfn.SINGLE(#REF!)),ISBLANK(_xlfn.SINGLE(V85:V89))), "·", bdRateExtend(#REF!,#REF!, P85:P89,V85:V89)))</f>
        <v>·</v>
      </c>
      <c r="BQ85" s="29"/>
      <c r="BS85" s="28" t="str">
        <f>_xlfn.SINGLE(IF( OR(ISBLANK(_xlfn.SINGLE(#REF!)),ISBLANK(_xlfn.SINGLE(P85:P89)), ISBLANK(_xlfn.SINGLE(#REF!)),ISBLANK(_xlfn.SINGLE(X85:X89))), "·", bdRateExtend(#REF!,#REF!, P85:P89,X85:X89)))</f>
        <v>·</v>
      </c>
      <c r="BT85" s="28" t="str">
        <f>_xlfn.SINGLE(IF( OR(ISBLANK(_xlfn.SINGLE(#REF!)),ISBLANK(_xlfn.SINGLE(P85:P89)), ISBLANK(_xlfn.SINGLE(#REF!)),ISBLANK(_xlfn.SINGLE(Y85:Y89))), "·", bdRateExtend(#REF!,#REF!, P85:P89,Y85:Y89)))</f>
        <v>·</v>
      </c>
      <c r="BU85" s="28" t="str">
        <f>_xlfn.SINGLE(IF( OR(ISBLANK(_xlfn.SINGLE(#REF!)),ISBLANK(_xlfn.SINGLE(P85:P89)), ISBLANK(_xlfn.SINGLE(#REF!)),ISBLANK(_xlfn.SINGLE(Z85:Z89))), "·", bdRateExtend(#REF!,#REF!, P85:P89,Z85:Z89)))</f>
        <v>·</v>
      </c>
      <c r="BV85" s="29"/>
    </row>
    <row r="86" spans="1:74" outlineLevel="1" x14ac:dyDescent="0.15">
      <c r="A86" s="30"/>
      <c r="B86" s="30" t="s">
        <v>279</v>
      </c>
      <c r="C86" s="31" t="s">
        <v>226</v>
      </c>
      <c r="D86" s="30">
        <v>71948094</v>
      </c>
      <c r="E86" s="32">
        <v>14</v>
      </c>
      <c r="F86" s="31">
        <v>1</v>
      </c>
      <c r="G86" s="31"/>
      <c r="I86" s="33" t="str">
        <f>IF(OR(ISBLANK(#REF!),ISBLANK(G86)),"·",#REF!*G86/F86/1000000)</f>
        <v>·</v>
      </c>
      <c r="J86" s="34" t="e">
        <f>IF(ISBLANK(#REF!),"·",#REF!/D86)</f>
        <v>#REF!</v>
      </c>
      <c r="K86" s="34" t="e">
        <f>IF(#REF!="","·",#REF!/D86)</f>
        <v>#REF!</v>
      </c>
      <c r="L86" s="34" t="e">
        <f>IF(ISBLANK(#REF!),"·",#REF!/D86)</f>
        <v>#REF!</v>
      </c>
      <c r="M86" s="35"/>
      <c r="N86" s="34" t="e">
        <f>IF(ISBLANK(#REF!),"·",#REF!/#REF!)</f>
        <v>#REF!</v>
      </c>
      <c r="O86" s="36"/>
      <c r="P86" s="37"/>
      <c r="Q86" s="37"/>
      <c r="R86" s="37"/>
      <c r="S86" s="38"/>
      <c r="T86" s="39"/>
      <c r="U86" s="39"/>
      <c r="V86" s="39"/>
      <c r="W86" s="40"/>
      <c r="X86" s="39"/>
      <c r="Y86" s="39"/>
      <c r="Z86" s="39"/>
      <c r="AA86" s="40"/>
      <c r="AB86" s="41"/>
      <c r="AC86" s="41"/>
      <c r="AE86" s="33" t="str">
        <f t="shared" si="5"/>
        <v>·</v>
      </c>
      <c r="AF86" s="34" t="str">
        <f t="shared" si="6"/>
        <v>·</v>
      </c>
      <c r="AG86" s="34" t="str">
        <f t="shared" si="7"/>
        <v>·</v>
      </c>
      <c r="AH86" s="34" t="str">
        <f t="shared" si="8"/>
        <v>·</v>
      </c>
      <c r="AI86" s="35"/>
      <c r="AJ86" s="34" t="str">
        <f t="shared" si="9"/>
        <v>·</v>
      </c>
      <c r="BA86" s="42" t="e">
        <f>(Q86/P86) - (#REF!/#REF!)</f>
        <v>#DIV/0!</v>
      </c>
      <c r="BB86" s="42"/>
      <c r="BD86" s="43"/>
      <c r="BE86" s="43"/>
      <c r="BF86" s="43"/>
      <c r="BG86" s="44"/>
      <c r="BI86" s="43"/>
      <c r="BJ86" s="43"/>
      <c r="BK86" s="43"/>
      <c r="BL86" s="44"/>
      <c r="BN86" s="43"/>
      <c r="BO86" s="43"/>
      <c r="BP86" s="43"/>
      <c r="BQ86" s="44"/>
      <c r="BS86" s="43"/>
      <c r="BT86" s="43"/>
      <c r="BU86" s="43"/>
      <c r="BV86" s="44"/>
    </row>
    <row r="87" spans="1:74" outlineLevel="1" x14ac:dyDescent="0.15">
      <c r="A87" s="15"/>
      <c r="B87" s="15" t="s">
        <v>279</v>
      </c>
      <c r="C87" s="16" t="s">
        <v>227</v>
      </c>
      <c r="D87" s="15">
        <v>71948094</v>
      </c>
      <c r="E87" s="17">
        <v>14</v>
      </c>
      <c r="F87" s="16">
        <v>1</v>
      </c>
      <c r="G87" s="16"/>
      <c r="I87" s="18" t="str">
        <f>IF(OR(ISBLANK(#REF!),ISBLANK(G87)),"·",#REF!*G87/F87/1000000)</f>
        <v>·</v>
      </c>
      <c r="J87" s="19" t="e">
        <f>IF(ISBLANK(#REF!),"·",#REF!/D87)</f>
        <v>#REF!</v>
      </c>
      <c r="K87" s="19" t="e">
        <f>IF(#REF!="","·",#REF!/D87)</f>
        <v>#REF!</v>
      </c>
      <c r="L87" s="19" t="e">
        <f>IF(ISBLANK(#REF!),"·",#REF!/D87)</f>
        <v>#REF!</v>
      </c>
      <c r="M87" s="20"/>
      <c r="N87" s="19" t="e">
        <f>IF(ISBLANK(#REF!),"·",#REF!/#REF!)</f>
        <v>#REF!</v>
      </c>
      <c r="O87" s="21"/>
      <c r="P87" s="22"/>
      <c r="Q87" s="22"/>
      <c r="R87" s="22"/>
      <c r="S87" s="23"/>
      <c r="T87" s="24"/>
      <c r="U87" s="24"/>
      <c r="V87" s="24"/>
      <c r="W87" s="25"/>
      <c r="X87" s="24"/>
      <c r="Y87" s="24"/>
      <c r="Z87" s="24"/>
      <c r="AA87" s="25"/>
      <c r="AB87" s="26"/>
      <c r="AC87" s="26"/>
      <c r="AE87" s="18" t="str">
        <f t="shared" si="5"/>
        <v>·</v>
      </c>
      <c r="AF87" s="19" t="str">
        <f t="shared" si="6"/>
        <v>·</v>
      </c>
      <c r="AG87" s="19" t="str">
        <f t="shared" si="7"/>
        <v>·</v>
      </c>
      <c r="AH87" s="19" t="str">
        <f t="shared" si="8"/>
        <v>·</v>
      </c>
      <c r="AI87" s="20"/>
      <c r="AJ87" s="19" t="str">
        <f t="shared" si="9"/>
        <v>·</v>
      </c>
      <c r="BA87" s="27" t="e">
        <f>(Q87/P87) - (#REF!/#REF!)</f>
        <v>#DIV/0!</v>
      </c>
      <c r="BB87" s="27"/>
      <c r="BD87" s="28"/>
      <c r="BE87" s="28"/>
      <c r="BF87" s="28"/>
      <c r="BG87" s="29"/>
      <c r="BI87" s="28"/>
      <c r="BJ87" s="28"/>
      <c r="BK87" s="28"/>
      <c r="BL87" s="29"/>
      <c r="BN87" s="28"/>
      <c r="BO87" s="28"/>
      <c r="BP87" s="28"/>
      <c r="BQ87" s="29"/>
      <c r="BS87" s="28"/>
      <c r="BT87" s="28"/>
      <c r="BU87" s="28"/>
      <c r="BV87" s="29"/>
    </row>
    <row r="88" spans="1:74" outlineLevel="1" x14ac:dyDescent="0.15">
      <c r="A88" s="30"/>
      <c r="B88" s="30" t="s">
        <v>279</v>
      </c>
      <c r="C88" s="31" t="s">
        <v>228</v>
      </c>
      <c r="D88" s="30">
        <v>71948094</v>
      </c>
      <c r="E88" s="32">
        <v>14</v>
      </c>
      <c r="F88" s="31">
        <v>1</v>
      </c>
      <c r="G88" s="31"/>
      <c r="I88" s="33" t="str">
        <f>IF(OR(ISBLANK(#REF!),ISBLANK(G88)),"·",#REF!*G88/F88/1000000)</f>
        <v>·</v>
      </c>
      <c r="J88" s="34" t="e">
        <f>IF(ISBLANK(#REF!),"·",#REF!/D88)</f>
        <v>#REF!</v>
      </c>
      <c r="K88" s="34" t="e">
        <f>IF(#REF!="","·",#REF!/D88)</f>
        <v>#REF!</v>
      </c>
      <c r="L88" s="34" t="e">
        <f>IF(ISBLANK(#REF!),"·",#REF!/D88)</f>
        <v>#REF!</v>
      </c>
      <c r="M88" s="35"/>
      <c r="N88" s="34" t="e">
        <f>IF(ISBLANK(#REF!),"·",#REF!/#REF!)</f>
        <v>#REF!</v>
      </c>
      <c r="O88" s="36"/>
      <c r="P88" s="37"/>
      <c r="Q88" s="37"/>
      <c r="R88" s="37"/>
      <c r="S88" s="38"/>
      <c r="T88" s="39"/>
      <c r="U88" s="39"/>
      <c r="V88" s="39"/>
      <c r="W88" s="40"/>
      <c r="X88" s="39"/>
      <c r="Y88" s="39"/>
      <c r="Z88" s="39"/>
      <c r="AA88" s="40"/>
      <c r="AB88" s="41"/>
      <c r="AC88" s="41"/>
      <c r="AE88" s="33" t="str">
        <f t="shared" si="5"/>
        <v>·</v>
      </c>
      <c r="AF88" s="34" t="str">
        <f t="shared" si="6"/>
        <v>·</v>
      </c>
      <c r="AG88" s="34" t="str">
        <f t="shared" si="7"/>
        <v>·</v>
      </c>
      <c r="AH88" s="34" t="str">
        <f t="shared" si="8"/>
        <v>·</v>
      </c>
      <c r="AI88" s="35"/>
      <c r="AJ88" s="34" t="str">
        <f t="shared" si="9"/>
        <v>·</v>
      </c>
      <c r="BA88" s="42" t="e">
        <f>(Q88/P88) - (#REF!/#REF!)</f>
        <v>#DIV/0!</v>
      </c>
      <c r="BB88" s="42"/>
      <c r="BD88" s="43"/>
      <c r="BE88" s="43"/>
      <c r="BF88" s="43"/>
      <c r="BG88" s="44"/>
      <c r="BI88" s="43"/>
      <c r="BJ88" s="43"/>
      <c r="BK88" s="43"/>
      <c r="BL88" s="44"/>
      <c r="BN88" s="43"/>
      <c r="BO88" s="43"/>
      <c r="BP88" s="43"/>
      <c r="BQ88" s="44"/>
      <c r="BS88" s="43"/>
      <c r="BT88" s="43"/>
      <c r="BU88" s="43"/>
      <c r="BV88" s="44"/>
    </row>
    <row r="89" spans="1:74" ht="14.25" outlineLevel="1" thickBot="1" x14ac:dyDescent="0.2">
      <c r="A89" s="15"/>
      <c r="B89" s="64" t="s">
        <v>279</v>
      </c>
      <c r="C89" s="66" t="s">
        <v>229</v>
      </c>
      <c r="D89" s="64">
        <v>71948094</v>
      </c>
      <c r="E89" s="65">
        <v>14</v>
      </c>
      <c r="F89" s="66">
        <v>1</v>
      </c>
      <c r="G89" s="66"/>
      <c r="I89" s="68" t="str">
        <f>IF(OR(ISBLANK(#REF!),ISBLANK(G89)),"·",#REF!*G89/F89/1000000)</f>
        <v>·</v>
      </c>
      <c r="J89" s="69" t="e">
        <f>IF(ISBLANK(#REF!),"·",#REF!/D89)</f>
        <v>#REF!</v>
      </c>
      <c r="K89" s="69" t="e">
        <f>IF(#REF!="","·",#REF!/D89)</f>
        <v>#REF!</v>
      </c>
      <c r="L89" s="69" t="e">
        <f>IF(ISBLANK(#REF!),"·",#REF!/D89)</f>
        <v>#REF!</v>
      </c>
      <c r="M89" s="70"/>
      <c r="N89" s="69" t="e">
        <f>IF(ISBLANK(#REF!),"·",#REF!/#REF!)</f>
        <v>#REF!</v>
      </c>
      <c r="O89" s="71"/>
      <c r="P89" s="72"/>
      <c r="Q89" s="72"/>
      <c r="R89" s="72"/>
      <c r="S89" s="73"/>
      <c r="T89" s="77"/>
      <c r="U89" s="77"/>
      <c r="V89" s="77"/>
      <c r="W89" s="78"/>
      <c r="X89" s="77"/>
      <c r="Y89" s="77"/>
      <c r="Z89" s="77"/>
      <c r="AA89" s="78"/>
      <c r="AB89" s="74"/>
      <c r="AC89" s="74"/>
      <c r="AE89" s="68" t="str">
        <f t="shared" si="5"/>
        <v>·</v>
      </c>
      <c r="AF89" s="69" t="str">
        <f t="shared" si="6"/>
        <v>·</v>
      </c>
      <c r="AG89" s="69" t="str">
        <f t="shared" si="7"/>
        <v>·</v>
      </c>
      <c r="AH89" s="69" t="str">
        <f t="shared" si="8"/>
        <v>·</v>
      </c>
      <c r="AI89" s="70"/>
      <c r="AJ89" s="69" t="str">
        <f t="shared" si="9"/>
        <v>·</v>
      </c>
      <c r="BA89" s="67" t="e">
        <f>(Q89/P89) - (#REF!/#REF!)</f>
        <v>#DIV/0!</v>
      </c>
      <c r="BB89" s="67"/>
      <c r="BD89" s="75"/>
      <c r="BE89" s="75"/>
      <c r="BF89" s="75"/>
      <c r="BG89" s="76"/>
      <c r="BI89" s="75"/>
      <c r="BJ89" s="75"/>
      <c r="BK89" s="75"/>
      <c r="BL89" s="76"/>
      <c r="BN89" s="75"/>
      <c r="BO89" s="75"/>
      <c r="BP89" s="75"/>
      <c r="BQ89" s="76"/>
      <c r="BS89" s="75"/>
      <c r="BT89" s="75"/>
      <c r="BU89" s="75"/>
      <c r="BV89" s="76"/>
    </row>
    <row r="90" spans="1:74" x14ac:dyDescent="0.15">
      <c r="A90" s="30"/>
      <c r="B90" s="30" t="s">
        <v>282</v>
      </c>
      <c r="C90" s="31" t="s">
        <v>225</v>
      </c>
      <c r="D90" s="30">
        <v>3096122</v>
      </c>
      <c r="E90" s="32">
        <v>12</v>
      </c>
      <c r="F90" s="31">
        <v>1</v>
      </c>
      <c r="G90" s="31"/>
      <c r="I90" s="33" t="str">
        <f>IF(OR(ISBLANK(#REF!),ISBLANK(G90)),"·",#REF!*G90/F90/1000000)</f>
        <v>·</v>
      </c>
      <c r="J90" s="34" t="e">
        <f>IF(ISBLANK(#REF!),"·",#REF!/D90)</f>
        <v>#REF!</v>
      </c>
      <c r="K90" s="34" t="e">
        <f>IF(#REF!="","·",#REF!/D90)</f>
        <v>#REF!</v>
      </c>
      <c r="L90" s="34" t="e">
        <f>IF(ISBLANK(#REF!),"·",#REF!/D90)</f>
        <v>#REF!</v>
      </c>
      <c r="M90" s="35"/>
      <c r="N90" s="34" t="e">
        <f>IF(ISBLANK(#REF!),"·",#REF!/#REF!)</f>
        <v>#REF!</v>
      </c>
      <c r="O90" s="36"/>
      <c r="P90" s="37"/>
      <c r="Q90" s="37"/>
      <c r="R90" s="37"/>
      <c r="S90" s="38"/>
      <c r="T90" s="39"/>
      <c r="U90" s="39"/>
      <c r="V90" s="39"/>
      <c r="W90" s="40"/>
      <c r="X90" s="39"/>
      <c r="Y90" s="39"/>
      <c r="Z90" s="39"/>
      <c r="AA90" s="40"/>
      <c r="AB90" s="41"/>
      <c r="AC90" s="41"/>
      <c r="AE90" s="33" t="str">
        <f t="shared" si="5"/>
        <v>·</v>
      </c>
      <c r="AF90" s="34" t="str">
        <f t="shared" si="6"/>
        <v>·</v>
      </c>
      <c r="AG90" s="34" t="str">
        <f t="shared" si="7"/>
        <v>·</v>
      </c>
      <c r="AH90" s="34" t="str">
        <f t="shared" si="8"/>
        <v>·</v>
      </c>
      <c r="AI90" s="35"/>
      <c r="AJ90" s="34" t="str">
        <f t="shared" si="9"/>
        <v>·</v>
      </c>
      <c r="BA90" s="42" t="e">
        <f>(Q90/P90) - (#REF!/#REF!)</f>
        <v>#DIV/0!</v>
      </c>
      <c r="BB90" s="42" t="e">
        <f t="array" ref="BB90">AVERAGE(Q90:Q94/P90:P94) - AVERAGE(#REF!/#REF!)</f>
        <v>#DIV/0!</v>
      </c>
      <c r="BD90" s="43" t="str">
        <f>_xlfn.SINGLE(IF( OR(ISBLANK(_xlfn.SINGLE(#REF!)),ISBLANK(_xlfn.SINGLE(R90:R94)), ISBLANK(_xlfn.SINGLE(#REF!)),ISBLANK(_xlfn.SINGLE(T90:T94))), "·", bdRateExtend(#REF!,#REF!, R90:R94,T90:T94)))</f>
        <v>·</v>
      </c>
      <c r="BE90" s="43" t="str">
        <f>_xlfn.SINGLE(IF( OR(ISBLANK(_xlfn.SINGLE(#REF!)),ISBLANK(_xlfn.SINGLE(R90:R94)), ISBLANK(_xlfn.SINGLE(#REF!)),ISBLANK(_xlfn.SINGLE(U90:U94))), "·", bdRateExtend(#REF!,#REF!, R90:R94,U90:U94)))</f>
        <v>·</v>
      </c>
      <c r="BF90" s="43" t="str">
        <f>_xlfn.SINGLE(IF( OR(ISBLANK(_xlfn.SINGLE(#REF!)),ISBLANK(_xlfn.SINGLE(R90:R94)), ISBLANK(_xlfn.SINGLE(#REF!)),ISBLANK(_xlfn.SINGLE(V90:V94))), "·", bdRateExtend(#REF!,#REF!, R90:R94,V90:V94)))</f>
        <v>·</v>
      </c>
      <c r="BG90" s="44"/>
      <c r="BI90" s="43" t="str">
        <f>_xlfn.SINGLE(IF( OR(ISBLANK(_xlfn.SINGLE(#REF!)),ISBLANK(_xlfn.SINGLE(R90:R94)), ISBLANK(_xlfn.SINGLE(#REF!)),ISBLANK(_xlfn.SINGLE(X90:X94))), "·", bdRateExtend(#REF!,#REF!, R90:R94,X90:X94)))</f>
        <v>·</v>
      </c>
      <c r="BJ90" s="43" t="str">
        <f>_xlfn.SINGLE(IF( OR(ISBLANK(_xlfn.SINGLE(#REF!)),ISBLANK(_xlfn.SINGLE(R90:R94)), ISBLANK(_xlfn.SINGLE(#REF!)),ISBLANK(_xlfn.SINGLE(Y90:Y94))), "·", bdRateExtend(#REF!,#REF!, R90:R94,Y90:Y94)))</f>
        <v>·</v>
      </c>
      <c r="BK90" s="43" t="str">
        <f>_xlfn.SINGLE(IF( OR(ISBLANK(_xlfn.SINGLE(#REF!)),ISBLANK(_xlfn.SINGLE(R90:R94)), ISBLANK(_xlfn.SINGLE(#REF!)),ISBLANK(_xlfn.SINGLE(Z90:Z94))), "·", bdRateExtend(#REF!,#REF!, R90:R94,Z90:Z94)))</f>
        <v>·</v>
      </c>
      <c r="BL90" s="44"/>
      <c r="BN90" s="43" t="str">
        <f>_xlfn.SINGLE(IF( OR(ISBLANK(_xlfn.SINGLE(#REF!)),ISBLANK(_xlfn.SINGLE(P90:P94)), ISBLANK(_xlfn.SINGLE(#REF!)),ISBLANK(_xlfn.SINGLE(T90:T94))), "·", bdRateExtend(#REF!,#REF!, P90:P94,T90:T94)))</f>
        <v>·</v>
      </c>
      <c r="BO90" s="43" t="str">
        <f>_xlfn.SINGLE(IF( OR(ISBLANK(_xlfn.SINGLE(#REF!)),ISBLANK(_xlfn.SINGLE(P90:P94)), ISBLANK(_xlfn.SINGLE(#REF!)),ISBLANK(_xlfn.SINGLE(U90:U94))), "·", bdRateExtend(#REF!,#REF!, P90:P94,U90:U94)))</f>
        <v>·</v>
      </c>
      <c r="BP90" s="43" t="str">
        <f>_xlfn.SINGLE(IF( OR(ISBLANK(_xlfn.SINGLE(#REF!)),ISBLANK(_xlfn.SINGLE(P90:P94)), ISBLANK(_xlfn.SINGLE(#REF!)),ISBLANK(_xlfn.SINGLE(V90:V94))), "·", bdRateExtend(#REF!,#REF!, P90:P94,V90:V94)))</f>
        <v>·</v>
      </c>
      <c r="BQ90" s="44"/>
      <c r="BS90" s="43" t="str">
        <f>_xlfn.SINGLE(IF( OR(ISBLANK(_xlfn.SINGLE(#REF!)),ISBLANK(_xlfn.SINGLE(P90:P94)), ISBLANK(_xlfn.SINGLE(#REF!)),ISBLANK(_xlfn.SINGLE(X90:X94))), "·", bdRateExtend(#REF!,#REF!, P90:P94,X90:X94)))</f>
        <v>·</v>
      </c>
      <c r="BT90" s="43" t="str">
        <f>_xlfn.SINGLE(IF( OR(ISBLANK(_xlfn.SINGLE(#REF!)),ISBLANK(_xlfn.SINGLE(P90:P94)), ISBLANK(_xlfn.SINGLE(#REF!)),ISBLANK(_xlfn.SINGLE(Y90:Y94))), "·", bdRateExtend(#REF!,#REF!, P90:P94,Y90:Y94)))</f>
        <v>·</v>
      </c>
      <c r="BU90" s="43" t="str">
        <f>_xlfn.SINGLE(IF( OR(ISBLANK(_xlfn.SINGLE(#REF!)),ISBLANK(_xlfn.SINGLE(P90:P94)), ISBLANK(_xlfn.SINGLE(#REF!)),ISBLANK(_xlfn.SINGLE(Z90:Z94))), "·", bdRateExtend(#REF!,#REF!, P90:P94,Z90:Z94)))</f>
        <v>·</v>
      </c>
      <c r="BV90" s="44"/>
    </row>
    <row r="91" spans="1:74" outlineLevel="1" x14ac:dyDescent="0.15">
      <c r="A91" s="15"/>
      <c r="B91" s="15" t="s">
        <v>282</v>
      </c>
      <c r="C91" s="16" t="s">
        <v>226</v>
      </c>
      <c r="D91" s="15">
        <v>3096122</v>
      </c>
      <c r="E91" s="17">
        <v>12</v>
      </c>
      <c r="F91" s="16">
        <v>1</v>
      </c>
      <c r="G91" s="16"/>
      <c r="I91" s="18" t="str">
        <f>IF(OR(ISBLANK(#REF!),ISBLANK(G91)),"·",#REF!*G91/F91/1000000)</f>
        <v>·</v>
      </c>
      <c r="J91" s="19" t="e">
        <f>IF(ISBLANK(#REF!),"·",#REF!/D91)</f>
        <v>#REF!</v>
      </c>
      <c r="K91" s="19" t="e">
        <f>IF(#REF!="","·",#REF!/D91)</f>
        <v>#REF!</v>
      </c>
      <c r="L91" s="19" t="e">
        <f>IF(ISBLANK(#REF!),"·",#REF!/D91)</f>
        <v>#REF!</v>
      </c>
      <c r="M91" s="20"/>
      <c r="N91" s="19" t="e">
        <f>IF(ISBLANK(#REF!),"·",#REF!/#REF!)</f>
        <v>#REF!</v>
      </c>
      <c r="O91" s="21"/>
      <c r="P91" s="22"/>
      <c r="Q91" s="22"/>
      <c r="R91" s="22"/>
      <c r="S91" s="23"/>
      <c r="T91" s="24"/>
      <c r="U91" s="24"/>
      <c r="V91" s="24"/>
      <c r="W91" s="25"/>
      <c r="X91" s="24"/>
      <c r="Y91" s="24"/>
      <c r="Z91" s="24"/>
      <c r="AA91" s="25"/>
      <c r="AB91" s="26"/>
      <c r="AC91" s="26"/>
      <c r="AE91" s="18" t="str">
        <f t="shared" si="5"/>
        <v>·</v>
      </c>
      <c r="AF91" s="19" t="str">
        <f t="shared" si="6"/>
        <v>·</v>
      </c>
      <c r="AG91" s="19" t="str">
        <f t="shared" si="7"/>
        <v>·</v>
      </c>
      <c r="AH91" s="19" t="str">
        <f t="shared" si="8"/>
        <v>·</v>
      </c>
      <c r="AI91" s="20"/>
      <c r="AJ91" s="19" t="str">
        <f t="shared" si="9"/>
        <v>·</v>
      </c>
      <c r="BA91" s="27" t="e">
        <f>(Q91/P91) - (#REF!/#REF!)</f>
        <v>#DIV/0!</v>
      </c>
      <c r="BB91" s="27"/>
      <c r="BD91" s="28"/>
      <c r="BE91" s="28"/>
      <c r="BF91" s="28"/>
      <c r="BG91" s="29"/>
      <c r="BI91" s="28"/>
      <c r="BJ91" s="28"/>
      <c r="BK91" s="28"/>
      <c r="BL91" s="29"/>
      <c r="BN91" s="28"/>
      <c r="BO91" s="28"/>
      <c r="BP91" s="28"/>
      <c r="BQ91" s="29"/>
      <c r="BS91" s="28"/>
      <c r="BT91" s="28"/>
      <c r="BU91" s="28"/>
      <c r="BV91" s="29"/>
    </row>
    <row r="92" spans="1:74" outlineLevel="1" x14ac:dyDescent="0.15">
      <c r="A92" s="30"/>
      <c r="B92" s="30" t="s">
        <v>282</v>
      </c>
      <c r="C92" s="31" t="s">
        <v>227</v>
      </c>
      <c r="D92" s="30">
        <v>3096122</v>
      </c>
      <c r="E92" s="32">
        <v>12</v>
      </c>
      <c r="F92" s="31">
        <v>1</v>
      </c>
      <c r="G92" s="31"/>
      <c r="I92" s="33" t="str">
        <f>IF(OR(ISBLANK(#REF!),ISBLANK(G92)),"·",#REF!*G92/F92/1000000)</f>
        <v>·</v>
      </c>
      <c r="J92" s="34" t="e">
        <f>IF(ISBLANK(#REF!),"·",#REF!/D92)</f>
        <v>#REF!</v>
      </c>
      <c r="K92" s="34" t="e">
        <f>IF(#REF!="","·",#REF!/D92)</f>
        <v>#REF!</v>
      </c>
      <c r="L92" s="34" t="e">
        <f>IF(ISBLANK(#REF!),"·",#REF!/D92)</f>
        <v>#REF!</v>
      </c>
      <c r="M92" s="35"/>
      <c r="N92" s="34" t="e">
        <f>IF(ISBLANK(#REF!),"·",#REF!/#REF!)</f>
        <v>#REF!</v>
      </c>
      <c r="O92" s="36"/>
      <c r="P92" s="37"/>
      <c r="Q92" s="37"/>
      <c r="R92" s="37"/>
      <c r="S92" s="38"/>
      <c r="T92" s="39"/>
      <c r="U92" s="39"/>
      <c r="V92" s="39"/>
      <c r="W92" s="40"/>
      <c r="X92" s="39"/>
      <c r="Y92" s="39"/>
      <c r="Z92" s="39"/>
      <c r="AA92" s="40"/>
      <c r="AB92" s="41"/>
      <c r="AC92" s="41"/>
      <c r="AE92" s="33" t="str">
        <f t="shared" si="5"/>
        <v>·</v>
      </c>
      <c r="AF92" s="34" t="str">
        <f t="shared" si="6"/>
        <v>·</v>
      </c>
      <c r="AG92" s="34" t="str">
        <f t="shared" si="7"/>
        <v>·</v>
      </c>
      <c r="AH92" s="34" t="str">
        <f t="shared" si="8"/>
        <v>·</v>
      </c>
      <c r="AI92" s="35"/>
      <c r="AJ92" s="34" t="str">
        <f t="shared" si="9"/>
        <v>·</v>
      </c>
      <c r="BA92" s="42" t="e">
        <f>(Q92/P92) - (#REF!/#REF!)</f>
        <v>#DIV/0!</v>
      </c>
      <c r="BB92" s="42"/>
      <c r="BD92" s="43"/>
      <c r="BE92" s="43"/>
      <c r="BF92" s="43"/>
      <c r="BG92" s="44"/>
      <c r="BI92" s="43"/>
      <c r="BJ92" s="43"/>
      <c r="BK92" s="43"/>
      <c r="BL92" s="44"/>
      <c r="BN92" s="43"/>
      <c r="BO92" s="43"/>
      <c r="BP92" s="43"/>
      <c r="BQ92" s="44"/>
      <c r="BS92" s="43"/>
      <c r="BT92" s="43"/>
      <c r="BU92" s="43"/>
      <c r="BV92" s="44"/>
    </row>
    <row r="93" spans="1:74" outlineLevel="1" x14ac:dyDescent="0.15">
      <c r="A93" s="15"/>
      <c r="B93" s="15" t="s">
        <v>282</v>
      </c>
      <c r="C93" s="16" t="s">
        <v>228</v>
      </c>
      <c r="D93" s="15">
        <v>3096122</v>
      </c>
      <c r="E93" s="17">
        <v>12</v>
      </c>
      <c r="F93" s="16">
        <v>1</v>
      </c>
      <c r="G93" s="16"/>
      <c r="I93" s="18" t="str">
        <f>IF(OR(ISBLANK(#REF!),ISBLANK(G93)),"·",#REF!*G93/F93/1000000)</f>
        <v>·</v>
      </c>
      <c r="J93" s="19" t="e">
        <f>IF(ISBLANK(#REF!),"·",#REF!/D93)</f>
        <v>#REF!</v>
      </c>
      <c r="K93" s="19" t="e">
        <f>IF(#REF!="","·",#REF!/D93)</f>
        <v>#REF!</v>
      </c>
      <c r="L93" s="19" t="e">
        <f>IF(ISBLANK(#REF!),"·",#REF!/D93)</f>
        <v>#REF!</v>
      </c>
      <c r="M93" s="20"/>
      <c r="N93" s="19" t="e">
        <f>IF(ISBLANK(#REF!),"·",#REF!/#REF!)</f>
        <v>#REF!</v>
      </c>
      <c r="O93" s="21"/>
      <c r="P93" s="22"/>
      <c r="Q93" s="22"/>
      <c r="R93" s="22"/>
      <c r="S93" s="23"/>
      <c r="T93" s="24"/>
      <c r="U93" s="24"/>
      <c r="V93" s="24"/>
      <c r="W93" s="25"/>
      <c r="X93" s="24"/>
      <c r="Y93" s="24"/>
      <c r="Z93" s="24"/>
      <c r="AA93" s="25"/>
      <c r="AB93" s="26"/>
      <c r="AC93" s="26"/>
      <c r="AE93" s="18" t="str">
        <f t="shared" si="5"/>
        <v>·</v>
      </c>
      <c r="AF93" s="19" t="str">
        <f t="shared" si="6"/>
        <v>·</v>
      </c>
      <c r="AG93" s="19" t="str">
        <f t="shared" si="7"/>
        <v>·</v>
      </c>
      <c r="AH93" s="19" t="str">
        <f t="shared" si="8"/>
        <v>·</v>
      </c>
      <c r="AI93" s="20"/>
      <c r="AJ93" s="19" t="str">
        <f t="shared" si="9"/>
        <v>·</v>
      </c>
      <c r="BA93" s="27" t="e">
        <f>(Q93/P93) - (#REF!/#REF!)</f>
        <v>#DIV/0!</v>
      </c>
      <c r="BB93" s="27"/>
      <c r="BD93" s="28"/>
      <c r="BE93" s="28"/>
      <c r="BF93" s="28"/>
      <c r="BG93" s="29"/>
      <c r="BI93" s="28"/>
      <c r="BJ93" s="28"/>
      <c r="BK93" s="28"/>
      <c r="BL93" s="29"/>
      <c r="BN93" s="28"/>
      <c r="BO93" s="28"/>
      <c r="BP93" s="28"/>
      <c r="BQ93" s="29"/>
      <c r="BS93" s="28"/>
      <c r="BT93" s="28"/>
      <c r="BU93" s="28"/>
      <c r="BV93" s="29"/>
    </row>
    <row r="94" spans="1:74" ht="14.25" outlineLevel="1" thickBot="1" x14ac:dyDescent="0.2">
      <c r="A94" s="30"/>
      <c r="B94" s="45" t="s">
        <v>282</v>
      </c>
      <c r="C94" s="46" t="s">
        <v>229</v>
      </c>
      <c r="D94" s="45">
        <v>3096122</v>
      </c>
      <c r="E94" s="47">
        <v>12</v>
      </c>
      <c r="F94" s="46">
        <v>1</v>
      </c>
      <c r="G94" s="46"/>
      <c r="I94" s="48" t="str">
        <f>IF(OR(ISBLANK(#REF!),ISBLANK(G94)),"·",#REF!*G94/F94/1000000)</f>
        <v>·</v>
      </c>
      <c r="J94" s="49" t="e">
        <f>IF(ISBLANK(#REF!),"·",#REF!/D94)</f>
        <v>#REF!</v>
      </c>
      <c r="K94" s="49" t="e">
        <f>IF(#REF!="","·",#REF!/D94)</f>
        <v>#REF!</v>
      </c>
      <c r="L94" s="49" t="e">
        <f>IF(ISBLANK(#REF!),"·",#REF!/D94)</f>
        <v>#REF!</v>
      </c>
      <c r="M94" s="50"/>
      <c r="N94" s="49" t="e">
        <f>IF(ISBLANK(#REF!),"·",#REF!/#REF!)</f>
        <v>#REF!</v>
      </c>
      <c r="O94" s="51"/>
      <c r="P94" s="52"/>
      <c r="Q94" s="52"/>
      <c r="R94" s="52"/>
      <c r="S94" s="53"/>
      <c r="T94" s="54"/>
      <c r="U94" s="54"/>
      <c r="V94" s="54"/>
      <c r="W94" s="55"/>
      <c r="X94" s="54"/>
      <c r="Y94" s="54"/>
      <c r="Z94" s="54"/>
      <c r="AA94" s="55"/>
      <c r="AB94" s="56"/>
      <c r="AC94" s="56"/>
      <c r="AE94" s="48" t="str">
        <f t="shared" si="5"/>
        <v>·</v>
      </c>
      <c r="AF94" s="49" t="str">
        <f t="shared" si="6"/>
        <v>·</v>
      </c>
      <c r="AG94" s="49" t="str">
        <f t="shared" si="7"/>
        <v>·</v>
      </c>
      <c r="AH94" s="49" t="str">
        <f t="shared" si="8"/>
        <v>·</v>
      </c>
      <c r="AI94" s="50"/>
      <c r="AJ94" s="49" t="str">
        <f t="shared" si="9"/>
        <v>·</v>
      </c>
      <c r="BA94" s="57" t="e">
        <f>(Q94/P94) - (#REF!/#REF!)</f>
        <v>#DIV/0!</v>
      </c>
      <c r="BB94" s="57"/>
      <c r="BD94" s="58"/>
      <c r="BE94" s="58"/>
      <c r="BF94" s="58"/>
      <c r="BG94" s="59"/>
      <c r="BI94" s="58"/>
      <c r="BJ94" s="58"/>
      <c r="BK94" s="58"/>
      <c r="BL94" s="59"/>
      <c r="BN94" s="58"/>
      <c r="BO94" s="58"/>
      <c r="BP94" s="58"/>
      <c r="BQ94" s="59"/>
      <c r="BS94" s="58"/>
      <c r="BT94" s="58"/>
      <c r="BU94" s="58"/>
      <c r="BV94" s="59"/>
    </row>
    <row r="95" spans="1:74" x14ac:dyDescent="0.15">
      <c r="A95" s="15"/>
      <c r="B95" s="15" t="s">
        <v>285</v>
      </c>
      <c r="C95" s="16" t="s">
        <v>225</v>
      </c>
      <c r="D95" s="15">
        <v>3017285</v>
      </c>
      <c r="E95" s="17">
        <v>12</v>
      </c>
      <c r="F95" s="16">
        <v>1</v>
      </c>
      <c r="G95" s="16"/>
      <c r="I95" s="18" t="str">
        <f>IF(OR(ISBLANK(#REF!),ISBLANK(G95)),"·",#REF!*G95/F95/1000000)</f>
        <v>·</v>
      </c>
      <c r="J95" s="19" t="e">
        <f>IF(ISBLANK(#REF!),"·",#REF!/D95)</f>
        <v>#REF!</v>
      </c>
      <c r="K95" s="19" t="e">
        <f>IF(#REF!="","·",#REF!/D95)</f>
        <v>#REF!</v>
      </c>
      <c r="L95" s="19" t="e">
        <f>IF(ISBLANK(#REF!),"·",#REF!/D95)</f>
        <v>#REF!</v>
      </c>
      <c r="M95" s="20"/>
      <c r="N95" s="19" t="e">
        <f>IF(ISBLANK(#REF!),"·",#REF!/#REF!)</f>
        <v>#REF!</v>
      </c>
      <c r="O95" s="21"/>
      <c r="P95" s="22"/>
      <c r="Q95" s="22"/>
      <c r="R95" s="22"/>
      <c r="S95" s="23"/>
      <c r="T95" s="24"/>
      <c r="U95" s="24"/>
      <c r="V95" s="24"/>
      <c r="W95" s="25"/>
      <c r="X95" s="24"/>
      <c r="Y95" s="24"/>
      <c r="Z95" s="24"/>
      <c r="AA95" s="25"/>
      <c r="AB95" s="26"/>
      <c r="AC95" s="26"/>
      <c r="AE95" s="18" t="str">
        <f t="shared" si="5"/>
        <v>·</v>
      </c>
      <c r="AF95" s="19" t="str">
        <f t="shared" si="6"/>
        <v>·</v>
      </c>
      <c r="AG95" s="19" t="str">
        <f t="shared" si="7"/>
        <v>·</v>
      </c>
      <c r="AH95" s="19" t="str">
        <f t="shared" si="8"/>
        <v>·</v>
      </c>
      <c r="AI95" s="20"/>
      <c r="AJ95" s="19" t="str">
        <f t="shared" si="9"/>
        <v>·</v>
      </c>
      <c r="BA95" s="27" t="e">
        <f>(Q95/P95) - (#REF!/#REF!)</f>
        <v>#DIV/0!</v>
      </c>
      <c r="BB95" s="27" t="e">
        <f t="array" ref="BB95">AVERAGE(Q95:Q99/P95:P99) - AVERAGE(#REF!/#REF!)</f>
        <v>#DIV/0!</v>
      </c>
      <c r="BD95" s="28" t="str">
        <f>_xlfn.SINGLE(IF( OR(ISBLANK(_xlfn.SINGLE(#REF!)),ISBLANK(_xlfn.SINGLE(R95:R99)), ISBLANK(_xlfn.SINGLE(#REF!)),ISBLANK(_xlfn.SINGLE(T95:T99))), "·", bdRateExtend(#REF!,#REF!, R95:R99,T95:T99)))</f>
        <v>·</v>
      </c>
      <c r="BE95" s="28" t="str">
        <f>_xlfn.SINGLE(IF( OR(ISBLANK(_xlfn.SINGLE(#REF!)),ISBLANK(_xlfn.SINGLE(R95:R99)), ISBLANK(_xlfn.SINGLE(#REF!)),ISBLANK(_xlfn.SINGLE(U95:U99))), "·", bdRateExtend(#REF!,#REF!, R95:R99,U95:U99)))</f>
        <v>·</v>
      </c>
      <c r="BF95" s="28" t="str">
        <f>_xlfn.SINGLE(IF( OR(ISBLANK(_xlfn.SINGLE(#REF!)),ISBLANK(_xlfn.SINGLE(R95:R99)), ISBLANK(_xlfn.SINGLE(#REF!)),ISBLANK(_xlfn.SINGLE(V95:V99))), "·", bdRateExtend(#REF!,#REF!, R95:R99,V95:V99)))</f>
        <v>·</v>
      </c>
      <c r="BG95" s="29"/>
      <c r="BI95" s="28" t="str">
        <f>_xlfn.SINGLE(IF( OR(ISBLANK(_xlfn.SINGLE(#REF!)),ISBLANK(_xlfn.SINGLE(R95:R99)), ISBLANK(_xlfn.SINGLE(#REF!)),ISBLANK(_xlfn.SINGLE(X95:X99))), "·", bdRateExtend(#REF!,#REF!, R95:R99,X95:X99)))</f>
        <v>·</v>
      </c>
      <c r="BJ95" s="28" t="str">
        <f>_xlfn.SINGLE(IF( OR(ISBLANK(_xlfn.SINGLE(#REF!)),ISBLANK(_xlfn.SINGLE(R95:R99)), ISBLANK(_xlfn.SINGLE(#REF!)),ISBLANK(_xlfn.SINGLE(Y95:Y99))), "·", bdRateExtend(#REF!,#REF!, R95:R99,Y95:Y99)))</f>
        <v>·</v>
      </c>
      <c r="BK95" s="28" t="str">
        <f>_xlfn.SINGLE(IF( OR(ISBLANK(_xlfn.SINGLE(#REF!)),ISBLANK(_xlfn.SINGLE(R95:R99)), ISBLANK(_xlfn.SINGLE(#REF!)),ISBLANK(_xlfn.SINGLE(Z95:Z99))), "·", bdRateExtend(#REF!,#REF!, R95:R99,Z95:Z99)))</f>
        <v>·</v>
      </c>
      <c r="BL95" s="29"/>
      <c r="BN95" s="28" t="str">
        <f>_xlfn.SINGLE(IF( OR(ISBLANK(_xlfn.SINGLE(#REF!)),ISBLANK(_xlfn.SINGLE(P95:P99)), ISBLANK(_xlfn.SINGLE(#REF!)),ISBLANK(_xlfn.SINGLE(T95:T99))), "·", bdRateExtend(#REF!,#REF!, P95:P99,T95:T99)))</f>
        <v>·</v>
      </c>
      <c r="BO95" s="28" t="str">
        <f>_xlfn.SINGLE(IF( OR(ISBLANK(_xlfn.SINGLE(#REF!)),ISBLANK(_xlfn.SINGLE(P95:P99)), ISBLANK(_xlfn.SINGLE(#REF!)),ISBLANK(_xlfn.SINGLE(U95:U99))), "·", bdRateExtend(#REF!,#REF!, P95:P99,U95:U99)))</f>
        <v>·</v>
      </c>
      <c r="BP95" s="28" t="str">
        <f>_xlfn.SINGLE(IF( OR(ISBLANK(_xlfn.SINGLE(#REF!)),ISBLANK(_xlfn.SINGLE(P95:P99)), ISBLANK(_xlfn.SINGLE(#REF!)),ISBLANK(_xlfn.SINGLE(V95:V99))), "·", bdRateExtend(#REF!,#REF!, P95:P99,V95:V99)))</f>
        <v>·</v>
      </c>
      <c r="BQ95" s="29"/>
      <c r="BS95" s="28" t="str">
        <f>_xlfn.SINGLE(IF( OR(ISBLANK(_xlfn.SINGLE(#REF!)),ISBLANK(_xlfn.SINGLE(P95:P99)), ISBLANK(_xlfn.SINGLE(#REF!)),ISBLANK(_xlfn.SINGLE(X95:X99))), "·", bdRateExtend(#REF!,#REF!, P95:P99,X95:X99)))</f>
        <v>·</v>
      </c>
      <c r="BT95" s="28" t="str">
        <f>_xlfn.SINGLE(IF( OR(ISBLANK(_xlfn.SINGLE(#REF!)),ISBLANK(_xlfn.SINGLE(P95:P99)), ISBLANK(_xlfn.SINGLE(#REF!)),ISBLANK(_xlfn.SINGLE(Y95:Y99))), "·", bdRateExtend(#REF!,#REF!, P95:P99,Y95:Y99)))</f>
        <v>·</v>
      </c>
      <c r="BU95" s="28" t="str">
        <f>_xlfn.SINGLE(IF( OR(ISBLANK(_xlfn.SINGLE(#REF!)),ISBLANK(_xlfn.SINGLE(P95:P99)), ISBLANK(_xlfn.SINGLE(#REF!)),ISBLANK(_xlfn.SINGLE(Z95:Z99))), "·", bdRateExtend(#REF!,#REF!, P95:P99,Z95:Z99)))</f>
        <v>·</v>
      </c>
      <c r="BV95" s="29"/>
    </row>
    <row r="96" spans="1:74" outlineLevel="1" x14ac:dyDescent="0.15">
      <c r="A96" s="30"/>
      <c r="B96" s="30" t="s">
        <v>285</v>
      </c>
      <c r="C96" s="31" t="s">
        <v>226</v>
      </c>
      <c r="D96" s="30">
        <v>3017285</v>
      </c>
      <c r="E96" s="32">
        <v>12</v>
      </c>
      <c r="F96" s="31">
        <v>1</v>
      </c>
      <c r="G96" s="31"/>
      <c r="I96" s="33" t="str">
        <f>IF(OR(ISBLANK(#REF!),ISBLANK(G96)),"·",#REF!*G96/F96/1000000)</f>
        <v>·</v>
      </c>
      <c r="J96" s="34" t="e">
        <f>IF(ISBLANK(#REF!),"·",#REF!/D96)</f>
        <v>#REF!</v>
      </c>
      <c r="K96" s="34" t="e">
        <f>IF(#REF!="","·",#REF!/D96)</f>
        <v>#REF!</v>
      </c>
      <c r="L96" s="34" t="e">
        <f>IF(ISBLANK(#REF!),"·",#REF!/D96)</f>
        <v>#REF!</v>
      </c>
      <c r="M96" s="35"/>
      <c r="N96" s="34" t="e">
        <f>IF(ISBLANK(#REF!),"·",#REF!/#REF!)</f>
        <v>#REF!</v>
      </c>
      <c r="O96" s="36"/>
      <c r="P96" s="37"/>
      <c r="Q96" s="37"/>
      <c r="R96" s="37"/>
      <c r="S96" s="38"/>
      <c r="T96" s="39"/>
      <c r="U96" s="39"/>
      <c r="V96" s="39"/>
      <c r="W96" s="40"/>
      <c r="X96" s="39"/>
      <c r="Y96" s="39"/>
      <c r="Z96" s="39"/>
      <c r="AA96" s="40"/>
      <c r="AB96" s="41"/>
      <c r="AC96" s="41"/>
      <c r="AE96" s="33" t="str">
        <f t="shared" si="5"/>
        <v>·</v>
      </c>
      <c r="AF96" s="34" t="str">
        <f t="shared" si="6"/>
        <v>·</v>
      </c>
      <c r="AG96" s="34" t="str">
        <f t="shared" si="7"/>
        <v>·</v>
      </c>
      <c r="AH96" s="34" t="str">
        <f t="shared" si="8"/>
        <v>·</v>
      </c>
      <c r="AI96" s="35"/>
      <c r="AJ96" s="34" t="str">
        <f t="shared" si="9"/>
        <v>·</v>
      </c>
      <c r="BA96" s="42" t="e">
        <f>(Q96/P96) - (#REF!/#REF!)</f>
        <v>#DIV/0!</v>
      </c>
      <c r="BB96" s="42"/>
      <c r="BD96" s="43"/>
      <c r="BE96" s="43"/>
      <c r="BF96" s="43"/>
      <c r="BG96" s="44"/>
      <c r="BI96" s="43"/>
      <c r="BJ96" s="43"/>
      <c r="BK96" s="43"/>
      <c r="BL96" s="44"/>
      <c r="BN96" s="43"/>
      <c r="BO96" s="43"/>
      <c r="BP96" s="43"/>
      <c r="BQ96" s="44"/>
      <c r="BS96" s="43"/>
      <c r="BT96" s="43"/>
      <c r="BU96" s="43"/>
      <c r="BV96" s="44"/>
    </row>
    <row r="97" spans="1:74" outlineLevel="1" x14ac:dyDescent="0.15">
      <c r="A97" s="15"/>
      <c r="B97" s="15" t="s">
        <v>285</v>
      </c>
      <c r="C97" s="16" t="s">
        <v>227</v>
      </c>
      <c r="D97" s="15">
        <v>3017285</v>
      </c>
      <c r="E97" s="17">
        <v>12</v>
      </c>
      <c r="F97" s="16">
        <v>1</v>
      </c>
      <c r="G97" s="16"/>
      <c r="I97" s="18" t="str">
        <f>IF(OR(ISBLANK(#REF!),ISBLANK(G97)),"·",#REF!*G97/F97/1000000)</f>
        <v>·</v>
      </c>
      <c r="J97" s="19" t="e">
        <f>IF(ISBLANK(#REF!),"·",#REF!/D97)</f>
        <v>#REF!</v>
      </c>
      <c r="K97" s="19" t="e">
        <f>IF(#REF!="","·",#REF!/D97)</f>
        <v>#REF!</v>
      </c>
      <c r="L97" s="19" t="e">
        <f>IF(ISBLANK(#REF!),"·",#REF!/D97)</f>
        <v>#REF!</v>
      </c>
      <c r="M97" s="20"/>
      <c r="N97" s="19" t="e">
        <f>IF(ISBLANK(#REF!),"·",#REF!/#REF!)</f>
        <v>#REF!</v>
      </c>
      <c r="O97" s="21"/>
      <c r="P97" s="22"/>
      <c r="Q97" s="22"/>
      <c r="R97" s="22"/>
      <c r="S97" s="23"/>
      <c r="T97" s="24"/>
      <c r="U97" s="24"/>
      <c r="V97" s="24"/>
      <c r="W97" s="25"/>
      <c r="X97" s="24"/>
      <c r="Y97" s="24"/>
      <c r="Z97" s="24"/>
      <c r="AA97" s="25"/>
      <c r="AB97" s="26"/>
      <c r="AC97" s="26"/>
      <c r="AE97" s="18" t="str">
        <f t="shared" si="5"/>
        <v>·</v>
      </c>
      <c r="AF97" s="19" t="str">
        <f t="shared" si="6"/>
        <v>·</v>
      </c>
      <c r="AG97" s="19" t="str">
        <f t="shared" si="7"/>
        <v>·</v>
      </c>
      <c r="AH97" s="19" t="str">
        <f t="shared" si="8"/>
        <v>·</v>
      </c>
      <c r="AI97" s="20"/>
      <c r="AJ97" s="19" t="str">
        <f t="shared" si="9"/>
        <v>·</v>
      </c>
      <c r="BA97" s="27" t="e">
        <f>(Q97/P97) - (#REF!/#REF!)</f>
        <v>#DIV/0!</v>
      </c>
      <c r="BB97" s="27"/>
      <c r="BD97" s="28"/>
      <c r="BE97" s="28"/>
      <c r="BF97" s="28"/>
      <c r="BG97" s="29"/>
      <c r="BI97" s="28"/>
      <c r="BJ97" s="28"/>
      <c r="BK97" s="28"/>
      <c r="BL97" s="29"/>
      <c r="BN97" s="28"/>
      <c r="BO97" s="28"/>
      <c r="BP97" s="28"/>
      <c r="BQ97" s="29"/>
      <c r="BS97" s="28"/>
      <c r="BT97" s="28"/>
      <c r="BU97" s="28"/>
      <c r="BV97" s="29"/>
    </row>
    <row r="98" spans="1:74" outlineLevel="1" x14ac:dyDescent="0.15">
      <c r="A98" s="30"/>
      <c r="B98" s="30" t="s">
        <v>285</v>
      </c>
      <c r="C98" s="31" t="s">
        <v>228</v>
      </c>
      <c r="D98" s="30">
        <v>3017285</v>
      </c>
      <c r="E98" s="32">
        <v>12</v>
      </c>
      <c r="F98" s="31">
        <v>1</v>
      </c>
      <c r="G98" s="31"/>
      <c r="I98" s="33" t="str">
        <f>IF(OR(ISBLANK(#REF!),ISBLANK(G98)),"·",#REF!*G98/F98/1000000)</f>
        <v>·</v>
      </c>
      <c r="J98" s="34" t="e">
        <f>IF(ISBLANK(#REF!),"·",#REF!/D98)</f>
        <v>#REF!</v>
      </c>
      <c r="K98" s="34" t="e">
        <f>IF(#REF!="","·",#REF!/D98)</f>
        <v>#REF!</v>
      </c>
      <c r="L98" s="34" t="e">
        <f>IF(ISBLANK(#REF!),"·",#REF!/D98)</f>
        <v>#REF!</v>
      </c>
      <c r="M98" s="35"/>
      <c r="N98" s="34" t="e">
        <f>IF(ISBLANK(#REF!),"·",#REF!/#REF!)</f>
        <v>#REF!</v>
      </c>
      <c r="O98" s="36"/>
      <c r="P98" s="37"/>
      <c r="Q98" s="37"/>
      <c r="R98" s="37"/>
      <c r="S98" s="38"/>
      <c r="T98" s="39"/>
      <c r="U98" s="39"/>
      <c r="V98" s="39"/>
      <c r="W98" s="40"/>
      <c r="X98" s="39"/>
      <c r="Y98" s="39"/>
      <c r="Z98" s="39"/>
      <c r="AA98" s="40"/>
      <c r="AB98" s="41"/>
      <c r="AC98" s="41"/>
      <c r="AE98" s="33" t="str">
        <f t="shared" si="5"/>
        <v>·</v>
      </c>
      <c r="AF98" s="34" t="str">
        <f t="shared" si="6"/>
        <v>·</v>
      </c>
      <c r="AG98" s="34" t="str">
        <f t="shared" si="7"/>
        <v>·</v>
      </c>
      <c r="AH98" s="34" t="str">
        <f t="shared" si="8"/>
        <v>·</v>
      </c>
      <c r="AI98" s="35"/>
      <c r="AJ98" s="34" t="str">
        <f t="shared" si="9"/>
        <v>·</v>
      </c>
      <c r="BA98" s="42" t="e">
        <f>(Q98/P98) - (#REF!/#REF!)</f>
        <v>#DIV/0!</v>
      </c>
      <c r="BB98" s="42"/>
      <c r="BD98" s="43"/>
      <c r="BE98" s="43"/>
      <c r="BF98" s="43"/>
      <c r="BG98" s="44"/>
      <c r="BI98" s="43"/>
      <c r="BJ98" s="43"/>
      <c r="BK98" s="43"/>
      <c r="BL98" s="44"/>
      <c r="BN98" s="43"/>
      <c r="BO98" s="43"/>
      <c r="BP98" s="43"/>
      <c r="BQ98" s="44"/>
      <c r="BS98" s="43"/>
      <c r="BT98" s="43"/>
      <c r="BU98" s="43"/>
      <c r="BV98" s="44"/>
    </row>
    <row r="99" spans="1:74" ht="14.25" outlineLevel="1" thickBot="1" x14ac:dyDescent="0.2">
      <c r="A99" s="15"/>
      <c r="B99" s="64" t="s">
        <v>285</v>
      </c>
      <c r="C99" s="66" t="s">
        <v>229</v>
      </c>
      <c r="D99" s="64">
        <v>3017285</v>
      </c>
      <c r="E99" s="65">
        <v>12</v>
      </c>
      <c r="F99" s="66">
        <v>1</v>
      </c>
      <c r="G99" s="66"/>
      <c r="I99" s="68" t="str">
        <f>IF(OR(ISBLANK(#REF!),ISBLANK(G99)),"·",#REF!*G99/F99/1000000)</f>
        <v>·</v>
      </c>
      <c r="J99" s="69" t="e">
        <f>IF(ISBLANK(#REF!),"·",#REF!/D99)</f>
        <v>#REF!</v>
      </c>
      <c r="K99" s="69" t="e">
        <f>IF(#REF!="","·",#REF!/D99)</f>
        <v>#REF!</v>
      </c>
      <c r="L99" s="69" t="e">
        <f>IF(ISBLANK(#REF!),"·",#REF!/D99)</f>
        <v>#REF!</v>
      </c>
      <c r="M99" s="70"/>
      <c r="N99" s="69" t="e">
        <f>IF(ISBLANK(#REF!),"·",#REF!/#REF!)</f>
        <v>#REF!</v>
      </c>
      <c r="O99" s="71"/>
      <c r="P99" s="72"/>
      <c r="Q99" s="72"/>
      <c r="R99" s="72"/>
      <c r="S99" s="73"/>
      <c r="T99" s="77"/>
      <c r="U99" s="77"/>
      <c r="V99" s="77"/>
      <c r="W99" s="78"/>
      <c r="X99" s="77"/>
      <c r="Y99" s="77"/>
      <c r="Z99" s="77"/>
      <c r="AA99" s="78"/>
      <c r="AB99" s="74"/>
      <c r="AC99" s="74"/>
      <c r="AE99" s="68" t="str">
        <f t="shared" si="5"/>
        <v>·</v>
      </c>
      <c r="AF99" s="69" t="str">
        <f t="shared" si="6"/>
        <v>·</v>
      </c>
      <c r="AG99" s="69" t="str">
        <f t="shared" si="7"/>
        <v>·</v>
      </c>
      <c r="AH99" s="69" t="str">
        <f t="shared" si="8"/>
        <v>·</v>
      </c>
      <c r="AI99" s="70"/>
      <c r="AJ99" s="69" t="str">
        <f t="shared" si="9"/>
        <v>·</v>
      </c>
      <c r="BA99" s="67" t="e">
        <f>(Q99/P99) - (#REF!/#REF!)</f>
        <v>#DIV/0!</v>
      </c>
      <c r="BB99" s="67"/>
      <c r="BD99" s="75"/>
      <c r="BE99" s="75"/>
      <c r="BF99" s="75"/>
      <c r="BG99" s="76"/>
      <c r="BI99" s="75"/>
      <c r="BJ99" s="75"/>
      <c r="BK99" s="75"/>
      <c r="BL99" s="76"/>
      <c r="BN99" s="75"/>
      <c r="BO99" s="75"/>
      <c r="BP99" s="75"/>
      <c r="BQ99" s="76"/>
      <c r="BS99" s="75"/>
      <c r="BT99" s="75"/>
      <c r="BU99" s="75"/>
      <c r="BV99" s="76"/>
    </row>
    <row r="100" spans="1:74" x14ac:dyDescent="0.15">
      <c r="A100" s="30"/>
      <c r="B100" s="30" t="s">
        <v>288</v>
      </c>
      <c r="C100" s="31" t="s">
        <v>225</v>
      </c>
      <c r="D100" s="30">
        <v>2770567</v>
      </c>
      <c r="E100" s="32">
        <v>12</v>
      </c>
      <c r="F100" s="31">
        <v>1</v>
      </c>
      <c r="G100" s="31"/>
      <c r="I100" s="33" t="str">
        <f>IF(OR(ISBLANK(#REF!),ISBLANK(G100)),"·",#REF!*G100/F100/1000000)</f>
        <v>·</v>
      </c>
      <c r="J100" s="34" t="e">
        <f>IF(ISBLANK(#REF!),"·",#REF!/D100)</f>
        <v>#REF!</v>
      </c>
      <c r="K100" s="34" t="e">
        <f>IF(#REF!="","·",#REF!/D100)</f>
        <v>#REF!</v>
      </c>
      <c r="L100" s="34" t="e">
        <f>IF(ISBLANK(#REF!),"·",#REF!/D100)</f>
        <v>#REF!</v>
      </c>
      <c r="M100" s="35"/>
      <c r="N100" s="34" t="e">
        <f>IF(ISBLANK(#REF!),"·",#REF!/#REF!)</f>
        <v>#REF!</v>
      </c>
      <c r="O100" s="36"/>
      <c r="P100" s="37"/>
      <c r="Q100" s="37"/>
      <c r="R100" s="37"/>
      <c r="S100" s="38"/>
      <c r="T100" s="39"/>
      <c r="U100" s="39"/>
      <c r="V100" s="39"/>
      <c r="W100" s="40"/>
      <c r="X100" s="39"/>
      <c r="Y100" s="39"/>
      <c r="Z100" s="39"/>
      <c r="AA100" s="40"/>
      <c r="AB100" s="41"/>
      <c r="AC100" s="41"/>
      <c r="AE100" s="33" t="str">
        <f t="shared" si="5"/>
        <v>·</v>
      </c>
      <c r="AF100" s="34" t="str">
        <f t="shared" si="6"/>
        <v>·</v>
      </c>
      <c r="AG100" s="34" t="str">
        <f t="shared" si="7"/>
        <v>·</v>
      </c>
      <c r="AH100" s="34" t="str">
        <f t="shared" si="8"/>
        <v>·</v>
      </c>
      <c r="AI100" s="35"/>
      <c r="AJ100" s="34" t="str">
        <f t="shared" si="9"/>
        <v>·</v>
      </c>
      <c r="BA100" s="42" t="e">
        <f>(Q100/P100) - (#REF!/#REF!)</f>
        <v>#DIV/0!</v>
      </c>
      <c r="BB100" s="42" t="e">
        <f t="array" ref="BB100">AVERAGE(Q100:Q104/P100:P104) - AVERAGE(#REF!/#REF!)</f>
        <v>#DIV/0!</v>
      </c>
      <c r="BD100" s="43" t="str">
        <f>_xlfn.SINGLE(IF( OR(ISBLANK(_xlfn.SINGLE(#REF!)),ISBLANK(_xlfn.SINGLE(R100:R104)), ISBLANK(_xlfn.SINGLE(#REF!)),ISBLANK(_xlfn.SINGLE(T100:T104))), "·", bdRateExtend(#REF!,#REF!, R100:R104,T100:T104)))</f>
        <v>·</v>
      </c>
      <c r="BE100" s="43" t="str">
        <f>_xlfn.SINGLE(IF( OR(ISBLANK(_xlfn.SINGLE(#REF!)),ISBLANK(_xlfn.SINGLE(R100:R104)), ISBLANK(_xlfn.SINGLE(#REF!)),ISBLANK(_xlfn.SINGLE(U100:U104))), "·", bdRateExtend(#REF!,#REF!, R100:R104,U100:U104)))</f>
        <v>·</v>
      </c>
      <c r="BF100" s="43" t="str">
        <f>_xlfn.SINGLE(IF( OR(ISBLANK(_xlfn.SINGLE(#REF!)),ISBLANK(_xlfn.SINGLE(R100:R104)), ISBLANK(_xlfn.SINGLE(#REF!)),ISBLANK(_xlfn.SINGLE(V100:V104))), "·", bdRateExtend(#REF!,#REF!, R100:R104,V100:V104)))</f>
        <v>·</v>
      </c>
      <c r="BG100" s="44"/>
      <c r="BI100" s="43" t="str">
        <f>_xlfn.SINGLE(IF( OR(ISBLANK(_xlfn.SINGLE(#REF!)),ISBLANK(_xlfn.SINGLE(R100:R104)), ISBLANK(_xlfn.SINGLE(#REF!)),ISBLANK(_xlfn.SINGLE(X100:X104))), "·", bdRateExtend(#REF!,#REF!, R100:R104,X100:X104)))</f>
        <v>·</v>
      </c>
      <c r="BJ100" s="43" t="str">
        <f>_xlfn.SINGLE(IF( OR(ISBLANK(_xlfn.SINGLE(#REF!)),ISBLANK(_xlfn.SINGLE(R100:R104)), ISBLANK(_xlfn.SINGLE(#REF!)),ISBLANK(_xlfn.SINGLE(Y100:Y104))), "·", bdRateExtend(#REF!,#REF!, R100:R104,Y100:Y104)))</f>
        <v>·</v>
      </c>
      <c r="BK100" s="43" t="str">
        <f>_xlfn.SINGLE(IF( OR(ISBLANK(_xlfn.SINGLE(#REF!)),ISBLANK(_xlfn.SINGLE(R100:R104)), ISBLANK(_xlfn.SINGLE(#REF!)),ISBLANK(_xlfn.SINGLE(Z100:Z104))), "·", bdRateExtend(#REF!,#REF!, R100:R104,Z100:Z104)))</f>
        <v>·</v>
      </c>
      <c r="BL100" s="44"/>
      <c r="BN100" s="43" t="str">
        <f>_xlfn.SINGLE(IF( OR(ISBLANK(_xlfn.SINGLE(#REF!)),ISBLANK(_xlfn.SINGLE(P100:P104)), ISBLANK(_xlfn.SINGLE(#REF!)),ISBLANK(_xlfn.SINGLE(T100:T104))), "·", bdRateExtend(#REF!,#REF!, P100:P104,T100:T104)))</f>
        <v>·</v>
      </c>
      <c r="BO100" s="43" t="str">
        <f>_xlfn.SINGLE(IF( OR(ISBLANK(_xlfn.SINGLE(#REF!)),ISBLANK(_xlfn.SINGLE(P100:P104)), ISBLANK(_xlfn.SINGLE(#REF!)),ISBLANK(_xlfn.SINGLE(U100:U104))), "·", bdRateExtend(#REF!,#REF!, P100:P104,U100:U104)))</f>
        <v>·</v>
      </c>
      <c r="BP100" s="43" t="str">
        <f>_xlfn.SINGLE(IF( OR(ISBLANK(_xlfn.SINGLE(#REF!)),ISBLANK(_xlfn.SINGLE(P100:P104)), ISBLANK(_xlfn.SINGLE(#REF!)),ISBLANK(_xlfn.SINGLE(V100:V104))), "·", bdRateExtend(#REF!,#REF!, P100:P104,V100:V104)))</f>
        <v>·</v>
      </c>
      <c r="BQ100" s="44"/>
      <c r="BS100" s="43" t="str">
        <f>_xlfn.SINGLE(IF( OR(ISBLANK(_xlfn.SINGLE(#REF!)),ISBLANK(_xlfn.SINGLE(P100:P104)), ISBLANK(_xlfn.SINGLE(#REF!)),ISBLANK(_xlfn.SINGLE(X100:X104))), "·", bdRateExtend(#REF!,#REF!, P100:P104,X100:X104)))</f>
        <v>·</v>
      </c>
      <c r="BT100" s="43" t="str">
        <f>_xlfn.SINGLE(IF( OR(ISBLANK(_xlfn.SINGLE(#REF!)),ISBLANK(_xlfn.SINGLE(P100:P104)), ISBLANK(_xlfn.SINGLE(#REF!)),ISBLANK(_xlfn.SINGLE(Y100:Y104))), "·", bdRateExtend(#REF!,#REF!, P100:P104,Y100:Y104)))</f>
        <v>·</v>
      </c>
      <c r="BU100" s="43" t="str">
        <f>_xlfn.SINGLE(IF( OR(ISBLANK(_xlfn.SINGLE(#REF!)),ISBLANK(_xlfn.SINGLE(P100:P104)), ISBLANK(_xlfn.SINGLE(#REF!)),ISBLANK(_xlfn.SINGLE(Z100:Z104))), "·", bdRateExtend(#REF!,#REF!, P100:P104,Z100:Z104)))</f>
        <v>·</v>
      </c>
      <c r="BV100" s="44"/>
    </row>
    <row r="101" spans="1:74" outlineLevel="1" x14ac:dyDescent="0.15">
      <c r="A101" s="15"/>
      <c r="B101" s="15" t="s">
        <v>288</v>
      </c>
      <c r="C101" s="16" t="s">
        <v>226</v>
      </c>
      <c r="D101" s="15">
        <v>2770567</v>
      </c>
      <c r="E101" s="17">
        <v>12</v>
      </c>
      <c r="F101" s="16">
        <v>1</v>
      </c>
      <c r="G101" s="16"/>
      <c r="I101" s="18" t="str">
        <f>IF(OR(ISBLANK(#REF!),ISBLANK(G101)),"·",#REF!*G101/F101/1000000)</f>
        <v>·</v>
      </c>
      <c r="J101" s="19" t="e">
        <f>IF(ISBLANK(#REF!),"·",#REF!/D101)</f>
        <v>#REF!</v>
      </c>
      <c r="K101" s="19" t="e">
        <f>IF(#REF!="","·",#REF!/D101)</f>
        <v>#REF!</v>
      </c>
      <c r="L101" s="19" t="e">
        <f>IF(ISBLANK(#REF!),"·",#REF!/D101)</f>
        <v>#REF!</v>
      </c>
      <c r="M101" s="20"/>
      <c r="N101" s="19" t="e">
        <f>IF(ISBLANK(#REF!),"·",#REF!/#REF!)</f>
        <v>#REF!</v>
      </c>
      <c r="O101" s="21"/>
      <c r="P101" s="22"/>
      <c r="Q101" s="22"/>
      <c r="R101" s="22"/>
      <c r="S101" s="23"/>
      <c r="T101" s="24"/>
      <c r="U101" s="24"/>
      <c r="V101" s="24"/>
      <c r="W101" s="25"/>
      <c r="X101" s="24"/>
      <c r="Y101" s="24"/>
      <c r="Z101" s="24"/>
      <c r="AA101" s="25"/>
      <c r="AB101" s="26"/>
      <c r="AC101" s="26"/>
      <c r="AE101" s="18" t="str">
        <f t="shared" si="5"/>
        <v>·</v>
      </c>
      <c r="AF101" s="19" t="str">
        <f t="shared" si="6"/>
        <v>·</v>
      </c>
      <c r="AG101" s="19" t="str">
        <f t="shared" si="7"/>
        <v>·</v>
      </c>
      <c r="AH101" s="19" t="str">
        <f t="shared" si="8"/>
        <v>·</v>
      </c>
      <c r="AI101" s="20"/>
      <c r="AJ101" s="19" t="str">
        <f t="shared" si="9"/>
        <v>·</v>
      </c>
      <c r="BA101" s="27" t="e">
        <f>(Q101/P101) - (#REF!/#REF!)</f>
        <v>#DIV/0!</v>
      </c>
      <c r="BB101" s="27"/>
      <c r="BD101" s="28"/>
      <c r="BE101" s="28"/>
      <c r="BF101" s="28"/>
      <c r="BG101" s="29"/>
      <c r="BI101" s="28"/>
      <c r="BJ101" s="28"/>
      <c r="BK101" s="28"/>
      <c r="BL101" s="29"/>
      <c r="BN101" s="28"/>
      <c r="BO101" s="28"/>
      <c r="BP101" s="28"/>
      <c r="BQ101" s="29"/>
      <c r="BS101" s="28"/>
      <c r="BT101" s="28"/>
      <c r="BU101" s="28"/>
      <c r="BV101" s="29"/>
    </row>
    <row r="102" spans="1:74" outlineLevel="1" x14ac:dyDescent="0.15">
      <c r="A102" s="30"/>
      <c r="B102" s="30" t="s">
        <v>288</v>
      </c>
      <c r="C102" s="31" t="s">
        <v>227</v>
      </c>
      <c r="D102" s="30">
        <v>2770567</v>
      </c>
      <c r="E102" s="32">
        <v>12</v>
      </c>
      <c r="F102" s="31">
        <v>1</v>
      </c>
      <c r="G102" s="31"/>
      <c r="I102" s="33" t="str">
        <f>IF(OR(ISBLANK(#REF!),ISBLANK(G102)),"·",#REF!*G102/F102/1000000)</f>
        <v>·</v>
      </c>
      <c r="J102" s="34" t="e">
        <f>IF(ISBLANK(#REF!),"·",#REF!/D102)</f>
        <v>#REF!</v>
      </c>
      <c r="K102" s="34" t="e">
        <f>IF(#REF!="","·",#REF!/D102)</f>
        <v>#REF!</v>
      </c>
      <c r="L102" s="34" t="e">
        <f>IF(ISBLANK(#REF!),"·",#REF!/D102)</f>
        <v>#REF!</v>
      </c>
      <c r="M102" s="35"/>
      <c r="N102" s="34" t="e">
        <f>IF(ISBLANK(#REF!),"·",#REF!/#REF!)</f>
        <v>#REF!</v>
      </c>
      <c r="O102" s="36"/>
      <c r="P102" s="37"/>
      <c r="Q102" s="37"/>
      <c r="R102" s="37"/>
      <c r="S102" s="38"/>
      <c r="T102" s="39"/>
      <c r="U102" s="39"/>
      <c r="V102" s="39"/>
      <c r="W102" s="40"/>
      <c r="X102" s="39"/>
      <c r="Y102" s="39"/>
      <c r="Z102" s="39"/>
      <c r="AA102" s="40"/>
      <c r="AB102" s="41"/>
      <c r="AC102" s="41"/>
      <c r="AE102" s="33" t="str">
        <f t="shared" si="5"/>
        <v>·</v>
      </c>
      <c r="AF102" s="34" t="str">
        <f t="shared" si="6"/>
        <v>·</v>
      </c>
      <c r="AG102" s="34" t="str">
        <f t="shared" si="7"/>
        <v>·</v>
      </c>
      <c r="AH102" s="34" t="str">
        <f t="shared" si="8"/>
        <v>·</v>
      </c>
      <c r="AI102" s="35"/>
      <c r="AJ102" s="34" t="str">
        <f t="shared" si="9"/>
        <v>·</v>
      </c>
      <c r="BA102" s="42" t="e">
        <f>(Q102/P102) - (#REF!/#REF!)</f>
        <v>#DIV/0!</v>
      </c>
      <c r="BB102" s="42"/>
      <c r="BD102" s="43"/>
      <c r="BE102" s="43"/>
      <c r="BF102" s="43"/>
      <c r="BG102" s="44"/>
      <c r="BI102" s="43"/>
      <c r="BJ102" s="43"/>
      <c r="BK102" s="43"/>
      <c r="BL102" s="44"/>
      <c r="BN102" s="43"/>
      <c r="BO102" s="43"/>
      <c r="BP102" s="43"/>
      <c r="BQ102" s="44"/>
      <c r="BS102" s="43"/>
      <c r="BT102" s="43"/>
      <c r="BU102" s="43"/>
      <c r="BV102" s="44"/>
    </row>
    <row r="103" spans="1:74" outlineLevel="1" x14ac:dyDescent="0.15">
      <c r="A103" s="15"/>
      <c r="B103" s="15" t="s">
        <v>288</v>
      </c>
      <c r="C103" s="16" t="s">
        <v>228</v>
      </c>
      <c r="D103" s="15">
        <v>2770567</v>
      </c>
      <c r="E103" s="17">
        <v>12</v>
      </c>
      <c r="F103" s="16">
        <v>1</v>
      </c>
      <c r="G103" s="16"/>
      <c r="I103" s="18" t="str">
        <f>IF(OR(ISBLANK(#REF!),ISBLANK(G103)),"·",#REF!*G103/F103/1000000)</f>
        <v>·</v>
      </c>
      <c r="J103" s="19" t="e">
        <f>IF(ISBLANK(#REF!),"·",#REF!/D103)</f>
        <v>#REF!</v>
      </c>
      <c r="K103" s="19" t="e">
        <f>IF(#REF!="","·",#REF!/D103)</f>
        <v>#REF!</v>
      </c>
      <c r="L103" s="19" t="e">
        <f>IF(ISBLANK(#REF!),"·",#REF!/D103)</f>
        <v>#REF!</v>
      </c>
      <c r="M103" s="20"/>
      <c r="N103" s="19" t="e">
        <f>IF(ISBLANK(#REF!),"·",#REF!/#REF!)</f>
        <v>#REF!</v>
      </c>
      <c r="O103" s="21"/>
      <c r="P103" s="22"/>
      <c r="Q103" s="22"/>
      <c r="R103" s="22"/>
      <c r="S103" s="23"/>
      <c r="T103" s="24"/>
      <c r="U103" s="24"/>
      <c r="V103" s="24"/>
      <c r="W103" s="25"/>
      <c r="X103" s="24"/>
      <c r="Y103" s="24"/>
      <c r="Z103" s="24"/>
      <c r="AA103" s="25"/>
      <c r="AB103" s="26"/>
      <c r="AC103" s="26"/>
      <c r="AE103" s="18" t="str">
        <f t="shared" si="5"/>
        <v>·</v>
      </c>
      <c r="AF103" s="19" t="str">
        <f t="shared" si="6"/>
        <v>·</v>
      </c>
      <c r="AG103" s="19" t="str">
        <f t="shared" si="7"/>
        <v>·</v>
      </c>
      <c r="AH103" s="19" t="str">
        <f t="shared" si="8"/>
        <v>·</v>
      </c>
      <c r="AI103" s="20"/>
      <c r="AJ103" s="19" t="str">
        <f t="shared" si="9"/>
        <v>·</v>
      </c>
      <c r="BA103" s="27" t="e">
        <f>(Q103/P103) - (#REF!/#REF!)</f>
        <v>#DIV/0!</v>
      </c>
      <c r="BB103" s="27"/>
      <c r="BD103" s="28"/>
      <c r="BE103" s="28"/>
      <c r="BF103" s="28"/>
      <c r="BG103" s="29"/>
      <c r="BI103" s="28"/>
      <c r="BJ103" s="28"/>
      <c r="BK103" s="28"/>
      <c r="BL103" s="29"/>
      <c r="BN103" s="28"/>
      <c r="BO103" s="28"/>
      <c r="BP103" s="28"/>
      <c r="BQ103" s="29"/>
      <c r="BS103" s="28"/>
      <c r="BT103" s="28"/>
      <c r="BU103" s="28"/>
      <c r="BV103" s="29"/>
    </row>
    <row r="104" spans="1:74" ht="14.25" outlineLevel="1" thickBot="1" x14ac:dyDescent="0.2">
      <c r="A104" s="30"/>
      <c r="B104" s="45" t="s">
        <v>288</v>
      </c>
      <c r="C104" s="46" t="s">
        <v>229</v>
      </c>
      <c r="D104" s="45">
        <v>2770567</v>
      </c>
      <c r="E104" s="47">
        <v>12</v>
      </c>
      <c r="F104" s="46">
        <v>1</v>
      </c>
      <c r="G104" s="46"/>
      <c r="I104" s="48" t="str">
        <f>IF(OR(ISBLANK(#REF!),ISBLANK(G104)),"·",#REF!*G104/F104/1000000)</f>
        <v>·</v>
      </c>
      <c r="J104" s="49" t="e">
        <f>IF(ISBLANK(#REF!),"·",#REF!/D104)</f>
        <v>#REF!</v>
      </c>
      <c r="K104" s="49" t="e">
        <f>IF(#REF!="","·",#REF!/D104)</f>
        <v>#REF!</v>
      </c>
      <c r="L104" s="49" t="e">
        <f>IF(ISBLANK(#REF!),"·",#REF!/D104)</f>
        <v>#REF!</v>
      </c>
      <c r="M104" s="50"/>
      <c r="N104" s="49" t="e">
        <f>IF(ISBLANK(#REF!),"·",#REF!/#REF!)</f>
        <v>#REF!</v>
      </c>
      <c r="O104" s="51"/>
      <c r="P104" s="52"/>
      <c r="Q104" s="52"/>
      <c r="R104" s="52"/>
      <c r="S104" s="53"/>
      <c r="T104" s="54"/>
      <c r="U104" s="54"/>
      <c r="V104" s="54"/>
      <c r="W104" s="55"/>
      <c r="X104" s="54"/>
      <c r="Y104" s="54"/>
      <c r="Z104" s="54"/>
      <c r="AA104" s="55"/>
      <c r="AB104" s="56"/>
      <c r="AC104" s="56"/>
      <c r="AE104" s="48" t="str">
        <f t="shared" si="5"/>
        <v>·</v>
      </c>
      <c r="AF104" s="49" t="str">
        <f t="shared" si="6"/>
        <v>·</v>
      </c>
      <c r="AG104" s="49" t="str">
        <f t="shared" si="7"/>
        <v>·</v>
      </c>
      <c r="AH104" s="49" t="str">
        <f t="shared" si="8"/>
        <v>·</v>
      </c>
      <c r="AI104" s="50"/>
      <c r="AJ104" s="49" t="str">
        <f t="shared" si="9"/>
        <v>·</v>
      </c>
      <c r="BA104" s="57" t="e">
        <f>(Q104/P104) - (#REF!/#REF!)</f>
        <v>#DIV/0!</v>
      </c>
      <c r="BB104" s="57"/>
      <c r="BD104" s="58"/>
      <c r="BE104" s="58"/>
      <c r="BF104" s="58"/>
      <c r="BG104" s="59"/>
      <c r="BI104" s="58"/>
      <c r="BJ104" s="58"/>
      <c r="BK104" s="58"/>
      <c r="BL104" s="59"/>
      <c r="BN104" s="58"/>
      <c r="BO104" s="58"/>
      <c r="BP104" s="58"/>
      <c r="BQ104" s="59"/>
      <c r="BS104" s="58"/>
      <c r="BT104" s="58"/>
      <c r="BU104" s="58"/>
      <c r="BV104" s="59"/>
    </row>
    <row r="105" spans="1:74" x14ac:dyDescent="0.15">
      <c r="A105" s="15"/>
      <c r="B105" s="15" t="s">
        <v>291</v>
      </c>
      <c r="C105" s="16" t="s">
        <v>225</v>
      </c>
      <c r="D105" s="15">
        <v>4001754</v>
      </c>
      <c r="E105" s="17">
        <v>12</v>
      </c>
      <c r="F105" s="16">
        <v>1</v>
      </c>
      <c r="G105" s="16"/>
      <c r="I105" s="18" t="str">
        <f>IF(OR(ISBLANK(#REF!),ISBLANK(G105)),"·",#REF!*G105/F105/1000000)</f>
        <v>·</v>
      </c>
      <c r="J105" s="19" t="e">
        <f>IF(ISBLANK(#REF!),"·",#REF!/D105)</f>
        <v>#REF!</v>
      </c>
      <c r="K105" s="19" t="e">
        <f>IF(#REF!="","·",#REF!/D105)</f>
        <v>#REF!</v>
      </c>
      <c r="L105" s="19" t="e">
        <f>IF(ISBLANK(#REF!),"·",#REF!/D105)</f>
        <v>#REF!</v>
      </c>
      <c r="M105" s="20"/>
      <c r="N105" s="19" t="e">
        <f>IF(ISBLANK(#REF!),"·",#REF!/#REF!)</f>
        <v>#REF!</v>
      </c>
      <c r="O105" s="21"/>
      <c r="P105" s="22"/>
      <c r="Q105" s="22"/>
      <c r="R105" s="22"/>
      <c r="S105" s="23"/>
      <c r="T105" s="24"/>
      <c r="U105" s="24"/>
      <c r="V105" s="24"/>
      <c r="W105" s="25"/>
      <c r="X105" s="24"/>
      <c r="Y105" s="24"/>
      <c r="Z105" s="24"/>
      <c r="AA105" s="25"/>
      <c r="AB105" s="26"/>
      <c r="AC105" s="26"/>
      <c r="AE105" s="18" t="str">
        <f t="shared" si="5"/>
        <v>·</v>
      </c>
      <c r="AF105" s="19" t="str">
        <f t="shared" si="6"/>
        <v>·</v>
      </c>
      <c r="AG105" s="19" t="str">
        <f t="shared" si="7"/>
        <v>·</v>
      </c>
      <c r="AH105" s="19" t="str">
        <f t="shared" si="8"/>
        <v>·</v>
      </c>
      <c r="AI105" s="20"/>
      <c r="AJ105" s="19" t="str">
        <f t="shared" si="9"/>
        <v>·</v>
      </c>
      <c r="BA105" s="27" t="e">
        <f>(Q105/P105) - (#REF!/#REF!)</f>
        <v>#DIV/0!</v>
      </c>
      <c r="BB105" s="27" t="e">
        <f t="array" ref="BB105">AVERAGE(Q105:Q109/P105:P109) - AVERAGE(#REF!/#REF!)</f>
        <v>#DIV/0!</v>
      </c>
      <c r="BD105" s="28" t="str">
        <f>_xlfn.SINGLE(IF( OR(ISBLANK(_xlfn.SINGLE(#REF!)),ISBLANK(_xlfn.SINGLE(R105:R109)), ISBLANK(_xlfn.SINGLE(#REF!)),ISBLANK(_xlfn.SINGLE(T105:T109))), "·", bdRateExtend(#REF!,#REF!, R105:R109,T105:T109)))</f>
        <v>·</v>
      </c>
      <c r="BE105" s="28" t="str">
        <f>_xlfn.SINGLE(IF( OR(ISBLANK(_xlfn.SINGLE(#REF!)),ISBLANK(_xlfn.SINGLE(R105:R109)), ISBLANK(_xlfn.SINGLE(#REF!)),ISBLANK(_xlfn.SINGLE(U105:U109))), "·", bdRateExtend(#REF!,#REF!, R105:R109,U105:U109)))</f>
        <v>·</v>
      </c>
      <c r="BF105" s="28" t="str">
        <f>_xlfn.SINGLE(IF( OR(ISBLANK(_xlfn.SINGLE(#REF!)),ISBLANK(_xlfn.SINGLE(R105:R109)), ISBLANK(_xlfn.SINGLE(#REF!)),ISBLANK(_xlfn.SINGLE(V105:V109))), "·", bdRateExtend(#REF!,#REF!, R105:R109,V105:V109)))</f>
        <v>·</v>
      </c>
      <c r="BG105" s="29"/>
      <c r="BI105" s="28" t="str">
        <f>_xlfn.SINGLE(IF( OR(ISBLANK(_xlfn.SINGLE(#REF!)),ISBLANK(_xlfn.SINGLE(R105:R109)), ISBLANK(_xlfn.SINGLE(#REF!)),ISBLANK(_xlfn.SINGLE(X105:X109))), "·", bdRateExtend(#REF!,#REF!, R105:R109,X105:X109)))</f>
        <v>·</v>
      </c>
      <c r="BJ105" s="28" t="str">
        <f>_xlfn.SINGLE(IF( OR(ISBLANK(_xlfn.SINGLE(#REF!)),ISBLANK(_xlfn.SINGLE(R105:R109)), ISBLANK(_xlfn.SINGLE(#REF!)),ISBLANK(_xlfn.SINGLE(Y105:Y109))), "·", bdRateExtend(#REF!,#REF!, R105:R109,Y105:Y109)))</f>
        <v>·</v>
      </c>
      <c r="BK105" s="28" t="str">
        <f>_xlfn.SINGLE(IF( OR(ISBLANK(_xlfn.SINGLE(#REF!)),ISBLANK(_xlfn.SINGLE(R105:R109)), ISBLANK(_xlfn.SINGLE(#REF!)),ISBLANK(_xlfn.SINGLE(Z105:Z109))), "·", bdRateExtend(#REF!,#REF!, R105:R109,Z105:Z109)))</f>
        <v>·</v>
      </c>
      <c r="BL105" s="29"/>
      <c r="BN105" s="28" t="str">
        <f>_xlfn.SINGLE(IF( OR(ISBLANK(_xlfn.SINGLE(#REF!)),ISBLANK(_xlfn.SINGLE(P105:P109)), ISBLANK(_xlfn.SINGLE(#REF!)),ISBLANK(_xlfn.SINGLE(T105:T109))), "·", bdRateExtend(#REF!,#REF!, P105:P109,T105:T109)))</f>
        <v>·</v>
      </c>
      <c r="BO105" s="28" t="str">
        <f>_xlfn.SINGLE(IF( OR(ISBLANK(_xlfn.SINGLE(#REF!)),ISBLANK(_xlfn.SINGLE(P105:P109)), ISBLANK(_xlfn.SINGLE(#REF!)),ISBLANK(_xlfn.SINGLE(U105:U109))), "·", bdRateExtend(#REF!,#REF!, P105:P109,U105:U109)))</f>
        <v>·</v>
      </c>
      <c r="BP105" s="28" t="str">
        <f>_xlfn.SINGLE(IF( OR(ISBLANK(_xlfn.SINGLE(#REF!)),ISBLANK(_xlfn.SINGLE(P105:P109)), ISBLANK(_xlfn.SINGLE(#REF!)),ISBLANK(_xlfn.SINGLE(V105:V109))), "·", bdRateExtend(#REF!,#REF!, P105:P109,V105:V109)))</f>
        <v>·</v>
      </c>
      <c r="BQ105" s="29"/>
      <c r="BS105" s="28" t="str">
        <f>_xlfn.SINGLE(IF( OR(ISBLANK(_xlfn.SINGLE(#REF!)),ISBLANK(_xlfn.SINGLE(P105:P109)), ISBLANK(_xlfn.SINGLE(#REF!)),ISBLANK(_xlfn.SINGLE(X105:X109))), "·", bdRateExtend(#REF!,#REF!, P105:P109,X105:X109)))</f>
        <v>·</v>
      </c>
      <c r="BT105" s="28" t="str">
        <f>_xlfn.SINGLE(IF( OR(ISBLANK(_xlfn.SINGLE(#REF!)),ISBLANK(_xlfn.SINGLE(P105:P109)), ISBLANK(_xlfn.SINGLE(#REF!)),ISBLANK(_xlfn.SINGLE(Y105:Y109))), "·", bdRateExtend(#REF!,#REF!, P105:P109,Y105:Y109)))</f>
        <v>·</v>
      </c>
      <c r="BU105" s="28" t="str">
        <f>_xlfn.SINGLE(IF( OR(ISBLANK(_xlfn.SINGLE(#REF!)),ISBLANK(_xlfn.SINGLE(P105:P109)), ISBLANK(_xlfn.SINGLE(#REF!)),ISBLANK(_xlfn.SINGLE(Z105:Z109))), "·", bdRateExtend(#REF!,#REF!, P105:P109,Z105:Z109)))</f>
        <v>·</v>
      </c>
      <c r="BV105" s="29"/>
    </row>
    <row r="106" spans="1:74" outlineLevel="1" x14ac:dyDescent="0.15">
      <c r="A106" s="30"/>
      <c r="B106" s="30" t="s">
        <v>291</v>
      </c>
      <c r="C106" s="31" t="s">
        <v>226</v>
      </c>
      <c r="D106" s="30">
        <v>4001754</v>
      </c>
      <c r="E106" s="32">
        <v>12</v>
      </c>
      <c r="F106" s="31">
        <v>1</v>
      </c>
      <c r="G106" s="31"/>
      <c r="I106" s="33" t="str">
        <f>IF(OR(ISBLANK(#REF!),ISBLANK(G106)),"·",#REF!*G106/F106/1000000)</f>
        <v>·</v>
      </c>
      <c r="J106" s="34" t="e">
        <f>IF(ISBLANK(#REF!),"·",#REF!/D106)</f>
        <v>#REF!</v>
      </c>
      <c r="K106" s="34" t="e">
        <f>IF(#REF!="","·",#REF!/D106)</f>
        <v>#REF!</v>
      </c>
      <c r="L106" s="34" t="e">
        <f>IF(ISBLANK(#REF!),"·",#REF!/D106)</f>
        <v>#REF!</v>
      </c>
      <c r="M106" s="35"/>
      <c r="N106" s="34" t="e">
        <f>IF(ISBLANK(#REF!),"·",#REF!/#REF!)</f>
        <v>#REF!</v>
      </c>
      <c r="O106" s="36"/>
      <c r="P106" s="37"/>
      <c r="Q106" s="37"/>
      <c r="R106" s="37"/>
      <c r="S106" s="38"/>
      <c r="T106" s="39"/>
      <c r="U106" s="39"/>
      <c r="V106" s="39"/>
      <c r="W106" s="40"/>
      <c r="X106" s="39"/>
      <c r="Y106" s="39"/>
      <c r="Z106" s="39"/>
      <c r="AA106" s="40"/>
      <c r="AB106" s="41"/>
      <c r="AC106" s="41"/>
      <c r="AE106" s="33" t="str">
        <f t="shared" si="5"/>
        <v>·</v>
      </c>
      <c r="AF106" s="34" t="str">
        <f t="shared" si="6"/>
        <v>·</v>
      </c>
      <c r="AG106" s="34" t="str">
        <f t="shared" si="7"/>
        <v>·</v>
      </c>
      <c r="AH106" s="34" t="str">
        <f t="shared" si="8"/>
        <v>·</v>
      </c>
      <c r="AI106" s="35"/>
      <c r="AJ106" s="34" t="str">
        <f t="shared" si="9"/>
        <v>·</v>
      </c>
      <c r="BA106" s="42" t="e">
        <f>(Q106/P106) - (#REF!/#REF!)</f>
        <v>#DIV/0!</v>
      </c>
      <c r="BB106" s="42"/>
      <c r="BD106" s="43"/>
      <c r="BE106" s="43"/>
      <c r="BF106" s="43"/>
      <c r="BG106" s="44"/>
      <c r="BI106" s="43"/>
      <c r="BJ106" s="43"/>
      <c r="BK106" s="43"/>
      <c r="BL106" s="44"/>
      <c r="BN106" s="43"/>
      <c r="BO106" s="43"/>
      <c r="BP106" s="43"/>
      <c r="BQ106" s="44"/>
      <c r="BS106" s="43"/>
      <c r="BT106" s="43"/>
      <c r="BU106" s="43"/>
      <c r="BV106" s="44"/>
    </row>
    <row r="107" spans="1:74" outlineLevel="1" x14ac:dyDescent="0.15">
      <c r="A107" s="15"/>
      <c r="B107" s="15" t="s">
        <v>291</v>
      </c>
      <c r="C107" s="16" t="s">
        <v>227</v>
      </c>
      <c r="D107" s="15">
        <v>4001754</v>
      </c>
      <c r="E107" s="17">
        <v>12</v>
      </c>
      <c r="F107" s="16">
        <v>1</v>
      </c>
      <c r="G107" s="16"/>
      <c r="I107" s="18" t="str">
        <f>IF(OR(ISBLANK(#REF!),ISBLANK(G107)),"·",#REF!*G107/F107/1000000)</f>
        <v>·</v>
      </c>
      <c r="J107" s="19" t="e">
        <f>IF(ISBLANK(#REF!),"·",#REF!/D107)</f>
        <v>#REF!</v>
      </c>
      <c r="K107" s="19" t="e">
        <f>IF(#REF!="","·",#REF!/D107)</f>
        <v>#REF!</v>
      </c>
      <c r="L107" s="19" t="e">
        <f>IF(ISBLANK(#REF!),"·",#REF!/D107)</f>
        <v>#REF!</v>
      </c>
      <c r="M107" s="20"/>
      <c r="N107" s="19" t="e">
        <f>IF(ISBLANK(#REF!),"·",#REF!/#REF!)</f>
        <v>#REF!</v>
      </c>
      <c r="O107" s="21"/>
      <c r="P107" s="22"/>
      <c r="Q107" s="22"/>
      <c r="R107" s="22"/>
      <c r="S107" s="23"/>
      <c r="T107" s="24"/>
      <c r="U107" s="24"/>
      <c r="V107" s="24"/>
      <c r="W107" s="25"/>
      <c r="X107" s="24"/>
      <c r="Y107" s="24"/>
      <c r="Z107" s="24"/>
      <c r="AA107" s="25"/>
      <c r="AB107" s="26"/>
      <c r="AC107" s="26"/>
      <c r="AE107" s="18" t="str">
        <f t="shared" si="5"/>
        <v>·</v>
      </c>
      <c r="AF107" s="19" t="str">
        <f t="shared" si="6"/>
        <v>·</v>
      </c>
      <c r="AG107" s="19" t="str">
        <f t="shared" si="7"/>
        <v>·</v>
      </c>
      <c r="AH107" s="19" t="str">
        <f t="shared" si="8"/>
        <v>·</v>
      </c>
      <c r="AI107" s="20"/>
      <c r="AJ107" s="19" t="str">
        <f t="shared" si="9"/>
        <v>·</v>
      </c>
      <c r="BA107" s="27" t="e">
        <f>(Q107/P107) - (#REF!/#REF!)</f>
        <v>#DIV/0!</v>
      </c>
      <c r="BB107" s="27"/>
      <c r="BD107" s="28"/>
      <c r="BE107" s="28"/>
      <c r="BF107" s="28"/>
      <c r="BG107" s="29"/>
      <c r="BI107" s="28"/>
      <c r="BJ107" s="28"/>
      <c r="BK107" s="28"/>
      <c r="BL107" s="29"/>
      <c r="BN107" s="28"/>
      <c r="BO107" s="28"/>
      <c r="BP107" s="28"/>
      <c r="BQ107" s="29"/>
      <c r="BS107" s="28"/>
      <c r="BT107" s="28"/>
      <c r="BU107" s="28"/>
      <c r="BV107" s="29"/>
    </row>
    <row r="108" spans="1:74" outlineLevel="1" x14ac:dyDescent="0.15">
      <c r="A108" s="30"/>
      <c r="B108" s="30" t="s">
        <v>291</v>
      </c>
      <c r="C108" s="31" t="s">
        <v>228</v>
      </c>
      <c r="D108" s="30">
        <v>4001754</v>
      </c>
      <c r="E108" s="32">
        <v>12</v>
      </c>
      <c r="F108" s="31">
        <v>1</v>
      </c>
      <c r="G108" s="31"/>
      <c r="I108" s="33" t="str">
        <f>IF(OR(ISBLANK(#REF!),ISBLANK(G108)),"·",#REF!*G108/F108/1000000)</f>
        <v>·</v>
      </c>
      <c r="J108" s="34" t="e">
        <f>IF(ISBLANK(#REF!),"·",#REF!/D108)</f>
        <v>#REF!</v>
      </c>
      <c r="K108" s="34" t="e">
        <f>IF(#REF!="","·",#REF!/D108)</f>
        <v>#REF!</v>
      </c>
      <c r="L108" s="34" t="e">
        <f>IF(ISBLANK(#REF!),"·",#REF!/D108)</f>
        <v>#REF!</v>
      </c>
      <c r="M108" s="35"/>
      <c r="N108" s="34" t="e">
        <f>IF(ISBLANK(#REF!),"·",#REF!/#REF!)</f>
        <v>#REF!</v>
      </c>
      <c r="O108" s="36"/>
      <c r="P108" s="37"/>
      <c r="Q108" s="37"/>
      <c r="R108" s="37"/>
      <c r="S108" s="38"/>
      <c r="T108" s="39"/>
      <c r="U108" s="39"/>
      <c r="V108" s="39"/>
      <c r="W108" s="40"/>
      <c r="X108" s="39"/>
      <c r="Y108" s="39"/>
      <c r="Z108" s="39"/>
      <c r="AA108" s="40"/>
      <c r="AB108" s="41"/>
      <c r="AC108" s="41"/>
      <c r="AE108" s="33" t="str">
        <f t="shared" si="5"/>
        <v>·</v>
      </c>
      <c r="AF108" s="34" t="str">
        <f t="shared" si="6"/>
        <v>·</v>
      </c>
      <c r="AG108" s="34" t="str">
        <f t="shared" si="7"/>
        <v>·</v>
      </c>
      <c r="AH108" s="34" t="str">
        <f t="shared" si="8"/>
        <v>·</v>
      </c>
      <c r="AI108" s="35"/>
      <c r="AJ108" s="34" t="str">
        <f t="shared" si="9"/>
        <v>·</v>
      </c>
      <c r="BA108" s="42" t="e">
        <f>(Q108/P108) - (#REF!/#REF!)</f>
        <v>#DIV/0!</v>
      </c>
      <c r="BB108" s="42"/>
      <c r="BD108" s="43"/>
      <c r="BE108" s="43"/>
      <c r="BF108" s="43"/>
      <c r="BG108" s="44"/>
      <c r="BI108" s="43"/>
      <c r="BJ108" s="43"/>
      <c r="BK108" s="43"/>
      <c r="BL108" s="44"/>
      <c r="BN108" s="43"/>
      <c r="BO108" s="43"/>
      <c r="BP108" s="43"/>
      <c r="BQ108" s="44"/>
      <c r="BS108" s="43"/>
      <c r="BT108" s="43"/>
      <c r="BU108" s="43"/>
      <c r="BV108" s="44"/>
    </row>
    <row r="109" spans="1:74" ht="14.25" outlineLevel="1" thickBot="1" x14ac:dyDescent="0.2">
      <c r="A109" s="64"/>
      <c r="B109" s="64" t="s">
        <v>291</v>
      </c>
      <c r="C109" s="66" t="s">
        <v>229</v>
      </c>
      <c r="D109" s="64">
        <v>4001754</v>
      </c>
      <c r="E109" s="65">
        <v>12</v>
      </c>
      <c r="F109" s="66">
        <v>1</v>
      </c>
      <c r="G109" s="66"/>
      <c r="I109" s="68" t="str">
        <f>IF(OR(ISBLANK(#REF!),ISBLANK(G109)),"·",#REF!*G109/F109/1000000)</f>
        <v>·</v>
      </c>
      <c r="J109" s="69" t="e">
        <f>IF(ISBLANK(#REF!),"·",#REF!/D109)</f>
        <v>#REF!</v>
      </c>
      <c r="K109" s="69" t="e">
        <f>IF(#REF!="","·",#REF!/D109)</f>
        <v>#REF!</v>
      </c>
      <c r="L109" s="69" t="e">
        <f>IF(ISBLANK(#REF!),"·",#REF!/D109)</f>
        <v>#REF!</v>
      </c>
      <c r="M109" s="70"/>
      <c r="N109" s="69" t="e">
        <f>IF(ISBLANK(#REF!),"·",#REF!/#REF!)</f>
        <v>#REF!</v>
      </c>
      <c r="O109" s="71"/>
      <c r="P109" s="72"/>
      <c r="Q109" s="72"/>
      <c r="R109" s="72"/>
      <c r="S109" s="73"/>
      <c r="T109" s="77"/>
      <c r="U109" s="77"/>
      <c r="V109" s="77"/>
      <c r="W109" s="78"/>
      <c r="X109" s="77"/>
      <c r="Y109" s="77"/>
      <c r="Z109" s="77"/>
      <c r="AA109" s="78"/>
      <c r="AB109" s="74"/>
      <c r="AC109" s="74"/>
      <c r="AE109" s="68" t="str">
        <f t="shared" si="5"/>
        <v>·</v>
      </c>
      <c r="AF109" s="69" t="str">
        <f t="shared" si="6"/>
        <v>·</v>
      </c>
      <c r="AG109" s="69" t="str">
        <f t="shared" si="7"/>
        <v>·</v>
      </c>
      <c r="AH109" s="69" t="str">
        <f t="shared" si="8"/>
        <v>·</v>
      </c>
      <c r="AI109" s="70"/>
      <c r="AJ109" s="69" t="str">
        <f t="shared" si="9"/>
        <v>·</v>
      </c>
      <c r="BA109" s="67" t="e">
        <f>(Q109/P109) - (#REF!/#REF!)</f>
        <v>#DIV/0!</v>
      </c>
      <c r="BB109" s="67"/>
      <c r="BD109" s="75"/>
      <c r="BE109" s="75"/>
      <c r="BF109" s="75"/>
      <c r="BG109" s="76"/>
      <c r="BI109" s="75"/>
      <c r="BJ109" s="75"/>
      <c r="BK109" s="75"/>
      <c r="BL109" s="76"/>
      <c r="BN109" s="75"/>
      <c r="BO109" s="75"/>
      <c r="BP109" s="75"/>
      <c r="BQ109" s="76"/>
      <c r="BS109" s="75"/>
      <c r="BT109" s="75"/>
      <c r="BU109" s="75"/>
      <c r="BV109" s="76"/>
    </row>
    <row r="110" spans="1:74" x14ac:dyDescent="0.15">
      <c r="A110" s="30" t="s">
        <v>295</v>
      </c>
      <c r="B110" s="30" t="s">
        <v>294</v>
      </c>
      <c r="C110" s="31" t="s">
        <v>225</v>
      </c>
      <c r="D110" s="30">
        <v>1481746</v>
      </c>
      <c r="E110" s="32">
        <v>12</v>
      </c>
      <c r="F110" s="31">
        <v>1</v>
      </c>
      <c r="G110" s="31"/>
      <c r="I110" s="33" t="str">
        <f>IF(OR(ISBLANK(#REF!),ISBLANK(G110)),"·",#REF!*G110/F110/1000000)</f>
        <v>·</v>
      </c>
      <c r="J110" s="34" t="e">
        <f>IF(ISBLANK(#REF!),"·",#REF!/D110)</f>
        <v>#REF!</v>
      </c>
      <c r="K110" s="34" t="e">
        <f>IF(#REF!="","·",#REF!/D110)</f>
        <v>#REF!</v>
      </c>
      <c r="L110" s="34" t="e">
        <f>IF(ISBLANK(#REF!),"·",#REF!/D110)</f>
        <v>#REF!</v>
      </c>
      <c r="M110" s="35"/>
      <c r="N110" s="34" t="e">
        <f>IF(ISBLANK(#REF!),"·",#REF!/#REF!)</f>
        <v>#REF!</v>
      </c>
      <c r="O110" s="36"/>
      <c r="P110" s="37"/>
      <c r="Q110" s="37"/>
      <c r="R110" s="37"/>
      <c r="S110" s="38"/>
      <c r="T110" s="39"/>
      <c r="U110" s="39"/>
      <c r="V110" s="39"/>
      <c r="W110" s="40"/>
      <c r="X110" s="39"/>
      <c r="Y110" s="39"/>
      <c r="Z110" s="39"/>
      <c r="AA110" s="40"/>
      <c r="AB110" s="41"/>
      <c r="AC110" s="41"/>
      <c r="AE110" s="33" t="str">
        <f t="shared" si="5"/>
        <v>·</v>
      </c>
      <c r="AF110" s="34" t="str">
        <f t="shared" si="6"/>
        <v>·</v>
      </c>
      <c r="AG110" s="34" t="str">
        <f t="shared" si="7"/>
        <v>·</v>
      </c>
      <c r="AH110" s="34" t="str">
        <f t="shared" si="8"/>
        <v>·</v>
      </c>
      <c r="AI110" s="35"/>
      <c r="AJ110" s="34" t="str">
        <f t="shared" si="9"/>
        <v>·</v>
      </c>
      <c r="BA110" s="42" t="e">
        <f>(Q110/P110) - (#REF!/#REF!)</f>
        <v>#DIV/0!</v>
      </c>
      <c r="BB110" s="42" t="e">
        <f t="array" ref="BB110">AVERAGE(Q110:Q114/P110:P114) - AVERAGE(#REF!/#REF!)</f>
        <v>#DIV/0!</v>
      </c>
      <c r="BD110" s="43" t="str">
        <f>_xlfn.SINGLE(IF( OR(ISBLANK(_xlfn.SINGLE(#REF!)),ISBLANK(_xlfn.SINGLE(R110:R114)), ISBLANK(_xlfn.SINGLE(#REF!)),ISBLANK(_xlfn.SINGLE(T110:T114))), "·", bdRateExtend(#REF!,#REF!, R110:R114,T110:T114)))</f>
        <v>·</v>
      </c>
      <c r="BE110" s="43" t="str">
        <f>_xlfn.SINGLE(IF( OR(ISBLANK(_xlfn.SINGLE(#REF!)),ISBLANK(_xlfn.SINGLE(R110:R114)), ISBLANK(_xlfn.SINGLE(#REF!)),ISBLANK(_xlfn.SINGLE(U110:U114))), "·", bdRateExtend(#REF!,#REF!, R110:R114,U110:U114)))</f>
        <v>·</v>
      </c>
      <c r="BF110" s="43" t="str">
        <f>_xlfn.SINGLE(IF( OR(ISBLANK(_xlfn.SINGLE(#REF!)),ISBLANK(_xlfn.SINGLE(R110:R114)), ISBLANK(_xlfn.SINGLE(#REF!)),ISBLANK(_xlfn.SINGLE(V110:V114))), "·", bdRateExtend(#REF!,#REF!, R110:R114,V110:V114)))</f>
        <v>·</v>
      </c>
      <c r="BG110" s="44"/>
      <c r="BI110" s="43" t="str">
        <f>_xlfn.SINGLE(IF( OR(ISBLANK(_xlfn.SINGLE(#REF!)),ISBLANK(_xlfn.SINGLE(R110:R114)), ISBLANK(_xlfn.SINGLE(#REF!)),ISBLANK(_xlfn.SINGLE(X110:X114))), "·", bdRateExtend(#REF!,#REF!, R110:R114,X110:X114)))</f>
        <v>·</v>
      </c>
      <c r="BJ110" s="43" t="str">
        <f>_xlfn.SINGLE(IF( OR(ISBLANK(_xlfn.SINGLE(#REF!)),ISBLANK(_xlfn.SINGLE(R110:R114)), ISBLANK(_xlfn.SINGLE(#REF!)),ISBLANK(_xlfn.SINGLE(Y110:Y114))), "·", bdRateExtend(#REF!,#REF!, R110:R114,Y110:Y114)))</f>
        <v>·</v>
      </c>
      <c r="BK110" s="43" t="str">
        <f>_xlfn.SINGLE(IF( OR(ISBLANK(_xlfn.SINGLE(#REF!)),ISBLANK(_xlfn.SINGLE(R110:R114)), ISBLANK(_xlfn.SINGLE(#REF!)),ISBLANK(_xlfn.SINGLE(Z110:Z114))), "·", bdRateExtend(#REF!,#REF!, R110:R114,Z110:Z114)))</f>
        <v>·</v>
      </c>
      <c r="BL110" s="44"/>
      <c r="BN110" s="43" t="str">
        <f>_xlfn.SINGLE(IF( OR(ISBLANK(_xlfn.SINGLE(#REF!)),ISBLANK(_xlfn.SINGLE(P110:P114)), ISBLANK(_xlfn.SINGLE(#REF!)),ISBLANK(_xlfn.SINGLE(T110:T114))), "·", bdRateExtend(#REF!,#REF!, P110:P114,T110:T114)))</f>
        <v>·</v>
      </c>
      <c r="BO110" s="43" t="str">
        <f>_xlfn.SINGLE(IF( OR(ISBLANK(_xlfn.SINGLE(#REF!)),ISBLANK(_xlfn.SINGLE(P110:P114)), ISBLANK(_xlfn.SINGLE(#REF!)),ISBLANK(_xlfn.SINGLE(U110:U114))), "·", bdRateExtend(#REF!,#REF!, P110:P114,U110:U114)))</f>
        <v>·</v>
      </c>
      <c r="BP110" s="43" t="str">
        <f>_xlfn.SINGLE(IF( OR(ISBLANK(_xlfn.SINGLE(#REF!)),ISBLANK(_xlfn.SINGLE(P110:P114)), ISBLANK(_xlfn.SINGLE(#REF!)),ISBLANK(_xlfn.SINGLE(V110:V114))), "·", bdRateExtend(#REF!,#REF!, P110:P114,V110:V114)))</f>
        <v>·</v>
      </c>
      <c r="BQ110" s="44"/>
      <c r="BS110" s="43" t="str">
        <f>_xlfn.SINGLE(IF( OR(ISBLANK(_xlfn.SINGLE(#REF!)),ISBLANK(_xlfn.SINGLE(P110:P114)), ISBLANK(_xlfn.SINGLE(#REF!)),ISBLANK(_xlfn.SINGLE(X110:X114))), "·", bdRateExtend(#REF!,#REF!, P110:P114,X110:X114)))</f>
        <v>·</v>
      </c>
      <c r="BT110" s="43" t="str">
        <f>_xlfn.SINGLE(IF( OR(ISBLANK(_xlfn.SINGLE(#REF!)),ISBLANK(_xlfn.SINGLE(P110:P114)), ISBLANK(_xlfn.SINGLE(#REF!)),ISBLANK(_xlfn.SINGLE(Y110:Y114))), "·", bdRateExtend(#REF!,#REF!, P110:P114,Y110:Y114)))</f>
        <v>·</v>
      </c>
      <c r="BU110" s="43" t="str">
        <f>_xlfn.SINGLE(IF( OR(ISBLANK(_xlfn.SINGLE(#REF!)),ISBLANK(_xlfn.SINGLE(P110:P114)), ISBLANK(_xlfn.SINGLE(#REF!)),ISBLANK(_xlfn.SINGLE(Z110:Z114))), "·", bdRateExtend(#REF!,#REF!, P110:P114,Z110:Z114)))</f>
        <v>·</v>
      </c>
      <c r="BV110" s="44"/>
    </row>
    <row r="111" spans="1:74" outlineLevel="1" x14ac:dyDescent="0.15">
      <c r="A111" s="15"/>
      <c r="B111" s="15" t="s">
        <v>294</v>
      </c>
      <c r="C111" s="16" t="s">
        <v>226</v>
      </c>
      <c r="D111" s="15">
        <v>1481746</v>
      </c>
      <c r="E111" s="17">
        <v>12</v>
      </c>
      <c r="F111" s="16">
        <v>1</v>
      </c>
      <c r="G111" s="16"/>
      <c r="I111" s="18" t="str">
        <f>IF(OR(ISBLANK(#REF!),ISBLANK(G111)),"·",#REF!*G111/F111/1000000)</f>
        <v>·</v>
      </c>
      <c r="J111" s="19" t="e">
        <f>IF(ISBLANK(#REF!),"·",#REF!/D111)</f>
        <v>#REF!</v>
      </c>
      <c r="K111" s="19" t="e">
        <f>IF(#REF!="","·",#REF!/D111)</f>
        <v>#REF!</v>
      </c>
      <c r="L111" s="19" t="e">
        <f>IF(ISBLANK(#REF!),"·",#REF!/D111)</f>
        <v>#REF!</v>
      </c>
      <c r="M111" s="20"/>
      <c r="N111" s="19" t="e">
        <f>IF(ISBLANK(#REF!),"·",#REF!/#REF!)</f>
        <v>#REF!</v>
      </c>
      <c r="O111" s="21"/>
      <c r="P111" s="22"/>
      <c r="Q111" s="22"/>
      <c r="R111" s="22"/>
      <c r="S111" s="23"/>
      <c r="T111" s="24"/>
      <c r="U111" s="24"/>
      <c r="V111" s="24"/>
      <c r="W111" s="25"/>
      <c r="X111" s="24"/>
      <c r="Y111" s="24"/>
      <c r="Z111" s="24"/>
      <c r="AA111" s="25"/>
      <c r="AB111" s="26"/>
      <c r="AC111" s="26"/>
      <c r="AE111" s="18" t="str">
        <f t="shared" si="5"/>
        <v>·</v>
      </c>
      <c r="AF111" s="19" t="str">
        <f t="shared" si="6"/>
        <v>·</v>
      </c>
      <c r="AG111" s="19" t="str">
        <f t="shared" si="7"/>
        <v>·</v>
      </c>
      <c r="AH111" s="19" t="str">
        <f t="shared" si="8"/>
        <v>·</v>
      </c>
      <c r="AI111" s="20"/>
      <c r="AJ111" s="19" t="str">
        <f t="shared" si="9"/>
        <v>·</v>
      </c>
      <c r="BA111" s="27" t="e">
        <f>(Q111/P111) - (#REF!/#REF!)</f>
        <v>#DIV/0!</v>
      </c>
      <c r="BB111" s="27"/>
      <c r="BD111" s="28"/>
      <c r="BE111" s="28"/>
      <c r="BF111" s="28"/>
      <c r="BG111" s="29"/>
      <c r="BI111" s="28"/>
      <c r="BJ111" s="28"/>
      <c r="BK111" s="28"/>
      <c r="BL111" s="29"/>
      <c r="BN111" s="28"/>
      <c r="BO111" s="28"/>
      <c r="BP111" s="28"/>
      <c r="BQ111" s="29"/>
      <c r="BS111" s="28"/>
      <c r="BT111" s="28"/>
      <c r="BU111" s="28"/>
      <c r="BV111" s="29"/>
    </row>
    <row r="112" spans="1:74" outlineLevel="1" x14ac:dyDescent="0.15">
      <c r="A112" s="30"/>
      <c r="B112" s="30" t="s">
        <v>294</v>
      </c>
      <c r="C112" s="31" t="s">
        <v>227</v>
      </c>
      <c r="D112" s="30">
        <v>1481746</v>
      </c>
      <c r="E112" s="32">
        <v>12</v>
      </c>
      <c r="F112" s="31">
        <v>1</v>
      </c>
      <c r="G112" s="31"/>
      <c r="I112" s="33" t="str">
        <f>IF(OR(ISBLANK(#REF!),ISBLANK(G112)),"·",#REF!*G112/F112/1000000)</f>
        <v>·</v>
      </c>
      <c r="J112" s="34" t="e">
        <f>IF(ISBLANK(#REF!),"·",#REF!/D112)</f>
        <v>#REF!</v>
      </c>
      <c r="K112" s="34" t="e">
        <f>IF(#REF!="","·",#REF!/D112)</f>
        <v>#REF!</v>
      </c>
      <c r="L112" s="34" t="e">
        <f>IF(ISBLANK(#REF!),"·",#REF!/D112)</f>
        <v>#REF!</v>
      </c>
      <c r="M112" s="35"/>
      <c r="N112" s="34" t="e">
        <f>IF(ISBLANK(#REF!),"·",#REF!/#REF!)</f>
        <v>#REF!</v>
      </c>
      <c r="O112" s="36"/>
      <c r="P112" s="37"/>
      <c r="Q112" s="37"/>
      <c r="R112" s="37"/>
      <c r="S112" s="38"/>
      <c r="T112" s="39"/>
      <c r="U112" s="39"/>
      <c r="V112" s="39"/>
      <c r="W112" s="40"/>
      <c r="X112" s="39"/>
      <c r="Y112" s="39"/>
      <c r="Z112" s="39"/>
      <c r="AA112" s="40"/>
      <c r="AB112" s="41"/>
      <c r="AC112" s="41"/>
      <c r="AE112" s="33" t="str">
        <f t="shared" si="5"/>
        <v>·</v>
      </c>
      <c r="AF112" s="34" t="str">
        <f t="shared" si="6"/>
        <v>·</v>
      </c>
      <c r="AG112" s="34" t="str">
        <f t="shared" si="7"/>
        <v>·</v>
      </c>
      <c r="AH112" s="34" t="str">
        <f t="shared" si="8"/>
        <v>·</v>
      </c>
      <c r="AI112" s="35"/>
      <c r="AJ112" s="34" t="str">
        <f t="shared" si="9"/>
        <v>·</v>
      </c>
      <c r="BA112" s="42" t="e">
        <f>(Q112/P112) - (#REF!/#REF!)</f>
        <v>#DIV/0!</v>
      </c>
      <c r="BB112" s="42"/>
      <c r="BD112" s="43"/>
      <c r="BE112" s="43"/>
      <c r="BF112" s="43"/>
      <c r="BG112" s="44"/>
      <c r="BI112" s="43"/>
      <c r="BJ112" s="43"/>
      <c r="BK112" s="43"/>
      <c r="BL112" s="44"/>
      <c r="BN112" s="43"/>
      <c r="BO112" s="43"/>
      <c r="BP112" s="43"/>
      <c r="BQ112" s="44"/>
      <c r="BS112" s="43"/>
      <c r="BT112" s="43"/>
      <c r="BU112" s="43"/>
      <c r="BV112" s="44"/>
    </row>
    <row r="113" spans="1:74" outlineLevel="1" x14ac:dyDescent="0.15">
      <c r="A113" s="15"/>
      <c r="B113" s="15" t="s">
        <v>294</v>
      </c>
      <c r="C113" s="16" t="s">
        <v>228</v>
      </c>
      <c r="D113" s="15">
        <v>1481746</v>
      </c>
      <c r="E113" s="17">
        <v>12</v>
      </c>
      <c r="F113" s="16">
        <v>1</v>
      </c>
      <c r="G113" s="16"/>
      <c r="I113" s="18" t="str">
        <f>IF(OR(ISBLANK(#REF!),ISBLANK(G113)),"·",#REF!*G113/F113/1000000)</f>
        <v>·</v>
      </c>
      <c r="J113" s="19" t="e">
        <f>IF(ISBLANK(#REF!),"·",#REF!/D113)</f>
        <v>#REF!</v>
      </c>
      <c r="K113" s="19" t="e">
        <f>IF(#REF!="","·",#REF!/D113)</f>
        <v>#REF!</v>
      </c>
      <c r="L113" s="19" t="e">
        <f>IF(ISBLANK(#REF!),"·",#REF!/D113)</f>
        <v>#REF!</v>
      </c>
      <c r="M113" s="20"/>
      <c r="N113" s="19" t="e">
        <f>IF(ISBLANK(#REF!),"·",#REF!/#REF!)</f>
        <v>#REF!</v>
      </c>
      <c r="O113" s="21"/>
      <c r="P113" s="22"/>
      <c r="Q113" s="22"/>
      <c r="R113" s="22"/>
      <c r="S113" s="23"/>
      <c r="T113" s="24"/>
      <c r="U113" s="24"/>
      <c r="V113" s="24"/>
      <c r="W113" s="25"/>
      <c r="X113" s="24"/>
      <c r="Y113" s="24"/>
      <c r="Z113" s="24"/>
      <c r="AA113" s="25"/>
      <c r="AB113" s="26"/>
      <c r="AC113" s="26"/>
      <c r="AE113" s="18" t="str">
        <f t="shared" si="5"/>
        <v>·</v>
      </c>
      <c r="AF113" s="19" t="str">
        <f t="shared" si="6"/>
        <v>·</v>
      </c>
      <c r="AG113" s="19" t="str">
        <f t="shared" si="7"/>
        <v>·</v>
      </c>
      <c r="AH113" s="19" t="str">
        <f t="shared" si="8"/>
        <v>·</v>
      </c>
      <c r="AI113" s="20"/>
      <c r="AJ113" s="19" t="str">
        <f t="shared" si="9"/>
        <v>·</v>
      </c>
      <c r="BA113" s="27" t="e">
        <f>(Q113/P113) - (#REF!/#REF!)</f>
        <v>#DIV/0!</v>
      </c>
      <c r="BB113" s="27"/>
      <c r="BD113" s="28"/>
      <c r="BE113" s="28"/>
      <c r="BF113" s="28"/>
      <c r="BG113" s="29"/>
      <c r="BI113" s="28"/>
      <c r="BJ113" s="28"/>
      <c r="BK113" s="28"/>
      <c r="BL113" s="29"/>
      <c r="BN113" s="28"/>
      <c r="BO113" s="28"/>
      <c r="BP113" s="28"/>
      <c r="BQ113" s="29"/>
      <c r="BS113" s="28"/>
      <c r="BT113" s="28"/>
      <c r="BU113" s="28"/>
      <c r="BV113" s="29"/>
    </row>
    <row r="114" spans="1:74" ht="14.25" outlineLevel="1" thickBot="1" x14ac:dyDescent="0.2">
      <c r="A114" s="30"/>
      <c r="B114" s="45" t="s">
        <v>294</v>
      </c>
      <c r="C114" s="46" t="s">
        <v>229</v>
      </c>
      <c r="D114" s="45">
        <v>1481746</v>
      </c>
      <c r="E114" s="47">
        <v>12</v>
      </c>
      <c r="F114" s="46">
        <v>1</v>
      </c>
      <c r="G114" s="46"/>
      <c r="I114" s="48" t="str">
        <f>IF(OR(ISBLANK(#REF!),ISBLANK(G114)),"·",#REF!*G114/F114/1000000)</f>
        <v>·</v>
      </c>
      <c r="J114" s="49" t="e">
        <f>IF(ISBLANK(#REF!),"·",#REF!/D114)</f>
        <v>#REF!</v>
      </c>
      <c r="K114" s="49" t="e">
        <f>IF(#REF!="","·",#REF!/D114)</f>
        <v>#REF!</v>
      </c>
      <c r="L114" s="49" t="e">
        <f>IF(ISBLANK(#REF!),"·",#REF!/D114)</f>
        <v>#REF!</v>
      </c>
      <c r="M114" s="50"/>
      <c r="N114" s="49" t="e">
        <f>IF(ISBLANK(#REF!),"·",#REF!/#REF!)</f>
        <v>#REF!</v>
      </c>
      <c r="O114" s="51"/>
      <c r="P114" s="52"/>
      <c r="Q114" s="52"/>
      <c r="R114" s="52"/>
      <c r="S114" s="53"/>
      <c r="T114" s="54"/>
      <c r="U114" s="54"/>
      <c r="V114" s="54"/>
      <c r="W114" s="55"/>
      <c r="X114" s="54"/>
      <c r="Y114" s="54"/>
      <c r="Z114" s="54"/>
      <c r="AA114" s="55"/>
      <c r="AB114" s="56"/>
      <c r="AC114" s="56"/>
      <c r="AE114" s="48" t="str">
        <f t="shared" si="5"/>
        <v>·</v>
      </c>
      <c r="AF114" s="49" t="str">
        <f t="shared" si="6"/>
        <v>·</v>
      </c>
      <c r="AG114" s="49" t="str">
        <f t="shared" si="7"/>
        <v>·</v>
      </c>
      <c r="AH114" s="49" t="str">
        <f t="shared" si="8"/>
        <v>·</v>
      </c>
      <c r="AI114" s="50"/>
      <c r="AJ114" s="49" t="str">
        <f t="shared" si="9"/>
        <v>·</v>
      </c>
      <c r="BA114" s="57" t="e">
        <f>(Q114/P114) - (#REF!/#REF!)</f>
        <v>#DIV/0!</v>
      </c>
      <c r="BB114" s="57"/>
      <c r="BD114" s="58"/>
      <c r="BE114" s="58"/>
      <c r="BF114" s="58"/>
      <c r="BG114" s="59"/>
      <c r="BI114" s="58"/>
      <c r="BJ114" s="58"/>
      <c r="BK114" s="58"/>
      <c r="BL114" s="59"/>
      <c r="BN114" s="58"/>
      <c r="BO114" s="58"/>
      <c r="BP114" s="58"/>
      <c r="BQ114" s="59"/>
      <c r="BS114" s="58"/>
      <c r="BT114" s="58"/>
      <c r="BU114" s="58"/>
      <c r="BV114" s="59"/>
    </row>
    <row r="115" spans="1:74" x14ac:dyDescent="0.15">
      <c r="A115" s="15"/>
      <c r="B115" s="15" t="s">
        <v>298</v>
      </c>
      <c r="C115" s="16" t="s">
        <v>225</v>
      </c>
      <c r="D115" s="15">
        <v>272684</v>
      </c>
      <c r="E115" s="17">
        <v>12</v>
      </c>
      <c r="F115" s="16">
        <v>1</v>
      </c>
      <c r="G115" s="16"/>
      <c r="I115" s="18" t="str">
        <f>IF(OR(ISBLANK(#REF!),ISBLANK(G115)),"·",#REF!*G115/F115/1000000)</f>
        <v>·</v>
      </c>
      <c r="J115" s="19" t="e">
        <f>IF(ISBLANK(#REF!),"·",#REF!/D115)</f>
        <v>#REF!</v>
      </c>
      <c r="K115" s="19" t="e">
        <f>IF(#REF!="","·",#REF!/D115)</f>
        <v>#REF!</v>
      </c>
      <c r="L115" s="19" t="e">
        <f>IF(ISBLANK(#REF!),"·",#REF!/D115)</f>
        <v>#REF!</v>
      </c>
      <c r="M115" s="20"/>
      <c r="N115" s="19" t="e">
        <f>IF(ISBLANK(#REF!),"·",#REF!/#REF!)</f>
        <v>#REF!</v>
      </c>
      <c r="O115" s="21"/>
      <c r="P115" s="22"/>
      <c r="Q115" s="22"/>
      <c r="R115" s="22"/>
      <c r="S115" s="23"/>
      <c r="T115" s="24"/>
      <c r="U115" s="24"/>
      <c r="V115" s="24"/>
      <c r="W115" s="25"/>
      <c r="X115" s="24"/>
      <c r="Y115" s="24"/>
      <c r="Z115" s="24"/>
      <c r="AA115" s="25"/>
      <c r="AB115" s="26"/>
      <c r="AC115" s="26"/>
      <c r="AE115" s="18" t="str">
        <f t="shared" si="5"/>
        <v>·</v>
      </c>
      <c r="AF115" s="19" t="str">
        <f t="shared" si="6"/>
        <v>·</v>
      </c>
      <c r="AG115" s="19" t="str">
        <f t="shared" si="7"/>
        <v>·</v>
      </c>
      <c r="AH115" s="19" t="str">
        <f t="shared" si="8"/>
        <v>·</v>
      </c>
      <c r="AI115" s="20"/>
      <c r="AJ115" s="19" t="str">
        <f t="shared" si="9"/>
        <v>·</v>
      </c>
      <c r="BA115" s="27" t="e">
        <f>(Q115/P115) - (#REF!/#REF!)</f>
        <v>#DIV/0!</v>
      </c>
      <c r="BB115" s="27" t="e">
        <f t="array" ref="BB115">AVERAGE(Q115:Q119/P115:P119) - AVERAGE(#REF!/#REF!)</f>
        <v>#DIV/0!</v>
      </c>
      <c r="BD115" s="28" t="str">
        <f>_xlfn.SINGLE(IF( OR(ISBLANK(_xlfn.SINGLE(#REF!)),ISBLANK(_xlfn.SINGLE(R115:R119)), ISBLANK(_xlfn.SINGLE(#REF!)),ISBLANK(_xlfn.SINGLE(T115:T119))), "·", bdRateExtend(#REF!,#REF!, R115:R119,T115:T119)))</f>
        <v>·</v>
      </c>
      <c r="BE115" s="28" t="str">
        <f>_xlfn.SINGLE(IF( OR(ISBLANK(_xlfn.SINGLE(#REF!)),ISBLANK(_xlfn.SINGLE(R115:R119)), ISBLANK(_xlfn.SINGLE(#REF!)),ISBLANK(_xlfn.SINGLE(U115:U119))), "·", bdRateExtend(#REF!,#REF!, R115:R119,U115:U119)))</f>
        <v>·</v>
      </c>
      <c r="BF115" s="28" t="str">
        <f>_xlfn.SINGLE(IF( OR(ISBLANK(_xlfn.SINGLE(#REF!)),ISBLANK(_xlfn.SINGLE(R115:R119)), ISBLANK(_xlfn.SINGLE(#REF!)),ISBLANK(_xlfn.SINGLE(V115:V119))), "·", bdRateExtend(#REF!,#REF!, R115:R119,V115:V119)))</f>
        <v>·</v>
      </c>
      <c r="BG115" s="29"/>
      <c r="BI115" s="28" t="str">
        <f>_xlfn.SINGLE(IF( OR(ISBLANK(_xlfn.SINGLE(#REF!)),ISBLANK(_xlfn.SINGLE(R115:R119)), ISBLANK(_xlfn.SINGLE(#REF!)),ISBLANK(_xlfn.SINGLE(X115:X119))), "·", bdRateExtend(#REF!,#REF!, R115:R119,X115:X119)))</f>
        <v>·</v>
      </c>
      <c r="BJ115" s="28" t="str">
        <f>_xlfn.SINGLE(IF( OR(ISBLANK(_xlfn.SINGLE(#REF!)),ISBLANK(_xlfn.SINGLE(R115:R119)), ISBLANK(_xlfn.SINGLE(#REF!)),ISBLANK(_xlfn.SINGLE(Y115:Y119))), "·", bdRateExtend(#REF!,#REF!, R115:R119,Y115:Y119)))</f>
        <v>·</v>
      </c>
      <c r="BK115" s="28" t="str">
        <f>_xlfn.SINGLE(IF( OR(ISBLANK(_xlfn.SINGLE(#REF!)),ISBLANK(_xlfn.SINGLE(R115:R119)), ISBLANK(_xlfn.SINGLE(#REF!)),ISBLANK(_xlfn.SINGLE(Z115:Z119))), "·", bdRateExtend(#REF!,#REF!, R115:R119,Z115:Z119)))</f>
        <v>·</v>
      </c>
      <c r="BL115" s="29"/>
      <c r="BN115" s="28" t="str">
        <f>_xlfn.SINGLE(IF( OR(ISBLANK(_xlfn.SINGLE(#REF!)),ISBLANK(_xlfn.SINGLE(P115:P119)), ISBLANK(_xlfn.SINGLE(#REF!)),ISBLANK(_xlfn.SINGLE(T115:T119))), "·", bdRateExtend(#REF!,#REF!, P115:P119,T115:T119)))</f>
        <v>·</v>
      </c>
      <c r="BO115" s="28" t="str">
        <f>_xlfn.SINGLE(IF( OR(ISBLANK(_xlfn.SINGLE(#REF!)),ISBLANK(_xlfn.SINGLE(P115:P119)), ISBLANK(_xlfn.SINGLE(#REF!)),ISBLANK(_xlfn.SINGLE(U115:U119))), "·", bdRateExtend(#REF!,#REF!, P115:P119,U115:U119)))</f>
        <v>·</v>
      </c>
      <c r="BP115" s="28" t="str">
        <f>_xlfn.SINGLE(IF( OR(ISBLANK(_xlfn.SINGLE(#REF!)),ISBLANK(_xlfn.SINGLE(P115:P119)), ISBLANK(_xlfn.SINGLE(#REF!)),ISBLANK(_xlfn.SINGLE(V115:V119))), "·", bdRateExtend(#REF!,#REF!, P115:P119,V115:V119)))</f>
        <v>·</v>
      </c>
      <c r="BQ115" s="29"/>
      <c r="BS115" s="28" t="str">
        <f>_xlfn.SINGLE(IF( OR(ISBLANK(_xlfn.SINGLE(#REF!)),ISBLANK(_xlfn.SINGLE(P115:P119)), ISBLANK(_xlfn.SINGLE(#REF!)),ISBLANK(_xlfn.SINGLE(X115:X119))), "·", bdRateExtend(#REF!,#REF!, P115:P119,X115:X119)))</f>
        <v>·</v>
      </c>
      <c r="BT115" s="28" t="str">
        <f>_xlfn.SINGLE(IF( OR(ISBLANK(_xlfn.SINGLE(#REF!)),ISBLANK(_xlfn.SINGLE(P115:P119)), ISBLANK(_xlfn.SINGLE(#REF!)),ISBLANK(_xlfn.SINGLE(Y115:Y119))), "·", bdRateExtend(#REF!,#REF!, P115:P119,Y115:Y119)))</f>
        <v>·</v>
      </c>
      <c r="BU115" s="28" t="str">
        <f>_xlfn.SINGLE(IF( OR(ISBLANK(_xlfn.SINGLE(#REF!)),ISBLANK(_xlfn.SINGLE(P115:P119)), ISBLANK(_xlfn.SINGLE(#REF!)),ISBLANK(_xlfn.SINGLE(Z115:Z119))), "·", bdRateExtend(#REF!,#REF!, P115:P119,Z115:Z119)))</f>
        <v>·</v>
      </c>
      <c r="BV115" s="29"/>
    </row>
    <row r="116" spans="1:74" outlineLevel="1" x14ac:dyDescent="0.15">
      <c r="A116" s="30"/>
      <c r="B116" s="30" t="s">
        <v>298</v>
      </c>
      <c r="C116" s="31" t="s">
        <v>226</v>
      </c>
      <c r="D116" s="30">
        <v>272684</v>
      </c>
      <c r="E116" s="32">
        <v>12</v>
      </c>
      <c r="F116" s="31">
        <v>1</v>
      </c>
      <c r="G116" s="31"/>
      <c r="I116" s="33" t="str">
        <f>IF(OR(ISBLANK(#REF!),ISBLANK(G116)),"·",#REF!*G116/F116/1000000)</f>
        <v>·</v>
      </c>
      <c r="J116" s="34" t="e">
        <f>IF(ISBLANK(#REF!),"·",#REF!/D116)</f>
        <v>#REF!</v>
      </c>
      <c r="K116" s="34" t="e">
        <f>IF(#REF!="","·",#REF!/D116)</f>
        <v>#REF!</v>
      </c>
      <c r="L116" s="34" t="e">
        <f>IF(ISBLANK(#REF!),"·",#REF!/D116)</f>
        <v>#REF!</v>
      </c>
      <c r="M116" s="35"/>
      <c r="N116" s="34" t="e">
        <f>IF(ISBLANK(#REF!),"·",#REF!/#REF!)</f>
        <v>#REF!</v>
      </c>
      <c r="O116" s="36"/>
      <c r="P116" s="37"/>
      <c r="Q116" s="37"/>
      <c r="R116" s="37"/>
      <c r="S116" s="38"/>
      <c r="T116" s="39"/>
      <c r="U116" s="39"/>
      <c r="V116" s="39"/>
      <c r="W116" s="40"/>
      <c r="X116" s="39"/>
      <c r="Y116" s="39"/>
      <c r="Z116" s="39"/>
      <c r="AA116" s="40"/>
      <c r="AB116" s="41"/>
      <c r="AC116" s="41"/>
      <c r="AE116" s="33" t="str">
        <f t="shared" si="5"/>
        <v>·</v>
      </c>
      <c r="AF116" s="34" t="str">
        <f t="shared" si="6"/>
        <v>·</v>
      </c>
      <c r="AG116" s="34" t="str">
        <f t="shared" si="7"/>
        <v>·</v>
      </c>
      <c r="AH116" s="34" t="str">
        <f t="shared" si="8"/>
        <v>·</v>
      </c>
      <c r="AI116" s="35"/>
      <c r="AJ116" s="34" t="str">
        <f t="shared" si="9"/>
        <v>·</v>
      </c>
      <c r="BA116" s="42" t="e">
        <f>(Q116/P116) - (#REF!/#REF!)</f>
        <v>#DIV/0!</v>
      </c>
      <c r="BB116" s="42"/>
      <c r="BD116" s="43"/>
      <c r="BE116" s="43"/>
      <c r="BF116" s="43"/>
      <c r="BG116" s="44"/>
      <c r="BI116" s="43"/>
      <c r="BJ116" s="43"/>
      <c r="BK116" s="43"/>
      <c r="BL116" s="44"/>
      <c r="BN116" s="43"/>
      <c r="BO116" s="43"/>
      <c r="BP116" s="43"/>
      <c r="BQ116" s="44"/>
      <c r="BS116" s="43"/>
      <c r="BT116" s="43"/>
      <c r="BU116" s="43"/>
      <c r="BV116" s="44"/>
    </row>
    <row r="117" spans="1:74" outlineLevel="1" x14ac:dyDescent="0.15">
      <c r="A117" s="15"/>
      <c r="B117" s="15" t="s">
        <v>298</v>
      </c>
      <c r="C117" s="16" t="s">
        <v>227</v>
      </c>
      <c r="D117" s="15">
        <v>272684</v>
      </c>
      <c r="E117" s="17">
        <v>12</v>
      </c>
      <c r="F117" s="16">
        <v>1</v>
      </c>
      <c r="G117" s="16"/>
      <c r="I117" s="18" t="str">
        <f>IF(OR(ISBLANK(#REF!),ISBLANK(G117)),"·",#REF!*G117/F117/1000000)</f>
        <v>·</v>
      </c>
      <c r="J117" s="19" t="e">
        <f>IF(ISBLANK(#REF!),"·",#REF!/D117)</f>
        <v>#REF!</v>
      </c>
      <c r="K117" s="19" t="e">
        <f>IF(#REF!="","·",#REF!/D117)</f>
        <v>#REF!</v>
      </c>
      <c r="L117" s="19" t="e">
        <f>IF(ISBLANK(#REF!),"·",#REF!/D117)</f>
        <v>#REF!</v>
      </c>
      <c r="M117" s="20"/>
      <c r="N117" s="19" t="e">
        <f>IF(ISBLANK(#REF!),"·",#REF!/#REF!)</f>
        <v>#REF!</v>
      </c>
      <c r="O117" s="21"/>
      <c r="P117" s="22"/>
      <c r="Q117" s="22"/>
      <c r="R117" s="22"/>
      <c r="S117" s="23"/>
      <c r="T117" s="24"/>
      <c r="U117" s="24"/>
      <c r="V117" s="24"/>
      <c r="W117" s="25"/>
      <c r="X117" s="24"/>
      <c r="Y117" s="24"/>
      <c r="Z117" s="24"/>
      <c r="AA117" s="25"/>
      <c r="AB117" s="26"/>
      <c r="AC117" s="26"/>
      <c r="AE117" s="18" t="str">
        <f t="shared" si="5"/>
        <v>·</v>
      </c>
      <c r="AF117" s="19" t="str">
        <f t="shared" si="6"/>
        <v>·</v>
      </c>
      <c r="AG117" s="19" t="str">
        <f t="shared" si="7"/>
        <v>·</v>
      </c>
      <c r="AH117" s="19" t="str">
        <f t="shared" si="8"/>
        <v>·</v>
      </c>
      <c r="AI117" s="20"/>
      <c r="AJ117" s="19" t="str">
        <f t="shared" si="9"/>
        <v>·</v>
      </c>
      <c r="BA117" s="27" t="e">
        <f>(Q117/P117) - (#REF!/#REF!)</f>
        <v>#DIV/0!</v>
      </c>
      <c r="BB117" s="27"/>
      <c r="BD117" s="28"/>
      <c r="BE117" s="28"/>
      <c r="BF117" s="28"/>
      <c r="BG117" s="29"/>
      <c r="BI117" s="28"/>
      <c r="BJ117" s="28"/>
      <c r="BK117" s="28"/>
      <c r="BL117" s="29"/>
      <c r="BN117" s="28"/>
      <c r="BO117" s="28"/>
      <c r="BP117" s="28"/>
      <c r="BQ117" s="29"/>
      <c r="BS117" s="28"/>
      <c r="BT117" s="28"/>
      <c r="BU117" s="28"/>
      <c r="BV117" s="29"/>
    </row>
    <row r="118" spans="1:74" outlineLevel="1" x14ac:dyDescent="0.15">
      <c r="A118" s="30"/>
      <c r="B118" s="30" t="s">
        <v>298</v>
      </c>
      <c r="C118" s="31" t="s">
        <v>228</v>
      </c>
      <c r="D118" s="30">
        <v>272684</v>
      </c>
      <c r="E118" s="32">
        <v>12</v>
      </c>
      <c r="F118" s="31">
        <v>1</v>
      </c>
      <c r="G118" s="31"/>
      <c r="I118" s="33" t="str">
        <f>IF(OR(ISBLANK(#REF!),ISBLANK(G118)),"·",#REF!*G118/F118/1000000)</f>
        <v>·</v>
      </c>
      <c r="J118" s="34" t="e">
        <f>IF(ISBLANK(#REF!),"·",#REF!/D118)</f>
        <v>#REF!</v>
      </c>
      <c r="K118" s="34" t="e">
        <f>IF(#REF!="","·",#REF!/D118)</f>
        <v>#REF!</v>
      </c>
      <c r="L118" s="34" t="e">
        <f>IF(ISBLANK(#REF!),"·",#REF!/D118)</f>
        <v>#REF!</v>
      </c>
      <c r="M118" s="35"/>
      <c r="N118" s="34" t="e">
        <f>IF(ISBLANK(#REF!),"·",#REF!/#REF!)</f>
        <v>#REF!</v>
      </c>
      <c r="O118" s="36"/>
      <c r="P118" s="37"/>
      <c r="Q118" s="37"/>
      <c r="R118" s="37"/>
      <c r="S118" s="38"/>
      <c r="T118" s="39"/>
      <c r="U118" s="39"/>
      <c r="V118" s="39"/>
      <c r="W118" s="40"/>
      <c r="X118" s="39"/>
      <c r="Y118" s="39"/>
      <c r="Z118" s="39"/>
      <c r="AA118" s="40"/>
      <c r="AB118" s="41"/>
      <c r="AC118" s="41"/>
      <c r="AE118" s="33" t="str">
        <f t="shared" si="5"/>
        <v>·</v>
      </c>
      <c r="AF118" s="34" t="str">
        <f t="shared" si="6"/>
        <v>·</v>
      </c>
      <c r="AG118" s="34" t="str">
        <f t="shared" si="7"/>
        <v>·</v>
      </c>
      <c r="AH118" s="34" t="str">
        <f t="shared" si="8"/>
        <v>·</v>
      </c>
      <c r="AI118" s="35"/>
      <c r="AJ118" s="34" t="str">
        <f t="shared" si="9"/>
        <v>·</v>
      </c>
      <c r="BA118" s="42" t="e">
        <f>(Q118/P118) - (#REF!/#REF!)</f>
        <v>#DIV/0!</v>
      </c>
      <c r="BB118" s="42"/>
      <c r="BD118" s="43"/>
      <c r="BE118" s="43"/>
      <c r="BF118" s="43"/>
      <c r="BG118" s="44"/>
      <c r="BI118" s="43"/>
      <c r="BJ118" s="43"/>
      <c r="BK118" s="43"/>
      <c r="BL118" s="44"/>
      <c r="BN118" s="43"/>
      <c r="BO118" s="43"/>
      <c r="BP118" s="43"/>
      <c r="BQ118" s="44"/>
      <c r="BS118" s="43"/>
      <c r="BT118" s="43"/>
      <c r="BU118" s="43"/>
      <c r="BV118" s="44"/>
    </row>
    <row r="119" spans="1:74" ht="14.25" outlineLevel="1" thickBot="1" x14ac:dyDescent="0.2">
      <c r="A119" s="15"/>
      <c r="B119" s="64" t="s">
        <v>298</v>
      </c>
      <c r="C119" s="66" t="s">
        <v>229</v>
      </c>
      <c r="D119" s="64">
        <v>272684</v>
      </c>
      <c r="E119" s="65">
        <v>12</v>
      </c>
      <c r="F119" s="66">
        <v>1</v>
      </c>
      <c r="G119" s="66"/>
      <c r="I119" s="68" t="str">
        <f>IF(OR(ISBLANK(#REF!),ISBLANK(G119)),"·",#REF!*G119/F119/1000000)</f>
        <v>·</v>
      </c>
      <c r="J119" s="69" t="e">
        <f>IF(ISBLANK(#REF!),"·",#REF!/D119)</f>
        <v>#REF!</v>
      </c>
      <c r="K119" s="69" t="e">
        <f>IF(#REF!="","·",#REF!/D119)</f>
        <v>#REF!</v>
      </c>
      <c r="L119" s="69" t="e">
        <f>IF(ISBLANK(#REF!),"·",#REF!/D119)</f>
        <v>#REF!</v>
      </c>
      <c r="M119" s="70"/>
      <c r="N119" s="69" t="e">
        <f>IF(ISBLANK(#REF!),"·",#REF!/#REF!)</f>
        <v>#REF!</v>
      </c>
      <c r="O119" s="71"/>
      <c r="P119" s="72"/>
      <c r="Q119" s="72"/>
      <c r="R119" s="72"/>
      <c r="S119" s="73"/>
      <c r="T119" s="77"/>
      <c r="U119" s="77"/>
      <c r="V119" s="77"/>
      <c r="W119" s="78"/>
      <c r="X119" s="77"/>
      <c r="Y119" s="77"/>
      <c r="Z119" s="77"/>
      <c r="AA119" s="78"/>
      <c r="AB119" s="74"/>
      <c r="AC119" s="74"/>
      <c r="AE119" s="68" t="str">
        <f t="shared" si="5"/>
        <v>·</v>
      </c>
      <c r="AF119" s="69" t="str">
        <f t="shared" si="6"/>
        <v>·</v>
      </c>
      <c r="AG119" s="69" t="str">
        <f t="shared" si="7"/>
        <v>·</v>
      </c>
      <c r="AH119" s="69" t="str">
        <f t="shared" si="8"/>
        <v>·</v>
      </c>
      <c r="AI119" s="70"/>
      <c r="AJ119" s="69" t="str">
        <f t="shared" si="9"/>
        <v>·</v>
      </c>
      <c r="BA119" s="67" t="e">
        <f>(Q119/P119) - (#REF!/#REF!)</f>
        <v>#DIV/0!</v>
      </c>
      <c r="BB119" s="67"/>
      <c r="BD119" s="75"/>
      <c r="BE119" s="75"/>
      <c r="BF119" s="75"/>
      <c r="BG119" s="76"/>
      <c r="BI119" s="75"/>
      <c r="BJ119" s="75"/>
      <c r="BK119" s="75"/>
      <c r="BL119" s="76"/>
      <c r="BN119" s="75"/>
      <c r="BO119" s="75"/>
      <c r="BP119" s="75"/>
      <c r="BQ119" s="76"/>
      <c r="BS119" s="75"/>
      <c r="BT119" s="75"/>
      <c r="BU119" s="75"/>
      <c r="BV119" s="76"/>
    </row>
    <row r="120" spans="1:74" x14ac:dyDescent="0.15">
      <c r="A120" s="30"/>
      <c r="B120" s="30" t="s">
        <v>301</v>
      </c>
      <c r="C120" s="31" t="s">
        <v>225</v>
      </c>
      <c r="D120" s="30">
        <v>4187594</v>
      </c>
      <c r="E120" s="32">
        <v>14</v>
      </c>
      <c r="F120" s="31">
        <v>1</v>
      </c>
      <c r="G120" s="31"/>
      <c r="I120" s="33" t="str">
        <f>IF(OR(ISBLANK(#REF!),ISBLANK(G120)),"·",#REF!*G120/F120/1000000)</f>
        <v>·</v>
      </c>
      <c r="J120" s="34" t="e">
        <f>IF(ISBLANK(#REF!),"·",#REF!/D120)</f>
        <v>#REF!</v>
      </c>
      <c r="K120" s="34" t="e">
        <f>IF(#REF!="","·",#REF!/D120)</f>
        <v>#REF!</v>
      </c>
      <c r="L120" s="34" t="e">
        <f>IF(ISBLANK(#REF!),"·",#REF!/D120)</f>
        <v>#REF!</v>
      </c>
      <c r="M120" s="35"/>
      <c r="N120" s="34" t="e">
        <f>IF(ISBLANK(#REF!),"·",#REF!/#REF!)</f>
        <v>#REF!</v>
      </c>
      <c r="O120" s="36"/>
      <c r="P120" s="37"/>
      <c r="Q120" s="37"/>
      <c r="R120" s="37"/>
      <c r="S120" s="38"/>
      <c r="T120" s="39"/>
      <c r="U120" s="39"/>
      <c r="V120" s="39"/>
      <c r="W120" s="40"/>
      <c r="X120" s="39"/>
      <c r="Y120" s="39"/>
      <c r="Z120" s="39"/>
      <c r="AA120" s="40"/>
      <c r="AB120" s="41"/>
      <c r="AC120" s="41"/>
      <c r="AE120" s="33" t="str">
        <f t="shared" si="5"/>
        <v>·</v>
      </c>
      <c r="AF120" s="34" t="str">
        <f t="shared" si="6"/>
        <v>·</v>
      </c>
      <c r="AG120" s="34" t="str">
        <f t="shared" si="7"/>
        <v>·</v>
      </c>
      <c r="AH120" s="34" t="str">
        <f t="shared" si="8"/>
        <v>·</v>
      </c>
      <c r="AI120" s="35"/>
      <c r="AJ120" s="34" t="str">
        <f t="shared" si="9"/>
        <v>·</v>
      </c>
      <c r="BA120" s="42" t="e">
        <f>(Q120/P120) - (#REF!/#REF!)</f>
        <v>#DIV/0!</v>
      </c>
      <c r="BB120" s="42" t="e">
        <f t="array" ref="BB120">AVERAGE(Q120:Q124/P120:P124) - AVERAGE(#REF!/#REF!)</f>
        <v>#DIV/0!</v>
      </c>
      <c r="BD120" s="43" t="str">
        <f>_xlfn.SINGLE(IF( OR(ISBLANK(_xlfn.SINGLE(#REF!)),ISBLANK(_xlfn.SINGLE(R120:R124)), ISBLANK(_xlfn.SINGLE(#REF!)),ISBLANK(_xlfn.SINGLE(T120:T124))), "·", bdRateExtend(#REF!,#REF!, R120:R124,T120:T124)))</f>
        <v>·</v>
      </c>
      <c r="BE120" s="43" t="str">
        <f>_xlfn.SINGLE(IF( OR(ISBLANK(_xlfn.SINGLE(#REF!)),ISBLANK(_xlfn.SINGLE(R120:R124)), ISBLANK(_xlfn.SINGLE(#REF!)),ISBLANK(_xlfn.SINGLE(U120:U124))), "·", bdRateExtend(#REF!,#REF!, R120:R124,U120:U124)))</f>
        <v>·</v>
      </c>
      <c r="BF120" s="43" t="str">
        <f>_xlfn.SINGLE(IF( OR(ISBLANK(_xlfn.SINGLE(#REF!)),ISBLANK(_xlfn.SINGLE(R120:R124)), ISBLANK(_xlfn.SINGLE(#REF!)),ISBLANK(_xlfn.SINGLE(V120:V124))), "·", bdRateExtend(#REF!,#REF!, R120:R124,V120:V124)))</f>
        <v>·</v>
      </c>
      <c r="BG120" s="44"/>
      <c r="BI120" s="43" t="str">
        <f>_xlfn.SINGLE(IF( OR(ISBLANK(_xlfn.SINGLE(#REF!)),ISBLANK(_xlfn.SINGLE(R120:R124)), ISBLANK(_xlfn.SINGLE(#REF!)),ISBLANK(_xlfn.SINGLE(X120:X124))), "·", bdRateExtend(#REF!,#REF!, R120:R124,X120:X124)))</f>
        <v>·</v>
      </c>
      <c r="BJ120" s="43" t="str">
        <f>_xlfn.SINGLE(IF( OR(ISBLANK(_xlfn.SINGLE(#REF!)),ISBLANK(_xlfn.SINGLE(R120:R124)), ISBLANK(_xlfn.SINGLE(#REF!)),ISBLANK(_xlfn.SINGLE(Y120:Y124))), "·", bdRateExtend(#REF!,#REF!, R120:R124,Y120:Y124)))</f>
        <v>·</v>
      </c>
      <c r="BK120" s="43" t="str">
        <f>_xlfn.SINGLE(IF( OR(ISBLANK(_xlfn.SINGLE(#REF!)),ISBLANK(_xlfn.SINGLE(R120:R124)), ISBLANK(_xlfn.SINGLE(#REF!)),ISBLANK(_xlfn.SINGLE(Z120:Z124))), "·", bdRateExtend(#REF!,#REF!, R120:R124,Z120:Z124)))</f>
        <v>·</v>
      </c>
      <c r="BL120" s="44"/>
      <c r="BN120" s="43" t="str">
        <f>_xlfn.SINGLE(IF( OR(ISBLANK(_xlfn.SINGLE(#REF!)),ISBLANK(_xlfn.SINGLE(P120:P124)), ISBLANK(_xlfn.SINGLE(#REF!)),ISBLANK(_xlfn.SINGLE(T120:T124))), "·", bdRateExtend(#REF!,#REF!, P120:P124,T120:T124)))</f>
        <v>·</v>
      </c>
      <c r="BO120" s="43" t="str">
        <f>_xlfn.SINGLE(IF( OR(ISBLANK(_xlfn.SINGLE(#REF!)),ISBLANK(_xlfn.SINGLE(P120:P124)), ISBLANK(_xlfn.SINGLE(#REF!)),ISBLANK(_xlfn.SINGLE(U120:U124))), "·", bdRateExtend(#REF!,#REF!, P120:P124,U120:U124)))</f>
        <v>·</v>
      </c>
      <c r="BP120" s="43" t="str">
        <f>_xlfn.SINGLE(IF( OR(ISBLANK(_xlfn.SINGLE(#REF!)),ISBLANK(_xlfn.SINGLE(P120:P124)), ISBLANK(_xlfn.SINGLE(#REF!)),ISBLANK(_xlfn.SINGLE(V120:V124))), "·", bdRateExtend(#REF!,#REF!, P120:P124,V120:V124)))</f>
        <v>·</v>
      </c>
      <c r="BQ120" s="44"/>
      <c r="BS120" s="43" t="str">
        <f>_xlfn.SINGLE(IF( OR(ISBLANK(_xlfn.SINGLE(#REF!)),ISBLANK(_xlfn.SINGLE(P120:P124)), ISBLANK(_xlfn.SINGLE(#REF!)),ISBLANK(_xlfn.SINGLE(X120:X124))), "·", bdRateExtend(#REF!,#REF!, P120:P124,X120:X124)))</f>
        <v>·</v>
      </c>
      <c r="BT120" s="43" t="str">
        <f>_xlfn.SINGLE(IF( OR(ISBLANK(_xlfn.SINGLE(#REF!)),ISBLANK(_xlfn.SINGLE(P120:P124)), ISBLANK(_xlfn.SINGLE(#REF!)),ISBLANK(_xlfn.SINGLE(Y120:Y124))), "·", bdRateExtend(#REF!,#REF!, P120:P124,Y120:Y124)))</f>
        <v>·</v>
      </c>
      <c r="BU120" s="43" t="str">
        <f>_xlfn.SINGLE(IF( OR(ISBLANK(_xlfn.SINGLE(#REF!)),ISBLANK(_xlfn.SINGLE(P120:P124)), ISBLANK(_xlfn.SINGLE(#REF!)),ISBLANK(_xlfn.SINGLE(Z120:Z124))), "·", bdRateExtend(#REF!,#REF!, P120:P124,Z120:Z124)))</f>
        <v>·</v>
      </c>
      <c r="BV120" s="44"/>
    </row>
    <row r="121" spans="1:74" outlineLevel="1" x14ac:dyDescent="0.15">
      <c r="A121" s="15"/>
      <c r="B121" s="15" t="s">
        <v>301</v>
      </c>
      <c r="C121" s="16" t="s">
        <v>226</v>
      </c>
      <c r="D121" s="15">
        <v>4187594</v>
      </c>
      <c r="E121" s="17">
        <v>14</v>
      </c>
      <c r="F121" s="16">
        <v>1</v>
      </c>
      <c r="G121" s="16"/>
      <c r="I121" s="18" t="str">
        <f>IF(OR(ISBLANK(#REF!),ISBLANK(G121)),"·",#REF!*G121/F121/1000000)</f>
        <v>·</v>
      </c>
      <c r="J121" s="19" t="e">
        <f>IF(ISBLANK(#REF!),"·",#REF!/D121)</f>
        <v>#REF!</v>
      </c>
      <c r="K121" s="19" t="e">
        <f>IF(#REF!="","·",#REF!/D121)</f>
        <v>#REF!</v>
      </c>
      <c r="L121" s="19" t="e">
        <f>IF(ISBLANK(#REF!),"·",#REF!/D121)</f>
        <v>#REF!</v>
      </c>
      <c r="M121" s="20"/>
      <c r="N121" s="19" t="e">
        <f>IF(ISBLANK(#REF!),"·",#REF!/#REF!)</f>
        <v>#REF!</v>
      </c>
      <c r="O121" s="21"/>
      <c r="P121" s="22"/>
      <c r="Q121" s="22"/>
      <c r="R121" s="22"/>
      <c r="S121" s="23"/>
      <c r="T121" s="24"/>
      <c r="U121" s="24"/>
      <c r="V121" s="24"/>
      <c r="W121" s="25"/>
      <c r="X121" s="24"/>
      <c r="Y121" s="24"/>
      <c r="Z121" s="24"/>
      <c r="AA121" s="25"/>
      <c r="AB121" s="26"/>
      <c r="AC121" s="26"/>
      <c r="AE121" s="18" t="str">
        <f t="shared" si="5"/>
        <v>·</v>
      </c>
      <c r="AF121" s="19" t="str">
        <f t="shared" si="6"/>
        <v>·</v>
      </c>
      <c r="AG121" s="19" t="str">
        <f t="shared" si="7"/>
        <v>·</v>
      </c>
      <c r="AH121" s="19" t="str">
        <f t="shared" si="8"/>
        <v>·</v>
      </c>
      <c r="AI121" s="20"/>
      <c r="AJ121" s="19" t="str">
        <f t="shared" si="9"/>
        <v>·</v>
      </c>
      <c r="BA121" s="27" t="e">
        <f>(Q121/P121) - (#REF!/#REF!)</f>
        <v>#DIV/0!</v>
      </c>
      <c r="BB121" s="27"/>
      <c r="BD121" s="28"/>
      <c r="BE121" s="28"/>
      <c r="BF121" s="28"/>
      <c r="BG121" s="29"/>
      <c r="BI121" s="28"/>
      <c r="BJ121" s="28"/>
      <c r="BK121" s="28"/>
      <c r="BL121" s="29"/>
      <c r="BN121" s="28"/>
      <c r="BO121" s="28"/>
      <c r="BP121" s="28"/>
      <c r="BQ121" s="29"/>
      <c r="BS121" s="28"/>
      <c r="BT121" s="28"/>
      <c r="BU121" s="28"/>
      <c r="BV121" s="29"/>
    </row>
    <row r="122" spans="1:74" outlineLevel="1" x14ac:dyDescent="0.15">
      <c r="A122" s="30"/>
      <c r="B122" s="30" t="s">
        <v>301</v>
      </c>
      <c r="C122" s="31" t="s">
        <v>227</v>
      </c>
      <c r="D122" s="30">
        <v>4187594</v>
      </c>
      <c r="E122" s="32">
        <v>14</v>
      </c>
      <c r="F122" s="31">
        <v>1</v>
      </c>
      <c r="G122" s="31"/>
      <c r="I122" s="33" t="str">
        <f>IF(OR(ISBLANK(#REF!),ISBLANK(G122)),"·",#REF!*G122/F122/1000000)</f>
        <v>·</v>
      </c>
      <c r="J122" s="34" t="e">
        <f>IF(ISBLANK(#REF!),"·",#REF!/D122)</f>
        <v>#REF!</v>
      </c>
      <c r="K122" s="34" t="e">
        <f>IF(#REF!="","·",#REF!/D122)</f>
        <v>#REF!</v>
      </c>
      <c r="L122" s="34" t="e">
        <f>IF(ISBLANK(#REF!),"·",#REF!/D122)</f>
        <v>#REF!</v>
      </c>
      <c r="M122" s="35"/>
      <c r="N122" s="34" t="e">
        <f>IF(ISBLANK(#REF!),"·",#REF!/#REF!)</f>
        <v>#REF!</v>
      </c>
      <c r="O122" s="36"/>
      <c r="P122" s="37"/>
      <c r="Q122" s="37"/>
      <c r="R122" s="37"/>
      <c r="S122" s="38"/>
      <c r="T122" s="39"/>
      <c r="U122" s="39"/>
      <c r="V122" s="39"/>
      <c r="W122" s="40"/>
      <c r="X122" s="39"/>
      <c r="Y122" s="39"/>
      <c r="Z122" s="39"/>
      <c r="AA122" s="40"/>
      <c r="AB122" s="41"/>
      <c r="AC122" s="41"/>
      <c r="AE122" s="33" t="str">
        <f t="shared" si="5"/>
        <v>·</v>
      </c>
      <c r="AF122" s="34" t="str">
        <f t="shared" si="6"/>
        <v>·</v>
      </c>
      <c r="AG122" s="34" t="str">
        <f t="shared" si="7"/>
        <v>·</v>
      </c>
      <c r="AH122" s="34" t="str">
        <f t="shared" si="8"/>
        <v>·</v>
      </c>
      <c r="AI122" s="35"/>
      <c r="AJ122" s="34" t="str">
        <f t="shared" si="9"/>
        <v>·</v>
      </c>
      <c r="BA122" s="42" t="e">
        <f>(Q122/P122) - (#REF!/#REF!)</f>
        <v>#DIV/0!</v>
      </c>
      <c r="BB122" s="42"/>
      <c r="BD122" s="43"/>
      <c r="BE122" s="43"/>
      <c r="BF122" s="43"/>
      <c r="BG122" s="44"/>
      <c r="BI122" s="43"/>
      <c r="BJ122" s="43"/>
      <c r="BK122" s="43"/>
      <c r="BL122" s="44"/>
      <c r="BN122" s="43"/>
      <c r="BO122" s="43"/>
      <c r="BP122" s="43"/>
      <c r="BQ122" s="44"/>
      <c r="BS122" s="43"/>
      <c r="BT122" s="43"/>
      <c r="BU122" s="43"/>
      <c r="BV122" s="44"/>
    </row>
    <row r="123" spans="1:74" outlineLevel="1" x14ac:dyDescent="0.15">
      <c r="A123" s="15"/>
      <c r="B123" s="15" t="s">
        <v>301</v>
      </c>
      <c r="C123" s="16" t="s">
        <v>228</v>
      </c>
      <c r="D123" s="15">
        <v>4187594</v>
      </c>
      <c r="E123" s="17">
        <v>14</v>
      </c>
      <c r="F123" s="16">
        <v>1</v>
      </c>
      <c r="G123" s="16"/>
      <c r="I123" s="18" t="str">
        <f>IF(OR(ISBLANK(#REF!),ISBLANK(G123)),"·",#REF!*G123/F123/1000000)</f>
        <v>·</v>
      </c>
      <c r="J123" s="19" t="e">
        <f>IF(ISBLANK(#REF!),"·",#REF!/D123)</f>
        <v>#REF!</v>
      </c>
      <c r="K123" s="19" t="e">
        <f>IF(#REF!="","·",#REF!/D123)</f>
        <v>#REF!</v>
      </c>
      <c r="L123" s="19" t="e">
        <f>IF(ISBLANK(#REF!),"·",#REF!/D123)</f>
        <v>#REF!</v>
      </c>
      <c r="M123" s="20"/>
      <c r="N123" s="19" t="e">
        <f>IF(ISBLANK(#REF!),"·",#REF!/#REF!)</f>
        <v>#REF!</v>
      </c>
      <c r="O123" s="21"/>
      <c r="P123" s="22"/>
      <c r="Q123" s="22"/>
      <c r="R123" s="22"/>
      <c r="S123" s="23"/>
      <c r="T123" s="24"/>
      <c r="U123" s="24"/>
      <c r="V123" s="24"/>
      <c r="W123" s="25"/>
      <c r="X123" s="24"/>
      <c r="Y123" s="24"/>
      <c r="Z123" s="24"/>
      <c r="AA123" s="25"/>
      <c r="AB123" s="26"/>
      <c r="AC123" s="26"/>
      <c r="AE123" s="18" t="str">
        <f t="shared" si="5"/>
        <v>·</v>
      </c>
      <c r="AF123" s="19" t="str">
        <f t="shared" si="6"/>
        <v>·</v>
      </c>
      <c r="AG123" s="19" t="str">
        <f t="shared" si="7"/>
        <v>·</v>
      </c>
      <c r="AH123" s="19" t="str">
        <f t="shared" si="8"/>
        <v>·</v>
      </c>
      <c r="AI123" s="20"/>
      <c r="AJ123" s="19" t="str">
        <f t="shared" si="9"/>
        <v>·</v>
      </c>
      <c r="BA123" s="27" t="e">
        <f>(Q123/P123) - (#REF!/#REF!)</f>
        <v>#DIV/0!</v>
      </c>
      <c r="BB123" s="27"/>
      <c r="BD123" s="28"/>
      <c r="BE123" s="28"/>
      <c r="BF123" s="28"/>
      <c r="BG123" s="29"/>
      <c r="BI123" s="28"/>
      <c r="BJ123" s="28"/>
      <c r="BK123" s="28"/>
      <c r="BL123" s="29"/>
      <c r="BN123" s="28"/>
      <c r="BO123" s="28"/>
      <c r="BP123" s="28"/>
      <c r="BQ123" s="29"/>
      <c r="BS123" s="28"/>
      <c r="BT123" s="28"/>
      <c r="BU123" s="28"/>
      <c r="BV123" s="29"/>
    </row>
    <row r="124" spans="1:74" ht="14.25" outlineLevel="1" thickBot="1" x14ac:dyDescent="0.2">
      <c r="A124" s="30"/>
      <c r="B124" s="45" t="s">
        <v>301</v>
      </c>
      <c r="C124" s="46" t="s">
        <v>229</v>
      </c>
      <c r="D124" s="45">
        <v>4187594</v>
      </c>
      <c r="E124" s="47">
        <v>14</v>
      </c>
      <c r="F124" s="46">
        <v>1</v>
      </c>
      <c r="G124" s="46"/>
      <c r="I124" s="48" t="str">
        <f>IF(OR(ISBLANK(#REF!),ISBLANK(G124)),"·",#REF!*G124/F124/1000000)</f>
        <v>·</v>
      </c>
      <c r="J124" s="49" t="e">
        <f>IF(ISBLANK(#REF!),"·",#REF!/D124)</f>
        <v>#REF!</v>
      </c>
      <c r="K124" s="49" t="e">
        <f>IF(#REF!="","·",#REF!/D124)</f>
        <v>#REF!</v>
      </c>
      <c r="L124" s="49" t="e">
        <f>IF(ISBLANK(#REF!),"·",#REF!/D124)</f>
        <v>#REF!</v>
      </c>
      <c r="M124" s="50"/>
      <c r="N124" s="49" t="e">
        <f>IF(ISBLANK(#REF!),"·",#REF!/#REF!)</f>
        <v>#REF!</v>
      </c>
      <c r="O124" s="51"/>
      <c r="P124" s="52"/>
      <c r="Q124" s="52"/>
      <c r="R124" s="52"/>
      <c r="S124" s="53"/>
      <c r="T124" s="54"/>
      <c r="U124" s="54"/>
      <c r="V124" s="54"/>
      <c r="W124" s="55"/>
      <c r="X124" s="54"/>
      <c r="Y124" s="54"/>
      <c r="Z124" s="54"/>
      <c r="AA124" s="55"/>
      <c r="AB124" s="56"/>
      <c r="AC124" s="56"/>
      <c r="AE124" s="48" t="str">
        <f t="shared" si="5"/>
        <v>·</v>
      </c>
      <c r="AF124" s="49" t="str">
        <f t="shared" si="6"/>
        <v>·</v>
      </c>
      <c r="AG124" s="49" t="str">
        <f t="shared" si="7"/>
        <v>·</v>
      </c>
      <c r="AH124" s="49" t="str">
        <f t="shared" si="8"/>
        <v>·</v>
      </c>
      <c r="AI124" s="50"/>
      <c r="AJ124" s="49" t="str">
        <f t="shared" si="9"/>
        <v>·</v>
      </c>
      <c r="BA124" s="57" t="e">
        <f>(Q124/P124) - (#REF!/#REF!)</f>
        <v>#DIV/0!</v>
      </c>
      <c r="BB124" s="57"/>
      <c r="BD124" s="58"/>
      <c r="BE124" s="58"/>
      <c r="BF124" s="58"/>
      <c r="BG124" s="59"/>
      <c r="BI124" s="58"/>
      <c r="BJ124" s="58"/>
      <c r="BK124" s="58"/>
      <c r="BL124" s="59"/>
      <c r="BN124" s="58"/>
      <c r="BO124" s="58"/>
      <c r="BP124" s="58"/>
      <c r="BQ124" s="59"/>
      <c r="BS124" s="58"/>
      <c r="BT124" s="58"/>
      <c r="BU124" s="58"/>
      <c r="BV124" s="59"/>
    </row>
    <row r="125" spans="1:74" x14ac:dyDescent="0.15">
      <c r="A125" s="15"/>
      <c r="B125" s="15" t="s">
        <v>304</v>
      </c>
      <c r="C125" s="16" t="s">
        <v>225</v>
      </c>
      <c r="D125" s="15">
        <v>1009132</v>
      </c>
      <c r="E125" s="17">
        <v>12</v>
      </c>
      <c r="F125" s="16">
        <v>1</v>
      </c>
      <c r="G125" s="16"/>
      <c r="I125" s="18" t="str">
        <f>IF(OR(ISBLANK(#REF!),ISBLANK(G125)),"·",#REF!*G125/F125/1000000)</f>
        <v>·</v>
      </c>
      <c r="J125" s="19" t="e">
        <f>IF(ISBLANK(#REF!),"·",#REF!/D125)</f>
        <v>#REF!</v>
      </c>
      <c r="K125" s="19" t="e">
        <f>IF(#REF!="","·",#REF!/D125)</f>
        <v>#REF!</v>
      </c>
      <c r="L125" s="19" t="e">
        <f>IF(ISBLANK(#REF!),"·",#REF!/D125)</f>
        <v>#REF!</v>
      </c>
      <c r="M125" s="20"/>
      <c r="N125" s="19" t="e">
        <f>IF(ISBLANK(#REF!),"·",#REF!/#REF!)</f>
        <v>#REF!</v>
      </c>
      <c r="O125" s="21"/>
      <c r="P125" s="22"/>
      <c r="Q125" s="22"/>
      <c r="R125" s="22"/>
      <c r="S125" s="23"/>
      <c r="T125" s="24"/>
      <c r="U125" s="24"/>
      <c r="V125" s="24"/>
      <c r="W125" s="25"/>
      <c r="X125" s="24"/>
      <c r="Y125" s="24"/>
      <c r="Z125" s="24"/>
      <c r="AA125" s="25"/>
      <c r="AB125" s="26"/>
      <c r="AC125" s="26"/>
      <c r="AE125" s="18" t="str">
        <f t="shared" si="5"/>
        <v>·</v>
      </c>
      <c r="AF125" s="19" t="str">
        <f t="shared" si="6"/>
        <v>·</v>
      </c>
      <c r="AG125" s="19" t="str">
        <f t="shared" si="7"/>
        <v>·</v>
      </c>
      <c r="AH125" s="19" t="str">
        <f t="shared" si="8"/>
        <v>·</v>
      </c>
      <c r="AI125" s="20"/>
      <c r="AJ125" s="19" t="str">
        <f t="shared" si="9"/>
        <v>·</v>
      </c>
      <c r="BA125" s="27" t="e">
        <f>(Q125/P125) - (#REF!/#REF!)</f>
        <v>#DIV/0!</v>
      </c>
      <c r="BB125" s="27" t="e">
        <f t="array" ref="BB125">AVERAGE(Q125:Q129/P125:P129) - AVERAGE(#REF!/#REF!)</f>
        <v>#DIV/0!</v>
      </c>
      <c r="BD125" s="28" t="str">
        <f>_xlfn.SINGLE(IF( OR(ISBLANK(_xlfn.SINGLE(#REF!)),ISBLANK(_xlfn.SINGLE(R125:R129)), ISBLANK(_xlfn.SINGLE(#REF!)),ISBLANK(_xlfn.SINGLE(T125:T129))), "·", bdRateExtend(#REF!,#REF!, R125:R129,T125:T129)))</f>
        <v>·</v>
      </c>
      <c r="BE125" s="28" t="str">
        <f>_xlfn.SINGLE(IF( OR(ISBLANK(_xlfn.SINGLE(#REF!)),ISBLANK(_xlfn.SINGLE(R125:R129)), ISBLANK(_xlfn.SINGLE(#REF!)),ISBLANK(_xlfn.SINGLE(U125:U129))), "·", bdRateExtend(#REF!,#REF!, R125:R129,U125:U129)))</f>
        <v>·</v>
      </c>
      <c r="BF125" s="28" t="str">
        <f>_xlfn.SINGLE(IF( OR(ISBLANK(_xlfn.SINGLE(#REF!)),ISBLANK(_xlfn.SINGLE(R125:R129)), ISBLANK(_xlfn.SINGLE(#REF!)),ISBLANK(_xlfn.SINGLE(V125:V129))), "·", bdRateExtend(#REF!,#REF!, R125:R129,V125:V129)))</f>
        <v>·</v>
      </c>
      <c r="BG125" s="29"/>
      <c r="BI125" s="28" t="str">
        <f>_xlfn.SINGLE(IF( OR(ISBLANK(_xlfn.SINGLE(#REF!)),ISBLANK(_xlfn.SINGLE(R125:R129)), ISBLANK(_xlfn.SINGLE(#REF!)),ISBLANK(_xlfn.SINGLE(X125:X129))), "·", bdRateExtend(#REF!,#REF!, R125:R129,X125:X129)))</f>
        <v>·</v>
      </c>
      <c r="BJ125" s="28" t="str">
        <f>_xlfn.SINGLE(IF( OR(ISBLANK(_xlfn.SINGLE(#REF!)),ISBLANK(_xlfn.SINGLE(R125:R129)), ISBLANK(_xlfn.SINGLE(#REF!)),ISBLANK(_xlfn.SINGLE(Y125:Y129))), "·", bdRateExtend(#REF!,#REF!, R125:R129,Y125:Y129)))</f>
        <v>·</v>
      </c>
      <c r="BK125" s="28" t="str">
        <f>_xlfn.SINGLE(IF( OR(ISBLANK(_xlfn.SINGLE(#REF!)),ISBLANK(_xlfn.SINGLE(R125:R129)), ISBLANK(_xlfn.SINGLE(#REF!)),ISBLANK(_xlfn.SINGLE(Z125:Z129))), "·", bdRateExtend(#REF!,#REF!, R125:R129,Z125:Z129)))</f>
        <v>·</v>
      </c>
      <c r="BL125" s="29"/>
      <c r="BN125" s="28" t="str">
        <f>_xlfn.SINGLE(IF( OR(ISBLANK(_xlfn.SINGLE(#REF!)),ISBLANK(_xlfn.SINGLE(P125:P129)), ISBLANK(_xlfn.SINGLE(#REF!)),ISBLANK(_xlfn.SINGLE(T125:T129))), "·", bdRateExtend(#REF!,#REF!, P125:P129,T125:T129)))</f>
        <v>·</v>
      </c>
      <c r="BO125" s="28" t="str">
        <f>_xlfn.SINGLE(IF( OR(ISBLANK(_xlfn.SINGLE(#REF!)),ISBLANK(_xlfn.SINGLE(P125:P129)), ISBLANK(_xlfn.SINGLE(#REF!)),ISBLANK(_xlfn.SINGLE(U125:U129))), "·", bdRateExtend(#REF!,#REF!, P125:P129,U125:U129)))</f>
        <v>·</v>
      </c>
      <c r="BP125" s="28" t="str">
        <f>_xlfn.SINGLE(IF( OR(ISBLANK(_xlfn.SINGLE(#REF!)),ISBLANK(_xlfn.SINGLE(P125:P129)), ISBLANK(_xlfn.SINGLE(#REF!)),ISBLANK(_xlfn.SINGLE(V125:V129))), "·", bdRateExtend(#REF!,#REF!, P125:P129,V125:V129)))</f>
        <v>·</v>
      </c>
      <c r="BQ125" s="29"/>
      <c r="BS125" s="28" t="str">
        <f>_xlfn.SINGLE(IF( OR(ISBLANK(_xlfn.SINGLE(#REF!)),ISBLANK(_xlfn.SINGLE(P125:P129)), ISBLANK(_xlfn.SINGLE(#REF!)),ISBLANK(_xlfn.SINGLE(X125:X129))), "·", bdRateExtend(#REF!,#REF!, P125:P129,X125:X129)))</f>
        <v>·</v>
      </c>
      <c r="BT125" s="28" t="str">
        <f>_xlfn.SINGLE(IF( OR(ISBLANK(_xlfn.SINGLE(#REF!)),ISBLANK(_xlfn.SINGLE(P125:P129)), ISBLANK(_xlfn.SINGLE(#REF!)),ISBLANK(_xlfn.SINGLE(Y125:Y129))), "·", bdRateExtend(#REF!,#REF!, P125:P129,Y125:Y129)))</f>
        <v>·</v>
      </c>
      <c r="BU125" s="28" t="str">
        <f>_xlfn.SINGLE(IF( OR(ISBLANK(_xlfn.SINGLE(#REF!)),ISBLANK(_xlfn.SINGLE(P125:P129)), ISBLANK(_xlfn.SINGLE(#REF!)),ISBLANK(_xlfn.SINGLE(Z125:Z129))), "·", bdRateExtend(#REF!,#REF!, P125:P129,Z125:Z129)))</f>
        <v>·</v>
      </c>
      <c r="BV125" s="29"/>
    </row>
    <row r="126" spans="1:74" outlineLevel="1" x14ac:dyDescent="0.15">
      <c r="A126" s="30"/>
      <c r="B126" s="30" t="s">
        <v>304</v>
      </c>
      <c r="C126" s="31" t="s">
        <v>226</v>
      </c>
      <c r="D126" s="30">
        <v>1009132</v>
      </c>
      <c r="E126" s="32">
        <v>12</v>
      </c>
      <c r="F126" s="31">
        <v>1</v>
      </c>
      <c r="G126" s="31"/>
      <c r="I126" s="33" t="str">
        <f>IF(OR(ISBLANK(#REF!),ISBLANK(G126)),"·",#REF!*G126/F126/1000000)</f>
        <v>·</v>
      </c>
      <c r="J126" s="34" t="e">
        <f>IF(ISBLANK(#REF!),"·",#REF!/D126)</f>
        <v>#REF!</v>
      </c>
      <c r="K126" s="34" t="e">
        <f>IF(#REF!="","·",#REF!/D126)</f>
        <v>#REF!</v>
      </c>
      <c r="L126" s="34" t="e">
        <f>IF(ISBLANK(#REF!),"·",#REF!/D126)</f>
        <v>#REF!</v>
      </c>
      <c r="M126" s="35"/>
      <c r="N126" s="34" t="e">
        <f>IF(ISBLANK(#REF!),"·",#REF!/#REF!)</f>
        <v>#REF!</v>
      </c>
      <c r="O126" s="36"/>
      <c r="P126" s="37"/>
      <c r="Q126" s="37"/>
      <c r="R126" s="37"/>
      <c r="S126" s="38"/>
      <c r="T126" s="39"/>
      <c r="U126" s="39"/>
      <c r="V126" s="39"/>
      <c r="W126" s="40"/>
      <c r="X126" s="39"/>
      <c r="Y126" s="39"/>
      <c r="Z126" s="39"/>
      <c r="AA126" s="40"/>
      <c r="AB126" s="41"/>
      <c r="AC126" s="41"/>
      <c r="AE126" s="33" t="str">
        <f t="shared" si="5"/>
        <v>·</v>
      </c>
      <c r="AF126" s="34" t="str">
        <f t="shared" si="6"/>
        <v>·</v>
      </c>
      <c r="AG126" s="34" t="str">
        <f t="shared" si="7"/>
        <v>·</v>
      </c>
      <c r="AH126" s="34" t="str">
        <f t="shared" si="8"/>
        <v>·</v>
      </c>
      <c r="AI126" s="35"/>
      <c r="AJ126" s="34" t="str">
        <f t="shared" si="9"/>
        <v>·</v>
      </c>
      <c r="BA126" s="42" t="e">
        <f>(Q126/P126) - (#REF!/#REF!)</f>
        <v>#DIV/0!</v>
      </c>
      <c r="BB126" s="42"/>
      <c r="BD126" s="43"/>
      <c r="BE126" s="43"/>
      <c r="BF126" s="43"/>
      <c r="BG126" s="44"/>
      <c r="BI126" s="43"/>
      <c r="BJ126" s="43"/>
      <c r="BK126" s="43"/>
      <c r="BL126" s="44"/>
      <c r="BN126" s="43"/>
      <c r="BO126" s="43"/>
      <c r="BP126" s="43"/>
      <c r="BQ126" s="44"/>
      <c r="BS126" s="43"/>
      <c r="BT126" s="43"/>
      <c r="BU126" s="43"/>
      <c r="BV126" s="44"/>
    </row>
    <row r="127" spans="1:74" outlineLevel="1" x14ac:dyDescent="0.15">
      <c r="A127" s="15"/>
      <c r="B127" s="15" t="s">
        <v>304</v>
      </c>
      <c r="C127" s="16" t="s">
        <v>227</v>
      </c>
      <c r="D127" s="15">
        <v>1009132</v>
      </c>
      <c r="E127" s="17">
        <v>12</v>
      </c>
      <c r="F127" s="16">
        <v>1</v>
      </c>
      <c r="G127" s="16"/>
      <c r="I127" s="18" t="str">
        <f>IF(OR(ISBLANK(#REF!),ISBLANK(G127)),"·",#REF!*G127/F127/1000000)</f>
        <v>·</v>
      </c>
      <c r="J127" s="19" t="e">
        <f>IF(ISBLANK(#REF!),"·",#REF!/D127)</f>
        <v>#REF!</v>
      </c>
      <c r="K127" s="19" t="e">
        <f>IF(#REF!="","·",#REF!/D127)</f>
        <v>#REF!</v>
      </c>
      <c r="L127" s="19" t="e">
        <f>IF(ISBLANK(#REF!),"·",#REF!/D127)</f>
        <v>#REF!</v>
      </c>
      <c r="M127" s="20"/>
      <c r="N127" s="19" t="e">
        <f>IF(ISBLANK(#REF!),"·",#REF!/#REF!)</f>
        <v>#REF!</v>
      </c>
      <c r="O127" s="21"/>
      <c r="P127" s="22"/>
      <c r="Q127" s="22"/>
      <c r="R127" s="22"/>
      <c r="S127" s="23"/>
      <c r="T127" s="24"/>
      <c r="U127" s="24"/>
      <c r="V127" s="24"/>
      <c r="W127" s="25"/>
      <c r="X127" s="24"/>
      <c r="Y127" s="24"/>
      <c r="Z127" s="24"/>
      <c r="AA127" s="25"/>
      <c r="AB127" s="26"/>
      <c r="AC127" s="26"/>
      <c r="AE127" s="18" t="str">
        <f t="shared" si="5"/>
        <v>·</v>
      </c>
      <c r="AF127" s="19" t="str">
        <f t="shared" si="6"/>
        <v>·</v>
      </c>
      <c r="AG127" s="19" t="str">
        <f t="shared" si="7"/>
        <v>·</v>
      </c>
      <c r="AH127" s="19" t="str">
        <f t="shared" si="8"/>
        <v>·</v>
      </c>
      <c r="AI127" s="20"/>
      <c r="AJ127" s="19" t="str">
        <f t="shared" si="9"/>
        <v>·</v>
      </c>
      <c r="BA127" s="27" t="e">
        <f>(Q127/P127) - (#REF!/#REF!)</f>
        <v>#DIV/0!</v>
      </c>
      <c r="BB127" s="27"/>
      <c r="BD127" s="28"/>
      <c r="BE127" s="28"/>
      <c r="BF127" s="28"/>
      <c r="BG127" s="29"/>
      <c r="BI127" s="28"/>
      <c r="BJ127" s="28"/>
      <c r="BK127" s="28"/>
      <c r="BL127" s="29"/>
      <c r="BN127" s="28"/>
      <c r="BO127" s="28"/>
      <c r="BP127" s="28"/>
      <c r="BQ127" s="29"/>
      <c r="BS127" s="28"/>
      <c r="BT127" s="28"/>
      <c r="BU127" s="28"/>
      <c r="BV127" s="29"/>
    </row>
    <row r="128" spans="1:74" outlineLevel="1" x14ac:dyDescent="0.15">
      <c r="A128" s="30"/>
      <c r="B128" s="30" t="s">
        <v>304</v>
      </c>
      <c r="C128" s="31" t="s">
        <v>228</v>
      </c>
      <c r="D128" s="30">
        <v>1009132</v>
      </c>
      <c r="E128" s="32">
        <v>12</v>
      </c>
      <c r="F128" s="31">
        <v>1</v>
      </c>
      <c r="G128" s="31"/>
      <c r="I128" s="33" t="str">
        <f>IF(OR(ISBLANK(#REF!),ISBLANK(G128)),"·",#REF!*G128/F128/1000000)</f>
        <v>·</v>
      </c>
      <c r="J128" s="34" t="e">
        <f>IF(ISBLANK(#REF!),"·",#REF!/D128)</f>
        <v>#REF!</v>
      </c>
      <c r="K128" s="34" t="e">
        <f>IF(#REF!="","·",#REF!/D128)</f>
        <v>#REF!</v>
      </c>
      <c r="L128" s="34" t="e">
        <f>IF(ISBLANK(#REF!),"·",#REF!/D128)</f>
        <v>#REF!</v>
      </c>
      <c r="M128" s="35"/>
      <c r="N128" s="34" t="e">
        <f>IF(ISBLANK(#REF!),"·",#REF!/#REF!)</f>
        <v>#REF!</v>
      </c>
      <c r="O128" s="36"/>
      <c r="P128" s="37"/>
      <c r="Q128" s="37"/>
      <c r="R128" s="37"/>
      <c r="S128" s="38"/>
      <c r="T128" s="39"/>
      <c r="U128" s="39"/>
      <c r="V128" s="39"/>
      <c r="W128" s="40"/>
      <c r="X128" s="39"/>
      <c r="Y128" s="39"/>
      <c r="Z128" s="39"/>
      <c r="AA128" s="40"/>
      <c r="AB128" s="41"/>
      <c r="AC128" s="41"/>
      <c r="AE128" s="33" t="str">
        <f t="shared" si="5"/>
        <v>·</v>
      </c>
      <c r="AF128" s="34" t="str">
        <f t="shared" si="6"/>
        <v>·</v>
      </c>
      <c r="AG128" s="34" t="str">
        <f t="shared" si="7"/>
        <v>·</v>
      </c>
      <c r="AH128" s="34" t="str">
        <f t="shared" si="8"/>
        <v>·</v>
      </c>
      <c r="AI128" s="35"/>
      <c r="AJ128" s="34" t="str">
        <f t="shared" si="9"/>
        <v>·</v>
      </c>
      <c r="BA128" s="42" t="e">
        <f>(Q128/P128) - (#REF!/#REF!)</f>
        <v>#DIV/0!</v>
      </c>
      <c r="BB128" s="42"/>
      <c r="BD128" s="43"/>
      <c r="BE128" s="43"/>
      <c r="BF128" s="43"/>
      <c r="BG128" s="44"/>
      <c r="BI128" s="43"/>
      <c r="BJ128" s="43"/>
      <c r="BK128" s="43"/>
      <c r="BL128" s="44"/>
      <c r="BN128" s="43"/>
      <c r="BO128" s="43"/>
      <c r="BP128" s="43"/>
      <c r="BQ128" s="44"/>
      <c r="BS128" s="43"/>
      <c r="BT128" s="43"/>
      <c r="BU128" s="43"/>
      <c r="BV128" s="44"/>
    </row>
    <row r="129" spans="1:74" ht="14.25" outlineLevel="1" thickBot="1" x14ac:dyDescent="0.2">
      <c r="A129" s="15"/>
      <c r="B129" s="64" t="s">
        <v>304</v>
      </c>
      <c r="C129" s="66" t="s">
        <v>229</v>
      </c>
      <c r="D129" s="64">
        <v>1009132</v>
      </c>
      <c r="E129" s="65">
        <v>12</v>
      </c>
      <c r="F129" s="66">
        <v>1</v>
      </c>
      <c r="G129" s="66"/>
      <c r="I129" s="68" t="str">
        <f>IF(OR(ISBLANK(#REF!),ISBLANK(G129)),"·",#REF!*G129/F129/1000000)</f>
        <v>·</v>
      </c>
      <c r="J129" s="69" t="e">
        <f>IF(ISBLANK(#REF!),"·",#REF!/D129)</f>
        <v>#REF!</v>
      </c>
      <c r="K129" s="69" t="e">
        <f>IF(#REF!="","·",#REF!/D129)</f>
        <v>#REF!</v>
      </c>
      <c r="L129" s="69" t="e">
        <f>IF(ISBLANK(#REF!),"·",#REF!/D129)</f>
        <v>#REF!</v>
      </c>
      <c r="M129" s="70"/>
      <c r="N129" s="69" t="e">
        <f>IF(ISBLANK(#REF!),"·",#REF!/#REF!)</f>
        <v>#REF!</v>
      </c>
      <c r="O129" s="71"/>
      <c r="P129" s="72"/>
      <c r="Q129" s="72"/>
      <c r="R129" s="72"/>
      <c r="S129" s="73"/>
      <c r="T129" s="77"/>
      <c r="U129" s="77"/>
      <c r="V129" s="77"/>
      <c r="W129" s="78"/>
      <c r="X129" s="77"/>
      <c r="Y129" s="77"/>
      <c r="Z129" s="77"/>
      <c r="AA129" s="78"/>
      <c r="AB129" s="74"/>
      <c r="AC129" s="74"/>
      <c r="AE129" s="68" t="str">
        <f t="shared" si="5"/>
        <v>·</v>
      </c>
      <c r="AF129" s="69" t="str">
        <f t="shared" si="6"/>
        <v>·</v>
      </c>
      <c r="AG129" s="69" t="str">
        <f t="shared" si="7"/>
        <v>·</v>
      </c>
      <c r="AH129" s="69" t="str">
        <f t="shared" si="8"/>
        <v>·</v>
      </c>
      <c r="AI129" s="70"/>
      <c r="AJ129" s="69" t="str">
        <f t="shared" si="9"/>
        <v>·</v>
      </c>
      <c r="BA129" s="67" t="e">
        <f>(Q129/P129) - (#REF!/#REF!)</f>
        <v>#DIV/0!</v>
      </c>
      <c r="BB129" s="67"/>
      <c r="BD129" s="75"/>
      <c r="BE129" s="75"/>
      <c r="BF129" s="75"/>
      <c r="BG129" s="76"/>
      <c r="BI129" s="75"/>
      <c r="BJ129" s="75"/>
      <c r="BK129" s="75"/>
      <c r="BL129" s="76"/>
      <c r="BN129" s="75"/>
      <c r="BO129" s="75"/>
      <c r="BP129" s="75"/>
      <c r="BQ129" s="76"/>
      <c r="BS129" s="75"/>
      <c r="BT129" s="75"/>
      <c r="BU129" s="75"/>
      <c r="BV129" s="76"/>
    </row>
    <row r="130" spans="1:74" x14ac:dyDescent="0.15">
      <c r="A130" s="30"/>
      <c r="B130" s="30" t="s">
        <v>307</v>
      </c>
      <c r="C130" s="31" t="s">
        <v>225</v>
      </c>
      <c r="D130" s="30">
        <v>47062002</v>
      </c>
      <c r="E130" s="32">
        <v>16</v>
      </c>
      <c r="F130" s="31">
        <v>1</v>
      </c>
      <c r="G130" s="31"/>
      <c r="I130" s="33" t="str">
        <f>IF(OR(ISBLANK(#REF!),ISBLANK(G130)),"·",#REF!*G130/F130/1000000)</f>
        <v>·</v>
      </c>
      <c r="J130" s="34" t="e">
        <f>IF(ISBLANK(#REF!),"·",#REF!/D130)</f>
        <v>#REF!</v>
      </c>
      <c r="K130" s="34" t="e">
        <f>IF(#REF!="","·",#REF!/D130)</f>
        <v>#REF!</v>
      </c>
      <c r="L130" s="34" t="e">
        <f>IF(ISBLANK(#REF!),"·",#REF!/D130)</f>
        <v>#REF!</v>
      </c>
      <c r="M130" s="35"/>
      <c r="N130" s="34" t="e">
        <f>IF(ISBLANK(#REF!),"·",#REF!/#REF!)</f>
        <v>#REF!</v>
      </c>
      <c r="O130" s="36"/>
      <c r="P130" s="37"/>
      <c r="Q130" s="37"/>
      <c r="R130" s="37"/>
      <c r="S130" s="38"/>
      <c r="T130" s="39"/>
      <c r="U130" s="39"/>
      <c r="V130" s="39"/>
      <c r="W130" s="40"/>
      <c r="X130" s="39"/>
      <c r="Y130" s="39"/>
      <c r="Z130" s="39"/>
      <c r="AA130" s="40"/>
      <c r="AB130" s="41"/>
      <c r="AC130" s="41"/>
      <c r="AE130" s="33" t="str">
        <f t="shared" si="5"/>
        <v>·</v>
      </c>
      <c r="AF130" s="34" t="str">
        <f t="shared" si="6"/>
        <v>·</v>
      </c>
      <c r="AG130" s="34" t="str">
        <f t="shared" si="7"/>
        <v>·</v>
      </c>
      <c r="AH130" s="34" t="str">
        <f t="shared" si="8"/>
        <v>·</v>
      </c>
      <c r="AI130" s="35"/>
      <c r="AJ130" s="34" t="str">
        <f t="shared" si="9"/>
        <v>·</v>
      </c>
      <c r="BA130" s="42" t="e">
        <f>(Q130/P130) - (#REF!/#REF!)</f>
        <v>#DIV/0!</v>
      </c>
      <c r="BB130" s="42" t="e">
        <f t="array" ref="BB130">AVERAGE(Q130:Q134/P130:P134) - AVERAGE(#REF!/#REF!)</f>
        <v>#DIV/0!</v>
      </c>
      <c r="BD130" s="43" t="str">
        <f>_xlfn.SINGLE(IF( OR(ISBLANK(_xlfn.SINGLE(#REF!)),ISBLANK(_xlfn.SINGLE(R130:R134)), ISBLANK(_xlfn.SINGLE(#REF!)),ISBLANK(_xlfn.SINGLE(T130:T134))), "·", bdRateExtend(#REF!,#REF!, R130:R134,T130:T134)))</f>
        <v>·</v>
      </c>
      <c r="BE130" s="43" t="str">
        <f>_xlfn.SINGLE(IF( OR(ISBLANK(_xlfn.SINGLE(#REF!)),ISBLANK(_xlfn.SINGLE(R130:R134)), ISBLANK(_xlfn.SINGLE(#REF!)),ISBLANK(_xlfn.SINGLE(U130:U134))), "·", bdRateExtend(#REF!,#REF!, R130:R134,U130:U134)))</f>
        <v>·</v>
      </c>
      <c r="BF130" s="43" t="str">
        <f>_xlfn.SINGLE(IF( OR(ISBLANK(_xlfn.SINGLE(#REF!)),ISBLANK(_xlfn.SINGLE(R130:R134)), ISBLANK(_xlfn.SINGLE(#REF!)),ISBLANK(_xlfn.SINGLE(V130:V134))), "·", bdRateExtend(#REF!,#REF!, R130:R134,V130:V134)))</f>
        <v>·</v>
      </c>
      <c r="BG130" s="44"/>
      <c r="BI130" s="43" t="str">
        <f>_xlfn.SINGLE(IF( OR(ISBLANK(_xlfn.SINGLE(#REF!)),ISBLANK(_xlfn.SINGLE(R130:R134)), ISBLANK(_xlfn.SINGLE(#REF!)),ISBLANK(_xlfn.SINGLE(X130:X134))), "·", bdRateExtend(#REF!,#REF!, R130:R134,X130:X134)))</f>
        <v>·</v>
      </c>
      <c r="BJ130" s="43" t="str">
        <f>_xlfn.SINGLE(IF( OR(ISBLANK(_xlfn.SINGLE(#REF!)),ISBLANK(_xlfn.SINGLE(R130:R134)), ISBLANK(_xlfn.SINGLE(#REF!)),ISBLANK(_xlfn.SINGLE(Y130:Y134))), "·", bdRateExtend(#REF!,#REF!, R130:R134,Y130:Y134)))</f>
        <v>·</v>
      </c>
      <c r="BK130" s="43" t="str">
        <f>_xlfn.SINGLE(IF( OR(ISBLANK(_xlfn.SINGLE(#REF!)),ISBLANK(_xlfn.SINGLE(R130:R134)), ISBLANK(_xlfn.SINGLE(#REF!)),ISBLANK(_xlfn.SINGLE(Z130:Z134))), "·", bdRateExtend(#REF!,#REF!, R130:R134,Z130:Z134)))</f>
        <v>·</v>
      </c>
      <c r="BL130" s="44"/>
      <c r="BN130" s="43" t="str">
        <f>_xlfn.SINGLE(IF( OR(ISBLANK(_xlfn.SINGLE(#REF!)),ISBLANK(_xlfn.SINGLE(P130:P134)), ISBLANK(_xlfn.SINGLE(#REF!)),ISBLANK(_xlfn.SINGLE(T130:T134))), "·", bdRateExtend(#REF!,#REF!, P130:P134,T130:T134)))</f>
        <v>·</v>
      </c>
      <c r="BO130" s="43" t="str">
        <f>_xlfn.SINGLE(IF( OR(ISBLANK(_xlfn.SINGLE(#REF!)),ISBLANK(_xlfn.SINGLE(P130:P134)), ISBLANK(_xlfn.SINGLE(#REF!)),ISBLANK(_xlfn.SINGLE(U130:U134))), "·", bdRateExtend(#REF!,#REF!, P130:P134,U130:U134)))</f>
        <v>·</v>
      </c>
      <c r="BP130" s="43" t="str">
        <f>_xlfn.SINGLE(IF( OR(ISBLANK(_xlfn.SINGLE(#REF!)),ISBLANK(_xlfn.SINGLE(P130:P134)), ISBLANK(_xlfn.SINGLE(#REF!)),ISBLANK(_xlfn.SINGLE(V130:V134))), "·", bdRateExtend(#REF!,#REF!, P130:P134,V130:V134)))</f>
        <v>·</v>
      </c>
      <c r="BQ130" s="44"/>
      <c r="BS130" s="43" t="str">
        <f>_xlfn.SINGLE(IF( OR(ISBLANK(_xlfn.SINGLE(#REF!)),ISBLANK(_xlfn.SINGLE(P130:P134)), ISBLANK(_xlfn.SINGLE(#REF!)),ISBLANK(_xlfn.SINGLE(X130:X134))), "·", bdRateExtend(#REF!,#REF!, P130:P134,X130:X134)))</f>
        <v>·</v>
      </c>
      <c r="BT130" s="43" t="str">
        <f>_xlfn.SINGLE(IF( OR(ISBLANK(_xlfn.SINGLE(#REF!)),ISBLANK(_xlfn.SINGLE(P130:P134)), ISBLANK(_xlfn.SINGLE(#REF!)),ISBLANK(_xlfn.SINGLE(Y130:Y134))), "·", bdRateExtend(#REF!,#REF!, P130:P134,Y130:Y134)))</f>
        <v>·</v>
      </c>
      <c r="BU130" s="43" t="str">
        <f>_xlfn.SINGLE(IF( OR(ISBLANK(_xlfn.SINGLE(#REF!)),ISBLANK(_xlfn.SINGLE(P130:P134)), ISBLANK(_xlfn.SINGLE(#REF!)),ISBLANK(_xlfn.SINGLE(Z130:Z134))), "·", bdRateExtend(#REF!,#REF!, P130:P134,Z130:Z134)))</f>
        <v>·</v>
      </c>
      <c r="BV130" s="44"/>
    </row>
    <row r="131" spans="1:74" outlineLevel="1" x14ac:dyDescent="0.15">
      <c r="A131" s="15"/>
      <c r="B131" s="15" t="s">
        <v>307</v>
      </c>
      <c r="C131" s="16" t="s">
        <v>226</v>
      </c>
      <c r="D131" s="15">
        <v>47062002</v>
      </c>
      <c r="E131" s="17">
        <v>16</v>
      </c>
      <c r="F131" s="16">
        <v>1</v>
      </c>
      <c r="G131" s="16"/>
      <c r="I131" s="18" t="str">
        <f>IF(OR(ISBLANK(#REF!),ISBLANK(G131)),"·",#REF!*G131/F131/1000000)</f>
        <v>·</v>
      </c>
      <c r="J131" s="19" t="e">
        <f>IF(ISBLANK(#REF!),"·",#REF!/D131)</f>
        <v>#REF!</v>
      </c>
      <c r="K131" s="19" t="e">
        <f>IF(#REF!="","·",#REF!/D131)</f>
        <v>#REF!</v>
      </c>
      <c r="L131" s="19" t="e">
        <f>IF(ISBLANK(#REF!),"·",#REF!/D131)</f>
        <v>#REF!</v>
      </c>
      <c r="M131" s="20"/>
      <c r="N131" s="19" t="e">
        <f>IF(ISBLANK(#REF!),"·",#REF!/#REF!)</f>
        <v>#REF!</v>
      </c>
      <c r="O131" s="21"/>
      <c r="P131" s="22"/>
      <c r="Q131" s="22"/>
      <c r="R131" s="22"/>
      <c r="S131" s="23"/>
      <c r="T131" s="24"/>
      <c r="U131" s="24"/>
      <c r="V131" s="24"/>
      <c r="W131" s="25"/>
      <c r="X131" s="24"/>
      <c r="Y131" s="24"/>
      <c r="Z131" s="24"/>
      <c r="AA131" s="25"/>
      <c r="AB131" s="26"/>
      <c r="AC131" s="26"/>
      <c r="AE131" s="18" t="str">
        <f t="shared" si="5"/>
        <v>·</v>
      </c>
      <c r="AF131" s="19" t="str">
        <f t="shared" si="6"/>
        <v>·</v>
      </c>
      <c r="AG131" s="19" t="str">
        <f t="shared" si="7"/>
        <v>·</v>
      </c>
      <c r="AH131" s="19" t="str">
        <f t="shared" si="8"/>
        <v>·</v>
      </c>
      <c r="AI131" s="20"/>
      <c r="AJ131" s="19" t="str">
        <f t="shared" si="9"/>
        <v>·</v>
      </c>
      <c r="BA131" s="27" t="e">
        <f>(Q131/P131) - (#REF!/#REF!)</f>
        <v>#DIV/0!</v>
      </c>
      <c r="BB131" s="27"/>
      <c r="BD131" s="28"/>
      <c r="BE131" s="28"/>
      <c r="BF131" s="28"/>
      <c r="BG131" s="29"/>
      <c r="BI131" s="28"/>
      <c r="BJ131" s="28"/>
      <c r="BK131" s="28"/>
      <c r="BL131" s="29"/>
      <c r="BN131" s="28"/>
      <c r="BO131" s="28"/>
      <c r="BP131" s="28"/>
      <c r="BQ131" s="29"/>
      <c r="BS131" s="28"/>
      <c r="BT131" s="28"/>
      <c r="BU131" s="28"/>
      <c r="BV131" s="29"/>
    </row>
    <row r="132" spans="1:74" outlineLevel="1" x14ac:dyDescent="0.15">
      <c r="A132" s="30"/>
      <c r="B132" s="30" t="s">
        <v>307</v>
      </c>
      <c r="C132" s="31" t="s">
        <v>227</v>
      </c>
      <c r="D132" s="30">
        <v>47062002</v>
      </c>
      <c r="E132" s="32">
        <v>16</v>
      </c>
      <c r="F132" s="31">
        <v>1</v>
      </c>
      <c r="G132" s="31"/>
      <c r="I132" s="33" t="str">
        <f>IF(OR(ISBLANK(#REF!),ISBLANK(G132)),"·",#REF!*G132/F132/1000000)</f>
        <v>·</v>
      </c>
      <c r="J132" s="34" t="e">
        <f>IF(ISBLANK(#REF!),"·",#REF!/D132)</f>
        <v>#REF!</v>
      </c>
      <c r="K132" s="34" t="e">
        <f>IF(#REF!="","·",#REF!/D132)</f>
        <v>#REF!</v>
      </c>
      <c r="L132" s="34" t="e">
        <f>IF(ISBLANK(#REF!),"·",#REF!/D132)</f>
        <v>#REF!</v>
      </c>
      <c r="M132" s="35"/>
      <c r="N132" s="34" t="e">
        <f>IF(ISBLANK(#REF!),"·",#REF!/#REF!)</f>
        <v>#REF!</v>
      </c>
      <c r="O132" s="36"/>
      <c r="P132" s="37"/>
      <c r="Q132" s="37"/>
      <c r="R132" s="37"/>
      <c r="S132" s="38"/>
      <c r="T132" s="39"/>
      <c r="U132" s="39"/>
      <c r="V132" s="39"/>
      <c r="W132" s="40"/>
      <c r="X132" s="39"/>
      <c r="Y132" s="39"/>
      <c r="Z132" s="39"/>
      <c r="AA132" s="40"/>
      <c r="AB132" s="41"/>
      <c r="AC132" s="41"/>
      <c r="AE132" s="33" t="str">
        <f t="shared" si="5"/>
        <v>·</v>
      </c>
      <c r="AF132" s="34" t="str">
        <f t="shared" si="6"/>
        <v>·</v>
      </c>
      <c r="AG132" s="34" t="str">
        <f t="shared" si="7"/>
        <v>·</v>
      </c>
      <c r="AH132" s="34" t="str">
        <f t="shared" si="8"/>
        <v>·</v>
      </c>
      <c r="AI132" s="35"/>
      <c r="AJ132" s="34" t="str">
        <f t="shared" si="9"/>
        <v>·</v>
      </c>
      <c r="BA132" s="42" t="e">
        <f>(Q132/P132) - (#REF!/#REF!)</f>
        <v>#DIV/0!</v>
      </c>
      <c r="BB132" s="42"/>
      <c r="BD132" s="43"/>
      <c r="BE132" s="43"/>
      <c r="BF132" s="43"/>
      <c r="BG132" s="44"/>
      <c r="BI132" s="43"/>
      <c r="BJ132" s="43"/>
      <c r="BK132" s="43"/>
      <c r="BL132" s="44"/>
      <c r="BN132" s="43"/>
      <c r="BO132" s="43"/>
      <c r="BP132" s="43"/>
      <c r="BQ132" s="44"/>
      <c r="BS132" s="43"/>
      <c r="BT132" s="43"/>
      <c r="BU132" s="43"/>
      <c r="BV132" s="44"/>
    </row>
    <row r="133" spans="1:74" outlineLevel="1" x14ac:dyDescent="0.15">
      <c r="A133" s="15"/>
      <c r="B133" s="15" t="s">
        <v>307</v>
      </c>
      <c r="C133" s="16" t="s">
        <v>228</v>
      </c>
      <c r="D133" s="15">
        <v>47062002</v>
      </c>
      <c r="E133" s="17">
        <v>16</v>
      </c>
      <c r="F133" s="16">
        <v>1</v>
      </c>
      <c r="G133" s="16"/>
      <c r="I133" s="18" t="str">
        <f>IF(OR(ISBLANK(#REF!),ISBLANK(G133)),"·",#REF!*G133/F133/1000000)</f>
        <v>·</v>
      </c>
      <c r="J133" s="19" t="e">
        <f>IF(ISBLANK(#REF!),"·",#REF!/D133)</f>
        <v>#REF!</v>
      </c>
      <c r="K133" s="19" t="e">
        <f>IF(#REF!="","·",#REF!/D133)</f>
        <v>#REF!</v>
      </c>
      <c r="L133" s="19" t="e">
        <f>IF(ISBLANK(#REF!),"·",#REF!/D133)</f>
        <v>#REF!</v>
      </c>
      <c r="M133" s="20"/>
      <c r="N133" s="19" t="e">
        <f>IF(ISBLANK(#REF!),"·",#REF!/#REF!)</f>
        <v>#REF!</v>
      </c>
      <c r="O133" s="21"/>
      <c r="P133" s="22"/>
      <c r="Q133" s="22"/>
      <c r="R133" s="22"/>
      <c r="S133" s="23"/>
      <c r="T133" s="24"/>
      <c r="U133" s="24"/>
      <c r="V133" s="24"/>
      <c r="W133" s="25"/>
      <c r="X133" s="24"/>
      <c r="Y133" s="24"/>
      <c r="Z133" s="24"/>
      <c r="AA133" s="25"/>
      <c r="AB133" s="26"/>
      <c r="AC133" s="26"/>
      <c r="AE133" s="18" t="str">
        <f t="shared" ref="AE133:AE196" si="10">IF(OR(ISBLANK(P133),ISBLANK(G133)),"·",P133*G133/F133/1000000)</f>
        <v>·</v>
      </c>
      <c r="AF133" s="19" t="str">
        <f t="shared" ref="AF133:AF196" si="11">IF(ISBLANK(P133),"·",P133/D133)</f>
        <v>·</v>
      </c>
      <c r="AG133" s="19" t="str">
        <f t="shared" ref="AG133:AG196" si="12">IF(Q133="","·",Q133/D133)</f>
        <v>·</v>
      </c>
      <c r="AH133" s="19" t="str">
        <f t="shared" ref="AH133:AH196" si="13">IF(ISBLANK(R133),"·",R133/D133)</f>
        <v>·</v>
      </c>
      <c r="AI133" s="20"/>
      <c r="AJ133" s="19" t="str">
        <f t="shared" ref="AJ133:AJ196" si="14">IF(ISBLANK(P133),"·",P133/O133)</f>
        <v>·</v>
      </c>
      <c r="BA133" s="27" t="e">
        <f>(Q133/P133) - (#REF!/#REF!)</f>
        <v>#DIV/0!</v>
      </c>
      <c r="BB133" s="27"/>
      <c r="BD133" s="28"/>
      <c r="BE133" s="28"/>
      <c r="BF133" s="28"/>
      <c r="BG133" s="29"/>
      <c r="BI133" s="28"/>
      <c r="BJ133" s="28"/>
      <c r="BK133" s="28"/>
      <c r="BL133" s="29"/>
      <c r="BN133" s="28"/>
      <c r="BO133" s="28"/>
      <c r="BP133" s="28"/>
      <c r="BQ133" s="29"/>
      <c r="BS133" s="28"/>
      <c r="BT133" s="28"/>
      <c r="BU133" s="28"/>
      <c r="BV133" s="29"/>
    </row>
    <row r="134" spans="1:74" ht="14.25" outlineLevel="1" thickBot="1" x14ac:dyDescent="0.2">
      <c r="A134" s="30"/>
      <c r="B134" s="45" t="s">
        <v>307</v>
      </c>
      <c r="C134" s="46" t="s">
        <v>229</v>
      </c>
      <c r="D134" s="45">
        <v>47062002</v>
      </c>
      <c r="E134" s="47">
        <v>16</v>
      </c>
      <c r="F134" s="46">
        <v>1</v>
      </c>
      <c r="G134" s="46"/>
      <c r="I134" s="48" t="str">
        <f>IF(OR(ISBLANK(#REF!),ISBLANK(G134)),"·",#REF!*G134/F134/1000000)</f>
        <v>·</v>
      </c>
      <c r="J134" s="49" t="e">
        <f>IF(ISBLANK(#REF!),"·",#REF!/D134)</f>
        <v>#REF!</v>
      </c>
      <c r="K134" s="49" t="e">
        <f>IF(#REF!="","·",#REF!/D134)</f>
        <v>#REF!</v>
      </c>
      <c r="L134" s="49" t="e">
        <f>IF(ISBLANK(#REF!),"·",#REF!/D134)</f>
        <v>#REF!</v>
      </c>
      <c r="M134" s="50"/>
      <c r="N134" s="49" t="e">
        <f>IF(ISBLANK(#REF!),"·",#REF!/#REF!)</f>
        <v>#REF!</v>
      </c>
      <c r="O134" s="51"/>
      <c r="P134" s="52"/>
      <c r="Q134" s="52"/>
      <c r="R134" s="52"/>
      <c r="S134" s="53"/>
      <c r="T134" s="54"/>
      <c r="U134" s="54"/>
      <c r="V134" s="54"/>
      <c r="W134" s="55"/>
      <c r="X134" s="54"/>
      <c r="Y134" s="54"/>
      <c r="Z134" s="54"/>
      <c r="AA134" s="55"/>
      <c r="AB134" s="56"/>
      <c r="AC134" s="56"/>
      <c r="AE134" s="48" t="str">
        <f t="shared" si="10"/>
        <v>·</v>
      </c>
      <c r="AF134" s="49" t="str">
        <f t="shared" si="11"/>
        <v>·</v>
      </c>
      <c r="AG134" s="49" t="str">
        <f t="shared" si="12"/>
        <v>·</v>
      </c>
      <c r="AH134" s="49" t="str">
        <f t="shared" si="13"/>
        <v>·</v>
      </c>
      <c r="AI134" s="50"/>
      <c r="AJ134" s="49" t="str">
        <f t="shared" si="14"/>
        <v>·</v>
      </c>
      <c r="BA134" s="57" t="e">
        <f>(Q134/P134) - (#REF!/#REF!)</f>
        <v>#DIV/0!</v>
      </c>
      <c r="BB134" s="57"/>
      <c r="BD134" s="58"/>
      <c r="BE134" s="58"/>
      <c r="BF134" s="58"/>
      <c r="BG134" s="59"/>
      <c r="BI134" s="58"/>
      <c r="BJ134" s="58"/>
      <c r="BK134" s="58"/>
      <c r="BL134" s="59"/>
      <c r="BN134" s="58"/>
      <c r="BO134" s="58"/>
      <c r="BP134" s="58"/>
      <c r="BQ134" s="59"/>
      <c r="BS134" s="58"/>
      <c r="BT134" s="58"/>
      <c r="BU134" s="58"/>
      <c r="BV134" s="59"/>
    </row>
    <row r="135" spans="1:74" x14ac:dyDescent="0.15">
      <c r="A135" s="15"/>
      <c r="B135" s="15" t="s">
        <v>310</v>
      </c>
      <c r="C135" s="16" t="s">
        <v>225</v>
      </c>
      <c r="D135" s="15">
        <v>43399204</v>
      </c>
      <c r="E135" s="17">
        <v>16</v>
      </c>
      <c r="F135" s="16">
        <v>1</v>
      </c>
      <c r="G135" s="16"/>
      <c r="I135" s="18" t="str">
        <f>IF(OR(ISBLANK(#REF!),ISBLANK(G135)),"·",#REF!*G135/F135/1000000)</f>
        <v>·</v>
      </c>
      <c r="J135" s="19" t="e">
        <f>IF(ISBLANK(#REF!),"·",#REF!/D135)</f>
        <v>#REF!</v>
      </c>
      <c r="K135" s="19" t="e">
        <f>IF(#REF!="","·",#REF!/D135)</f>
        <v>#REF!</v>
      </c>
      <c r="L135" s="19" t="e">
        <f>IF(ISBLANK(#REF!),"·",#REF!/D135)</f>
        <v>#REF!</v>
      </c>
      <c r="M135" s="20"/>
      <c r="N135" s="19" t="e">
        <f>IF(ISBLANK(#REF!),"·",#REF!/#REF!)</f>
        <v>#REF!</v>
      </c>
      <c r="O135" s="21"/>
      <c r="P135" s="22"/>
      <c r="Q135" s="22"/>
      <c r="R135" s="22"/>
      <c r="S135" s="23"/>
      <c r="T135" s="24"/>
      <c r="U135" s="24"/>
      <c r="V135" s="24"/>
      <c r="W135" s="25"/>
      <c r="X135" s="24"/>
      <c r="Y135" s="24"/>
      <c r="Z135" s="24"/>
      <c r="AA135" s="25"/>
      <c r="AB135" s="26"/>
      <c r="AC135" s="26"/>
      <c r="AE135" s="18" t="str">
        <f t="shared" si="10"/>
        <v>·</v>
      </c>
      <c r="AF135" s="19" t="str">
        <f t="shared" si="11"/>
        <v>·</v>
      </c>
      <c r="AG135" s="19" t="str">
        <f t="shared" si="12"/>
        <v>·</v>
      </c>
      <c r="AH135" s="19" t="str">
        <f t="shared" si="13"/>
        <v>·</v>
      </c>
      <c r="AI135" s="20"/>
      <c r="AJ135" s="19" t="str">
        <f t="shared" si="14"/>
        <v>·</v>
      </c>
      <c r="BA135" s="27" t="e">
        <f>(Q135/P135) - (#REF!/#REF!)</f>
        <v>#DIV/0!</v>
      </c>
      <c r="BB135" s="27" t="e">
        <f t="array" ref="BB135">AVERAGE(Q135:Q139/P135:P139) - AVERAGE(#REF!/#REF!)</f>
        <v>#DIV/0!</v>
      </c>
      <c r="BD135" s="28" t="str">
        <f>_xlfn.SINGLE(IF( OR(ISBLANK(_xlfn.SINGLE(#REF!)),ISBLANK(_xlfn.SINGLE(R135:R139)), ISBLANK(_xlfn.SINGLE(#REF!)),ISBLANK(_xlfn.SINGLE(T135:T139))), "·", bdRateExtend(#REF!,#REF!, R135:R139,T135:T139)))</f>
        <v>·</v>
      </c>
      <c r="BE135" s="28" t="str">
        <f>_xlfn.SINGLE(IF( OR(ISBLANK(_xlfn.SINGLE(#REF!)),ISBLANK(_xlfn.SINGLE(R135:R139)), ISBLANK(_xlfn.SINGLE(#REF!)),ISBLANK(_xlfn.SINGLE(U135:U139))), "·", bdRateExtend(#REF!,#REF!, R135:R139,U135:U139)))</f>
        <v>·</v>
      </c>
      <c r="BF135" s="28" t="str">
        <f>_xlfn.SINGLE(IF( OR(ISBLANK(_xlfn.SINGLE(#REF!)),ISBLANK(_xlfn.SINGLE(R135:R139)), ISBLANK(_xlfn.SINGLE(#REF!)),ISBLANK(_xlfn.SINGLE(V135:V139))), "·", bdRateExtend(#REF!,#REF!, R135:R139,V135:V139)))</f>
        <v>·</v>
      </c>
      <c r="BG135" s="29"/>
      <c r="BI135" s="28" t="str">
        <f>_xlfn.SINGLE(IF( OR(ISBLANK(_xlfn.SINGLE(#REF!)),ISBLANK(_xlfn.SINGLE(R135:R139)), ISBLANK(_xlfn.SINGLE(#REF!)),ISBLANK(_xlfn.SINGLE(X135:X139))), "·", bdRateExtend(#REF!,#REF!, R135:R139,X135:X139)))</f>
        <v>·</v>
      </c>
      <c r="BJ135" s="28" t="str">
        <f>_xlfn.SINGLE(IF( OR(ISBLANK(_xlfn.SINGLE(#REF!)),ISBLANK(_xlfn.SINGLE(R135:R139)), ISBLANK(_xlfn.SINGLE(#REF!)),ISBLANK(_xlfn.SINGLE(Y135:Y139))), "·", bdRateExtend(#REF!,#REF!, R135:R139,Y135:Y139)))</f>
        <v>·</v>
      </c>
      <c r="BK135" s="28" t="str">
        <f>_xlfn.SINGLE(IF( OR(ISBLANK(_xlfn.SINGLE(#REF!)),ISBLANK(_xlfn.SINGLE(R135:R139)), ISBLANK(_xlfn.SINGLE(#REF!)),ISBLANK(_xlfn.SINGLE(Z135:Z139))), "·", bdRateExtend(#REF!,#REF!, R135:R139,Z135:Z139)))</f>
        <v>·</v>
      </c>
      <c r="BL135" s="29"/>
      <c r="BN135" s="28" t="str">
        <f>_xlfn.SINGLE(IF( OR(ISBLANK(_xlfn.SINGLE(#REF!)),ISBLANK(_xlfn.SINGLE(P135:P139)), ISBLANK(_xlfn.SINGLE(#REF!)),ISBLANK(_xlfn.SINGLE(T135:T139))), "·", bdRateExtend(#REF!,#REF!, P135:P139,T135:T139)))</f>
        <v>·</v>
      </c>
      <c r="BO135" s="28" t="str">
        <f>_xlfn.SINGLE(IF( OR(ISBLANK(_xlfn.SINGLE(#REF!)),ISBLANK(_xlfn.SINGLE(P135:P139)), ISBLANK(_xlfn.SINGLE(#REF!)),ISBLANK(_xlfn.SINGLE(U135:U139))), "·", bdRateExtend(#REF!,#REF!, P135:P139,U135:U139)))</f>
        <v>·</v>
      </c>
      <c r="BP135" s="28" t="str">
        <f>_xlfn.SINGLE(IF( OR(ISBLANK(_xlfn.SINGLE(#REF!)),ISBLANK(_xlfn.SINGLE(P135:P139)), ISBLANK(_xlfn.SINGLE(#REF!)),ISBLANK(_xlfn.SINGLE(V135:V139))), "·", bdRateExtend(#REF!,#REF!, P135:P139,V135:V139)))</f>
        <v>·</v>
      </c>
      <c r="BQ135" s="29"/>
      <c r="BS135" s="28" t="str">
        <f>_xlfn.SINGLE(IF( OR(ISBLANK(_xlfn.SINGLE(#REF!)),ISBLANK(_xlfn.SINGLE(P135:P139)), ISBLANK(_xlfn.SINGLE(#REF!)),ISBLANK(_xlfn.SINGLE(X135:X139))), "·", bdRateExtend(#REF!,#REF!, P135:P139,X135:X139)))</f>
        <v>·</v>
      </c>
      <c r="BT135" s="28" t="str">
        <f>_xlfn.SINGLE(IF( OR(ISBLANK(_xlfn.SINGLE(#REF!)),ISBLANK(_xlfn.SINGLE(P135:P139)), ISBLANK(_xlfn.SINGLE(#REF!)),ISBLANK(_xlfn.SINGLE(Y135:Y139))), "·", bdRateExtend(#REF!,#REF!, P135:P139,Y135:Y139)))</f>
        <v>·</v>
      </c>
      <c r="BU135" s="28" t="str">
        <f>_xlfn.SINGLE(IF( OR(ISBLANK(_xlfn.SINGLE(#REF!)),ISBLANK(_xlfn.SINGLE(P135:P139)), ISBLANK(_xlfn.SINGLE(#REF!)),ISBLANK(_xlfn.SINGLE(Z135:Z139))), "·", bdRateExtend(#REF!,#REF!, P135:P139,Z135:Z139)))</f>
        <v>·</v>
      </c>
      <c r="BV135" s="29"/>
    </row>
    <row r="136" spans="1:74" outlineLevel="1" x14ac:dyDescent="0.15">
      <c r="A136" s="30"/>
      <c r="B136" s="30" t="s">
        <v>310</v>
      </c>
      <c r="C136" s="31" t="s">
        <v>226</v>
      </c>
      <c r="D136" s="30">
        <v>43399204</v>
      </c>
      <c r="E136" s="32">
        <v>16</v>
      </c>
      <c r="F136" s="31">
        <v>1</v>
      </c>
      <c r="G136" s="31"/>
      <c r="I136" s="33" t="str">
        <f>IF(OR(ISBLANK(#REF!),ISBLANK(G136)),"·",#REF!*G136/F136/1000000)</f>
        <v>·</v>
      </c>
      <c r="J136" s="34" t="e">
        <f>IF(ISBLANK(#REF!),"·",#REF!/D136)</f>
        <v>#REF!</v>
      </c>
      <c r="K136" s="34" t="e">
        <f>IF(#REF!="","·",#REF!/D136)</f>
        <v>#REF!</v>
      </c>
      <c r="L136" s="34" t="e">
        <f>IF(ISBLANK(#REF!),"·",#REF!/D136)</f>
        <v>#REF!</v>
      </c>
      <c r="M136" s="35"/>
      <c r="N136" s="34" t="e">
        <f>IF(ISBLANK(#REF!),"·",#REF!/#REF!)</f>
        <v>#REF!</v>
      </c>
      <c r="O136" s="36"/>
      <c r="P136" s="37"/>
      <c r="Q136" s="37"/>
      <c r="R136" s="37"/>
      <c r="S136" s="38"/>
      <c r="T136" s="39"/>
      <c r="U136" s="39"/>
      <c r="V136" s="39"/>
      <c r="W136" s="40"/>
      <c r="X136" s="39"/>
      <c r="Y136" s="39"/>
      <c r="Z136" s="39"/>
      <c r="AA136" s="40"/>
      <c r="AB136" s="41"/>
      <c r="AC136" s="41"/>
      <c r="AE136" s="33" t="str">
        <f t="shared" si="10"/>
        <v>·</v>
      </c>
      <c r="AF136" s="34" t="str">
        <f t="shared" si="11"/>
        <v>·</v>
      </c>
      <c r="AG136" s="34" t="str">
        <f t="shared" si="12"/>
        <v>·</v>
      </c>
      <c r="AH136" s="34" t="str">
        <f t="shared" si="13"/>
        <v>·</v>
      </c>
      <c r="AI136" s="35"/>
      <c r="AJ136" s="34" t="str">
        <f t="shared" si="14"/>
        <v>·</v>
      </c>
      <c r="BA136" s="42" t="e">
        <f>(Q136/P136) - (#REF!/#REF!)</f>
        <v>#DIV/0!</v>
      </c>
      <c r="BB136" s="42"/>
      <c r="BD136" s="43"/>
      <c r="BE136" s="43"/>
      <c r="BF136" s="43"/>
      <c r="BG136" s="44"/>
      <c r="BI136" s="43"/>
      <c r="BJ136" s="43"/>
      <c r="BK136" s="43"/>
      <c r="BL136" s="44"/>
      <c r="BN136" s="43"/>
      <c r="BO136" s="43"/>
      <c r="BP136" s="43"/>
      <c r="BQ136" s="44"/>
      <c r="BS136" s="43"/>
      <c r="BT136" s="43"/>
      <c r="BU136" s="43"/>
      <c r="BV136" s="44"/>
    </row>
    <row r="137" spans="1:74" outlineLevel="1" x14ac:dyDescent="0.15">
      <c r="A137" s="15"/>
      <c r="B137" s="15" t="s">
        <v>310</v>
      </c>
      <c r="C137" s="16" t="s">
        <v>227</v>
      </c>
      <c r="D137" s="15">
        <v>43399204</v>
      </c>
      <c r="E137" s="17">
        <v>16</v>
      </c>
      <c r="F137" s="16">
        <v>1</v>
      </c>
      <c r="G137" s="16"/>
      <c r="I137" s="18" t="str">
        <f>IF(OR(ISBLANK(#REF!),ISBLANK(G137)),"·",#REF!*G137/F137/1000000)</f>
        <v>·</v>
      </c>
      <c r="J137" s="19" t="e">
        <f>IF(ISBLANK(#REF!),"·",#REF!/D137)</f>
        <v>#REF!</v>
      </c>
      <c r="K137" s="19" t="e">
        <f>IF(#REF!="","·",#REF!/D137)</f>
        <v>#REF!</v>
      </c>
      <c r="L137" s="19" t="e">
        <f>IF(ISBLANK(#REF!),"·",#REF!/D137)</f>
        <v>#REF!</v>
      </c>
      <c r="M137" s="20"/>
      <c r="N137" s="19" t="e">
        <f>IF(ISBLANK(#REF!),"·",#REF!/#REF!)</f>
        <v>#REF!</v>
      </c>
      <c r="O137" s="21"/>
      <c r="P137" s="22"/>
      <c r="Q137" s="22"/>
      <c r="R137" s="22"/>
      <c r="S137" s="23"/>
      <c r="T137" s="24"/>
      <c r="U137" s="24"/>
      <c r="V137" s="24"/>
      <c r="W137" s="25"/>
      <c r="X137" s="24"/>
      <c r="Y137" s="24"/>
      <c r="Z137" s="24"/>
      <c r="AA137" s="25"/>
      <c r="AB137" s="26"/>
      <c r="AC137" s="26"/>
      <c r="AE137" s="18" t="str">
        <f t="shared" si="10"/>
        <v>·</v>
      </c>
      <c r="AF137" s="19" t="str">
        <f t="shared" si="11"/>
        <v>·</v>
      </c>
      <c r="AG137" s="19" t="str">
        <f t="shared" si="12"/>
        <v>·</v>
      </c>
      <c r="AH137" s="19" t="str">
        <f t="shared" si="13"/>
        <v>·</v>
      </c>
      <c r="AI137" s="20"/>
      <c r="AJ137" s="19" t="str">
        <f t="shared" si="14"/>
        <v>·</v>
      </c>
      <c r="BA137" s="27" t="e">
        <f>(Q137/P137) - (#REF!/#REF!)</f>
        <v>#DIV/0!</v>
      </c>
      <c r="BB137" s="27"/>
      <c r="BD137" s="28"/>
      <c r="BE137" s="28"/>
      <c r="BF137" s="28"/>
      <c r="BG137" s="29"/>
      <c r="BI137" s="28"/>
      <c r="BJ137" s="28"/>
      <c r="BK137" s="28"/>
      <c r="BL137" s="29"/>
      <c r="BN137" s="28"/>
      <c r="BO137" s="28"/>
      <c r="BP137" s="28"/>
      <c r="BQ137" s="29"/>
      <c r="BS137" s="28"/>
      <c r="BT137" s="28"/>
      <c r="BU137" s="28"/>
      <c r="BV137" s="29"/>
    </row>
    <row r="138" spans="1:74" outlineLevel="1" x14ac:dyDescent="0.15">
      <c r="A138" s="30"/>
      <c r="B138" s="30" t="s">
        <v>310</v>
      </c>
      <c r="C138" s="31" t="s">
        <v>228</v>
      </c>
      <c r="D138" s="30">
        <v>43399204</v>
      </c>
      <c r="E138" s="32">
        <v>16</v>
      </c>
      <c r="F138" s="31">
        <v>1</v>
      </c>
      <c r="G138" s="31"/>
      <c r="I138" s="33" t="str">
        <f>IF(OR(ISBLANK(#REF!),ISBLANK(G138)),"·",#REF!*G138/F138/1000000)</f>
        <v>·</v>
      </c>
      <c r="J138" s="34" t="e">
        <f>IF(ISBLANK(#REF!),"·",#REF!/D138)</f>
        <v>#REF!</v>
      </c>
      <c r="K138" s="34" t="e">
        <f>IF(#REF!="","·",#REF!/D138)</f>
        <v>#REF!</v>
      </c>
      <c r="L138" s="34" t="e">
        <f>IF(ISBLANK(#REF!),"·",#REF!/D138)</f>
        <v>#REF!</v>
      </c>
      <c r="M138" s="35"/>
      <c r="N138" s="34" t="e">
        <f>IF(ISBLANK(#REF!),"·",#REF!/#REF!)</f>
        <v>#REF!</v>
      </c>
      <c r="O138" s="36"/>
      <c r="P138" s="37"/>
      <c r="Q138" s="37"/>
      <c r="R138" s="37"/>
      <c r="S138" s="38"/>
      <c r="T138" s="39"/>
      <c r="U138" s="39"/>
      <c r="V138" s="39"/>
      <c r="W138" s="40"/>
      <c r="X138" s="39"/>
      <c r="Y138" s="39"/>
      <c r="Z138" s="39"/>
      <c r="AA138" s="40"/>
      <c r="AB138" s="41"/>
      <c r="AC138" s="41"/>
      <c r="AE138" s="33" t="str">
        <f t="shared" si="10"/>
        <v>·</v>
      </c>
      <c r="AF138" s="34" t="str">
        <f t="shared" si="11"/>
        <v>·</v>
      </c>
      <c r="AG138" s="34" t="str">
        <f t="shared" si="12"/>
        <v>·</v>
      </c>
      <c r="AH138" s="34" t="str">
        <f t="shared" si="13"/>
        <v>·</v>
      </c>
      <c r="AI138" s="35"/>
      <c r="AJ138" s="34" t="str">
        <f t="shared" si="14"/>
        <v>·</v>
      </c>
      <c r="BA138" s="42" t="e">
        <f>(Q138/P138) - (#REF!/#REF!)</f>
        <v>#DIV/0!</v>
      </c>
      <c r="BB138" s="42"/>
      <c r="BD138" s="43"/>
      <c r="BE138" s="43"/>
      <c r="BF138" s="43"/>
      <c r="BG138" s="44"/>
      <c r="BI138" s="43"/>
      <c r="BJ138" s="43"/>
      <c r="BK138" s="43"/>
      <c r="BL138" s="44"/>
      <c r="BN138" s="43"/>
      <c r="BO138" s="43"/>
      <c r="BP138" s="43"/>
      <c r="BQ138" s="44"/>
      <c r="BS138" s="43"/>
      <c r="BT138" s="43"/>
      <c r="BU138" s="43"/>
      <c r="BV138" s="44"/>
    </row>
    <row r="139" spans="1:74" ht="14.25" outlineLevel="1" thickBot="1" x14ac:dyDescent="0.2">
      <c r="A139" s="15"/>
      <c r="B139" s="64" t="s">
        <v>310</v>
      </c>
      <c r="C139" s="66" t="s">
        <v>229</v>
      </c>
      <c r="D139" s="64">
        <v>43399204</v>
      </c>
      <c r="E139" s="65">
        <v>16</v>
      </c>
      <c r="F139" s="66">
        <v>1</v>
      </c>
      <c r="G139" s="66"/>
      <c r="I139" s="68" t="str">
        <f>IF(OR(ISBLANK(#REF!),ISBLANK(G139)),"·",#REF!*G139/F139/1000000)</f>
        <v>·</v>
      </c>
      <c r="J139" s="69" t="e">
        <f>IF(ISBLANK(#REF!),"·",#REF!/D139)</f>
        <v>#REF!</v>
      </c>
      <c r="K139" s="69" t="e">
        <f>IF(#REF!="","·",#REF!/D139)</f>
        <v>#REF!</v>
      </c>
      <c r="L139" s="69" t="e">
        <f>IF(ISBLANK(#REF!),"·",#REF!/D139)</f>
        <v>#REF!</v>
      </c>
      <c r="M139" s="70"/>
      <c r="N139" s="69" t="e">
        <f>IF(ISBLANK(#REF!),"·",#REF!/#REF!)</f>
        <v>#REF!</v>
      </c>
      <c r="O139" s="71"/>
      <c r="P139" s="72"/>
      <c r="Q139" s="72"/>
      <c r="R139" s="72"/>
      <c r="S139" s="73"/>
      <c r="T139" s="77"/>
      <c r="U139" s="77"/>
      <c r="V139" s="77"/>
      <c r="W139" s="78"/>
      <c r="X139" s="77"/>
      <c r="Y139" s="77"/>
      <c r="Z139" s="77"/>
      <c r="AA139" s="78"/>
      <c r="AB139" s="74"/>
      <c r="AC139" s="74"/>
      <c r="AE139" s="68" t="str">
        <f t="shared" si="10"/>
        <v>·</v>
      </c>
      <c r="AF139" s="69" t="str">
        <f t="shared" si="11"/>
        <v>·</v>
      </c>
      <c r="AG139" s="69" t="str">
        <f t="shared" si="12"/>
        <v>·</v>
      </c>
      <c r="AH139" s="69" t="str">
        <f t="shared" si="13"/>
        <v>·</v>
      </c>
      <c r="AI139" s="70"/>
      <c r="AJ139" s="69" t="str">
        <f t="shared" si="14"/>
        <v>·</v>
      </c>
      <c r="BA139" s="67" t="e">
        <f>(Q139/P139) - (#REF!/#REF!)</f>
        <v>#DIV/0!</v>
      </c>
      <c r="BB139" s="67"/>
      <c r="BD139" s="75"/>
      <c r="BE139" s="75"/>
      <c r="BF139" s="75"/>
      <c r="BG139" s="76"/>
      <c r="BI139" s="75"/>
      <c r="BJ139" s="75"/>
      <c r="BK139" s="75"/>
      <c r="BL139" s="76"/>
      <c r="BN139" s="75"/>
      <c r="BO139" s="75"/>
      <c r="BP139" s="75"/>
      <c r="BQ139" s="76"/>
      <c r="BS139" s="75"/>
      <c r="BT139" s="75"/>
      <c r="BU139" s="75"/>
      <c r="BV139" s="76"/>
    </row>
    <row r="140" spans="1:74" x14ac:dyDescent="0.15">
      <c r="A140" s="30"/>
      <c r="B140" s="30" t="s">
        <v>313</v>
      </c>
      <c r="C140" s="31" t="s">
        <v>225</v>
      </c>
      <c r="D140" s="30">
        <v>499660</v>
      </c>
      <c r="E140" s="32">
        <v>12</v>
      </c>
      <c r="F140" s="31">
        <v>1</v>
      </c>
      <c r="G140" s="31"/>
      <c r="I140" s="33" t="str">
        <f>IF(OR(ISBLANK(#REF!),ISBLANK(G140)),"·",#REF!*G140/F140/1000000)</f>
        <v>·</v>
      </c>
      <c r="J140" s="34" t="e">
        <f>IF(ISBLANK(#REF!),"·",#REF!/D140)</f>
        <v>#REF!</v>
      </c>
      <c r="K140" s="34" t="e">
        <f>IF(#REF!="","·",#REF!/D140)</f>
        <v>#REF!</v>
      </c>
      <c r="L140" s="34" t="e">
        <f>IF(ISBLANK(#REF!),"·",#REF!/D140)</f>
        <v>#REF!</v>
      </c>
      <c r="M140" s="35"/>
      <c r="N140" s="34" t="e">
        <f>IF(ISBLANK(#REF!),"·",#REF!/#REF!)</f>
        <v>#REF!</v>
      </c>
      <c r="O140" s="36"/>
      <c r="P140" s="37"/>
      <c r="Q140" s="37"/>
      <c r="R140" s="37"/>
      <c r="S140" s="38"/>
      <c r="T140" s="39"/>
      <c r="U140" s="39"/>
      <c r="V140" s="39"/>
      <c r="W140" s="40"/>
      <c r="X140" s="39"/>
      <c r="Y140" s="39"/>
      <c r="Z140" s="39"/>
      <c r="AA140" s="40"/>
      <c r="AB140" s="41"/>
      <c r="AC140" s="41"/>
      <c r="AE140" s="33" t="str">
        <f t="shared" si="10"/>
        <v>·</v>
      </c>
      <c r="AF140" s="34" t="str">
        <f t="shared" si="11"/>
        <v>·</v>
      </c>
      <c r="AG140" s="34" t="str">
        <f t="shared" si="12"/>
        <v>·</v>
      </c>
      <c r="AH140" s="34" t="str">
        <f t="shared" si="13"/>
        <v>·</v>
      </c>
      <c r="AI140" s="35"/>
      <c r="AJ140" s="34" t="str">
        <f t="shared" si="14"/>
        <v>·</v>
      </c>
      <c r="BA140" s="42" t="e">
        <f>(Q140/P140) - (#REF!/#REF!)</f>
        <v>#DIV/0!</v>
      </c>
      <c r="BB140" s="42" t="e">
        <f t="array" ref="BB140">AVERAGE(Q140:Q144/P140:P144) - AVERAGE(#REF!/#REF!)</f>
        <v>#DIV/0!</v>
      </c>
      <c r="BD140" s="43" t="str">
        <f>_xlfn.SINGLE(IF( OR(ISBLANK(_xlfn.SINGLE(#REF!)),ISBLANK(_xlfn.SINGLE(R140:R144)), ISBLANK(_xlfn.SINGLE(#REF!)),ISBLANK(_xlfn.SINGLE(T140:T144))), "·", bdRateExtend(#REF!,#REF!, R140:R144,T140:T144)))</f>
        <v>·</v>
      </c>
      <c r="BE140" s="43" t="str">
        <f>_xlfn.SINGLE(IF( OR(ISBLANK(_xlfn.SINGLE(#REF!)),ISBLANK(_xlfn.SINGLE(R140:R144)), ISBLANK(_xlfn.SINGLE(#REF!)),ISBLANK(_xlfn.SINGLE(U140:U144))), "·", bdRateExtend(#REF!,#REF!, R140:R144,U140:U144)))</f>
        <v>·</v>
      </c>
      <c r="BF140" s="43" t="str">
        <f>_xlfn.SINGLE(IF( OR(ISBLANK(_xlfn.SINGLE(#REF!)),ISBLANK(_xlfn.SINGLE(R140:R144)), ISBLANK(_xlfn.SINGLE(#REF!)),ISBLANK(_xlfn.SINGLE(V140:V144))), "·", bdRateExtend(#REF!,#REF!, R140:R144,V140:V144)))</f>
        <v>·</v>
      </c>
      <c r="BG140" s="44"/>
      <c r="BI140" s="43" t="str">
        <f>_xlfn.SINGLE(IF( OR(ISBLANK(_xlfn.SINGLE(#REF!)),ISBLANK(_xlfn.SINGLE(R140:R144)), ISBLANK(_xlfn.SINGLE(#REF!)),ISBLANK(_xlfn.SINGLE(X140:X144))), "·", bdRateExtend(#REF!,#REF!, R140:R144,X140:X144)))</f>
        <v>·</v>
      </c>
      <c r="BJ140" s="43" t="str">
        <f>_xlfn.SINGLE(IF( OR(ISBLANK(_xlfn.SINGLE(#REF!)),ISBLANK(_xlfn.SINGLE(R140:R144)), ISBLANK(_xlfn.SINGLE(#REF!)),ISBLANK(_xlfn.SINGLE(Y140:Y144))), "·", bdRateExtend(#REF!,#REF!, R140:R144,Y140:Y144)))</f>
        <v>·</v>
      </c>
      <c r="BK140" s="43" t="str">
        <f>_xlfn.SINGLE(IF( OR(ISBLANK(_xlfn.SINGLE(#REF!)),ISBLANK(_xlfn.SINGLE(R140:R144)), ISBLANK(_xlfn.SINGLE(#REF!)),ISBLANK(_xlfn.SINGLE(Z140:Z144))), "·", bdRateExtend(#REF!,#REF!, R140:R144,Z140:Z144)))</f>
        <v>·</v>
      </c>
      <c r="BL140" s="44"/>
      <c r="BN140" s="43" t="str">
        <f>_xlfn.SINGLE(IF( OR(ISBLANK(_xlfn.SINGLE(#REF!)),ISBLANK(_xlfn.SINGLE(P140:P144)), ISBLANK(_xlfn.SINGLE(#REF!)),ISBLANK(_xlfn.SINGLE(T140:T144))), "·", bdRateExtend(#REF!,#REF!, P140:P144,T140:T144)))</f>
        <v>·</v>
      </c>
      <c r="BO140" s="43" t="str">
        <f>_xlfn.SINGLE(IF( OR(ISBLANK(_xlfn.SINGLE(#REF!)),ISBLANK(_xlfn.SINGLE(P140:P144)), ISBLANK(_xlfn.SINGLE(#REF!)),ISBLANK(_xlfn.SINGLE(U140:U144))), "·", bdRateExtend(#REF!,#REF!, P140:P144,U140:U144)))</f>
        <v>·</v>
      </c>
      <c r="BP140" s="43" t="str">
        <f>_xlfn.SINGLE(IF( OR(ISBLANK(_xlfn.SINGLE(#REF!)),ISBLANK(_xlfn.SINGLE(P140:P144)), ISBLANK(_xlfn.SINGLE(#REF!)),ISBLANK(_xlfn.SINGLE(V140:V144))), "·", bdRateExtend(#REF!,#REF!, P140:P144,V140:V144)))</f>
        <v>·</v>
      </c>
      <c r="BQ140" s="44"/>
      <c r="BS140" s="43" t="str">
        <f>_xlfn.SINGLE(IF( OR(ISBLANK(_xlfn.SINGLE(#REF!)),ISBLANK(_xlfn.SINGLE(P140:P144)), ISBLANK(_xlfn.SINGLE(#REF!)),ISBLANK(_xlfn.SINGLE(X140:X144))), "·", bdRateExtend(#REF!,#REF!, P140:P144,X140:X144)))</f>
        <v>·</v>
      </c>
      <c r="BT140" s="43" t="str">
        <f>_xlfn.SINGLE(IF( OR(ISBLANK(_xlfn.SINGLE(#REF!)),ISBLANK(_xlfn.SINGLE(P140:P144)), ISBLANK(_xlfn.SINGLE(#REF!)),ISBLANK(_xlfn.SINGLE(Y140:Y144))), "·", bdRateExtend(#REF!,#REF!, P140:P144,Y140:Y144)))</f>
        <v>·</v>
      </c>
      <c r="BU140" s="43" t="str">
        <f>_xlfn.SINGLE(IF( OR(ISBLANK(_xlfn.SINGLE(#REF!)),ISBLANK(_xlfn.SINGLE(P140:P144)), ISBLANK(_xlfn.SINGLE(#REF!)),ISBLANK(_xlfn.SINGLE(Z140:Z144))), "·", bdRateExtend(#REF!,#REF!, P140:P144,Z140:Z144)))</f>
        <v>·</v>
      </c>
      <c r="BV140" s="44"/>
    </row>
    <row r="141" spans="1:74" outlineLevel="1" x14ac:dyDescent="0.15">
      <c r="A141" s="15"/>
      <c r="B141" s="15" t="s">
        <v>313</v>
      </c>
      <c r="C141" s="16" t="s">
        <v>226</v>
      </c>
      <c r="D141" s="15">
        <v>499660</v>
      </c>
      <c r="E141" s="17">
        <v>12</v>
      </c>
      <c r="F141" s="16">
        <v>1</v>
      </c>
      <c r="G141" s="16"/>
      <c r="I141" s="18" t="str">
        <f>IF(OR(ISBLANK(#REF!),ISBLANK(G141)),"·",#REF!*G141/F141/1000000)</f>
        <v>·</v>
      </c>
      <c r="J141" s="19" t="e">
        <f>IF(ISBLANK(#REF!),"·",#REF!/D141)</f>
        <v>#REF!</v>
      </c>
      <c r="K141" s="19" t="e">
        <f>IF(#REF!="","·",#REF!/D141)</f>
        <v>#REF!</v>
      </c>
      <c r="L141" s="19" t="e">
        <f>IF(ISBLANK(#REF!),"·",#REF!/D141)</f>
        <v>#REF!</v>
      </c>
      <c r="M141" s="20"/>
      <c r="N141" s="19" t="e">
        <f>IF(ISBLANK(#REF!),"·",#REF!/#REF!)</f>
        <v>#REF!</v>
      </c>
      <c r="O141" s="21"/>
      <c r="P141" s="22"/>
      <c r="Q141" s="22"/>
      <c r="R141" s="22"/>
      <c r="S141" s="23"/>
      <c r="T141" s="24"/>
      <c r="U141" s="24"/>
      <c r="V141" s="24"/>
      <c r="W141" s="25"/>
      <c r="X141" s="24"/>
      <c r="Y141" s="24"/>
      <c r="Z141" s="24"/>
      <c r="AA141" s="25"/>
      <c r="AB141" s="26"/>
      <c r="AC141" s="26"/>
      <c r="AE141" s="18" t="str">
        <f t="shared" si="10"/>
        <v>·</v>
      </c>
      <c r="AF141" s="19" t="str">
        <f t="shared" si="11"/>
        <v>·</v>
      </c>
      <c r="AG141" s="19" t="str">
        <f t="shared" si="12"/>
        <v>·</v>
      </c>
      <c r="AH141" s="19" t="str">
        <f t="shared" si="13"/>
        <v>·</v>
      </c>
      <c r="AI141" s="20"/>
      <c r="AJ141" s="19" t="str">
        <f t="shared" si="14"/>
        <v>·</v>
      </c>
      <c r="BA141" s="27" t="e">
        <f>(Q141/P141) - (#REF!/#REF!)</f>
        <v>#DIV/0!</v>
      </c>
      <c r="BB141" s="27"/>
      <c r="BD141" s="28"/>
      <c r="BE141" s="28"/>
      <c r="BF141" s="28"/>
      <c r="BG141" s="29"/>
      <c r="BI141" s="28"/>
      <c r="BJ141" s="28"/>
      <c r="BK141" s="28"/>
      <c r="BL141" s="29"/>
      <c r="BN141" s="28"/>
      <c r="BO141" s="28"/>
      <c r="BP141" s="28"/>
      <c r="BQ141" s="29"/>
      <c r="BS141" s="28"/>
      <c r="BT141" s="28"/>
      <c r="BU141" s="28"/>
      <c r="BV141" s="29"/>
    </row>
    <row r="142" spans="1:74" outlineLevel="1" x14ac:dyDescent="0.15">
      <c r="A142" s="30"/>
      <c r="B142" s="30" t="s">
        <v>313</v>
      </c>
      <c r="C142" s="31" t="s">
        <v>227</v>
      </c>
      <c r="D142" s="30">
        <v>499660</v>
      </c>
      <c r="E142" s="32">
        <v>12</v>
      </c>
      <c r="F142" s="31">
        <v>1</v>
      </c>
      <c r="G142" s="31"/>
      <c r="I142" s="33" t="str">
        <f>IF(OR(ISBLANK(#REF!),ISBLANK(G142)),"·",#REF!*G142/F142/1000000)</f>
        <v>·</v>
      </c>
      <c r="J142" s="34" t="e">
        <f>IF(ISBLANK(#REF!),"·",#REF!/D142)</f>
        <v>#REF!</v>
      </c>
      <c r="K142" s="34" t="e">
        <f>IF(#REF!="","·",#REF!/D142)</f>
        <v>#REF!</v>
      </c>
      <c r="L142" s="34" t="e">
        <f>IF(ISBLANK(#REF!),"·",#REF!/D142)</f>
        <v>#REF!</v>
      </c>
      <c r="M142" s="35"/>
      <c r="N142" s="34" t="e">
        <f>IF(ISBLANK(#REF!),"·",#REF!/#REF!)</f>
        <v>#REF!</v>
      </c>
      <c r="O142" s="36"/>
      <c r="P142" s="37"/>
      <c r="Q142" s="37"/>
      <c r="R142" s="37"/>
      <c r="S142" s="38"/>
      <c r="T142" s="39"/>
      <c r="U142" s="39"/>
      <c r="V142" s="39"/>
      <c r="W142" s="40"/>
      <c r="X142" s="39"/>
      <c r="Y142" s="39"/>
      <c r="Z142" s="39"/>
      <c r="AA142" s="40"/>
      <c r="AB142" s="41"/>
      <c r="AC142" s="41"/>
      <c r="AE142" s="33" t="str">
        <f t="shared" si="10"/>
        <v>·</v>
      </c>
      <c r="AF142" s="34" t="str">
        <f t="shared" si="11"/>
        <v>·</v>
      </c>
      <c r="AG142" s="34" t="str">
        <f t="shared" si="12"/>
        <v>·</v>
      </c>
      <c r="AH142" s="34" t="str">
        <f t="shared" si="13"/>
        <v>·</v>
      </c>
      <c r="AI142" s="35"/>
      <c r="AJ142" s="34" t="str">
        <f t="shared" si="14"/>
        <v>·</v>
      </c>
      <c r="BA142" s="42" t="e">
        <f>(Q142/P142) - (#REF!/#REF!)</f>
        <v>#DIV/0!</v>
      </c>
      <c r="BB142" s="42"/>
      <c r="BD142" s="43"/>
      <c r="BE142" s="43"/>
      <c r="BF142" s="43"/>
      <c r="BG142" s="44"/>
      <c r="BI142" s="43"/>
      <c r="BJ142" s="43"/>
      <c r="BK142" s="43"/>
      <c r="BL142" s="44"/>
      <c r="BN142" s="43"/>
      <c r="BO142" s="43"/>
      <c r="BP142" s="43"/>
      <c r="BQ142" s="44"/>
      <c r="BS142" s="43"/>
      <c r="BT142" s="43"/>
      <c r="BU142" s="43"/>
      <c r="BV142" s="44"/>
    </row>
    <row r="143" spans="1:74" outlineLevel="1" x14ac:dyDescent="0.15">
      <c r="A143" s="15"/>
      <c r="B143" s="15" t="s">
        <v>313</v>
      </c>
      <c r="C143" s="16" t="s">
        <v>228</v>
      </c>
      <c r="D143" s="15">
        <v>499660</v>
      </c>
      <c r="E143" s="17">
        <v>12</v>
      </c>
      <c r="F143" s="16">
        <v>1</v>
      </c>
      <c r="G143" s="16"/>
      <c r="I143" s="18" t="str">
        <f>IF(OR(ISBLANK(#REF!),ISBLANK(G143)),"·",#REF!*G143/F143/1000000)</f>
        <v>·</v>
      </c>
      <c r="J143" s="19" t="e">
        <f>IF(ISBLANK(#REF!),"·",#REF!/D143)</f>
        <v>#REF!</v>
      </c>
      <c r="K143" s="19" t="e">
        <f>IF(#REF!="","·",#REF!/D143)</f>
        <v>#REF!</v>
      </c>
      <c r="L143" s="19" t="e">
        <f>IF(ISBLANK(#REF!),"·",#REF!/D143)</f>
        <v>#REF!</v>
      </c>
      <c r="M143" s="20"/>
      <c r="N143" s="19" t="e">
        <f>IF(ISBLANK(#REF!),"·",#REF!/#REF!)</f>
        <v>#REF!</v>
      </c>
      <c r="O143" s="21"/>
      <c r="P143" s="22"/>
      <c r="Q143" s="22"/>
      <c r="R143" s="22"/>
      <c r="S143" s="23"/>
      <c r="T143" s="24"/>
      <c r="U143" s="24"/>
      <c r="V143" s="24"/>
      <c r="W143" s="25"/>
      <c r="X143" s="24"/>
      <c r="Y143" s="24"/>
      <c r="Z143" s="24"/>
      <c r="AA143" s="25"/>
      <c r="AB143" s="26"/>
      <c r="AC143" s="26"/>
      <c r="AE143" s="18" t="str">
        <f t="shared" si="10"/>
        <v>·</v>
      </c>
      <c r="AF143" s="19" t="str">
        <f t="shared" si="11"/>
        <v>·</v>
      </c>
      <c r="AG143" s="19" t="str">
        <f t="shared" si="12"/>
        <v>·</v>
      </c>
      <c r="AH143" s="19" t="str">
        <f t="shared" si="13"/>
        <v>·</v>
      </c>
      <c r="AI143" s="20"/>
      <c r="AJ143" s="19" t="str">
        <f t="shared" si="14"/>
        <v>·</v>
      </c>
      <c r="BA143" s="27" t="e">
        <f>(Q143/P143) - (#REF!/#REF!)</f>
        <v>#DIV/0!</v>
      </c>
      <c r="BB143" s="27"/>
      <c r="BD143" s="28"/>
      <c r="BE143" s="28"/>
      <c r="BF143" s="28"/>
      <c r="BG143" s="29"/>
      <c r="BI143" s="28"/>
      <c r="BJ143" s="28"/>
      <c r="BK143" s="28"/>
      <c r="BL143" s="29"/>
      <c r="BN143" s="28"/>
      <c r="BO143" s="28"/>
      <c r="BP143" s="28"/>
      <c r="BQ143" s="29"/>
      <c r="BS143" s="28"/>
      <c r="BT143" s="28"/>
      <c r="BU143" s="28"/>
      <c r="BV143" s="29"/>
    </row>
    <row r="144" spans="1:74" ht="14.25" outlineLevel="1" thickBot="1" x14ac:dyDescent="0.2">
      <c r="A144" s="30"/>
      <c r="B144" s="45" t="s">
        <v>313</v>
      </c>
      <c r="C144" s="46" t="s">
        <v>229</v>
      </c>
      <c r="D144" s="45">
        <v>499660</v>
      </c>
      <c r="E144" s="47">
        <v>12</v>
      </c>
      <c r="F144" s="46">
        <v>1</v>
      </c>
      <c r="G144" s="46"/>
      <c r="I144" s="48" t="str">
        <f>IF(OR(ISBLANK(#REF!),ISBLANK(G144)),"·",#REF!*G144/F144/1000000)</f>
        <v>·</v>
      </c>
      <c r="J144" s="49" t="e">
        <f>IF(ISBLANK(#REF!),"·",#REF!/D144)</f>
        <v>#REF!</v>
      </c>
      <c r="K144" s="49" t="e">
        <f>IF(#REF!="","·",#REF!/D144)</f>
        <v>#REF!</v>
      </c>
      <c r="L144" s="49" t="e">
        <f>IF(ISBLANK(#REF!),"·",#REF!/D144)</f>
        <v>#REF!</v>
      </c>
      <c r="M144" s="50"/>
      <c r="N144" s="49" t="e">
        <f>IF(ISBLANK(#REF!),"·",#REF!/#REF!)</f>
        <v>#REF!</v>
      </c>
      <c r="O144" s="51"/>
      <c r="P144" s="52"/>
      <c r="Q144" s="52"/>
      <c r="R144" s="52"/>
      <c r="S144" s="53"/>
      <c r="T144" s="54"/>
      <c r="U144" s="54"/>
      <c r="V144" s="54"/>
      <c r="W144" s="55"/>
      <c r="X144" s="54"/>
      <c r="Y144" s="54"/>
      <c r="Z144" s="54"/>
      <c r="AA144" s="55"/>
      <c r="AB144" s="56"/>
      <c r="AC144" s="56"/>
      <c r="AE144" s="48" t="str">
        <f t="shared" si="10"/>
        <v>·</v>
      </c>
      <c r="AF144" s="49" t="str">
        <f t="shared" si="11"/>
        <v>·</v>
      </c>
      <c r="AG144" s="49" t="str">
        <f t="shared" si="12"/>
        <v>·</v>
      </c>
      <c r="AH144" s="49" t="str">
        <f t="shared" si="13"/>
        <v>·</v>
      </c>
      <c r="AI144" s="50"/>
      <c r="AJ144" s="49" t="str">
        <f t="shared" si="14"/>
        <v>·</v>
      </c>
      <c r="BA144" s="57" t="e">
        <f>(Q144/P144) - (#REF!/#REF!)</f>
        <v>#DIV/0!</v>
      </c>
      <c r="BB144" s="57"/>
      <c r="BD144" s="58"/>
      <c r="BE144" s="58"/>
      <c r="BF144" s="58"/>
      <c r="BG144" s="59"/>
      <c r="BI144" s="58"/>
      <c r="BJ144" s="58"/>
      <c r="BK144" s="58"/>
      <c r="BL144" s="59"/>
      <c r="BN144" s="58"/>
      <c r="BO144" s="58"/>
      <c r="BP144" s="58"/>
      <c r="BQ144" s="59"/>
      <c r="BS144" s="58"/>
      <c r="BT144" s="58"/>
      <c r="BU144" s="58"/>
      <c r="BV144" s="59"/>
    </row>
    <row r="145" spans="1:74" x14ac:dyDescent="0.15">
      <c r="A145" s="15"/>
      <c r="B145" s="15" t="s">
        <v>316</v>
      </c>
      <c r="C145" s="16" t="s">
        <v>225</v>
      </c>
      <c r="D145" s="15">
        <v>63787119</v>
      </c>
      <c r="E145" s="17">
        <v>15</v>
      </c>
      <c r="F145" s="16">
        <v>1</v>
      </c>
      <c r="G145" s="16"/>
      <c r="I145" s="18" t="str">
        <f>IF(OR(ISBLANK(#REF!),ISBLANK(G145)),"·",#REF!*G145/F145/1000000)</f>
        <v>·</v>
      </c>
      <c r="J145" s="19" t="e">
        <f>IF(ISBLANK(#REF!),"·",#REF!/D145)</f>
        <v>#REF!</v>
      </c>
      <c r="K145" s="19" t="e">
        <f>IF(#REF!="","·",#REF!/D145)</f>
        <v>#REF!</v>
      </c>
      <c r="L145" s="19" t="e">
        <f>IF(ISBLANK(#REF!),"·",#REF!/D145)</f>
        <v>#REF!</v>
      </c>
      <c r="M145" s="20"/>
      <c r="N145" s="19" t="e">
        <f>IF(ISBLANK(#REF!),"·",#REF!/#REF!)</f>
        <v>#REF!</v>
      </c>
      <c r="O145" s="21"/>
      <c r="P145" s="22"/>
      <c r="Q145" s="22"/>
      <c r="R145" s="22"/>
      <c r="S145" s="23"/>
      <c r="T145" s="24"/>
      <c r="U145" s="24"/>
      <c r="V145" s="24"/>
      <c r="W145" s="25"/>
      <c r="X145" s="24"/>
      <c r="Y145" s="24"/>
      <c r="Z145" s="24"/>
      <c r="AA145" s="25"/>
      <c r="AB145" s="26"/>
      <c r="AC145" s="26"/>
      <c r="AE145" s="18" t="str">
        <f t="shared" si="10"/>
        <v>·</v>
      </c>
      <c r="AF145" s="19" t="str">
        <f t="shared" si="11"/>
        <v>·</v>
      </c>
      <c r="AG145" s="19" t="str">
        <f t="shared" si="12"/>
        <v>·</v>
      </c>
      <c r="AH145" s="19" t="str">
        <f t="shared" si="13"/>
        <v>·</v>
      </c>
      <c r="AI145" s="20"/>
      <c r="AJ145" s="19" t="str">
        <f t="shared" si="14"/>
        <v>·</v>
      </c>
      <c r="BA145" s="27" t="e">
        <f>(Q145/P145) - (#REF!/#REF!)</f>
        <v>#DIV/0!</v>
      </c>
      <c r="BB145" s="27" t="e">
        <f t="array" ref="BB145">AVERAGE(Q145:Q149/P145:P149) - AVERAGE(#REF!/#REF!)</f>
        <v>#DIV/0!</v>
      </c>
      <c r="BD145" s="28" t="str">
        <f>_xlfn.SINGLE(IF( OR(ISBLANK(_xlfn.SINGLE(#REF!)),ISBLANK(_xlfn.SINGLE(R145:R149)), ISBLANK(_xlfn.SINGLE(#REF!)),ISBLANK(_xlfn.SINGLE(T145:T149))), "·", bdRateExtend(#REF!,#REF!, R145:R149,T145:T149)))</f>
        <v>·</v>
      </c>
      <c r="BE145" s="28" t="str">
        <f>_xlfn.SINGLE(IF( OR(ISBLANK(_xlfn.SINGLE(#REF!)),ISBLANK(_xlfn.SINGLE(R145:R149)), ISBLANK(_xlfn.SINGLE(#REF!)),ISBLANK(_xlfn.SINGLE(U145:U149))), "·", bdRateExtend(#REF!,#REF!, R145:R149,U145:U149)))</f>
        <v>·</v>
      </c>
      <c r="BF145" s="28" t="str">
        <f>_xlfn.SINGLE(IF( OR(ISBLANK(_xlfn.SINGLE(#REF!)),ISBLANK(_xlfn.SINGLE(R145:R149)), ISBLANK(_xlfn.SINGLE(#REF!)),ISBLANK(_xlfn.SINGLE(V145:V149))), "·", bdRateExtend(#REF!,#REF!, R145:R149,V145:V149)))</f>
        <v>·</v>
      </c>
      <c r="BG145" s="29"/>
      <c r="BI145" s="28" t="str">
        <f>_xlfn.SINGLE(IF( OR(ISBLANK(_xlfn.SINGLE(#REF!)),ISBLANK(_xlfn.SINGLE(R145:R149)), ISBLANK(_xlfn.SINGLE(#REF!)),ISBLANK(_xlfn.SINGLE(X145:X149))), "·", bdRateExtend(#REF!,#REF!, R145:R149,X145:X149)))</f>
        <v>·</v>
      </c>
      <c r="BJ145" s="28" t="str">
        <f>_xlfn.SINGLE(IF( OR(ISBLANK(_xlfn.SINGLE(#REF!)),ISBLANK(_xlfn.SINGLE(R145:R149)), ISBLANK(_xlfn.SINGLE(#REF!)),ISBLANK(_xlfn.SINGLE(Y145:Y149))), "·", bdRateExtend(#REF!,#REF!, R145:R149,Y145:Y149)))</f>
        <v>·</v>
      </c>
      <c r="BK145" s="28" t="str">
        <f>_xlfn.SINGLE(IF( OR(ISBLANK(_xlfn.SINGLE(#REF!)),ISBLANK(_xlfn.SINGLE(R145:R149)), ISBLANK(_xlfn.SINGLE(#REF!)),ISBLANK(_xlfn.SINGLE(Z145:Z149))), "·", bdRateExtend(#REF!,#REF!, R145:R149,Z145:Z149)))</f>
        <v>·</v>
      </c>
      <c r="BL145" s="29"/>
      <c r="BN145" s="28" t="str">
        <f>_xlfn.SINGLE(IF( OR(ISBLANK(_xlfn.SINGLE(#REF!)),ISBLANK(_xlfn.SINGLE(P145:P149)), ISBLANK(_xlfn.SINGLE(#REF!)),ISBLANK(_xlfn.SINGLE(T145:T149))), "·", bdRateExtend(#REF!,#REF!, P145:P149,T145:T149)))</f>
        <v>·</v>
      </c>
      <c r="BO145" s="28" t="str">
        <f>_xlfn.SINGLE(IF( OR(ISBLANK(_xlfn.SINGLE(#REF!)),ISBLANK(_xlfn.SINGLE(P145:P149)), ISBLANK(_xlfn.SINGLE(#REF!)),ISBLANK(_xlfn.SINGLE(U145:U149))), "·", bdRateExtend(#REF!,#REF!, P145:P149,U145:U149)))</f>
        <v>·</v>
      </c>
      <c r="BP145" s="28" t="str">
        <f>_xlfn.SINGLE(IF( OR(ISBLANK(_xlfn.SINGLE(#REF!)),ISBLANK(_xlfn.SINGLE(P145:P149)), ISBLANK(_xlfn.SINGLE(#REF!)),ISBLANK(_xlfn.SINGLE(V145:V149))), "·", bdRateExtend(#REF!,#REF!, P145:P149,V145:V149)))</f>
        <v>·</v>
      </c>
      <c r="BQ145" s="29"/>
      <c r="BS145" s="28" t="str">
        <f>_xlfn.SINGLE(IF( OR(ISBLANK(_xlfn.SINGLE(#REF!)),ISBLANK(_xlfn.SINGLE(P145:P149)), ISBLANK(_xlfn.SINGLE(#REF!)),ISBLANK(_xlfn.SINGLE(X145:X149))), "·", bdRateExtend(#REF!,#REF!, P145:P149,X145:X149)))</f>
        <v>·</v>
      </c>
      <c r="BT145" s="28" t="str">
        <f>_xlfn.SINGLE(IF( OR(ISBLANK(_xlfn.SINGLE(#REF!)),ISBLANK(_xlfn.SINGLE(P145:P149)), ISBLANK(_xlfn.SINGLE(#REF!)),ISBLANK(_xlfn.SINGLE(Y145:Y149))), "·", bdRateExtend(#REF!,#REF!, P145:P149,Y145:Y149)))</f>
        <v>·</v>
      </c>
      <c r="BU145" s="28" t="str">
        <f>_xlfn.SINGLE(IF( OR(ISBLANK(_xlfn.SINGLE(#REF!)),ISBLANK(_xlfn.SINGLE(P145:P149)), ISBLANK(_xlfn.SINGLE(#REF!)),ISBLANK(_xlfn.SINGLE(Z145:Z149))), "·", bdRateExtend(#REF!,#REF!, P145:P149,Z145:Z149)))</f>
        <v>·</v>
      </c>
      <c r="BV145" s="29"/>
    </row>
    <row r="146" spans="1:74" outlineLevel="1" x14ac:dyDescent="0.15">
      <c r="A146" s="30"/>
      <c r="B146" s="30" t="s">
        <v>316</v>
      </c>
      <c r="C146" s="31" t="s">
        <v>226</v>
      </c>
      <c r="D146" s="30">
        <v>63787119</v>
      </c>
      <c r="E146" s="32">
        <v>15</v>
      </c>
      <c r="F146" s="31">
        <v>1</v>
      </c>
      <c r="G146" s="31"/>
      <c r="I146" s="33" t="str">
        <f>IF(OR(ISBLANK(#REF!),ISBLANK(G146)),"·",#REF!*G146/F146/1000000)</f>
        <v>·</v>
      </c>
      <c r="J146" s="34" t="e">
        <f>IF(ISBLANK(#REF!),"·",#REF!/D146)</f>
        <v>#REF!</v>
      </c>
      <c r="K146" s="34" t="e">
        <f>IF(#REF!="","·",#REF!/D146)</f>
        <v>#REF!</v>
      </c>
      <c r="L146" s="34" t="e">
        <f>IF(ISBLANK(#REF!),"·",#REF!/D146)</f>
        <v>#REF!</v>
      </c>
      <c r="M146" s="35"/>
      <c r="N146" s="34" t="e">
        <f>IF(ISBLANK(#REF!),"·",#REF!/#REF!)</f>
        <v>#REF!</v>
      </c>
      <c r="O146" s="36"/>
      <c r="P146" s="37"/>
      <c r="Q146" s="37"/>
      <c r="R146" s="37"/>
      <c r="S146" s="38"/>
      <c r="T146" s="39"/>
      <c r="U146" s="39"/>
      <c r="V146" s="39"/>
      <c r="W146" s="40"/>
      <c r="X146" s="39"/>
      <c r="Y146" s="39"/>
      <c r="Z146" s="39"/>
      <c r="AA146" s="40"/>
      <c r="AB146" s="41"/>
      <c r="AC146" s="41"/>
      <c r="AE146" s="33" t="str">
        <f t="shared" si="10"/>
        <v>·</v>
      </c>
      <c r="AF146" s="34" t="str">
        <f t="shared" si="11"/>
        <v>·</v>
      </c>
      <c r="AG146" s="34" t="str">
        <f t="shared" si="12"/>
        <v>·</v>
      </c>
      <c r="AH146" s="34" t="str">
        <f t="shared" si="13"/>
        <v>·</v>
      </c>
      <c r="AI146" s="35"/>
      <c r="AJ146" s="34" t="str">
        <f t="shared" si="14"/>
        <v>·</v>
      </c>
      <c r="BA146" s="42" t="e">
        <f>(Q146/P146) - (#REF!/#REF!)</f>
        <v>#DIV/0!</v>
      </c>
      <c r="BB146" s="42"/>
      <c r="BD146" s="43"/>
      <c r="BE146" s="43"/>
      <c r="BF146" s="43"/>
      <c r="BG146" s="44"/>
      <c r="BI146" s="43"/>
      <c r="BJ146" s="43"/>
      <c r="BK146" s="43"/>
      <c r="BL146" s="44"/>
      <c r="BN146" s="43"/>
      <c r="BO146" s="43"/>
      <c r="BP146" s="43"/>
      <c r="BQ146" s="44"/>
      <c r="BS146" s="43"/>
      <c r="BT146" s="43"/>
      <c r="BU146" s="43"/>
      <c r="BV146" s="44"/>
    </row>
    <row r="147" spans="1:74" outlineLevel="1" x14ac:dyDescent="0.15">
      <c r="A147" s="15"/>
      <c r="B147" s="15" t="s">
        <v>316</v>
      </c>
      <c r="C147" s="16" t="s">
        <v>227</v>
      </c>
      <c r="D147" s="15">
        <v>63787119</v>
      </c>
      <c r="E147" s="17">
        <v>15</v>
      </c>
      <c r="F147" s="16">
        <v>1</v>
      </c>
      <c r="G147" s="16"/>
      <c r="I147" s="18" t="str">
        <f>IF(OR(ISBLANK(#REF!),ISBLANK(G147)),"·",#REF!*G147/F147/1000000)</f>
        <v>·</v>
      </c>
      <c r="J147" s="19" t="e">
        <f>IF(ISBLANK(#REF!),"·",#REF!/D147)</f>
        <v>#REF!</v>
      </c>
      <c r="K147" s="19" t="e">
        <f>IF(#REF!="","·",#REF!/D147)</f>
        <v>#REF!</v>
      </c>
      <c r="L147" s="19" t="e">
        <f>IF(ISBLANK(#REF!),"·",#REF!/D147)</f>
        <v>#REF!</v>
      </c>
      <c r="M147" s="20"/>
      <c r="N147" s="19" t="e">
        <f>IF(ISBLANK(#REF!),"·",#REF!/#REF!)</f>
        <v>#REF!</v>
      </c>
      <c r="O147" s="21"/>
      <c r="P147" s="22"/>
      <c r="Q147" s="22"/>
      <c r="R147" s="22"/>
      <c r="S147" s="23"/>
      <c r="T147" s="24"/>
      <c r="U147" s="24"/>
      <c r="V147" s="24"/>
      <c r="W147" s="25"/>
      <c r="X147" s="24"/>
      <c r="Y147" s="24"/>
      <c r="Z147" s="24"/>
      <c r="AA147" s="25"/>
      <c r="AB147" s="26"/>
      <c r="AC147" s="26"/>
      <c r="AE147" s="18" t="str">
        <f t="shared" si="10"/>
        <v>·</v>
      </c>
      <c r="AF147" s="19" t="str">
        <f t="shared" si="11"/>
        <v>·</v>
      </c>
      <c r="AG147" s="19" t="str">
        <f t="shared" si="12"/>
        <v>·</v>
      </c>
      <c r="AH147" s="19" t="str">
        <f t="shared" si="13"/>
        <v>·</v>
      </c>
      <c r="AI147" s="20"/>
      <c r="AJ147" s="19" t="str">
        <f t="shared" si="14"/>
        <v>·</v>
      </c>
      <c r="BA147" s="27" t="e">
        <f>(Q147/P147) - (#REF!/#REF!)</f>
        <v>#DIV/0!</v>
      </c>
      <c r="BB147" s="27"/>
      <c r="BD147" s="28"/>
      <c r="BE147" s="28"/>
      <c r="BF147" s="28"/>
      <c r="BG147" s="29"/>
      <c r="BI147" s="28"/>
      <c r="BJ147" s="28"/>
      <c r="BK147" s="28"/>
      <c r="BL147" s="29"/>
      <c r="BN147" s="28"/>
      <c r="BO147" s="28"/>
      <c r="BP147" s="28"/>
      <c r="BQ147" s="29"/>
      <c r="BS147" s="28"/>
      <c r="BT147" s="28"/>
      <c r="BU147" s="28"/>
      <c r="BV147" s="29"/>
    </row>
    <row r="148" spans="1:74" outlineLevel="1" x14ac:dyDescent="0.15">
      <c r="A148" s="30"/>
      <c r="B148" s="30" t="s">
        <v>316</v>
      </c>
      <c r="C148" s="31" t="s">
        <v>228</v>
      </c>
      <c r="D148" s="30">
        <v>63787119</v>
      </c>
      <c r="E148" s="32">
        <v>15</v>
      </c>
      <c r="F148" s="31">
        <v>1</v>
      </c>
      <c r="G148" s="31"/>
      <c r="I148" s="33" t="str">
        <f>IF(OR(ISBLANK(#REF!),ISBLANK(G148)),"·",#REF!*G148/F148/1000000)</f>
        <v>·</v>
      </c>
      <c r="J148" s="34" t="e">
        <f>IF(ISBLANK(#REF!),"·",#REF!/D148)</f>
        <v>#REF!</v>
      </c>
      <c r="K148" s="34" t="e">
        <f>IF(#REF!="","·",#REF!/D148)</f>
        <v>#REF!</v>
      </c>
      <c r="L148" s="34" t="e">
        <f>IF(ISBLANK(#REF!),"·",#REF!/D148)</f>
        <v>#REF!</v>
      </c>
      <c r="M148" s="35"/>
      <c r="N148" s="34" t="e">
        <f>IF(ISBLANK(#REF!),"·",#REF!/#REF!)</f>
        <v>#REF!</v>
      </c>
      <c r="O148" s="36"/>
      <c r="P148" s="37"/>
      <c r="Q148" s="37"/>
      <c r="R148" s="37"/>
      <c r="S148" s="38"/>
      <c r="T148" s="39"/>
      <c r="U148" s="39"/>
      <c r="V148" s="39"/>
      <c r="W148" s="40"/>
      <c r="X148" s="39"/>
      <c r="Y148" s="39"/>
      <c r="Z148" s="39"/>
      <c r="AA148" s="40"/>
      <c r="AB148" s="41"/>
      <c r="AC148" s="41"/>
      <c r="AE148" s="33" t="str">
        <f t="shared" si="10"/>
        <v>·</v>
      </c>
      <c r="AF148" s="34" t="str">
        <f t="shared" si="11"/>
        <v>·</v>
      </c>
      <c r="AG148" s="34" t="str">
        <f t="shared" si="12"/>
        <v>·</v>
      </c>
      <c r="AH148" s="34" t="str">
        <f t="shared" si="13"/>
        <v>·</v>
      </c>
      <c r="AI148" s="35"/>
      <c r="AJ148" s="34" t="str">
        <f t="shared" si="14"/>
        <v>·</v>
      </c>
      <c r="BA148" s="42" t="e">
        <f>(Q148/P148) - (#REF!/#REF!)</f>
        <v>#DIV/0!</v>
      </c>
      <c r="BB148" s="42"/>
      <c r="BD148" s="43"/>
      <c r="BE148" s="43"/>
      <c r="BF148" s="43"/>
      <c r="BG148" s="44"/>
      <c r="BI148" s="43"/>
      <c r="BJ148" s="43"/>
      <c r="BK148" s="43"/>
      <c r="BL148" s="44"/>
      <c r="BN148" s="43"/>
      <c r="BO148" s="43"/>
      <c r="BP148" s="43"/>
      <c r="BQ148" s="44"/>
      <c r="BS148" s="43"/>
      <c r="BT148" s="43"/>
      <c r="BU148" s="43"/>
      <c r="BV148" s="44"/>
    </row>
    <row r="149" spans="1:74" ht="14.25" outlineLevel="1" thickBot="1" x14ac:dyDescent="0.2">
      <c r="A149" s="15"/>
      <c r="B149" s="64" t="s">
        <v>316</v>
      </c>
      <c r="C149" s="66" t="s">
        <v>229</v>
      </c>
      <c r="D149" s="64">
        <v>63787119</v>
      </c>
      <c r="E149" s="65">
        <v>15</v>
      </c>
      <c r="F149" s="66">
        <v>1</v>
      </c>
      <c r="G149" s="66"/>
      <c r="I149" s="68" t="str">
        <f>IF(OR(ISBLANK(#REF!),ISBLANK(G149)),"·",#REF!*G149/F149/1000000)</f>
        <v>·</v>
      </c>
      <c r="J149" s="69" t="e">
        <f>IF(ISBLANK(#REF!),"·",#REF!/D149)</f>
        <v>#REF!</v>
      </c>
      <c r="K149" s="69" t="e">
        <f>IF(#REF!="","·",#REF!/D149)</f>
        <v>#REF!</v>
      </c>
      <c r="L149" s="69" t="e">
        <f>IF(ISBLANK(#REF!),"·",#REF!/D149)</f>
        <v>#REF!</v>
      </c>
      <c r="M149" s="70"/>
      <c r="N149" s="69" t="e">
        <f>IF(ISBLANK(#REF!),"·",#REF!/#REF!)</f>
        <v>#REF!</v>
      </c>
      <c r="O149" s="71"/>
      <c r="P149" s="72"/>
      <c r="Q149" s="72"/>
      <c r="R149" s="72"/>
      <c r="S149" s="73"/>
      <c r="T149" s="77"/>
      <c r="U149" s="77"/>
      <c r="V149" s="77"/>
      <c r="W149" s="78"/>
      <c r="X149" s="77"/>
      <c r="Y149" s="77"/>
      <c r="Z149" s="77"/>
      <c r="AA149" s="78"/>
      <c r="AB149" s="74"/>
      <c r="AC149" s="74"/>
      <c r="AE149" s="68" t="str">
        <f t="shared" si="10"/>
        <v>·</v>
      </c>
      <c r="AF149" s="69" t="str">
        <f t="shared" si="11"/>
        <v>·</v>
      </c>
      <c r="AG149" s="69" t="str">
        <f t="shared" si="12"/>
        <v>·</v>
      </c>
      <c r="AH149" s="69" t="str">
        <f t="shared" si="13"/>
        <v>·</v>
      </c>
      <c r="AI149" s="70"/>
      <c r="AJ149" s="69" t="str">
        <f t="shared" si="14"/>
        <v>·</v>
      </c>
      <c r="BA149" s="67" t="e">
        <f>(Q149/P149) - (#REF!/#REF!)</f>
        <v>#DIV/0!</v>
      </c>
      <c r="BB149" s="67"/>
      <c r="BD149" s="75"/>
      <c r="BE149" s="75"/>
      <c r="BF149" s="75"/>
      <c r="BG149" s="76"/>
      <c r="BI149" s="75"/>
      <c r="BJ149" s="75"/>
      <c r="BK149" s="75"/>
      <c r="BL149" s="76"/>
      <c r="BN149" s="75"/>
      <c r="BO149" s="75"/>
      <c r="BP149" s="75"/>
      <c r="BQ149" s="76"/>
      <c r="BS149" s="75"/>
      <c r="BT149" s="75"/>
      <c r="BU149" s="75"/>
      <c r="BV149" s="76"/>
    </row>
    <row r="150" spans="1:74" x14ac:dyDescent="0.15">
      <c r="A150" s="30"/>
      <c r="B150" s="30" t="s">
        <v>319</v>
      </c>
      <c r="C150" s="31" t="s">
        <v>225</v>
      </c>
      <c r="D150" s="30">
        <v>1995189</v>
      </c>
      <c r="E150" s="32">
        <v>13</v>
      </c>
      <c r="F150" s="31">
        <v>1</v>
      </c>
      <c r="G150" s="31"/>
      <c r="I150" s="33" t="str">
        <f>IF(OR(ISBLANK(#REF!),ISBLANK(G150)),"·",#REF!*G150/F150/1000000)</f>
        <v>·</v>
      </c>
      <c r="J150" s="34" t="e">
        <f>IF(ISBLANK(#REF!),"·",#REF!/D150)</f>
        <v>#REF!</v>
      </c>
      <c r="K150" s="34" t="e">
        <f>IF(#REF!="","·",#REF!/D150)</f>
        <v>#REF!</v>
      </c>
      <c r="L150" s="34" t="e">
        <f>IF(ISBLANK(#REF!),"·",#REF!/D150)</f>
        <v>#REF!</v>
      </c>
      <c r="M150" s="35"/>
      <c r="N150" s="34" t="e">
        <f>IF(ISBLANK(#REF!),"·",#REF!/#REF!)</f>
        <v>#REF!</v>
      </c>
      <c r="O150" s="36"/>
      <c r="P150" s="37"/>
      <c r="Q150" s="37"/>
      <c r="R150" s="37"/>
      <c r="S150" s="38"/>
      <c r="T150" s="39"/>
      <c r="U150" s="39"/>
      <c r="V150" s="39"/>
      <c r="W150" s="40"/>
      <c r="X150" s="39"/>
      <c r="Y150" s="39"/>
      <c r="Z150" s="39"/>
      <c r="AA150" s="40"/>
      <c r="AB150" s="41"/>
      <c r="AC150" s="41"/>
      <c r="AE150" s="33" t="str">
        <f t="shared" si="10"/>
        <v>·</v>
      </c>
      <c r="AF150" s="34" t="str">
        <f t="shared" si="11"/>
        <v>·</v>
      </c>
      <c r="AG150" s="34" t="str">
        <f t="shared" si="12"/>
        <v>·</v>
      </c>
      <c r="AH150" s="34" t="str">
        <f t="shared" si="13"/>
        <v>·</v>
      </c>
      <c r="AI150" s="35"/>
      <c r="AJ150" s="34" t="str">
        <f t="shared" si="14"/>
        <v>·</v>
      </c>
      <c r="BA150" s="42" t="e">
        <f>(Q150/P150) - (#REF!/#REF!)</f>
        <v>#DIV/0!</v>
      </c>
      <c r="BB150" s="42" t="e">
        <f t="array" ref="BB150">AVERAGE(Q150:Q154/P150:P154) - AVERAGE(#REF!/#REF!)</f>
        <v>#DIV/0!</v>
      </c>
      <c r="BD150" s="43" t="str">
        <f>_xlfn.SINGLE(IF( OR(ISBLANK(_xlfn.SINGLE(#REF!)),ISBLANK(_xlfn.SINGLE(R150:R154)), ISBLANK(_xlfn.SINGLE(#REF!)),ISBLANK(_xlfn.SINGLE(T150:T154))), "·", bdRateExtend(#REF!,#REF!, R150:R154,T150:T154)))</f>
        <v>·</v>
      </c>
      <c r="BE150" s="43" t="str">
        <f>_xlfn.SINGLE(IF( OR(ISBLANK(_xlfn.SINGLE(#REF!)),ISBLANK(_xlfn.SINGLE(R150:R154)), ISBLANK(_xlfn.SINGLE(#REF!)),ISBLANK(_xlfn.SINGLE(U150:U154))), "·", bdRateExtend(#REF!,#REF!, R150:R154,U150:U154)))</f>
        <v>·</v>
      </c>
      <c r="BF150" s="43" t="str">
        <f>_xlfn.SINGLE(IF( OR(ISBLANK(_xlfn.SINGLE(#REF!)),ISBLANK(_xlfn.SINGLE(R150:R154)), ISBLANK(_xlfn.SINGLE(#REF!)),ISBLANK(_xlfn.SINGLE(V150:V154))), "·", bdRateExtend(#REF!,#REF!, R150:R154,V150:V154)))</f>
        <v>·</v>
      </c>
      <c r="BG150" s="44"/>
      <c r="BI150" s="43" t="str">
        <f>_xlfn.SINGLE(IF( OR(ISBLANK(_xlfn.SINGLE(#REF!)),ISBLANK(_xlfn.SINGLE(R150:R154)), ISBLANK(_xlfn.SINGLE(#REF!)),ISBLANK(_xlfn.SINGLE(X150:X154))), "·", bdRateExtend(#REF!,#REF!, R150:R154,X150:X154)))</f>
        <v>·</v>
      </c>
      <c r="BJ150" s="43" t="str">
        <f>_xlfn.SINGLE(IF( OR(ISBLANK(_xlfn.SINGLE(#REF!)),ISBLANK(_xlfn.SINGLE(R150:R154)), ISBLANK(_xlfn.SINGLE(#REF!)),ISBLANK(_xlfn.SINGLE(Y150:Y154))), "·", bdRateExtend(#REF!,#REF!, R150:R154,Y150:Y154)))</f>
        <v>·</v>
      </c>
      <c r="BK150" s="43" t="str">
        <f>_xlfn.SINGLE(IF( OR(ISBLANK(_xlfn.SINGLE(#REF!)),ISBLANK(_xlfn.SINGLE(R150:R154)), ISBLANK(_xlfn.SINGLE(#REF!)),ISBLANK(_xlfn.SINGLE(Z150:Z154))), "·", bdRateExtend(#REF!,#REF!, R150:R154,Z150:Z154)))</f>
        <v>·</v>
      </c>
      <c r="BL150" s="44"/>
      <c r="BN150" s="43" t="str">
        <f>_xlfn.SINGLE(IF( OR(ISBLANK(_xlfn.SINGLE(#REF!)),ISBLANK(_xlfn.SINGLE(P150:P154)), ISBLANK(_xlfn.SINGLE(#REF!)),ISBLANK(_xlfn.SINGLE(T150:T154))), "·", bdRateExtend(#REF!,#REF!, P150:P154,T150:T154)))</f>
        <v>·</v>
      </c>
      <c r="BO150" s="43" t="str">
        <f>_xlfn.SINGLE(IF( OR(ISBLANK(_xlfn.SINGLE(#REF!)),ISBLANK(_xlfn.SINGLE(P150:P154)), ISBLANK(_xlfn.SINGLE(#REF!)),ISBLANK(_xlfn.SINGLE(U150:U154))), "·", bdRateExtend(#REF!,#REF!, P150:P154,U150:U154)))</f>
        <v>·</v>
      </c>
      <c r="BP150" s="43" t="str">
        <f>_xlfn.SINGLE(IF( OR(ISBLANK(_xlfn.SINGLE(#REF!)),ISBLANK(_xlfn.SINGLE(P150:P154)), ISBLANK(_xlfn.SINGLE(#REF!)),ISBLANK(_xlfn.SINGLE(V150:V154))), "·", bdRateExtend(#REF!,#REF!, P150:P154,V150:V154)))</f>
        <v>·</v>
      </c>
      <c r="BQ150" s="44"/>
      <c r="BS150" s="43" t="str">
        <f>_xlfn.SINGLE(IF( OR(ISBLANK(_xlfn.SINGLE(#REF!)),ISBLANK(_xlfn.SINGLE(P150:P154)), ISBLANK(_xlfn.SINGLE(#REF!)),ISBLANK(_xlfn.SINGLE(X150:X154))), "·", bdRateExtend(#REF!,#REF!, P150:P154,X150:X154)))</f>
        <v>·</v>
      </c>
      <c r="BT150" s="43" t="str">
        <f>_xlfn.SINGLE(IF( OR(ISBLANK(_xlfn.SINGLE(#REF!)),ISBLANK(_xlfn.SINGLE(P150:P154)), ISBLANK(_xlfn.SINGLE(#REF!)),ISBLANK(_xlfn.SINGLE(Y150:Y154))), "·", bdRateExtend(#REF!,#REF!, P150:P154,Y150:Y154)))</f>
        <v>·</v>
      </c>
      <c r="BU150" s="43" t="str">
        <f>_xlfn.SINGLE(IF( OR(ISBLANK(_xlfn.SINGLE(#REF!)),ISBLANK(_xlfn.SINGLE(P150:P154)), ISBLANK(_xlfn.SINGLE(#REF!)),ISBLANK(_xlfn.SINGLE(Z150:Z154))), "·", bdRateExtend(#REF!,#REF!, P150:P154,Z150:Z154)))</f>
        <v>·</v>
      </c>
      <c r="BV150" s="44"/>
    </row>
    <row r="151" spans="1:74" outlineLevel="1" x14ac:dyDescent="0.15">
      <c r="A151" s="15"/>
      <c r="B151" s="15" t="s">
        <v>319</v>
      </c>
      <c r="C151" s="16" t="s">
        <v>226</v>
      </c>
      <c r="D151" s="15">
        <v>1995189</v>
      </c>
      <c r="E151" s="17">
        <v>13</v>
      </c>
      <c r="F151" s="16">
        <v>1</v>
      </c>
      <c r="G151" s="16"/>
      <c r="I151" s="18" t="str">
        <f>IF(OR(ISBLANK(#REF!),ISBLANK(G151)),"·",#REF!*G151/F151/1000000)</f>
        <v>·</v>
      </c>
      <c r="J151" s="19" t="e">
        <f>IF(ISBLANK(#REF!),"·",#REF!/D151)</f>
        <v>#REF!</v>
      </c>
      <c r="K151" s="19" t="e">
        <f>IF(#REF!="","·",#REF!/D151)</f>
        <v>#REF!</v>
      </c>
      <c r="L151" s="19" t="e">
        <f>IF(ISBLANK(#REF!),"·",#REF!/D151)</f>
        <v>#REF!</v>
      </c>
      <c r="M151" s="20"/>
      <c r="N151" s="19" t="e">
        <f>IF(ISBLANK(#REF!),"·",#REF!/#REF!)</f>
        <v>#REF!</v>
      </c>
      <c r="O151" s="21"/>
      <c r="P151" s="22"/>
      <c r="Q151" s="22"/>
      <c r="R151" s="22"/>
      <c r="S151" s="23"/>
      <c r="T151" s="24"/>
      <c r="U151" s="24"/>
      <c r="V151" s="24"/>
      <c r="W151" s="25"/>
      <c r="X151" s="24"/>
      <c r="Y151" s="24"/>
      <c r="Z151" s="24"/>
      <c r="AA151" s="25"/>
      <c r="AB151" s="26"/>
      <c r="AC151" s="26"/>
      <c r="AE151" s="18" t="str">
        <f t="shared" si="10"/>
        <v>·</v>
      </c>
      <c r="AF151" s="19" t="str">
        <f t="shared" si="11"/>
        <v>·</v>
      </c>
      <c r="AG151" s="19" t="str">
        <f t="shared" si="12"/>
        <v>·</v>
      </c>
      <c r="AH151" s="19" t="str">
        <f t="shared" si="13"/>
        <v>·</v>
      </c>
      <c r="AI151" s="20"/>
      <c r="AJ151" s="19" t="str">
        <f t="shared" si="14"/>
        <v>·</v>
      </c>
      <c r="BA151" s="27" t="e">
        <f>(Q151/P151) - (#REF!/#REF!)</f>
        <v>#DIV/0!</v>
      </c>
      <c r="BB151" s="27"/>
      <c r="BD151" s="28"/>
      <c r="BE151" s="28"/>
      <c r="BF151" s="28"/>
      <c r="BG151" s="29"/>
      <c r="BI151" s="28"/>
      <c r="BJ151" s="28"/>
      <c r="BK151" s="28"/>
      <c r="BL151" s="29"/>
      <c r="BN151" s="28"/>
      <c r="BO151" s="28"/>
      <c r="BP151" s="28"/>
      <c r="BQ151" s="29"/>
      <c r="BS151" s="28"/>
      <c r="BT151" s="28"/>
      <c r="BU151" s="28"/>
      <c r="BV151" s="29"/>
    </row>
    <row r="152" spans="1:74" outlineLevel="1" x14ac:dyDescent="0.15">
      <c r="A152" s="30"/>
      <c r="B152" s="30" t="s">
        <v>319</v>
      </c>
      <c r="C152" s="31" t="s">
        <v>227</v>
      </c>
      <c r="D152" s="30">
        <v>1995189</v>
      </c>
      <c r="E152" s="32">
        <v>13</v>
      </c>
      <c r="F152" s="31">
        <v>1</v>
      </c>
      <c r="G152" s="31"/>
      <c r="I152" s="33" t="str">
        <f>IF(OR(ISBLANK(#REF!),ISBLANK(G152)),"·",#REF!*G152/F152/1000000)</f>
        <v>·</v>
      </c>
      <c r="J152" s="34" t="e">
        <f>IF(ISBLANK(#REF!),"·",#REF!/D152)</f>
        <v>#REF!</v>
      </c>
      <c r="K152" s="34" t="e">
        <f>IF(#REF!="","·",#REF!/D152)</f>
        <v>#REF!</v>
      </c>
      <c r="L152" s="34" t="e">
        <f>IF(ISBLANK(#REF!),"·",#REF!/D152)</f>
        <v>#REF!</v>
      </c>
      <c r="M152" s="35"/>
      <c r="N152" s="34" t="e">
        <f>IF(ISBLANK(#REF!),"·",#REF!/#REF!)</f>
        <v>#REF!</v>
      </c>
      <c r="O152" s="36"/>
      <c r="P152" s="37"/>
      <c r="Q152" s="37"/>
      <c r="R152" s="37"/>
      <c r="S152" s="38"/>
      <c r="T152" s="39"/>
      <c r="U152" s="39"/>
      <c r="V152" s="39"/>
      <c r="W152" s="40"/>
      <c r="X152" s="39"/>
      <c r="Y152" s="39"/>
      <c r="Z152" s="39"/>
      <c r="AA152" s="40"/>
      <c r="AB152" s="41"/>
      <c r="AC152" s="41"/>
      <c r="AE152" s="33" t="str">
        <f t="shared" si="10"/>
        <v>·</v>
      </c>
      <c r="AF152" s="34" t="str">
        <f t="shared" si="11"/>
        <v>·</v>
      </c>
      <c r="AG152" s="34" t="str">
        <f t="shared" si="12"/>
        <v>·</v>
      </c>
      <c r="AH152" s="34" t="str">
        <f t="shared" si="13"/>
        <v>·</v>
      </c>
      <c r="AI152" s="35"/>
      <c r="AJ152" s="34" t="str">
        <f t="shared" si="14"/>
        <v>·</v>
      </c>
      <c r="BA152" s="42" t="e">
        <f>(Q152/P152) - (#REF!/#REF!)</f>
        <v>#DIV/0!</v>
      </c>
      <c r="BB152" s="42"/>
      <c r="BD152" s="43"/>
      <c r="BE152" s="43"/>
      <c r="BF152" s="43"/>
      <c r="BG152" s="44"/>
      <c r="BI152" s="43"/>
      <c r="BJ152" s="43"/>
      <c r="BK152" s="43"/>
      <c r="BL152" s="44"/>
      <c r="BN152" s="43"/>
      <c r="BO152" s="43"/>
      <c r="BP152" s="43"/>
      <c r="BQ152" s="44"/>
      <c r="BS152" s="43"/>
      <c r="BT152" s="43"/>
      <c r="BU152" s="43"/>
      <c r="BV152" s="44"/>
    </row>
    <row r="153" spans="1:74" outlineLevel="1" x14ac:dyDescent="0.15">
      <c r="A153" s="15"/>
      <c r="B153" s="15" t="s">
        <v>319</v>
      </c>
      <c r="C153" s="16" t="s">
        <v>228</v>
      </c>
      <c r="D153" s="15">
        <v>1995189</v>
      </c>
      <c r="E153" s="17">
        <v>13</v>
      </c>
      <c r="F153" s="16">
        <v>1</v>
      </c>
      <c r="G153" s="16"/>
      <c r="I153" s="18" t="str">
        <f>IF(OR(ISBLANK(#REF!),ISBLANK(G153)),"·",#REF!*G153/F153/1000000)</f>
        <v>·</v>
      </c>
      <c r="J153" s="19" t="e">
        <f>IF(ISBLANK(#REF!),"·",#REF!/D153)</f>
        <v>#REF!</v>
      </c>
      <c r="K153" s="19" t="e">
        <f>IF(#REF!="","·",#REF!/D153)</f>
        <v>#REF!</v>
      </c>
      <c r="L153" s="19" t="e">
        <f>IF(ISBLANK(#REF!),"·",#REF!/D153)</f>
        <v>#REF!</v>
      </c>
      <c r="M153" s="20"/>
      <c r="N153" s="19" t="e">
        <f>IF(ISBLANK(#REF!),"·",#REF!/#REF!)</f>
        <v>#REF!</v>
      </c>
      <c r="O153" s="21"/>
      <c r="P153" s="22"/>
      <c r="Q153" s="22"/>
      <c r="R153" s="22"/>
      <c r="S153" s="23"/>
      <c r="T153" s="24"/>
      <c r="U153" s="24"/>
      <c r="V153" s="24"/>
      <c r="W153" s="25"/>
      <c r="X153" s="24"/>
      <c r="Y153" s="24"/>
      <c r="Z153" s="24"/>
      <c r="AA153" s="25"/>
      <c r="AB153" s="26"/>
      <c r="AC153" s="26"/>
      <c r="AE153" s="18" t="str">
        <f t="shared" si="10"/>
        <v>·</v>
      </c>
      <c r="AF153" s="19" t="str">
        <f t="shared" si="11"/>
        <v>·</v>
      </c>
      <c r="AG153" s="19" t="str">
        <f t="shared" si="12"/>
        <v>·</v>
      </c>
      <c r="AH153" s="19" t="str">
        <f t="shared" si="13"/>
        <v>·</v>
      </c>
      <c r="AI153" s="20"/>
      <c r="AJ153" s="19" t="str">
        <f t="shared" si="14"/>
        <v>·</v>
      </c>
      <c r="BA153" s="27" t="e">
        <f>(Q153/P153) - (#REF!/#REF!)</f>
        <v>#DIV/0!</v>
      </c>
      <c r="BB153" s="27"/>
      <c r="BD153" s="28"/>
      <c r="BE153" s="28"/>
      <c r="BF153" s="28"/>
      <c r="BG153" s="29"/>
      <c r="BI153" s="28"/>
      <c r="BJ153" s="28"/>
      <c r="BK153" s="28"/>
      <c r="BL153" s="29"/>
      <c r="BN153" s="28"/>
      <c r="BO153" s="28"/>
      <c r="BP153" s="28"/>
      <c r="BQ153" s="29"/>
      <c r="BS153" s="28"/>
      <c r="BT153" s="28"/>
      <c r="BU153" s="28"/>
      <c r="BV153" s="29"/>
    </row>
    <row r="154" spans="1:74" ht="14.25" outlineLevel="1" thickBot="1" x14ac:dyDescent="0.2">
      <c r="A154" s="45"/>
      <c r="B154" s="45" t="s">
        <v>319</v>
      </c>
      <c r="C154" s="46" t="s">
        <v>229</v>
      </c>
      <c r="D154" s="45">
        <v>1995189</v>
      </c>
      <c r="E154" s="47">
        <v>13</v>
      </c>
      <c r="F154" s="46">
        <v>1</v>
      </c>
      <c r="G154" s="46"/>
      <c r="I154" s="48" t="str">
        <f>IF(OR(ISBLANK(#REF!),ISBLANK(G154)),"·",#REF!*G154/F154/1000000)</f>
        <v>·</v>
      </c>
      <c r="J154" s="49" t="e">
        <f>IF(ISBLANK(#REF!),"·",#REF!/D154)</f>
        <v>#REF!</v>
      </c>
      <c r="K154" s="49" t="e">
        <f>IF(#REF!="","·",#REF!/D154)</f>
        <v>#REF!</v>
      </c>
      <c r="L154" s="49" t="e">
        <f>IF(ISBLANK(#REF!),"·",#REF!/D154)</f>
        <v>#REF!</v>
      </c>
      <c r="M154" s="50"/>
      <c r="N154" s="49" t="e">
        <f>IF(ISBLANK(#REF!),"·",#REF!/#REF!)</f>
        <v>#REF!</v>
      </c>
      <c r="O154" s="51"/>
      <c r="P154" s="52"/>
      <c r="Q154" s="52"/>
      <c r="R154" s="52"/>
      <c r="S154" s="53"/>
      <c r="T154" s="54"/>
      <c r="U154" s="54"/>
      <c r="V154" s="54"/>
      <c r="W154" s="55"/>
      <c r="X154" s="54"/>
      <c r="Y154" s="54"/>
      <c r="Z154" s="54"/>
      <c r="AA154" s="55"/>
      <c r="AB154" s="56"/>
      <c r="AC154" s="56"/>
      <c r="AE154" s="48" t="str">
        <f t="shared" si="10"/>
        <v>·</v>
      </c>
      <c r="AF154" s="49" t="str">
        <f t="shared" si="11"/>
        <v>·</v>
      </c>
      <c r="AG154" s="49" t="str">
        <f t="shared" si="12"/>
        <v>·</v>
      </c>
      <c r="AH154" s="49" t="str">
        <f t="shared" si="13"/>
        <v>·</v>
      </c>
      <c r="AI154" s="50"/>
      <c r="AJ154" s="49" t="str">
        <f t="shared" si="14"/>
        <v>·</v>
      </c>
      <c r="BA154" s="57" t="e">
        <f>(Q154/P154) - (#REF!/#REF!)</f>
        <v>#DIV/0!</v>
      </c>
      <c r="BB154" s="57"/>
      <c r="BD154" s="58"/>
      <c r="BE154" s="58"/>
      <c r="BF154" s="58"/>
      <c r="BG154" s="59"/>
      <c r="BI154" s="58"/>
      <c r="BJ154" s="58"/>
      <c r="BK154" s="58"/>
      <c r="BL154" s="59"/>
      <c r="BN154" s="58"/>
      <c r="BO154" s="58"/>
      <c r="BP154" s="58"/>
      <c r="BQ154" s="59"/>
      <c r="BS154" s="58"/>
      <c r="BT154" s="58"/>
      <c r="BU154" s="58"/>
      <c r="BV154" s="59"/>
    </row>
    <row r="155" spans="1:74" x14ac:dyDescent="0.15">
      <c r="A155" s="15" t="s">
        <v>323</v>
      </c>
      <c r="B155" s="15" t="s">
        <v>322</v>
      </c>
      <c r="C155" s="16" t="s">
        <v>225</v>
      </c>
      <c r="D155" s="15">
        <v>1530552</v>
      </c>
      <c r="E155" s="17">
        <v>20</v>
      </c>
      <c r="F155" s="16">
        <v>1</v>
      </c>
      <c r="G155" s="16"/>
      <c r="I155" s="18" t="str">
        <f>IF(OR(ISBLANK(#REF!),ISBLANK(G155)),"·",#REF!*G155/F155/1000000)</f>
        <v>·</v>
      </c>
      <c r="J155" s="19" t="e">
        <f>IF(ISBLANK(#REF!),"·",#REF!/D155)</f>
        <v>#REF!</v>
      </c>
      <c r="K155" s="19" t="e">
        <f>IF(#REF!="","·",#REF!/D155)</f>
        <v>#REF!</v>
      </c>
      <c r="L155" s="19" t="e">
        <f>IF(ISBLANK(#REF!),"·",#REF!/D155)</f>
        <v>#REF!</v>
      </c>
      <c r="M155" s="20"/>
      <c r="N155" s="19" t="e">
        <f>IF(ISBLANK(#REF!),"·",#REF!/#REF!)</f>
        <v>#REF!</v>
      </c>
      <c r="O155" s="21"/>
      <c r="P155" s="22"/>
      <c r="Q155" s="22"/>
      <c r="R155" s="22"/>
      <c r="S155" s="23"/>
      <c r="T155" s="24"/>
      <c r="U155" s="24"/>
      <c r="V155" s="24"/>
      <c r="W155" s="25"/>
      <c r="X155" s="24"/>
      <c r="Y155" s="24"/>
      <c r="Z155" s="24"/>
      <c r="AA155" s="25"/>
      <c r="AB155" s="26"/>
      <c r="AC155" s="26"/>
      <c r="AE155" s="18" t="str">
        <f t="shared" si="10"/>
        <v>·</v>
      </c>
      <c r="AF155" s="19" t="str">
        <f t="shared" si="11"/>
        <v>·</v>
      </c>
      <c r="AG155" s="19" t="str">
        <f t="shared" si="12"/>
        <v>·</v>
      </c>
      <c r="AH155" s="19" t="str">
        <f t="shared" si="13"/>
        <v>·</v>
      </c>
      <c r="AI155" s="20"/>
      <c r="AJ155" s="19" t="str">
        <f t="shared" si="14"/>
        <v>·</v>
      </c>
      <c r="BA155" s="27" t="e">
        <f>(Q155/P155) - (#REF!/#REF!)</f>
        <v>#DIV/0!</v>
      </c>
      <c r="BB155" s="27" t="e">
        <f t="array" ref="BB155">AVERAGE(Q155:Q159/P155:P159) - AVERAGE(#REF!/#REF!)</f>
        <v>#DIV/0!</v>
      </c>
      <c r="BD155" s="28" t="str">
        <f>_xlfn.SINGLE(IF( OR(ISBLANK(_xlfn.SINGLE(#REF!)),ISBLANK(_xlfn.SINGLE(R155:R159)), ISBLANK(_xlfn.SINGLE(#REF!)),ISBLANK(_xlfn.SINGLE(T155:T159))), "·", bdRateExtend(#REF!,#REF!, R155:R159,T155:T159)))</f>
        <v>·</v>
      </c>
      <c r="BE155" s="28" t="str">
        <f>_xlfn.SINGLE(IF( OR(ISBLANK(_xlfn.SINGLE(#REF!)),ISBLANK(_xlfn.SINGLE(R155:R159)), ISBLANK(_xlfn.SINGLE(#REF!)),ISBLANK(_xlfn.SINGLE(U155:U159))), "·", bdRateExtend(#REF!,#REF!, R155:R159,U155:U159)))</f>
        <v>·</v>
      </c>
      <c r="BF155" s="28" t="str">
        <f>_xlfn.SINGLE(IF( OR(ISBLANK(_xlfn.SINGLE(#REF!)),ISBLANK(_xlfn.SINGLE(R155:R159)), ISBLANK(_xlfn.SINGLE(#REF!)),ISBLANK(_xlfn.SINGLE(V155:V159))), "·", bdRateExtend(#REF!,#REF!, R155:R159,V155:V159)))</f>
        <v>·</v>
      </c>
      <c r="BG155" s="29"/>
      <c r="BI155" s="28" t="str">
        <f>_xlfn.SINGLE(IF( OR(ISBLANK(_xlfn.SINGLE(#REF!)),ISBLANK(_xlfn.SINGLE(R155:R159)), ISBLANK(_xlfn.SINGLE(#REF!)),ISBLANK(_xlfn.SINGLE(X155:X159))), "·", bdRateExtend(#REF!,#REF!, R155:R159,X155:X159)))</f>
        <v>·</v>
      </c>
      <c r="BJ155" s="28" t="str">
        <f>_xlfn.SINGLE(IF( OR(ISBLANK(_xlfn.SINGLE(#REF!)),ISBLANK(_xlfn.SINGLE(R155:R159)), ISBLANK(_xlfn.SINGLE(#REF!)),ISBLANK(_xlfn.SINGLE(Y155:Y159))), "·", bdRateExtend(#REF!,#REF!, R155:R159,Y155:Y159)))</f>
        <v>·</v>
      </c>
      <c r="BK155" s="28" t="str">
        <f>_xlfn.SINGLE(IF( OR(ISBLANK(_xlfn.SINGLE(#REF!)),ISBLANK(_xlfn.SINGLE(R155:R159)), ISBLANK(_xlfn.SINGLE(#REF!)),ISBLANK(_xlfn.SINGLE(Z155:Z159))), "·", bdRateExtend(#REF!,#REF!, R155:R159,Z155:Z159)))</f>
        <v>·</v>
      </c>
      <c r="BL155" s="29"/>
      <c r="BN155" s="28" t="str">
        <f>_xlfn.SINGLE(IF( OR(ISBLANK(_xlfn.SINGLE(#REF!)),ISBLANK(_xlfn.SINGLE(P155:P159)), ISBLANK(_xlfn.SINGLE(#REF!)),ISBLANK(_xlfn.SINGLE(T155:T159))), "·", bdRateExtend(#REF!,#REF!, P155:P159,T155:T159)))</f>
        <v>·</v>
      </c>
      <c r="BO155" s="28" t="str">
        <f>_xlfn.SINGLE(IF( OR(ISBLANK(_xlfn.SINGLE(#REF!)),ISBLANK(_xlfn.SINGLE(P155:P159)), ISBLANK(_xlfn.SINGLE(#REF!)),ISBLANK(_xlfn.SINGLE(U155:U159))), "·", bdRateExtend(#REF!,#REF!, P155:P159,U155:U159)))</f>
        <v>·</v>
      </c>
      <c r="BP155" s="28" t="str">
        <f>_xlfn.SINGLE(IF( OR(ISBLANK(_xlfn.SINGLE(#REF!)),ISBLANK(_xlfn.SINGLE(P155:P159)), ISBLANK(_xlfn.SINGLE(#REF!)),ISBLANK(_xlfn.SINGLE(V155:V159))), "·", bdRateExtend(#REF!,#REF!, P155:P159,V155:V159)))</f>
        <v>·</v>
      </c>
      <c r="BQ155" s="29"/>
      <c r="BS155" s="28" t="str">
        <f>_xlfn.SINGLE(IF( OR(ISBLANK(_xlfn.SINGLE(#REF!)),ISBLANK(_xlfn.SINGLE(P155:P159)), ISBLANK(_xlfn.SINGLE(#REF!)),ISBLANK(_xlfn.SINGLE(X155:X159))), "·", bdRateExtend(#REF!,#REF!, P155:P159,X155:X159)))</f>
        <v>·</v>
      </c>
      <c r="BT155" s="28" t="str">
        <f>_xlfn.SINGLE(IF( OR(ISBLANK(_xlfn.SINGLE(#REF!)),ISBLANK(_xlfn.SINGLE(P155:P159)), ISBLANK(_xlfn.SINGLE(#REF!)),ISBLANK(_xlfn.SINGLE(Y155:Y159))), "·", bdRateExtend(#REF!,#REF!, P155:P159,Y155:Y159)))</f>
        <v>·</v>
      </c>
      <c r="BU155" s="28" t="str">
        <f>_xlfn.SINGLE(IF( OR(ISBLANK(_xlfn.SINGLE(#REF!)),ISBLANK(_xlfn.SINGLE(P155:P159)), ISBLANK(_xlfn.SINGLE(#REF!)),ISBLANK(_xlfn.SINGLE(Z155:Z159))), "·", bdRateExtend(#REF!,#REF!, P155:P159,Z155:Z159)))</f>
        <v>·</v>
      </c>
      <c r="BV155" s="29"/>
    </row>
    <row r="156" spans="1:74" outlineLevel="1" x14ac:dyDescent="0.15">
      <c r="A156" s="30"/>
      <c r="B156" s="30" t="s">
        <v>322</v>
      </c>
      <c r="C156" s="31" t="s">
        <v>226</v>
      </c>
      <c r="D156" s="30">
        <v>1530552</v>
      </c>
      <c r="E156" s="32">
        <v>20</v>
      </c>
      <c r="F156" s="31">
        <v>1</v>
      </c>
      <c r="G156" s="31"/>
      <c r="I156" s="33" t="str">
        <f>IF(OR(ISBLANK(#REF!),ISBLANK(G156)),"·",#REF!*G156/F156/1000000)</f>
        <v>·</v>
      </c>
      <c r="J156" s="34" t="e">
        <f>IF(ISBLANK(#REF!),"·",#REF!/D156)</f>
        <v>#REF!</v>
      </c>
      <c r="K156" s="34" t="e">
        <f>IF(#REF!="","·",#REF!/D156)</f>
        <v>#REF!</v>
      </c>
      <c r="L156" s="34" t="e">
        <f>IF(ISBLANK(#REF!),"·",#REF!/D156)</f>
        <v>#REF!</v>
      </c>
      <c r="M156" s="35"/>
      <c r="N156" s="34" t="e">
        <f>IF(ISBLANK(#REF!),"·",#REF!/#REF!)</f>
        <v>#REF!</v>
      </c>
      <c r="O156" s="36"/>
      <c r="P156" s="37"/>
      <c r="Q156" s="37"/>
      <c r="R156" s="37"/>
      <c r="S156" s="38"/>
      <c r="T156" s="39"/>
      <c r="U156" s="39"/>
      <c r="V156" s="39"/>
      <c r="W156" s="40"/>
      <c r="X156" s="39"/>
      <c r="Y156" s="39"/>
      <c r="Z156" s="39"/>
      <c r="AA156" s="40"/>
      <c r="AB156" s="41"/>
      <c r="AC156" s="41"/>
      <c r="AE156" s="33" t="str">
        <f t="shared" si="10"/>
        <v>·</v>
      </c>
      <c r="AF156" s="34" t="str">
        <f t="shared" si="11"/>
        <v>·</v>
      </c>
      <c r="AG156" s="34" t="str">
        <f t="shared" si="12"/>
        <v>·</v>
      </c>
      <c r="AH156" s="34" t="str">
        <f t="shared" si="13"/>
        <v>·</v>
      </c>
      <c r="AI156" s="35"/>
      <c r="AJ156" s="34" t="str">
        <f t="shared" si="14"/>
        <v>·</v>
      </c>
      <c r="BA156" s="42" t="e">
        <f>(Q156/P156) - (#REF!/#REF!)</f>
        <v>#DIV/0!</v>
      </c>
      <c r="BB156" s="42"/>
      <c r="BD156" s="43"/>
      <c r="BE156" s="43"/>
      <c r="BF156" s="43"/>
      <c r="BG156" s="44"/>
      <c r="BI156" s="43"/>
      <c r="BJ156" s="43"/>
      <c r="BK156" s="43"/>
      <c r="BL156" s="44"/>
      <c r="BN156" s="43"/>
      <c r="BO156" s="43"/>
      <c r="BP156" s="43"/>
      <c r="BQ156" s="44"/>
      <c r="BS156" s="43"/>
      <c r="BT156" s="43"/>
      <c r="BU156" s="43"/>
      <c r="BV156" s="44"/>
    </row>
    <row r="157" spans="1:74" outlineLevel="1" x14ac:dyDescent="0.15">
      <c r="A157" s="15"/>
      <c r="B157" s="15" t="s">
        <v>322</v>
      </c>
      <c r="C157" s="16" t="s">
        <v>227</v>
      </c>
      <c r="D157" s="15">
        <v>1530552</v>
      </c>
      <c r="E157" s="17">
        <v>20</v>
      </c>
      <c r="F157" s="16">
        <v>1</v>
      </c>
      <c r="G157" s="16"/>
      <c r="I157" s="18" t="str">
        <f>IF(OR(ISBLANK(#REF!),ISBLANK(G157)),"·",#REF!*G157/F157/1000000)</f>
        <v>·</v>
      </c>
      <c r="J157" s="19" t="e">
        <f>IF(ISBLANK(#REF!),"·",#REF!/D157)</f>
        <v>#REF!</v>
      </c>
      <c r="K157" s="19" t="e">
        <f>IF(#REF!="","·",#REF!/D157)</f>
        <v>#REF!</v>
      </c>
      <c r="L157" s="19" t="e">
        <f>IF(ISBLANK(#REF!),"·",#REF!/D157)</f>
        <v>#REF!</v>
      </c>
      <c r="M157" s="20"/>
      <c r="N157" s="19" t="e">
        <f>IF(ISBLANK(#REF!),"·",#REF!/#REF!)</f>
        <v>#REF!</v>
      </c>
      <c r="O157" s="21"/>
      <c r="P157" s="22"/>
      <c r="Q157" s="22"/>
      <c r="R157" s="22"/>
      <c r="S157" s="23"/>
      <c r="T157" s="24"/>
      <c r="U157" s="24"/>
      <c r="V157" s="24"/>
      <c r="W157" s="25"/>
      <c r="X157" s="24"/>
      <c r="Y157" s="24"/>
      <c r="Z157" s="24"/>
      <c r="AA157" s="25"/>
      <c r="AB157" s="26"/>
      <c r="AC157" s="26"/>
      <c r="AE157" s="18" t="str">
        <f t="shared" si="10"/>
        <v>·</v>
      </c>
      <c r="AF157" s="19" t="str">
        <f t="shared" si="11"/>
        <v>·</v>
      </c>
      <c r="AG157" s="19" t="str">
        <f t="shared" si="12"/>
        <v>·</v>
      </c>
      <c r="AH157" s="19" t="str">
        <f t="shared" si="13"/>
        <v>·</v>
      </c>
      <c r="AI157" s="20"/>
      <c r="AJ157" s="19" t="str">
        <f t="shared" si="14"/>
        <v>·</v>
      </c>
      <c r="BA157" s="27" t="e">
        <f>(Q157/P157) - (#REF!/#REF!)</f>
        <v>#DIV/0!</v>
      </c>
      <c r="BB157" s="27"/>
      <c r="BD157" s="28"/>
      <c r="BE157" s="28"/>
      <c r="BF157" s="28"/>
      <c r="BG157" s="29"/>
      <c r="BI157" s="28"/>
      <c r="BJ157" s="28"/>
      <c r="BK157" s="28"/>
      <c r="BL157" s="29"/>
      <c r="BN157" s="28"/>
      <c r="BO157" s="28"/>
      <c r="BP157" s="28"/>
      <c r="BQ157" s="29"/>
      <c r="BS157" s="28"/>
      <c r="BT157" s="28"/>
      <c r="BU157" s="28"/>
      <c r="BV157" s="29"/>
    </row>
    <row r="158" spans="1:74" outlineLevel="1" x14ac:dyDescent="0.15">
      <c r="A158" s="30"/>
      <c r="B158" s="30" t="s">
        <v>322</v>
      </c>
      <c r="C158" s="31" t="s">
        <v>228</v>
      </c>
      <c r="D158" s="30">
        <v>1530552</v>
      </c>
      <c r="E158" s="32">
        <v>20</v>
      </c>
      <c r="F158" s="31">
        <v>1</v>
      </c>
      <c r="G158" s="31"/>
      <c r="I158" s="33" t="str">
        <f>IF(OR(ISBLANK(#REF!),ISBLANK(G158)),"·",#REF!*G158/F158/1000000)</f>
        <v>·</v>
      </c>
      <c r="J158" s="34" t="e">
        <f>IF(ISBLANK(#REF!),"·",#REF!/D158)</f>
        <v>#REF!</v>
      </c>
      <c r="K158" s="34" t="e">
        <f>IF(#REF!="","·",#REF!/D158)</f>
        <v>#REF!</v>
      </c>
      <c r="L158" s="34" t="e">
        <f>IF(ISBLANK(#REF!),"·",#REF!/D158)</f>
        <v>#REF!</v>
      </c>
      <c r="M158" s="35"/>
      <c r="N158" s="34" t="e">
        <f>IF(ISBLANK(#REF!),"·",#REF!/#REF!)</f>
        <v>#REF!</v>
      </c>
      <c r="O158" s="36"/>
      <c r="P158" s="37"/>
      <c r="Q158" s="37"/>
      <c r="R158" s="37"/>
      <c r="S158" s="38"/>
      <c r="T158" s="39"/>
      <c r="U158" s="39"/>
      <c r="V158" s="39"/>
      <c r="W158" s="40"/>
      <c r="X158" s="39"/>
      <c r="Y158" s="39"/>
      <c r="Z158" s="39"/>
      <c r="AA158" s="40"/>
      <c r="AB158" s="41"/>
      <c r="AC158" s="41"/>
      <c r="AE158" s="33" t="str">
        <f t="shared" si="10"/>
        <v>·</v>
      </c>
      <c r="AF158" s="34" t="str">
        <f t="shared" si="11"/>
        <v>·</v>
      </c>
      <c r="AG158" s="34" t="str">
        <f t="shared" si="12"/>
        <v>·</v>
      </c>
      <c r="AH158" s="34" t="str">
        <f t="shared" si="13"/>
        <v>·</v>
      </c>
      <c r="AI158" s="35"/>
      <c r="AJ158" s="34" t="str">
        <f t="shared" si="14"/>
        <v>·</v>
      </c>
      <c r="BA158" s="42" t="e">
        <f>(Q158/P158) - (#REF!/#REF!)</f>
        <v>#DIV/0!</v>
      </c>
      <c r="BB158" s="42"/>
      <c r="BD158" s="43"/>
      <c r="BE158" s="43"/>
      <c r="BF158" s="43"/>
      <c r="BG158" s="44"/>
      <c r="BI158" s="43"/>
      <c r="BJ158" s="43"/>
      <c r="BK158" s="43"/>
      <c r="BL158" s="44"/>
      <c r="BN158" s="43"/>
      <c r="BO158" s="43"/>
      <c r="BP158" s="43"/>
      <c r="BQ158" s="44"/>
      <c r="BS158" s="43"/>
      <c r="BT158" s="43"/>
      <c r="BU158" s="43"/>
      <c r="BV158" s="44"/>
    </row>
    <row r="159" spans="1:74" ht="14.25" outlineLevel="1" thickBot="1" x14ac:dyDescent="0.2">
      <c r="A159" s="15"/>
      <c r="B159" s="64" t="s">
        <v>322</v>
      </c>
      <c r="C159" s="66" t="s">
        <v>229</v>
      </c>
      <c r="D159" s="64">
        <v>1530552</v>
      </c>
      <c r="E159" s="65">
        <v>20</v>
      </c>
      <c r="F159" s="66">
        <v>1</v>
      </c>
      <c r="G159" s="66"/>
      <c r="I159" s="68" t="str">
        <f>IF(OR(ISBLANK(#REF!),ISBLANK(G159)),"·",#REF!*G159/F159/1000000)</f>
        <v>·</v>
      </c>
      <c r="J159" s="69" t="e">
        <f>IF(ISBLANK(#REF!),"·",#REF!/D159)</f>
        <v>#REF!</v>
      </c>
      <c r="K159" s="69" t="e">
        <f>IF(#REF!="","·",#REF!/D159)</f>
        <v>#REF!</v>
      </c>
      <c r="L159" s="69" t="e">
        <f>IF(ISBLANK(#REF!),"·",#REF!/D159)</f>
        <v>#REF!</v>
      </c>
      <c r="M159" s="70"/>
      <c r="N159" s="69" t="e">
        <f>IF(ISBLANK(#REF!),"·",#REF!/#REF!)</f>
        <v>#REF!</v>
      </c>
      <c r="O159" s="71"/>
      <c r="P159" s="72"/>
      <c r="Q159" s="72"/>
      <c r="R159" s="72"/>
      <c r="S159" s="73"/>
      <c r="T159" s="77"/>
      <c r="U159" s="77"/>
      <c r="V159" s="77"/>
      <c r="W159" s="78"/>
      <c r="X159" s="77"/>
      <c r="Y159" s="77"/>
      <c r="Z159" s="77"/>
      <c r="AA159" s="78"/>
      <c r="AB159" s="74"/>
      <c r="AC159" s="74"/>
      <c r="AE159" s="68" t="str">
        <f t="shared" si="10"/>
        <v>·</v>
      </c>
      <c r="AF159" s="69" t="str">
        <f t="shared" si="11"/>
        <v>·</v>
      </c>
      <c r="AG159" s="69" t="str">
        <f t="shared" si="12"/>
        <v>·</v>
      </c>
      <c r="AH159" s="69" t="str">
        <f t="shared" si="13"/>
        <v>·</v>
      </c>
      <c r="AI159" s="70"/>
      <c r="AJ159" s="69" t="str">
        <f t="shared" si="14"/>
        <v>·</v>
      </c>
      <c r="BA159" s="67" t="e">
        <f>(Q159/P159) - (#REF!/#REF!)</f>
        <v>#DIV/0!</v>
      </c>
      <c r="BB159" s="67"/>
      <c r="BD159" s="75"/>
      <c r="BE159" s="75"/>
      <c r="BF159" s="75"/>
      <c r="BG159" s="76"/>
      <c r="BI159" s="75"/>
      <c r="BJ159" s="75"/>
      <c r="BK159" s="75"/>
      <c r="BL159" s="76"/>
      <c r="BN159" s="75"/>
      <c r="BO159" s="75"/>
      <c r="BP159" s="75"/>
      <c r="BQ159" s="76"/>
      <c r="BS159" s="75"/>
      <c r="BT159" s="75"/>
      <c r="BU159" s="75"/>
      <c r="BV159" s="76"/>
    </row>
    <row r="160" spans="1:74" x14ac:dyDescent="0.15">
      <c r="A160" s="30"/>
      <c r="B160" s="30" t="s">
        <v>326</v>
      </c>
      <c r="C160" s="31" t="s">
        <v>225</v>
      </c>
      <c r="D160" s="30">
        <v>272689</v>
      </c>
      <c r="E160" s="32">
        <v>20</v>
      </c>
      <c r="F160" s="31">
        <v>1</v>
      </c>
      <c r="G160" s="31"/>
      <c r="I160" s="33" t="str">
        <f>IF(OR(ISBLANK(#REF!),ISBLANK(G160)),"·",#REF!*G160/F160/1000000)</f>
        <v>·</v>
      </c>
      <c r="J160" s="34" t="e">
        <f>IF(ISBLANK(#REF!),"·",#REF!/D160)</f>
        <v>#REF!</v>
      </c>
      <c r="K160" s="34" t="e">
        <f>IF(#REF!="","·",#REF!/D160)</f>
        <v>#REF!</v>
      </c>
      <c r="L160" s="34" t="e">
        <f>IF(ISBLANK(#REF!),"·",#REF!/D160)</f>
        <v>#REF!</v>
      </c>
      <c r="M160" s="35"/>
      <c r="N160" s="34" t="e">
        <f>IF(ISBLANK(#REF!),"·",#REF!/#REF!)</f>
        <v>#REF!</v>
      </c>
      <c r="O160" s="36"/>
      <c r="P160" s="37"/>
      <c r="Q160" s="37"/>
      <c r="R160" s="37"/>
      <c r="S160" s="38"/>
      <c r="T160" s="39"/>
      <c r="U160" s="39"/>
      <c r="V160" s="39"/>
      <c r="W160" s="40"/>
      <c r="X160" s="39"/>
      <c r="Y160" s="39"/>
      <c r="Z160" s="39"/>
      <c r="AA160" s="40"/>
      <c r="AB160" s="41"/>
      <c r="AC160" s="41"/>
      <c r="AE160" s="33" t="str">
        <f t="shared" si="10"/>
        <v>·</v>
      </c>
      <c r="AF160" s="34" t="str">
        <f t="shared" si="11"/>
        <v>·</v>
      </c>
      <c r="AG160" s="34" t="str">
        <f t="shared" si="12"/>
        <v>·</v>
      </c>
      <c r="AH160" s="34" t="str">
        <f t="shared" si="13"/>
        <v>·</v>
      </c>
      <c r="AI160" s="35"/>
      <c r="AJ160" s="34" t="str">
        <f t="shared" si="14"/>
        <v>·</v>
      </c>
      <c r="BA160" s="42" t="e">
        <f>(Q160/P160) - (#REF!/#REF!)</f>
        <v>#DIV/0!</v>
      </c>
      <c r="BB160" s="42" t="e">
        <f t="array" ref="BB160">AVERAGE(Q160:Q164/P160:P164) - AVERAGE(#REF!/#REF!)</f>
        <v>#DIV/0!</v>
      </c>
      <c r="BD160" s="43" t="str">
        <f>_xlfn.SINGLE(IF( OR(ISBLANK(_xlfn.SINGLE(#REF!)),ISBLANK(_xlfn.SINGLE(R160:R164)), ISBLANK(_xlfn.SINGLE(#REF!)),ISBLANK(_xlfn.SINGLE(T160:T164))), "·", bdRateExtend(#REF!,#REF!, R160:R164,T160:T164)))</f>
        <v>·</v>
      </c>
      <c r="BE160" s="43" t="str">
        <f>_xlfn.SINGLE(IF( OR(ISBLANK(_xlfn.SINGLE(#REF!)),ISBLANK(_xlfn.SINGLE(R160:R164)), ISBLANK(_xlfn.SINGLE(#REF!)),ISBLANK(_xlfn.SINGLE(U160:U164))), "·", bdRateExtend(#REF!,#REF!, R160:R164,U160:U164)))</f>
        <v>·</v>
      </c>
      <c r="BF160" s="43" t="str">
        <f>_xlfn.SINGLE(IF( OR(ISBLANK(_xlfn.SINGLE(#REF!)),ISBLANK(_xlfn.SINGLE(R160:R164)), ISBLANK(_xlfn.SINGLE(#REF!)),ISBLANK(_xlfn.SINGLE(V160:V164))), "·", bdRateExtend(#REF!,#REF!, R160:R164,V160:V164)))</f>
        <v>·</v>
      </c>
      <c r="BG160" s="44"/>
      <c r="BI160" s="43" t="str">
        <f>_xlfn.SINGLE(IF( OR(ISBLANK(_xlfn.SINGLE(#REF!)),ISBLANK(_xlfn.SINGLE(R160:R164)), ISBLANK(_xlfn.SINGLE(#REF!)),ISBLANK(_xlfn.SINGLE(X160:X164))), "·", bdRateExtend(#REF!,#REF!, R160:R164,X160:X164)))</f>
        <v>·</v>
      </c>
      <c r="BJ160" s="43" t="str">
        <f>_xlfn.SINGLE(IF( OR(ISBLANK(_xlfn.SINGLE(#REF!)),ISBLANK(_xlfn.SINGLE(R160:R164)), ISBLANK(_xlfn.SINGLE(#REF!)),ISBLANK(_xlfn.SINGLE(Y160:Y164))), "·", bdRateExtend(#REF!,#REF!, R160:R164,Y160:Y164)))</f>
        <v>·</v>
      </c>
      <c r="BK160" s="43" t="str">
        <f>_xlfn.SINGLE(IF( OR(ISBLANK(_xlfn.SINGLE(#REF!)),ISBLANK(_xlfn.SINGLE(R160:R164)), ISBLANK(_xlfn.SINGLE(#REF!)),ISBLANK(_xlfn.SINGLE(Z160:Z164))), "·", bdRateExtend(#REF!,#REF!, R160:R164,Z160:Z164)))</f>
        <v>·</v>
      </c>
      <c r="BL160" s="44"/>
      <c r="BN160" s="43" t="str">
        <f>_xlfn.SINGLE(IF( OR(ISBLANK(_xlfn.SINGLE(#REF!)),ISBLANK(_xlfn.SINGLE(P160:P164)), ISBLANK(_xlfn.SINGLE(#REF!)),ISBLANK(_xlfn.SINGLE(T160:T164))), "·", bdRateExtend(#REF!,#REF!, P160:P164,T160:T164)))</f>
        <v>·</v>
      </c>
      <c r="BO160" s="43" t="str">
        <f>_xlfn.SINGLE(IF( OR(ISBLANK(_xlfn.SINGLE(#REF!)),ISBLANK(_xlfn.SINGLE(P160:P164)), ISBLANK(_xlfn.SINGLE(#REF!)),ISBLANK(_xlfn.SINGLE(U160:U164))), "·", bdRateExtend(#REF!,#REF!, P160:P164,U160:U164)))</f>
        <v>·</v>
      </c>
      <c r="BP160" s="43" t="str">
        <f>_xlfn.SINGLE(IF( OR(ISBLANK(_xlfn.SINGLE(#REF!)),ISBLANK(_xlfn.SINGLE(P160:P164)), ISBLANK(_xlfn.SINGLE(#REF!)),ISBLANK(_xlfn.SINGLE(V160:V164))), "·", bdRateExtend(#REF!,#REF!, P160:P164,V160:V164)))</f>
        <v>·</v>
      </c>
      <c r="BQ160" s="44"/>
      <c r="BS160" s="43" t="str">
        <f>_xlfn.SINGLE(IF( OR(ISBLANK(_xlfn.SINGLE(#REF!)),ISBLANK(_xlfn.SINGLE(P160:P164)), ISBLANK(_xlfn.SINGLE(#REF!)),ISBLANK(_xlfn.SINGLE(X160:X164))), "·", bdRateExtend(#REF!,#REF!, P160:P164,X160:X164)))</f>
        <v>·</v>
      </c>
      <c r="BT160" s="43" t="str">
        <f>_xlfn.SINGLE(IF( OR(ISBLANK(_xlfn.SINGLE(#REF!)),ISBLANK(_xlfn.SINGLE(P160:P164)), ISBLANK(_xlfn.SINGLE(#REF!)),ISBLANK(_xlfn.SINGLE(Y160:Y164))), "·", bdRateExtend(#REF!,#REF!, P160:P164,Y160:Y164)))</f>
        <v>·</v>
      </c>
      <c r="BU160" s="43" t="str">
        <f>_xlfn.SINGLE(IF( OR(ISBLANK(_xlfn.SINGLE(#REF!)),ISBLANK(_xlfn.SINGLE(P160:P164)), ISBLANK(_xlfn.SINGLE(#REF!)),ISBLANK(_xlfn.SINGLE(Z160:Z164))), "·", bdRateExtend(#REF!,#REF!, P160:P164,Z160:Z164)))</f>
        <v>·</v>
      </c>
      <c r="BV160" s="44"/>
    </row>
    <row r="161" spans="1:74" outlineLevel="1" x14ac:dyDescent="0.15">
      <c r="A161" s="15"/>
      <c r="B161" s="15" t="s">
        <v>326</v>
      </c>
      <c r="C161" s="16" t="s">
        <v>226</v>
      </c>
      <c r="D161" s="15">
        <v>272689</v>
      </c>
      <c r="E161" s="17">
        <v>20</v>
      </c>
      <c r="F161" s="16">
        <v>1</v>
      </c>
      <c r="G161" s="16"/>
      <c r="I161" s="18" t="str">
        <f>IF(OR(ISBLANK(#REF!),ISBLANK(G161)),"·",#REF!*G161/F161/1000000)</f>
        <v>·</v>
      </c>
      <c r="J161" s="19" t="e">
        <f>IF(ISBLANK(#REF!),"·",#REF!/D161)</f>
        <v>#REF!</v>
      </c>
      <c r="K161" s="19" t="e">
        <f>IF(#REF!="","·",#REF!/D161)</f>
        <v>#REF!</v>
      </c>
      <c r="L161" s="19" t="e">
        <f>IF(ISBLANK(#REF!),"·",#REF!/D161)</f>
        <v>#REF!</v>
      </c>
      <c r="M161" s="20"/>
      <c r="N161" s="19" t="e">
        <f>IF(ISBLANK(#REF!),"·",#REF!/#REF!)</f>
        <v>#REF!</v>
      </c>
      <c r="O161" s="21"/>
      <c r="P161" s="22"/>
      <c r="Q161" s="22"/>
      <c r="R161" s="22"/>
      <c r="S161" s="23"/>
      <c r="T161" s="24"/>
      <c r="U161" s="24"/>
      <c r="V161" s="24"/>
      <c r="W161" s="25"/>
      <c r="X161" s="24"/>
      <c r="Y161" s="24"/>
      <c r="Z161" s="24"/>
      <c r="AA161" s="25"/>
      <c r="AB161" s="26"/>
      <c r="AC161" s="26"/>
      <c r="AE161" s="18" t="str">
        <f t="shared" si="10"/>
        <v>·</v>
      </c>
      <c r="AF161" s="19" t="str">
        <f t="shared" si="11"/>
        <v>·</v>
      </c>
      <c r="AG161" s="19" t="str">
        <f t="shared" si="12"/>
        <v>·</v>
      </c>
      <c r="AH161" s="19" t="str">
        <f t="shared" si="13"/>
        <v>·</v>
      </c>
      <c r="AI161" s="20"/>
      <c r="AJ161" s="19" t="str">
        <f t="shared" si="14"/>
        <v>·</v>
      </c>
      <c r="BA161" s="27" t="e">
        <f>(Q161/P161) - (#REF!/#REF!)</f>
        <v>#DIV/0!</v>
      </c>
      <c r="BB161" s="27"/>
      <c r="BD161" s="28"/>
      <c r="BE161" s="28"/>
      <c r="BF161" s="28"/>
      <c r="BG161" s="29"/>
      <c r="BI161" s="28"/>
      <c r="BJ161" s="28"/>
      <c r="BK161" s="28"/>
      <c r="BL161" s="29"/>
      <c r="BN161" s="28"/>
      <c r="BO161" s="28"/>
      <c r="BP161" s="28"/>
      <c r="BQ161" s="29"/>
      <c r="BS161" s="28"/>
      <c r="BT161" s="28"/>
      <c r="BU161" s="28"/>
      <c r="BV161" s="29"/>
    </row>
    <row r="162" spans="1:74" outlineLevel="1" x14ac:dyDescent="0.15">
      <c r="A162" s="30"/>
      <c r="B162" s="30" t="s">
        <v>326</v>
      </c>
      <c r="C162" s="31" t="s">
        <v>227</v>
      </c>
      <c r="D162" s="30">
        <v>272689</v>
      </c>
      <c r="E162" s="32">
        <v>20</v>
      </c>
      <c r="F162" s="31">
        <v>1</v>
      </c>
      <c r="G162" s="31"/>
      <c r="I162" s="33" t="str">
        <f>IF(OR(ISBLANK(#REF!),ISBLANK(G162)),"·",#REF!*G162/F162/1000000)</f>
        <v>·</v>
      </c>
      <c r="J162" s="34" t="e">
        <f>IF(ISBLANK(#REF!),"·",#REF!/D162)</f>
        <v>#REF!</v>
      </c>
      <c r="K162" s="34" t="e">
        <f>IF(#REF!="","·",#REF!/D162)</f>
        <v>#REF!</v>
      </c>
      <c r="L162" s="34" t="e">
        <f>IF(ISBLANK(#REF!),"·",#REF!/D162)</f>
        <v>#REF!</v>
      </c>
      <c r="M162" s="35"/>
      <c r="N162" s="34" t="e">
        <f>IF(ISBLANK(#REF!),"·",#REF!/#REF!)</f>
        <v>#REF!</v>
      </c>
      <c r="O162" s="36"/>
      <c r="P162" s="37"/>
      <c r="Q162" s="37"/>
      <c r="R162" s="37"/>
      <c r="S162" s="38"/>
      <c r="T162" s="39"/>
      <c r="U162" s="39"/>
      <c r="V162" s="39"/>
      <c r="W162" s="40"/>
      <c r="X162" s="39"/>
      <c r="Y162" s="39"/>
      <c r="Z162" s="39"/>
      <c r="AA162" s="40"/>
      <c r="AB162" s="41"/>
      <c r="AC162" s="41"/>
      <c r="AE162" s="33" t="str">
        <f t="shared" si="10"/>
        <v>·</v>
      </c>
      <c r="AF162" s="34" t="str">
        <f t="shared" si="11"/>
        <v>·</v>
      </c>
      <c r="AG162" s="34" t="str">
        <f t="shared" si="12"/>
        <v>·</v>
      </c>
      <c r="AH162" s="34" t="str">
        <f t="shared" si="13"/>
        <v>·</v>
      </c>
      <c r="AI162" s="35"/>
      <c r="AJ162" s="34" t="str">
        <f t="shared" si="14"/>
        <v>·</v>
      </c>
      <c r="BA162" s="42" t="e">
        <f>(Q162/P162) - (#REF!/#REF!)</f>
        <v>#DIV/0!</v>
      </c>
      <c r="BB162" s="42"/>
      <c r="BD162" s="43"/>
      <c r="BE162" s="43"/>
      <c r="BF162" s="43"/>
      <c r="BG162" s="44"/>
      <c r="BI162" s="43"/>
      <c r="BJ162" s="43"/>
      <c r="BK162" s="43"/>
      <c r="BL162" s="44"/>
      <c r="BN162" s="43"/>
      <c r="BO162" s="43"/>
      <c r="BP162" s="43"/>
      <c r="BQ162" s="44"/>
      <c r="BS162" s="43"/>
      <c r="BT162" s="43"/>
      <c r="BU162" s="43"/>
      <c r="BV162" s="44"/>
    </row>
    <row r="163" spans="1:74" outlineLevel="1" x14ac:dyDescent="0.15">
      <c r="A163" s="15"/>
      <c r="B163" s="15" t="s">
        <v>326</v>
      </c>
      <c r="C163" s="16" t="s">
        <v>228</v>
      </c>
      <c r="D163" s="15">
        <v>272689</v>
      </c>
      <c r="E163" s="17">
        <v>20</v>
      </c>
      <c r="F163" s="16">
        <v>1</v>
      </c>
      <c r="G163" s="16"/>
      <c r="I163" s="18" t="str">
        <f>IF(OR(ISBLANK(#REF!),ISBLANK(G163)),"·",#REF!*G163/F163/1000000)</f>
        <v>·</v>
      </c>
      <c r="J163" s="19" t="e">
        <f>IF(ISBLANK(#REF!),"·",#REF!/D163)</f>
        <v>#REF!</v>
      </c>
      <c r="K163" s="19" t="e">
        <f>IF(#REF!="","·",#REF!/D163)</f>
        <v>#REF!</v>
      </c>
      <c r="L163" s="19" t="e">
        <f>IF(ISBLANK(#REF!),"·",#REF!/D163)</f>
        <v>#REF!</v>
      </c>
      <c r="M163" s="20"/>
      <c r="N163" s="19" t="e">
        <f>IF(ISBLANK(#REF!),"·",#REF!/#REF!)</f>
        <v>#REF!</v>
      </c>
      <c r="O163" s="21"/>
      <c r="P163" s="22"/>
      <c r="Q163" s="22"/>
      <c r="R163" s="22"/>
      <c r="S163" s="23"/>
      <c r="T163" s="24"/>
      <c r="U163" s="24"/>
      <c r="V163" s="24"/>
      <c r="W163" s="25"/>
      <c r="X163" s="24"/>
      <c r="Y163" s="24"/>
      <c r="Z163" s="24"/>
      <c r="AA163" s="25"/>
      <c r="AB163" s="26"/>
      <c r="AC163" s="26"/>
      <c r="AE163" s="18" t="str">
        <f t="shared" si="10"/>
        <v>·</v>
      </c>
      <c r="AF163" s="19" t="str">
        <f t="shared" si="11"/>
        <v>·</v>
      </c>
      <c r="AG163" s="19" t="str">
        <f t="shared" si="12"/>
        <v>·</v>
      </c>
      <c r="AH163" s="19" t="str">
        <f t="shared" si="13"/>
        <v>·</v>
      </c>
      <c r="AI163" s="20"/>
      <c r="AJ163" s="19" t="str">
        <f t="shared" si="14"/>
        <v>·</v>
      </c>
      <c r="BA163" s="27" t="e">
        <f>(Q163/P163) - (#REF!/#REF!)</f>
        <v>#DIV/0!</v>
      </c>
      <c r="BB163" s="27"/>
      <c r="BD163" s="28"/>
      <c r="BE163" s="28"/>
      <c r="BF163" s="28"/>
      <c r="BG163" s="29"/>
      <c r="BI163" s="28"/>
      <c r="BJ163" s="28"/>
      <c r="BK163" s="28"/>
      <c r="BL163" s="29"/>
      <c r="BN163" s="28"/>
      <c r="BO163" s="28"/>
      <c r="BP163" s="28"/>
      <c r="BQ163" s="29"/>
      <c r="BS163" s="28"/>
      <c r="BT163" s="28"/>
      <c r="BU163" s="28"/>
      <c r="BV163" s="29"/>
    </row>
    <row r="164" spans="1:74" ht="14.25" outlineLevel="1" thickBot="1" x14ac:dyDescent="0.2">
      <c r="A164" s="30"/>
      <c r="B164" s="45" t="s">
        <v>326</v>
      </c>
      <c r="C164" s="46" t="s">
        <v>229</v>
      </c>
      <c r="D164" s="45">
        <v>272689</v>
      </c>
      <c r="E164" s="47">
        <v>20</v>
      </c>
      <c r="F164" s="46">
        <v>1</v>
      </c>
      <c r="G164" s="46"/>
      <c r="I164" s="48" t="str">
        <f>IF(OR(ISBLANK(#REF!),ISBLANK(G164)),"·",#REF!*G164/F164/1000000)</f>
        <v>·</v>
      </c>
      <c r="J164" s="49" t="e">
        <f>IF(ISBLANK(#REF!),"·",#REF!/D164)</f>
        <v>#REF!</v>
      </c>
      <c r="K164" s="49" t="e">
        <f>IF(#REF!="","·",#REF!/D164)</f>
        <v>#REF!</v>
      </c>
      <c r="L164" s="49" t="e">
        <f>IF(ISBLANK(#REF!),"·",#REF!/D164)</f>
        <v>#REF!</v>
      </c>
      <c r="M164" s="50"/>
      <c r="N164" s="49" t="e">
        <f>IF(ISBLANK(#REF!),"·",#REF!/#REF!)</f>
        <v>#REF!</v>
      </c>
      <c r="O164" s="51"/>
      <c r="P164" s="52"/>
      <c r="Q164" s="52"/>
      <c r="R164" s="52"/>
      <c r="S164" s="53"/>
      <c r="T164" s="54"/>
      <c r="U164" s="54"/>
      <c r="V164" s="54"/>
      <c r="W164" s="55"/>
      <c r="X164" s="54"/>
      <c r="Y164" s="54"/>
      <c r="Z164" s="54"/>
      <c r="AA164" s="55"/>
      <c r="AB164" s="56"/>
      <c r="AC164" s="56"/>
      <c r="AE164" s="48" t="str">
        <f t="shared" si="10"/>
        <v>·</v>
      </c>
      <c r="AF164" s="49" t="str">
        <f t="shared" si="11"/>
        <v>·</v>
      </c>
      <c r="AG164" s="49" t="str">
        <f t="shared" si="12"/>
        <v>·</v>
      </c>
      <c r="AH164" s="49" t="str">
        <f t="shared" si="13"/>
        <v>·</v>
      </c>
      <c r="AI164" s="50"/>
      <c r="AJ164" s="49" t="str">
        <f t="shared" si="14"/>
        <v>·</v>
      </c>
      <c r="BA164" s="57" t="e">
        <f>(Q164/P164) - (#REF!/#REF!)</f>
        <v>#DIV/0!</v>
      </c>
      <c r="BB164" s="57"/>
      <c r="BD164" s="58"/>
      <c r="BE164" s="58"/>
      <c r="BF164" s="58"/>
      <c r="BG164" s="59"/>
      <c r="BI164" s="58"/>
      <c r="BJ164" s="58"/>
      <c r="BK164" s="58"/>
      <c r="BL164" s="59"/>
      <c r="BN164" s="58"/>
      <c r="BO164" s="58"/>
      <c r="BP164" s="58"/>
      <c r="BQ164" s="59"/>
      <c r="BS164" s="58"/>
      <c r="BT164" s="58"/>
      <c r="BU164" s="58"/>
      <c r="BV164" s="59"/>
    </row>
    <row r="165" spans="1:74" x14ac:dyDescent="0.15">
      <c r="A165" s="15"/>
      <c r="B165" s="15" t="s">
        <v>329</v>
      </c>
      <c r="C165" s="16" t="s">
        <v>225</v>
      </c>
      <c r="D165" s="15">
        <v>1602990</v>
      </c>
      <c r="E165" s="17">
        <v>20</v>
      </c>
      <c r="F165" s="16">
        <v>1</v>
      </c>
      <c r="G165" s="16"/>
      <c r="I165" s="18" t="str">
        <f>IF(OR(ISBLANK(#REF!),ISBLANK(G165)),"·",#REF!*G165/F165/1000000)</f>
        <v>·</v>
      </c>
      <c r="J165" s="19" t="e">
        <f>IF(ISBLANK(#REF!),"·",#REF!/D165)</f>
        <v>#REF!</v>
      </c>
      <c r="K165" s="19" t="e">
        <f>IF(#REF!="","·",#REF!/D165)</f>
        <v>#REF!</v>
      </c>
      <c r="L165" s="19" t="e">
        <f>IF(ISBLANK(#REF!),"·",#REF!/D165)</f>
        <v>#REF!</v>
      </c>
      <c r="M165" s="20"/>
      <c r="N165" s="19" t="e">
        <f>IF(ISBLANK(#REF!),"·",#REF!/#REF!)</f>
        <v>#REF!</v>
      </c>
      <c r="O165" s="21"/>
      <c r="P165" s="22"/>
      <c r="Q165" s="22"/>
      <c r="R165" s="22"/>
      <c r="S165" s="23"/>
      <c r="T165" s="24"/>
      <c r="U165" s="24"/>
      <c r="V165" s="24"/>
      <c r="W165" s="25"/>
      <c r="X165" s="24"/>
      <c r="Y165" s="24"/>
      <c r="Z165" s="24"/>
      <c r="AA165" s="25"/>
      <c r="AB165" s="26"/>
      <c r="AC165" s="26"/>
      <c r="AE165" s="18" t="str">
        <f t="shared" si="10"/>
        <v>·</v>
      </c>
      <c r="AF165" s="19" t="str">
        <f t="shared" si="11"/>
        <v>·</v>
      </c>
      <c r="AG165" s="19" t="str">
        <f t="shared" si="12"/>
        <v>·</v>
      </c>
      <c r="AH165" s="19" t="str">
        <f t="shared" si="13"/>
        <v>·</v>
      </c>
      <c r="AI165" s="20"/>
      <c r="AJ165" s="19" t="str">
        <f t="shared" si="14"/>
        <v>·</v>
      </c>
      <c r="BA165" s="27" t="e">
        <f>(Q165/P165) - (#REF!/#REF!)</f>
        <v>#DIV/0!</v>
      </c>
      <c r="BB165" s="27" t="e">
        <f t="array" ref="BB165">AVERAGE(Q165:Q169/P165:P169) - AVERAGE(#REF!/#REF!)</f>
        <v>#DIV/0!</v>
      </c>
      <c r="BD165" s="28" t="str">
        <f>_xlfn.SINGLE(IF( OR(ISBLANK(_xlfn.SINGLE(#REF!)),ISBLANK(_xlfn.SINGLE(R165:R169)), ISBLANK(_xlfn.SINGLE(#REF!)),ISBLANK(_xlfn.SINGLE(T165:T169))), "·", bdRateExtend(#REF!,#REF!, R165:R169,T165:T169)))</f>
        <v>·</v>
      </c>
      <c r="BE165" s="28" t="str">
        <f>_xlfn.SINGLE(IF( OR(ISBLANK(_xlfn.SINGLE(#REF!)),ISBLANK(_xlfn.SINGLE(R165:R169)), ISBLANK(_xlfn.SINGLE(#REF!)),ISBLANK(_xlfn.SINGLE(U165:U169))), "·", bdRateExtend(#REF!,#REF!, R165:R169,U165:U169)))</f>
        <v>·</v>
      </c>
      <c r="BF165" s="28" t="str">
        <f>_xlfn.SINGLE(IF( OR(ISBLANK(_xlfn.SINGLE(#REF!)),ISBLANK(_xlfn.SINGLE(R165:R169)), ISBLANK(_xlfn.SINGLE(#REF!)),ISBLANK(_xlfn.SINGLE(V165:V169))), "·", bdRateExtend(#REF!,#REF!, R165:R169,V165:V169)))</f>
        <v>·</v>
      </c>
      <c r="BG165" s="29"/>
      <c r="BI165" s="28" t="str">
        <f>_xlfn.SINGLE(IF( OR(ISBLANK(_xlfn.SINGLE(#REF!)),ISBLANK(_xlfn.SINGLE(R165:R169)), ISBLANK(_xlfn.SINGLE(#REF!)),ISBLANK(_xlfn.SINGLE(X165:X169))), "·", bdRateExtend(#REF!,#REF!, R165:R169,X165:X169)))</f>
        <v>·</v>
      </c>
      <c r="BJ165" s="28" t="str">
        <f>_xlfn.SINGLE(IF( OR(ISBLANK(_xlfn.SINGLE(#REF!)),ISBLANK(_xlfn.SINGLE(R165:R169)), ISBLANK(_xlfn.SINGLE(#REF!)),ISBLANK(_xlfn.SINGLE(Y165:Y169))), "·", bdRateExtend(#REF!,#REF!, R165:R169,Y165:Y169)))</f>
        <v>·</v>
      </c>
      <c r="BK165" s="28" t="str">
        <f>_xlfn.SINGLE(IF( OR(ISBLANK(_xlfn.SINGLE(#REF!)),ISBLANK(_xlfn.SINGLE(R165:R169)), ISBLANK(_xlfn.SINGLE(#REF!)),ISBLANK(_xlfn.SINGLE(Z165:Z169))), "·", bdRateExtend(#REF!,#REF!, R165:R169,Z165:Z169)))</f>
        <v>·</v>
      </c>
      <c r="BL165" s="29"/>
      <c r="BN165" s="28" t="str">
        <f>_xlfn.SINGLE(IF( OR(ISBLANK(_xlfn.SINGLE(#REF!)),ISBLANK(_xlfn.SINGLE(P165:P169)), ISBLANK(_xlfn.SINGLE(#REF!)),ISBLANK(_xlfn.SINGLE(T165:T169))), "·", bdRateExtend(#REF!,#REF!, P165:P169,T165:T169)))</f>
        <v>·</v>
      </c>
      <c r="BO165" s="28" t="str">
        <f>_xlfn.SINGLE(IF( OR(ISBLANK(_xlfn.SINGLE(#REF!)),ISBLANK(_xlfn.SINGLE(P165:P169)), ISBLANK(_xlfn.SINGLE(#REF!)),ISBLANK(_xlfn.SINGLE(U165:U169))), "·", bdRateExtend(#REF!,#REF!, P165:P169,U165:U169)))</f>
        <v>·</v>
      </c>
      <c r="BP165" s="28" t="str">
        <f>_xlfn.SINGLE(IF( OR(ISBLANK(_xlfn.SINGLE(#REF!)),ISBLANK(_xlfn.SINGLE(P165:P169)), ISBLANK(_xlfn.SINGLE(#REF!)),ISBLANK(_xlfn.SINGLE(V165:V169))), "·", bdRateExtend(#REF!,#REF!, P165:P169,V165:V169)))</f>
        <v>·</v>
      </c>
      <c r="BQ165" s="29"/>
      <c r="BS165" s="28" t="str">
        <f>_xlfn.SINGLE(IF( OR(ISBLANK(_xlfn.SINGLE(#REF!)),ISBLANK(_xlfn.SINGLE(P165:P169)), ISBLANK(_xlfn.SINGLE(#REF!)),ISBLANK(_xlfn.SINGLE(X165:X169))), "·", bdRateExtend(#REF!,#REF!, P165:P169,X165:X169)))</f>
        <v>·</v>
      </c>
      <c r="BT165" s="28" t="str">
        <f>_xlfn.SINGLE(IF( OR(ISBLANK(_xlfn.SINGLE(#REF!)),ISBLANK(_xlfn.SINGLE(P165:P169)), ISBLANK(_xlfn.SINGLE(#REF!)),ISBLANK(_xlfn.SINGLE(Y165:Y169))), "·", bdRateExtend(#REF!,#REF!, P165:P169,Y165:Y169)))</f>
        <v>·</v>
      </c>
      <c r="BU165" s="28" t="str">
        <f>_xlfn.SINGLE(IF( OR(ISBLANK(_xlfn.SINGLE(#REF!)),ISBLANK(_xlfn.SINGLE(P165:P169)), ISBLANK(_xlfn.SINGLE(#REF!)),ISBLANK(_xlfn.SINGLE(Z165:Z169))), "·", bdRateExtend(#REF!,#REF!, P165:P169,Z165:Z169)))</f>
        <v>·</v>
      </c>
      <c r="BV165" s="29"/>
    </row>
    <row r="166" spans="1:74" outlineLevel="1" x14ac:dyDescent="0.15">
      <c r="A166" s="30"/>
      <c r="B166" s="30" t="s">
        <v>329</v>
      </c>
      <c r="C166" s="31" t="s">
        <v>226</v>
      </c>
      <c r="D166" s="30">
        <v>1602990</v>
      </c>
      <c r="E166" s="32">
        <v>20</v>
      </c>
      <c r="F166" s="31">
        <v>1</v>
      </c>
      <c r="G166" s="31"/>
      <c r="I166" s="33" t="str">
        <f>IF(OR(ISBLANK(#REF!),ISBLANK(G166)),"·",#REF!*G166/F166/1000000)</f>
        <v>·</v>
      </c>
      <c r="J166" s="34" t="e">
        <f>IF(ISBLANK(#REF!),"·",#REF!/D166)</f>
        <v>#REF!</v>
      </c>
      <c r="K166" s="34" t="e">
        <f>IF(#REF!="","·",#REF!/D166)</f>
        <v>#REF!</v>
      </c>
      <c r="L166" s="34" t="e">
        <f>IF(ISBLANK(#REF!),"·",#REF!/D166)</f>
        <v>#REF!</v>
      </c>
      <c r="M166" s="35"/>
      <c r="N166" s="34" t="e">
        <f>IF(ISBLANK(#REF!),"·",#REF!/#REF!)</f>
        <v>#REF!</v>
      </c>
      <c r="O166" s="36"/>
      <c r="P166" s="37"/>
      <c r="Q166" s="37"/>
      <c r="R166" s="37"/>
      <c r="S166" s="38"/>
      <c r="T166" s="39"/>
      <c r="U166" s="39"/>
      <c r="V166" s="39"/>
      <c r="W166" s="40"/>
      <c r="X166" s="39"/>
      <c r="Y166" s="39"/>
      <c r="Z166" s="39"/>
      <c r="AA166" s="40"/>
      <c r="AB166" s="41"/>
      <c r="AC166" s="41"/>
      <c r="AE166" s="33" t="str">
        <f t="shared" si="10"/>
        <v>·</v>
      </c>
      <c r="AF166" s="34" t="str">
        <f t="shared" si="11"/>
        <v>·</v>
      </c>
      <c r="AG166" s="34" t="str">
        <f t="shared" si="12"/>
        <v>·</v>
      </c>
      <c r="AH166" s="34" t="str">
        <f t="shared" si="13"/>
        <v>·</v>
      </c>
      <c r="AI166" s="35"/>
      <c r="AJ166" s="34" t="str">
        <f t="shared" si="14"/>
        <v>·</v>
      </c>
      <c r="BA166" s="42" t="e">
        <f>(Q166/P166) - (#REF!/#REF!)</f>
        <v>#DIV/0!</v>
      </c>
      <c r="BB166" s="42"/>
      <c r="BD166" s="43"/>
      <c r="BE166" s="43"/>
      <c r="BF166" s="43"/>
      <c r="BG166" s="44"/>
      <c r="BI166" s="43"/>
      <c r="BJ166" s="43"/>
      <c r="BK166" s="43"/>
      <c r="BL166" s="44"/>
      <c r="BN166" s="43"/>
      <c r="BO166" s="43"/>
      <c r="BP166" s="43"/>
      <c r="BQ166" s="44"/>
      <c r="BS166" s="43"/>
      <c r="BT166" s="43"/>
      <c r="BU166" s="43"/>
      <c r="BV166" s="44"/>
    </row>
    <row r="167" spans="1:74" outlineLevel="1" x14ac:dyDescent="0.15">
      <c r="A167" s="15"/>
      <c r="B167" s="15" t="s">
        <v>329</v>
      </c>
      <c r="C167" s="16" t="s">
        <v>227</v>
      </c>
      <c r="D167" s="15">
        <v>1602990</v>
      </c>
      <c r="E167" s="17">
        <v>20</v>
      </c>
      <c r="F167" s="16">
        <v>1</v>
      </c>
      <c r="G167" s="16"/>
      <c r="I167" s="18" t="str">
        <f>IF(OR(ISBLANK(#REF!),ISBLANK(G167)),"·",#REF!*G167/F167/1000000)</f>
        <v>·</v>
      </c>
      <c r="J167" s="19" t="e">
        <f>IF(ISBLANK(#REF!),"·",#REF!/D167)</f>
        <v>#REF!</v>
      </c>
      <c r="K167" s="19" t="e">
        <f>IF(#REF!="","·",#REF!/D167)</f>
        <v>#REF!</v>
      </c>
      <c r="L167" s="19" t="e">
        <f>IF(ISBLANK(#REF!),"·",#REF!/D167)</f>
        <v>#REF!</v>
      </c>
      <c r="M167" s="20"/>
      <c r="N167" s="19" t="e">
        <f>IF(ISBLANK(#REF!),"·",#REF!/#REF!)</f>
        <v>#REF!</v>
      </c>
      <c r="O167" s="21"/>
      <c r="P167" s="22"/>
      <c r="Q167" s="22"/>
      <c r="R167" s="22"/>
      <c r="S167" s="23"/>
      <c r="T167" s="24"/>
      <c r="U167" s="24"/>
      <c r="V167" s="24"/>
      <c r="W167" s="25"/>
      <c r="X167" s="24"/>
      <c r="Y167" s="24"/>
      <c r="Z167" s="24"/>
      <c r="AA167" s="25"/>
      <c r="AB167" s="26"/>
      <c r="AC167" s="26"/>
      <c r="AE167" s="18" t="str">
        <f t="shared" si="10"/>
        <v>·</v>
      </c>
      <c r="AF167" s="19" t="str">
        <f t="shared" si="11"/>
        <v>·</v>
      </c>
      <c r="AG167" s="19" t="str">
        <f t="shared" si="12"/>
        <v>·</v>
      </c>
      <c r="AH167" s="19" t="str">
        <f t="shared" si="13"/>
        <v>·</v>
      </c>
      <c r="AI167" s="20"/>
      <c r="AJ167" s="19" t="str">
        <f t="shared" si="14"/>
        <v>·</v>
      </c>
      <c r="BA167" s="27" t="e">
        <f>(Q167/P167) - (#REF!/#REF!)</f>
        <v>#DIV/0!</v>
      </c>
      <c r="BB167" s="27"/>
      <c r="BD167" s="28"/>
      <c r="BE167" s="28"/>
      <c r="BF167" s="28"/>
      <c r="BG167" s="29"/>
      <c r="BI167" s="28"/>
      <c r="BJ167" s="28"/>
      <c r="BK167" s="28"/>
      <c r="BL167" s="29"/>
      <c r="BN167" s="28"/>
      <c r="BO167" s="28"/>
      <c r="BP167" s="28"/>
      <c r="BQ167" s="29"/>
      <c r="BS167" s="28"/>
      <c r="BT167" s="28"/>
      <c r="BU167" s="28"/>
      <c r="BV167" s="29"/>
    </row>
    <row r="168" spans="1:74" outlineLevel="1" x14ac:dyDescent="0.15">
      <c r="A168" s="30"/>
      <c r="B168" s="30" t="s">
        <v>329</v>
      </c>
      <c r="C168" s="31" t="s">
        <v>228</v>
      </c>
      <c r="D168" s="30">
        <v>1602990</v>
      </c>
      <c r="E168" s="32">
        <v>20</v>
      </c>
      <c r="F168" s="31">
        <v>1</v>
      </c>
      <c r="G168" s="31"/>
      <c r="I168" s="33" t="str">
        <f>IF(OR(ISBLANK(#REF!),ISBLANK(G168)),"·",#REF!*G168/F168/1000000)</f>
        <v>·</v>
      </c>
      <c r="J168" s="34" t="e">
        <f>IF(ISBLANK(#REF!),"·",#REF!/D168)</f>
        <v>#REF!</v>
      </c>
      <c r="K168" s="34" t="e">
        <f>IF(#REF!="","·",#REF!/D168)</f>
        <v>#REF!</v>
      </c>
      <c r="L168" s="34" t="e">
        <f>IF(ISBLANK(#REF!),"·",#REF!/D168)</f>
        <v>#REF!</v>
      </c>
      <c r="M168" s="35"/>
      <c r="N168" s="34" t="e">
        <f>IF(ISBLANK(#REF!),"·",#REF!/#REF!)</f>
        <v>#REF!</v>
      </c>
      <c r="O168" s="36"/>
      <c r="P168" s="37"/>
      <c r="Q168" s="37"/>
      <c r="R168" s="37"/>
      <c r="S168" s="38"/>
      <c r="T168" s="39"/>
      <c r="U168" s="39"/>
      <c r="V168" s="39"/>
      <c r="W168" s="40"/>
      <c r="X168" s="39"/>
      <c r="Y168" s="39"/>
      <c r="Z168" s="39"/>
      <c r="AA168" s="40"/>
      <c r="AB168" s="41"/>
      <c r="AC168" s="41"/>
      <c r="AE168" s="33" t="str">
        <f t="shared" si="10"/>
        <v>·</v>
      </c>
      <c r="AF168" s="34" t="str">
        <f t="shared" si="11"/>
        <v>·</v>
      </c>
      <c r="AG168" s="34" t="str">
        <f t="shared" si="12"/>
        <v>·</v>
      </c>
      <c r="AH168" s="34" t="str">
        <f t="shared" si="13"/>
        <v>·</v>
      </c>
      <c r="AI168" s="35"/>
      <c r="AJ168" s="34" t="str">
        <f t="shared" si="14"/>
        <v>·</v>
      </c>
      <c r="BA168" s="42" t="e">
        <f>(Q168/P168) - (#REF!/#REF!)</f>
        <v>#DIV/0!</v>
      </c>
      <c r="BB168" s="42"/>
      <c r="BD168" s="43"/>
      <c r="BE168" s="43"/>
      <c r="BF168" s="43"/>
      <c r="BG168" s="44"/>
      <c r="BI168" s="43"/>
      <c r="BJ168" s="43"/>
      <c r="BK168" s="43"/>
      <c r="BL168" s="44"/>
      <c r="BN168" s="43"/>
      <c r="BO168" s="43"/>
      <c r="BP168" s="43"/>
      <c r="BQ168" s="44"/>
      <c r="BS168" s="43"/>
      <c r="BT168" s="43"/>
      <c r="BU168" s="43"/>
      <c r="BV168" s="44"/>
    </row>
    <row r="169" spans="1:74" ht="14.25" outlineLevel="1" thickBot="1" x14ac:dyDescent="0.2">
      <c r="A169" s="15"/>
      <c r="B169" s="64" t="s">
        <v>329</v>
      </c>
      <c r="C169" s="66" t="s">
        <v>229</v>
      </c>
      <c r="D169" s="64">
        <v>1602990</v>
      </c>
      <c r="E169" s="65">
        <v>20</v>
      </c>
      <c r="F169" s="66">
        <v>1</v>
      </c>
      <c r="G169" s="66"/>
      <c r="I169" s="68" t="str">
        <f>IF(OR(ISBLANK(#REF!),ISBLANK(G169)),"·",#REF!*G169/F169/1000000)</f>
        <v>·</v>
      </c>
      <c r="J169" s="69" t="e">
        <f>IF(ISBLANK(#REF!),"·",#REF!/D169)</f>
        <v>#REF!</v>
      </c>
      <c r="K169" s="69" t="e">
        <f>IF(#REF!="","·",#REF!/D169)</f>
        <v>#REF!</v>
      </c>
      <c r="L169" s="69" t="e">
        <f>IF(ISBLANK(#REF!),"·",#REF!/D169)</f>
        <v>#REF!</v>
      </c>
      <c r="M169" s="70"/>
      <c r="N169" s="69" t="e">
        <f>IF(ISBLANK(#REF!),"·",#REF!/#REF!)</f>
        <v>#REF!</v>
      </c>
      <c r="O169" s="71"/>
      <c r="P169" s="72"/>
      <c r="Q169" s="72"/>
      <c r="R169" s="72"/>
      <c r="S169" s="73"/>
      <c r="T169" s="77"/>
      <c r="U169" s="77"/>
      <c r="V169" s="77"/>
      <c r="W169" s="78"/>
      <c r="X169" s="77"/>
      <c r="Y169" s="77"/>
      <c r="Z169" s="77"/>
      <c r="AA169" s="78"/>
      <c r="AB169" s="74"/>
      <c r="AC169" s="74"/>
      <c r="AE169" s="68" t="str">
        <f t="shared" si="10"/>
        <v>·</v>
      </c>
      <c r="AF169" s="69" t="str">
        <f t="shared" si="11"/>
        <v>·</v>
      </c>
      <c r="AG169" s="69" t="str">
        <f t="shared" si="12"/>
        <v>·</v>
      </c>
      <c r="AH169" s="69" t="str">
        <f t="shared" si="13"/>
        <v>·</v>
      </c>
      <c r="AI169" s="70"/>
      <c r="AJ169" s="69" t="str">
        <f t="shared" si="14"/>
        <v>·</v>
      </c>
      <c r="BA169" s="67" t="e">
        <f>(Q169/P169) - (#REF!/#REF!)</f>
        <v>#DIV/0!</v>
      </c>
      <c r="BB169" s="67"/>
      <c r="BD169" s="75"/>
      <c r="BE169" s="75"/>
      <c r="BF169" s="75"/>
      <c r="BG169" s="76"/>
      <c r="BI169" s="75"/>
      <c r="BJ169" s="75"/>
      <c r="BK169" s="75"/>
      <c r="BL169" s="76"/>
      <c r="BN169" s="75"/>
      <c r="BO169" s="75"/>
      <c r="BP169" s="75"/>
      <c r="BQ169" s="76"/>
      <c r="BS169" s="75"/>
      <c r="BT169" s="75"/>
      <c r="BU169" s="75"/>
      <c r="BV169" s="76"/>
    </row>
    <row r="170" spans="1:74" x14ac:dyDescent="0.15">
      <c r="A170" s="30"/>
      <c r="B170" s="30" t="s">
        <v>332</v>
      </c>
      <c r="C170" s="31" t="s">
        <v>225</v>
      </c>
      <c r="D170" s="30">
        <v>8929532</v>
      </c>
      <c r="E170" s="32">
        <v>20</v>
      </c>
      <c r="F170" s="31">
        <v>1</v>
      </c>
      <c r="G170" s="31"/>
      <c r="I170" s="33" t="str">
        <f>IF(OR(ISBLANK(#REF!),ISBLANK(G170)),"·",#REF!*G170/F170/1000000)</f>
        <v>·</v>
      </c>
      <c r="J170" s="34" t="e">
        <f>IF(ISBLANK(#REF!),"·",#REF!/D170)</f>
        <v>#REF!</v>
      </c>
      <c r="K170" s="34" t="e">
        <f>IF(#REF!="","·",#REF!/D170)</f>
        <v>#REF!</v>
      </c>
      <c r="L170" s="34" t="e">
        <f>IF(ISBLANK(#REF!),"·",#REF!/D170)</f>
        <v>#REF!</v>
      </c>
      <c r="M170" s="35"/>
      <c r="N170" s="34" t="e">
        <f>IF(ISBLANK(#REF!),"·",#REF!/#REF!)</f>
        <v>#REF!</v>
      </c>
      <c r="O170" s="36"/>
      <c r="P170" s="37"/>
      <c r="Q170" s="37"/>
      <c r="R170" s="37"/>
      <c r="S170" s="38"/>
      <c r="T170" s="39"/>
      <c r="U170" s="39"/>
      <c r="V170" s="39"/>
      <c r="W170" s="40"/>
      <c r="X170" s="39"/>
      <c r="Y170" s="39"/>
      <c r="Z170" s="39"/>
      <c r="AA170" s="40"/>
      <c r="AB170" s="41"/>
      <c r="AC170" s="41"/>
      <c r="AE170" s="33" t="str">
        <f t="shared" si="10"/>
        <v>·</v>
      </c>
      <c r="AF170" s="34" t="str">
        <f t="shared" si="11"/>
        <v>·</v>
      </c>
      <c r="AG170" s="34" t="str">
        <f t="shared" si="12"/>
        <v>·</v>
      </c>
      <c r="AH170" s="34" t="str">
        <f t="shared" si="13"/>
        <v>·</v>
      </c>
      <c r="AI170" s="35"/>
      <c r="AJ170" s="34" t="str">
        <f t="shared" si="14"/>
        <v>·</v>
      </c>
      <c r="BA170" s="42" t="e">
        <f>(Q170/P170) - (#REF!/#REF!)</f>
        <v>#DIV/0!</v>
      </c>
      <c r="BB170" s="42" t="e">
        <f t="array" ref="BB170">AVERAGE(Q170:Q174/P170:P174) - AVERAGE(#REF!/#REF!)</f>
        <v>#DIV/0!</v>
      </c>
      <c r="BD170" s="43" t="str">
        <f>_xlfn.SINGLE(IF( OR(ISBLANK(_xlfn.SINGLE(#REF!)),ISBLANK(_xlfn.SINGLE(R170:R174)), ISBLANK(_xlfn.SINGLE(#REF!)),ISBLANK(_xlfn.SINGLE(T170:T174))), "·", bdRateExtend(#REF!,#REF!, R170:R174,T170:T174)))</f>
        <v>·</v>
      </c>
      <c r="BE170" s="43" t="str">
        <f>_xlfn.SINGLE(IF( OR(ISBLANK(_xlfn.SINGLE(#REF!)),ISBLANK(_xlfn.SINGLE(R170:R174)), ISBLANK(_xlfn.SINGLE(#REF!)),ISBLANK(_xlfn.SINGLE(U170:U174))), "·", bdRateExtend(#REF!,#REF!, R170:R174,U170:U174)))</f>
        <v>·</v>
      </c>
      <c r="BF170" s="43" t="str">
        <f>_xlfn.SINGLE(IF( OR(ISBLANK(_xlfn.SINGLE(#REF!)),ISBLANK(_xlfn.SINGLE(R170:R174)), ISBLANK(_xlfn.SINGLE(#REF!)),ISBLANK(_xlfn.SINGLE(V170:V174))), "·", bdRateExtend(#REF!,#REF!, R170:R174,V170:V174)))</f>
        <v>·</v>
      </c>
      <c r="BG170" s="44"/>
      <c r="BI170" s="43" t="str">
        <f>_xlfn.SINGLE(IF( OR(ISBLANK(_xlfn.SINGLE(#REF!)),ISBLANK(_xlfn.SINGLE(R170:R174)), ISBLANK(_xlfn.SINGLE(#REF!)),ISBLANK(_xlfn.SINGLE(X170:X174))), "·", bdRateExtend(#REF!,#REF!, R170:R174,X170:X174)))</f>
        <v>·</v>
      </c>
      <c r="BJ170" s="43" t="str">
        <f>_xlfn.SINGLE(IF( OR(ISBLANK(_xlfn.SINGLE(#REF!)),ISBLANK(_xlfn.SINGLE(R170:R174)), ISBLANK(_xlfn.SINGLE(#REF!)),ISBLANK(_xlfn.SINGLE(Y170:Y174))), "·", bdRateExtend(#REF!,#REF!, R170:R174,Y170:Y174)))</f>
        <v>·</v>
      </c>
      <c r="BK170" s="43" t="str">
        <f>_xlfn.SINGLE(IF( OR(ISBLANK(_xlfn.SINGLE(#REF!)),ISBLANK(_xlfn.SINGLE(R170:R174)), ISBLANK(_xlfn.SINGLE(#REF!)),ISBLANK(_xlfn.SINGLE(Z170:Z174))), "·", bdRateExtend(#REF!,#REF!, R170:R174,Z170:Z174)))</f>
        <v>·</v>
      </c>
      <c r="BL170" s="44"/>
      <c r="BN170" s="43" t="str">
        <f>_xlfn.SINGLE(IF( OR(ISBLANK(_xlfn.SINGLE(#REF!)),ISBLANK(_xlfn.SINGLE(P170:P174)), ISBLANK(_xlfn.SINGLE(#REF!)),ISBLANK(_xlfn.SINGLE(T170:T174))), "·", bdRateExtend(#REF!,#REF!, P170:P174,T170:T174)))</f>
        <v>·</v>
      </c>
      <c r="BO170" s="43" t="str">
        <f>_xlfn.SINGLE(IF( OR(ISBLANK(_xlfn.SINGLE(#REF!)),ISBLANK(_xlfn.SINGLE(P170:P174)), ISBLANK(_xlfn.SINGLE(#REF!)),ISBLANK(_xlfn.SINGLE(U170:U174))), "·", bdRateExtend(#REF!,#REF!, P170:P174,U170:U174)))</f>
        <v>·</v>
      </c>
      <c r="BP170" s="43" t="str">
        <f>_xlfn.SINGLE(IF( OR(ISBLANK(_xlfn.SINGLE(#REF!)),ISBLANK(_xlfn.SINGLE(P170:P174)), ISBLANK(_xlfn.SINGLE(#REF!)),ISBLANK(_xlfn.SINGLE(V170:V174))), "·", bdRateExtend(#REF!,#REF!, P170:P174,V170:V174)))</f>
        <v>·</v>
      </c>
      <c r="BQ170" s="44"/>
      <c r="BS170" s="43" t="str">
        <f>_xlfn.SINGLE(IF( OR(ISBLANK(_xlfn.SINGLE(#REF!)),ISBLANK(_xlfn.SINGLE(P170:P174)), ISBLANK(_xlfn.SINGLE(#REF!)),ISBLANK(_xlfn.SINGLE(X170:X174))), "·", bdRateExtend(#REF!,#REF!, P170:P174,X170:X174)))</f>
        <v>·</v>
      </c>
      <c r="BT170" s="43" t="str">
        <f>_xlfn.SINGLE(IF( OR(ISBLANK(_xlfn.SINGLE(#REF!)),ISBLANK(_xlfn.SINGLE(P170:P174)), ISBLANK(_xlfn.SINGLE(#REF!)),ISBLANK(_xlfn.SINGLE(Y170:Y174))), "·", bdRateExtend(#REF!,#REF!, P170:P174,Y170:Y174)))</f>
        <v>·</v>
      </c>
      <c r="BU170" s="43" t="str">
        <f>_xlfn.SINGLE(IF( OR(ISBLANK(_xlfn.SINGLE(#REF!)),ISBLANK(_xlfn.SINGLE(P170:P174)), ISBLANK(_xlfn.SINGLE(#REF!)),ISBLANK(_xlfn.SINGLE(Z170:Z174))), "·", bdRateExtend(#REF!,#REF!, P170:P174,Z170:Z174)))</f>
        <v>·</v>
      </c>
      <c r="BV170" s="44"/>
    </row>
    <row r="171" spans="1:74" outlineLevel="1" x14ac:dyDescent="0.15">
      <c r="A171" s="15"/>
      <c r="B171" s="15" t="s">
        <v>332</v>
      </c>
      <c r="C171" s="16" t="s">
        <v>226</v>
      </c>
      <c r="D171" s="15">
        <v>8929532</v>
      </c>
      <c r="E171" s="17">
        <v>20</v>
      </c>
      <c r="F171" s="16">
        <v>1</v>
      </c>
      <c r="G171" s="16"/>
      <c r="I171" s="18" t="str">
        <f>IF(OR(ISBLANK(#REF!),ISBLANK(G171)),"·",#REF!*G171/F171/1000000)</f>
        <v>·</v>
      </c>
      <c r="J171" s="19" t="e">
        <f>IF(ISBLANK(#REF!),"·",#REF!/D171)</f>
        <v>#REF!</v>
      </c>
      <c r="K171" s="19" t="e">
        <f>IF(#REF!="","·",#REF!/D171)</f>
        <v>#REF!</v>
      </c>
      <c r="L171" s="19" t="e">
        <f>IF(ISBLANK(#REF!),"·",#REF!/D171)</f>
        <v>#REF!</v>
      </c>
      <c r="M171" s="20"/>
      <c r="N171" s="19" t="e">
        <f>IF(ISBLANK(#REF!),"·",#REF!/#REF!)</f>
        <v>#REF!</v>
      </c>
      <c r="O171" s="21"/>
      <c r="P171" s="22"/>
      <c r="Q171" s="22"/>
      <c r="R171" s="22"/>
      <c r="S171" s="23"/>
      <c r="T171" s="24"/>
      <c r="U171" s="24"/>
      <c r="V171" s="24"/>
      <c r="W171" s="25"/>
      <c r="X171" s="24"/>
      <c r="Y171" s="24"/>
      <c r="Z171" s="24"/>
      <c r="AA171" s="25"/>
      <c r="AB171" s="26"/>
      <c r="AC171" s="26"/>
      <c r="AE171" s="18" t="str">
        <f t="shared" si="10"/>
        <v>·</v>
      </c>
      <c r="AF171" s="19" t="str">
        <f t="shared" si="11"/>
        <v>·</v>
      </c>
      <c r="AG171" s="19" t="str">
        <f t="shared" si="12"/>
        <v>·</v>
      </c>
      <c r="AH171" s="19" t="str">
        <f t="shared" si="13"/>
        <v>·</v>
      </c>
      <c r="AI171" s="20"/>
      <c r="AJ171" s="19" t="str">
        <f t="shared" si="14"/>
        <v>·</v>
      </c>
      <c r="BA171" s="27" t="e">
        <f>(Q171/P171) - (#REF!/#REF!)</f>
        <v>#DIV/0!</v>
      </c>
      <c r="BB171" s="27"/>
      <c r="BD171" s="28"/>
      <c r="BE171" s="28"/>
      <c r="BF171" s="28"/>
      <c r="BG171" s="29"/>
      <c r="BI171" s="28"/>
      <c r="BJ171" s="28"/>
      <c r="BK171" s="28"/>
      <c r="BL171" s="29"/>
      <c r="BN171" s="28"/>
      <c r="BO171" s="28"/>
      <c r="BP171" s="28"/>
      <c r="BQ171" s="29"/>
      <c r="BS171" s="28"/>
      <c r="BT171" s="28"/>
      <c r="BU171" s="28"/>
      <c r="BV171" s="29"/>
    </row>
    <row r="172" spans="1:74" outlineLevel="1" x14ac:dyDescent="0.15">
      <c r="A172" s="30"/>
      <c r="B172" s="30" t="s">
        <v>332</v>
      </c>
      <c r="C172" s="31" t="s">
        <v>227</v>
      </c>
      <c r="D172" s="30">
        <v>8929532</v>
      </c>
      <c r="E172" s="32">
        <v>20</v>
      </c>
      <c r="F172" s="31">
        <v>1</v>
      </c>
      <c r="G172" s="31"/>
      <c r="I172" s="33" t="str">
        <f>IF(OR(ISBLANK(#REF!),ISBLANK(G172)),"·",#REF!*G172/F172/1000000)</f>
        <v>·</v>
      </c>
      <c r="J172" s="34" t="e">
        <f>IF(ISBLANK(#REF!),"·",#REF!/D172)</f>
        <v>#REF!</v>
      </c>
      <c r="K172" s="34" t="e">
        <f>IF(#REF!="","·",#REF!/D172)</f>
        <v>#REF!</v>
      </c>
      <c r="L172" s="34" t="e">
        <f>IF(ISBLANK(#REF!),"·",#REF!/D172)</f>
        <v>#REF!</v>
      </c>
      <c r="M172" s="35"/>
      <c r="N172" s="34" t="e">
        <f>IF(ISBLANK(#REF!),"·",#REF!/#REF!)</f>
        <v>#REF!</v>
      </c>
      <c r="O172" s="36"/>
      <c r="P172" s="37"/>
      <c r="Q172" s="37"/>
      <c r="R172" s="37"/>
      <c r="S172" s="38"/>
      <c r="T172" s="39"/>
      <c r="U172" s="39"/>
      <c r="V172" s="39"/>
      <c r="W172" s="40"/>
      <c r="X172" s="39"/>
      <c r="Y172" s="39"/>
      <c r="Z172" s="39"/>
      <c r="AA172" s="40"/>
      <c r="AB172" s="41"/>
      <c r="AC172" s="41"/>
      <c r="AE172" s="33" t="str">
        <f t="shared" si="10"/>
        <v>·</v>
      </c>
      <c r="AF172" s="34" t="str">
        <f t="shared" si="11"/>
        <v>·</v>
      </c>
      <c r="AG172" s="34" t="str">
        <f t="shared" si="12"/>
        <v>·</v>
      </c>
      <c r="AH172" s="34" t="str">
        <f t="shared" si="13"/>
        <v>·</v>
      </c>
      <c r="AI172" s="35"/>
      <c r="AJ172" s="34" t="str">
        <f t="shared" si="14"/>
        <v>·</v>
      </c>
      <c r="BA172" s="42" t="e">
        <f>(Q172/P172) - (#REF!/#REF!)</f>
        <v>#DIV/0!</v>
      </c>
      <c r="BB172" s="42"/>
      <c r="BD172" s="43"/>
      <c r="BE172" s="43"/>
      <c r="BF172" s="43"/>
      <c r="BG172" s="44"/>
      <c r="BI172" s="43"/>
      <c r="BJ172" s="43"/>
      <c r="BK172" s="43"/>
      <c r="BL172" s="44"/>
      <c r="BN172" s="43"/>
      <c r="BO172" s="43"/>
      <c r="BP172" s="43"/>
      <c r="BQ172" s="44"/>
      <c r="BS172" s="43"/>
      <c r="BT172" s="43"/>
      <c r="BU172" s="43"/>
      <c r="BV172" s="44"/>
    </row>
    <row r="173" spans="1:74" outlineLevel="1" x14ac:dyDescent="0.15">
      <c r="A173" s="15"/>
      <c r="B173" s="15" t="s">
        <v>332</v>
      </c>
      <c r="C173" s="16" t="s">
        <v>228</v>
      </c>
      <c r="D173" s="15">
        <v>8929532</v>
      </c>
      <c r="E173" s="17">
        <v>20</v>
      </c>
      <c r="F173" s="16">
        <v>1</v>
      </c>
      <c r="G173" s="16"/>
      <c r="I173" s="18" t="str">
        <f>IF(OR(ISBLANK(#REF!),ISBLANK(G173)),"·",#REF!*G173/F173/1000000)</f>
        <v>·</v>
      </c>
      <c r="J173" s="19" t="e">
        <f>IF(ISBLANK(#REF!),"·",#REF!/D173)</f>
        <v>#REF!</v>
      </c>
      <c r="K173" s="19" t="e">
        <f>IF(#REF!="","·",#REF!/D173)</f>
        <v>#REF!</v>
      </c>
      <c r="L173" s="19" t="e">
        <f>IF(ISBLANK(#REF!),"·",#REF!/D173)</f>
        <v>#REF!</v>
      </c>
      <c r="M173" s="20"/>
      <c r="N173" s="19" t="e">
        <f>IF(ISBLANK(#REF!),"·",#REF!/#REF!)</f>
        <v>#REF!</v>
      </c>
      <c r="O173" s="21"/>
      <c r="P173" s="22"/>
      <c r="Q173" s="22"/>
      <c r="R173" s="22"/>
      <c r="S173" s="23"/>
      <c r="T173" s="24"/>
      <c r="U173" s="24"/>
      <c r="V173" s="24"/>
      <c r="W173" s="25"/>
      <c r="X173" s="24"/>
      <c r="Y173" s="24"/>
      <c r="Z173" s="24"/>
      <c r="AA173" s="25"/>
      <c r="AB173" s="26"/>
      <c r="AC173" s="26"/>
      <c r="AE173" s="18" t="str">
        <f t="shared" si="10"/>
        <v>·</v>
      </c>
      <c r="AF173" s="19" t="str">
        <f t="shared" si="11"/>
        <v>·</v>
      </c>
      <c r="AG173" s="19" t="str">
        <f t="shared" si="12"/>
        <v>·</v>
      </c>
      <c r="AH173" s="19" t="str">
        <f t="shared" si="13"/>
        <v>·</v>
      </c>
      <c r="AI173" s="20"/>
      <c r="AJ173" s="19" t="str">
        <f t="shared" si="14"/>
        <v>·</v>
      </c>
      <c r="BA173" s="27" t="e">
        <f>(Q173/P173) - (#REF!/#REF!)</f>
        <v>#DIV/0!</v>
      </c>
      <c r="BB173" s="27"/>
      <c r="BD173" s="28"/>
      <c r="BE173" s="28"/>
      <c r="BF173" s="28"/>
      <c r="BG173" s="29"/>
      <c r="BI173" s="28"/>
      <c r="BJ173" s="28"/>
      <c r="BK173" s="28"/>
      <c r="BL173" s="29"/>
      <c r="BN173" s="28"/>
      <c r="BO173" s="28"/>
      <c r="BP173" s="28"/>
      <c r="BQ173" s="29"/>
      <c r="BS173" s="28"/>
      <c r="BT173" s="28"/>
      <c r="BU173" s="28"/>
      <c r="BV173" s="29"/>
    </row>
    <row r="174" spans="1:74" ht="14.25" outlineLevel="1" thickBot="1" x14ac:dyDescent="0.2">
      <c r="A174" s="30"/>
      <c r="B174" s="45" t="s">
        <v>332</v>
      </c>
      <c r="C174" s="46" t="s">
        <v>229</v>
      </c>
      <c r="D174" s="45">
        <v>8929532</v>
      </c>
      <c r="E174" s="47">
        <v>20</v>
      </c>
      <c r="F174" s="46">
        <v>1</v>
      </c>
      <c r="G174" s="46"/>
      <c r="I174" s="48" t="str">
        <f>IF(OR(ISBLANK(#REF!),ISBLANK(G174)),"·",#REF!*G174/F174/1000000)</f>
        <v>·</v>
      </c>
      <c r="J174" s="49" t="e">
        <f>IF(ISBLANK(#REF!),"·",#REF!/D174)</f>
        <v>#REF!</v>
      </c>
      <c r="K174" s="49" t="e">
        <f>IF(#REF!="","·",#REF!/D174)</f>
        <v>#REF!</v>
      </c>
      <c r="L174" s="49" t="e">
        <f>IF(ISBLANK(#REF!),"·",#REF!/D174)</f>
        <v>#REF!</v>
      </c>
      <c r="M174" s="50"/>
      <c r="N174" s="49" t="e">
        <f>IF(ISBLANK(#REF!),"·",#REF!/#REF!)</f>
        <v>#REF!</v>
      </c>
      <c r="O174" s="51"/>
      <c r="P174" s="52"/>
      <c r="Q174" s="52"/>
      <c r="R174" s="52"/>
      <c r="S174" s="53"/>
      <c r="T174" s="54"/>
      <c r="U174" s="54"/>
      <c r="V174" s="54"/>
      <c r="W174" s="55"/>
      <c r="X174" s="54"/>
      <c r="Y174" s="54"/>
      <c r="Z174" s="54"/>
      <c r="AA174" s="55"/>
      <c r="AB174" s="56"/>
      <c r="AC174" s="56"/>
      <c r="AE174" s="48" t="str">
        <f t="shared" si="10"/>
        <v>·</v>
      </c>
      <c r="AF174" s="49" t="str">
        <f t="shared" si="11"/>
        <v>·</v>
      </c>
      <c r="AG174" s="49" t="str">
        <f t="shared" si="12"/>
        <v>·</v>
      </c>
      <c r="AH174" s="49" t="str">
        <f t="shared" si="13"/>
        <v>·</v>
      </c>
      <c r="AI174" s="50"/>
      <c r="AJ174" s="49" t="str">
        <f t="shared" si="14"/>
        <v>·</v>
      </c>
      <c r="BA174" s="57" t="e">
        <f>(Q174/P174) - (#REF!/#REF!)</f>
        <v>#DIV/0!</v>
      </c>
      <c r="BB174" s="57"/>
      <c r="BD174" s="58"/>
      <c r="BE174" s="58"/>
      <c r="BF174" s="58"/>
      <c r="BG174" s="59"/>
      <c r="BI174" s="58"/>
      <c r="BJ174" s="58"/>
      <c r="BK174" s="58"/>
      <c r="BL174" s="59"/>
      <c r="BN174" s="58"/>
      <c r="BO174" s="58"/>
      <c r="BP174" s="58"/>
      <c r="BQ174" s="59"/>
      <c r="BS174" s="58"/>
      <c r="BT174" s="58"/>
      <c r="BU174" s="58"/>
      <c r="BV174" s="59"/>
    </row>
    <row r="175" spans="1:74" x14ac:dyDescent="0.15">
      <c r="A175" s="15"/>
      <c r="B175" s="15" t="s">
        <v>335</v>
      </c>
      <c r="C175" s="16" t="s">
        <v>225</v>
      </c>
      <c r="D175" s="15">
        <v>19714629</v>
      </c>
      <c r="E175" s="17">
        <v>20</v>
      </c>
      <c r="F175" s="16">
        <v>1</v>
      </c>
      <c r="G175" s="16"/>
      <c r="I175" s="18" t="str">
        <f>IF(OR(ISBLANK(#REF!),ISBLANK(G175)),"·",#REF!*G175/F175/1000000)</f>
        <v>·</v>
      </c>
      <c r="J175" s="19" t="e">
        <f>IF(ISBLANK(#REF!),"·",#REF!/D175)</f>
        <v>#REF!</v>
      </c>
      <c r="K175" s="19" t="e">
        <f>IF(#REF!="","·",#REF!/D175)</f>
        <v>#REF!</v>
      </c>
      <c r="L175" s="19" t="e">
        <f>IF(ISBLANK(#REF!),"·",#REF!/D175)</f>
        <v>#REF!</v>
      </c>
      <c r="M175" s="20"/>
      <c r="N175" s="19" t="e">
        <f>IF(ISBLANK(#REF!),"·",#REF!/#REF!)</f>
        <v>#REF!</v>
      </c>
      <c r="O175" s="21"/>
      <c r="P175" s="22"/>
      <c r="Q175" s="22"/>
      <c r="R175" s="22"/>
      <c r="S175" s="23"/>
      <c r="T175" s="24"/>
      <c r="U175" s="24"/>
      <c r="V175" s="24"/>
      <c r="W175" s="25"/>
      <c r="X175" s="24"/>
      <c r="Y175" s="24"/>
      <c r="Z175" s="24"/>
      <c r="AA175" s="25"/>
      <c r="AB175" s="26"/>
      <c r="AC175" s="26"/>
      <c r="AE175" s="18" t="str">
        <f t="shared" si="10"/>
        <v>·</v>
      </c>
      <c r="AF175" s="19" t="str">
        <f t="shared" si="11"/>
        <v>·</v>
      </c>
      <c r="AG175" s="19" t="str">
        <f t="shared" si="12"/>
        <v>·</v>
      </c>
      <c r="AH175" s="19" t="str">
        <f t="shared" si="13"/>
        <v>·</v>
      </c>
      <c r="AI175" s="20"/>
      <c r="AJ175" s="19" t="str">
        <f t="shared" si="14"/>
        <v>·</v>
      </c>
      <c r="BA175" s="27" t="e">
        <f>(Q175/P175) - (#REF!/#REF!)</f>
        <v>#DIV/0!</v>
      </c>
      <c r="BB175" s="27" t="e">
        <f t="array" ref="BB175">AVERAGE(Q175:Q179/P175:P179) - AVERAGE(#REF!/#REF!)</f>
        <v>#DIV/0!</v>
      </c>
      <c r="BD175" s="28" t="str">
        <f>_xlfn.SINGLE(IF( OR(ISBLANK(_xlfn.SINGLE(#REF!)),ISBLANK(_xlfn.SINGLE(R175:R179)), ISBLANK(_xlfn.SINGLE(#REF!)),ISBLANK(_xlfn.SINGLE(T175:T179))), "·", bdRateExtend(#REF!,#REF!, R175:R179,T175:T179)))</f>
        <v>·</v>
      </c>
      <c r="BE175" s="28" t="str">
        <f>_xlfn.SINGLE(IF( OR(ISBLANK(_xlfn.SINGLE(#REF!)),ISBLANK(_xlfn.SINGLE(R175:R179)), ISBLANK(_xlfn.SINGLE(#REF!)),ISBLANK(_xlfn.SINGLE(U175:U179))), "·", bdRateExtend(#REF!,#REF!, R175:R179,U175:U179)))</f>
        <v>·</v>
      </c>
      <c r="BF175" s="28" t="str">
        <f>_xlfn.SINGLE(IF( OR(ISBLANK(_xlfn.SINGLE(#REF!)),ISBLANK(_xlfn.SINGLE(R175:R179)), ISBLANK(_xlfn.SINGLE(#REF!)),ISBLANK(_xlfn.SINGLE(V175:V179))), "·", bdRateExtend(#REF!,#REF!, R175:R179,V175:V179)))</f>
        <v>·</v>
      </c>
      <c r="BG175" s="29"/>
      <c r="BI175" s="28" t="str">
        <f>_xlfn.SINGLE(IF( OR(ISBLANK(_xlfn.SINGLE(#REF!)),ISBLANK(_xlfn.SINGLE(R175:R179)), ISBLANK(_xlfn.SINGLE(#REF!)),ISBLANK(_xlfn.SINGLE(X175:X179))), "·", bdRateExtend(#REF!,#REF!, R175:R179,X175:X179)))</f>
        <v>·</v>
      </c>
      <c r="BJ175" s="28" t="str">
        <f>_xlfn.SINGLE(IF( OR(ISBLANK(_xlfn.SINGLE(#REF!)),ISBLANK(_xlfn.SINGLE(R175:R179)), ISBLANK(_xlfn.SINGLE(#REF!)),ISBLANK(_xlfn.SINGLE(Y175:Y179))), "·", bdRateExtend(#REF!,#REF!, R175:R179,Y175:Y179)))</f>
        <v>·</v>
      </c>
      <c r="BK175" s="28" t="str">
        <f>_xlfn.SINGLE(IF( OR(ISBLANK(_xlfn.SINGLE(#REF!)),ISBLANK(_xlfn.SINGLE(R175:R179)), ISBLANK(_xlfn.SINGLE(#REF!)),ISBLANK(_xlfn.SINGLE(Z175:Z179))), "·", bdRateExtend(#REF!,#REF!, R175:R179,Z175:Z179)))</f>
        <v>·</v>
      </c>
      <c r="BL175" s="29"/>
      <c r="BN175" s="28" t="str">
        <f>_xlfn.SINGLE(IF( OR(ISBLANK(_xlfn.SINGLE(#REF!)),ISBLANK(_xlfn.SINGLE(P175:P179)), ISBLANK(_xlfn.SINGLE(#REF!)),ISBLANK(_xlfn.SINGLE(T175:T179))), "·", bdRateExtend(#REF!,#REF!, P175:P179,T175:T179)))</f>
        <v>·</v>
      </c>
      <c r="BO175" s="28" t="str">
        <f>_xlfn.SINGLE(IF( OR(ISBLANK(_xlfn.SINGLE(#REF!)),ISBLANK(_xlfn.SINGLE(P175:P179)), ISBLANK(_xlfn.SINGLE(#REF!)),ISBLANK(_xlfn.SINGLE(U175:U179))), "·", bdRateExtend(#REF!,#REF!, P175:P179,U175:U179)))</f>
        <v>·</v>
      </c>
      <c r="BP175" s="28" t="str">
        <f>_xlfn.SINGLE(IF( OR(ISBLANK(_xlfn.SINGLE(#REF!)),ISBLANK(_xlfn.SINGLE(P175:P179)), ISBLANK(_xlfn.SINGLE(#REF!)),ISBLANK(_xlfn.SINGLE(V175:V179))), "·", bdRateExtend(#REF!,#REF!, P175:P179,V175:V179)))</f>
        <v>·</v>
      </c>
      <c r="BQ175" s="29"/>
      <c r="BS175" s="28" t="str">
        <f>_xlfn.SINGLE(IF( OR(ISBLANK(_xlfn.SINGLE(#REF!)),ISBLANK(_xlfn.SINGLE(P175:P179)), ISBLANK(_xlfn.SINGLE(#REF!)),ISBLANK(_xlfn.SINGLE(X175:X179))), "·", bdRateExtend(#REF!,#REF!, P175:P179,X175:X179)))</f>
        <v>·</v>
      </c>
      <c r="BT175" s="28" t="str">
        <f>_xlfn.SINGLE(IF( OR(ISBLANK(_xlfn.SINGLE(#REF!)),ISBLANK(_xlfn.SINGLE(P175:P179)), ISBLANK(_xlfn.SINGLE(#REF!)),ISBLANK(_xlfn.SINGLE(Y175:Y179))), "·", bdRateExtend(#REF!,#REF!, P175:P179,Y175:Y179)))</f>
        <v>·</v>
      </c>
      <c r="BU175" s="28" t="str">
        <f>_xlfn.SINGLE(IF( OR(ISBLANK(_xlfn.SINGLE(#REF!)),ISBLANK(_xlfn.SINGLE(P175:P179)), ISBLANK(_xlfn.SINGLE(#REF!)),ISBLANK(_xlfn.SINGLE(Z175:Z179))), "·", bdRateExtend(#REF!,#REF!, P175:P179,Z175:Z179)))</f>
        <v>·</v>
      </c>
      <c r="BV175" s="29"/>
    </row>
    <row r="176" spans="1:74" outlineLevel="1" x14ac:dyDescent="0.15">
      <c r="A176" s="30"/>
      <c r="B176" s="30" t="s">
        <v>335</v>
      </c>
      <c r="C176" s="31" t="s">
        <v>226</v>
      </c>
      <c r="D176" s="30">
        <v>19714629</v>
      </c>
      <c r="E176" s="32">
        <v>20</v>
      </c>
      <c r="F176" s="31">
        <v>1</v>
      </c>
      <c r="G176" s="31"/>
      <c r="I176" s="33" t="str">
        <f>IF(OR(ISBLANK(#REF!),ISBLANK(G176)),"·",#REF!*G176/F176/1000000)</f>
        <v>·</v>
      </c>
      <c r="J176" s="34" t="e">
        <f>IF(ISBLANK(#REF!),"·",#REF!/D176)</f>
        <v>#REF!</v>
      </c>
      <c r="K176" s="34" t="e">
        <f>IF(#REF!="","·",#REF!/D176)</f>
        <v>#REF!</v>
      </c>
      <c r="L176" s="34" t="e">
        <f>IF(ISBLANK(#REF!),"·",#REF!/D176)</f>
        <v>#REF!</v>
      </c>
      <c r="M176" s="35"/>
      <c r="N176" s="34" t="e">
        <f>IF(ISBLANK(#REF!),"·",#REF!/#REF!)</f>
        <v>#REF!</v>
      </c>
      <c r="O176" s="36"/>
      <c r="P176" s="37"/>
      <c r="Q176" s="37"/>
      <c r="R176" s="37"/>
      <c r="S176" s="38"/>
      <c r="T176" s="39"/>
      <c r="U176" s="39"/>
      <c r="V176" s="39"/>
      <c r="W176" s="40"/>
      <c r="X176" s="39"/>
      <c r="Y176" s="39"/>
      <c r="Z176" s="39"/>
      <c r="AA176" s="40"/>
      <c r="AB176" s="41"/>
      <c r="AC176" s="41"/>
      <c r="AE176" s="33" t="str">
        <f t="shared" si="10"/>
        <v>·</v>
      </c>
      <c r="AF176" s="34" t="str">
        <f t="shared" si="11"/>
        <v>·</v>
      </c>
      <c r="AG176" s="34" t="str">
        <f t="shared" si="12"/>
        <v>·</v>
      </c>
      <c r="AH176" s="34" t="str">
        <f t="shared" si="13"/>
        <v>·</v>
      </c>
      <c r="AI176" s="35"/>
      <c r="AJ176" s="34" t="str">
        <f t="shared" si="14"/>
        <v>·</v>
      </c>
      <c r="BA176" s="42" t="e">
        <f>(Q176/P176) - (#REF!/#REF!)</f>
        <v>#DIV/0!</v>
      </c>
      <c r="BB176" s="42"/>
      <c r="BD176" s="43"/>
      <c r="BE176" s="43"/>
      <c r="BF176" s="43"/>
      <c r="BG176" s="44"/>
      <c r="BI176" s="43"/>
      <c r="BJ176" s="43"/>
      <c r="BK176" s="43"/>
      <c r="BL176" s="44"/>
      <c r="BN176" s="43"/>
      <c r="BO176" s="43"/>
      <c r="BP176" s="43"/>
      <c r="BQ176" s="44"/>
      <c r="BS176" s="43"/>
      <c r="BT176" s="43"/>
      <c r="BU176" s="43"/>
      <c r="BV176" s="44"/>
    </row>
    <row r="177" spans="1:74" outlineLevel="1" x14ac:dyDescent="0.15">
      <c r="A177" s="15"/>
      <c r="B177" s="15" t="s">
        <v>335</v>
      </c>
      <c r="C177" s="16" t="s">
        <v>227</v>
      </c>
      <c r="D177" s="15">
        <v>19714629</v>
      </c>
      <c r="E177" s="17">
        <v>20</v>
      </c>
      <c r="F177" s="16">
        <v>1</v>
      </c>
      <c r="G177" s="16"/>
      <c r="I177" s="18" t="str">
        <f>IF(OR(ISBLANK(#REF!),ISBLANK(G177)),"·",#REF!*G177/F177/1000000)</f>
        <v>·</v>
      </c>
      <c r="J177" s="19" t="e">
        <f>IF(ISBLANK(#REF!),"·",#REF!/D177)</f>
        <v>#REF!</v>
      </c>
      <c r="K177" s="19" t="e">
        <f>IF(#REF!="","·",#REF!/D177)</f>
        <v>#REF!</v>
      </c>
      <c r="L177" s="19" t="e">
        <f>IF(ISBLANK(#REF!),"·",#REF!/D177)</f>
        <v>#REF!</v>
      </c>
      <c r="M177" s="20"/>
      <c r="N177" s="19" t="e">
        <f>IF(ISBLANK(#REF!),"·",#REF!/#REF!)</f>
        <v>#REF!</v>
      </c>
      <c r="O177" s="21"/>
      <c r="P177" s="22"/>
      <c r="Q177" s="22"/>
      <c r="R177" s="22"/>
      <c r="S177" s="23"/>
      <c r="T177" s="24"/>
      <c r="U177" s="24"/>
      <c r="V177" s="24"/>
      <c r="W177" s="25"/>
      <c r="X177" s="24"/>
      <c r="Y177" s="24"/>
      <c r="Z177" s="24"/>
      <c r="AA177" s="25"/>
      <c r="AB177" s="26"/>
      <c r="AC177" s="26"/>
      <c r="AE177" s="18" t="str">
        <f t="shared" si="10"/>
        <v>·</v>
      </c>
      <c r="AF177" s="19" t="str">
        <f t="shared" si="11"/>
        <v>·</v>
      </c>
      <c r="AG177" s="19" t="str">
        <f t="shared" si="12"/>
        <v>·</v>
      </c>
      <c r="AH177" s="19" t="str">
        <f t="shared" si="13"/>
        <v>·</v>
      </c>
      <c r="AI177" s="20"/>
      <c r="AJ177" s="19" t="str">
        <f t="shared" si="14"/>
        <v>·</v>
      </c>
      <c r="BA177" s="27" t="e">
        <f>(Q177/P177) - (#REF!/#REF!)</f>
        <v>#DIV/0!</v>
      </c>
      <c r="BB177" s="27"/>
      <c r="BD177" s="28"/>
      <c r="BE177" s="28"/>
      <c r="BF177" s="28"/>
      <c r="BG177" s="29"/>
      <c r="BI177" s="28"/>
      <c r="BJ177" s="28"/>
      <c r="BK177" s="28"/>
      <c r="BL177" s="29"/>
      <c r="BN177" s="28"/>
      <c r="BO177" s="28"/>
      <c r="BP177" s="28"/>
      <c r="BQ177" s="29"/>
      <c r="BS177" s="28"/>
      <c r="BT177" s="28"/>
      <c r="BU177" s="28"/>
      <c r="BV177" s="29"/>
    </row>
    <row r="178" spans="1:74" outlineLevel="1" x14ac:dyDescent="0.15">
      <c r="A178" s="30"/>
      <c r="B178" s="30" t="s">
        <v>335</v>
      </c>
      <c r="C178" s="31" t="s">
        <v>228</v>
      </c>
      <c r="D178" s="30">
        <v>19714629</v>
      </c>
      <c r="E178" s="32">
        <v>20</v>
      </c>
      <c r="F178" s="31">
        <v>1</v>
      </c>
      <c r="G178" s="31"/>
      <c r="I178" s="33" t="str">
        <f>IF(OR(ISBLANK(#REF!),ISBLANK(G178)),"·",#REF!*G178/F178/1000000)</f>
        <v>·</v>
      </c>
      <c r="J178" s="34" t="e">
        <f>IF(ISBLANK(#REF!),"·",#REF!/D178)</f>
        <v>#REF!</v>
      </c>
      <c r="K178" s="34" t="e">
        <f>IF(#REF!="","·",#REF!/D178)</f>
        <v>#REF!</v>
      </c>
      <c r="L178" s="34" t="e">
        <f>IF(ISBLANK(#REF!),"·",#REF!/D178)</f>
        <v>#REF!</v>
      </c>
      <c r="M178" s="35"/>
      <c r="N178" s="34" t="e">
        <f>IF(ISBLANK(#REF!),"·",#REF!/#REF!)</f>
        <v>#REF!</v>
      </c>
      <c r="O178" s="36"/>
      <c r="P178" s="37"/>
      <c r="Q178" s="37"/>
      <c r="R178" s="37"/>
      <c r="S178" s="38"/>
      <c r="T178" s="39"/>
      <c r="U178" s="39"/>
      <c r="V178" s="39"/>
      <c r="W178" s="40"/>
      <c r="X178" s="39"/>
      <c r="Y178" s="39"/>
      <c r="Z178" s="39"/>
      <c r="AA178" s="40"/>
      <c r="AB178" s="41"/>
      <c r="AC178" s="41"/>
      <c r="AE178" s="33" t="str">
        <f t="shared" si="10"/>
        <v>·</v>
      </c>
      <c r="AF178" s="34" t="str">
        <f t="shared" si="11"/>
        <v>·</v>
      </c>
      <c r="AG178" s="34" t="str">
        <f t="shared" si="12"/>
        <v>·</v>
      </c>
      <c r="AH178" s="34" t="str">
        <f t="shared" si="13"/>
        <v>·</v>
      </c>
      <c r="AI178" s="35"/>
      <c r="AJ178" s="34" t="str">
        <f t="shared" si="14"/>
        <v>·</v>
      </c>
      <c r="BA178" s="42" t="e">
        <f>(Q178/P178) - (#REF!/#REF!)</f>
        <v>#DIV/0!</v>
      </c>
      <c r="BB178" s="42"/>
      <c r="BD178" s="43"/>
      <c r="BE178" s="43"/>
      <c r="BF178" s="43"/>
      <c r="BG178" s="44"/>
      <c r="BI178" s="43"/>
      <c r="BJ178" s="43"/>
      <c r="BK178" s="43"/>
      <c r="BL178" s="44"/>
      <c r="BN178" s="43"/>
      <c r="BO178" s="43"/>
      <c r="BP178" s="43"/>
      <c r="BQ178" s="44"/>
      <c r="BS178" s="43"/>
      <c r="BT178" s="43"/>
      <c r="BU178" s="43"/>
      <c r="BV178" s="44"/>
    </row>
    <row r="179" spans="1:74" ht="14.25" outlineLevel="1" thickBot="1" x14ac:dyDescent="0.2">
      <c r="A179" s="15"/>
      <c r="B179" s="64" t="s">
        <v>335</v>
      </c>
      <c r="C179" s="66" t="s">
        <v>229</v>
      </c>
      <c r="D179" s="64">
        <v>19714629</v>
      </c>
      <c r="E179" s="65">
        <v>20</v>
      </c>
      <c r="F179" s="66">
        <v>1</v>
      </c>
      <c r="G179" s="66"/>
      <c r="I179" s="68" t="str">
        <f>IF(OR(ISBLANK(#REF!),ISBLANK(G179)),"·",#REF!*G179/F179/1000000)</f>
        <v>·</v>
      </c>
      <c r="J179" s="69" t="e">
        <f>IF(ISBLANK(#REF!),"·",#REF!/D179)</f>
        <v>#REF!</v>
      </c>
      <c r="K179" s="69" t="e">
        <f>IF(#REF!="","·",#REF!/D179)</f>
        <v>#REF!</v>
      </c>
      <c r="L179" s="69" t="e">
        <f>IF(ISBLANK(#REF!),"·",#REF!/D179)</f>
        <v>#REF!</v>
      </c>
      <c r="M179" s="70"/>
      <c r="N179" s="69" t="e">
        <f>IF(ISBLANK(#REF!),"·",#REF!/#REF!)</f>
        <v>#REF!</v>
      </c>
      <c r="O179" s="71"/>
      <c r="P179" s="72"/>
      <c r="Q179" s="72"/>
      <c r="R179" s="72"/>
      <c r="S179" s="73"/>
      <c r="T179" s="77"/>
      <c r="U179" s="77"/>
      <c r="V179" s="77"/>
      <c r="W179" s="78"/>
      <c r="X179" s="77"/>
      <c r="Y179" s="77"/>
      <c r="Z179" s="77"/>
      <c r="AA179" s="78"/>
      <c r="AB179" s="74"/>
      <c r="AC179" s="74"/>
      <c r="AE179" s="68" t="str">
        <f t="shared" si="10"/>
        <v>·</v>
      </c>
      <c r="AF179" s="69" t="str">
        <f t="shared" si="11"/>
        <v>·</v>
      </c>
      <c r="AG179" s="69" t="str">
        <f t="shared" si="12"/>
        <v>·</v>
      </c>
      <c r="AH179" s="69" t="str">
        <f t="shared" si="13"/>
        <v>·</v>
      </c>
      <c r="AI179" s="70"/>
      <c r="AJ179" s="69" t="str">
        <f t="shared" si="14"/>
        <v>·</v>
      </c>
      <c r="BA179" s="67" t="e">
        <f>(Q179/P179) - (#REF!/#REF!)</f>
        <v>#DIV/0!</v>
      </c>
      <c r="BB179" s="67"/>
      <c r="BD179" s="75"/>
      <c r="BE179" s="75"/>
      <c r="BF179" s="75"/>
      <c r="BG179" s="76"/>
      <c r="BI179" s="75"/>
      <c r="BJ179" s="75"/>
      <c r="BK179" s="75"/>
      <c r="BL179" s="76"/>
      <c r="BN179" s="75"/>
      <c r="BO179" s="75"/>
      <c r="BP179" s="75"/>
      <c r="BQ179" s="76"/>
      <c r="BS179" s="75"/>
      <c r="BT179" s="75"/>
      <c r="BU179" s="75"/>
      <c r="BV179" s="76"/>
    </row>
    <row r="180" spans="1:74" x14ac:dyDescent="0.15">
      <c r="A180" s="30"/>
      <c r="B180" s="30" t="s">
        <v>338</v>
      </c>
      <c r="C180" s="31" t="s">
        <v>225</v>
      </c>
      <c r="D180" s="30">
        <v>3630907</v>
      </c>
      <c r="E180" s="32">
        <v>20</v>
      </c>
      <c r="F180" s="31">
        <v>1</v>
      </c>
      <c r="G180" s="31"/>
      <c r="I180" s="33" t="str">
        <f>IF(OR(ISBLANK(#REF!),ISBLANK(G180)),"·",#REF!*G180/F180/1000000)</f>
        <v>·</v>
      </c>
      <c r="J180" s="34" t="e">
        <f>IF(ISBLANK(#REF!),"·",#REF!/D180)</f>
        <v>#REF!</v>
      </c>
      <c r="K180" s="34" t="e">
        <f>IF(#REF!="","·",#REF!/D180)</f>
        <v>#REF!</v>
      </c>
      <c r="L180" s="34" t="e">
        <f>IF(ISBLANK(#REF!),"·",#REF!/D180)</f>
        <v>#REF!</v>
      </c>
      <c r="M180" s="35"/>
      <c r="N180" s="34" t="e">
        <f>IF(ISBLANK(#REF!),"·",#REF!/#REF!)</f>
        <v>#REF!</v>
      </c>
      <c r="O180" s="36"/>
      <c r="P180" s="37"/>
      <c r="Q180" s="37"/>
      <c r="R180" s="37"/>
      <c r="S180" s="38"/>
      <c r="T180" s="39"/>
      <c r="U180" s="39"/>
      <c r="V180" s="39"/>
      <c r="W180" s="40"/>
      <c r="X180" s="39"/>
      <c r="Y180" s="39"/>
      <c r="Z180" s="39"/>
      <c r="AA180" s="40"/>
      <c r="AB180" s="41"/>
      <c r="AC180" s="41"/>
      <c r="AE180" s="33" t="str">
        <f t="shared" si="10"/>
        <v>·</v>
      </c>
      <c r="AF180" s="34" t="str">
        <f t="shared" si="11"/>
        <v>·</v>
      </c>
      <c r="AG180" s="34" t="str">
        <f t="shared" si="12"/>
        <v>·</v>
      </c>
      <c r="AH180" s="34" t="str">
        <f t="shared" si="13"/>
        <v>·</v>
      </c>
      <c r="AI180" s="35"/>
      <c r="AJ180" s="34" t="str">
        <f t="shared" si="14"/>
        <v>·</v>
      </c>
      <c r="BA180" s="42" t="e">
        <f>(Q180/P180) - (#REF!/#REF!)</f>
        <v>#DIV/0!</v>
      </c>
      <c r="BB180" s="42" t="e">
        <f t="array" ref="BB180">AVERAGE(Q180:Q184/P180:P184) - AVERAGE(#REF!/#REF!)</f>
        <v>#DIV/0!</v>
      </c>
      <c r="BD180" s="43" t="str">
        <f>_xlfn.SINGLE(IF( OR(ISBLANK(_xlfn.SINGLE(#REF!)),ISBLANK(_xlfn.SINGLE(R180:R184)), ISBLANK(_xlfn.SINGLE(#REF!)),ISBLANK(_xlfn.SINGLE(T180:T184))), "·", bdRateExtend(#REF!,#REF!, R180:R184,T180:T184)))</f>
        <v>·</v>
      </c>
      <c r="BE180" s="43" t="str">
        <f>_xlfn.SINGLE(IF( OR(ISBLANK(_xlfn.SINGLE(#REF!)),ISBLANK(_xlfn.SINGLE(R180:R184)), ISBLANK(_xlfn.SINGLE(#REF!)),ISBLANK(_xlfn.SINGLE(U180:U184))), "·", bdRateExtend(#REF!,#REF!, R180:R184,U180:U184)))</f>
        <v>·</v>
      </c>
      <c r="BF180" s="43" t="str">
        <f>_xlfn.SINGLE(IF( OR(ISBLANK(_xlfn.SINGLE(#REF!)),ISBLANK(_xlfn.SINGLE(R180:R184)), ISBLANK(_xlfn.SINGLE(#REF!)),ISBLANK(_xlfn.SINGLE(V180:V184))), "·", bdRateExtend(#REF!,#REF!, R180:R184,V180:V184)))</f>
        <v>·</v>
      </c>
      <c r="BG180" s="44"/>
      <c r="BI180" s="43" t="str">
        <f>_xlfn.SINGLE(IF( OR(ISBLANK(_xlfn.SINGLE(#REF!)),ISBLANK(_xlfn.SINGLE(R180:R184)), ISBLANK(_xlfn.SINGLE(#REF!)),ISBLANK(_xlfn.SINGLE(X180:X184))), "·", bdRateExtend(#REF!,#REF!, R180:R184,X180:X184)))</f>
        <v>·</v>
      </c>
      <c r="BJ180" s="43" t="str">
        <f>_xlfn.SINGLE(IF( OR(ISBLANK(_xlfn.SINGLE(#REF!)),ISBLANK(_xlfn.SINGLE(R180:R184)), ISBLANK(_xlfn.SINGLE(#REF!)),ISBLANK(_xlfn.SINGLE(Y180:Y184))), "·", bdRateExtend(#REF!,#REF!, R180:R184,Y180:Y184)))</f>
        <v>·</v>
      </c>
      <c r="BK180" s="43" t="str">
        <f>_xlfn.SINGLE(IF( OR(ISBLANK(_xlfn.SINGLE(#REF!)),ISBLANK(_xlfn.SINGLE(R180:R184)), ISBLANK(_xlfn.SINGLE(#REF!)),ISBLANK(_xlfn.SINGLE(Z180:Z184))), "·", bdRateExtend(#REF!,#REF!, R180:R184,Z180:Z184)))</f>
        <v>·</v>
      </c>
      <c r="BL180" s="44"/>
      <c r="BN180" s="43" t="str">
        <f>_xlfn.SINGLE(IF( OR(ISBLANK(_xlfn.SINGLE(#REF!)),ISBLANK(_xlfn.SINGLE(P180:P184)), ISBLANK(_xlfn.SINGLE(#REF!)),ISBLANK(_xlfn.SINGLE(T180:T184))), "·", bdRateExtend(#REF!,#REF!, P180:P184,T180:T184)))</f>
        <v>·</v>
      </c>
      <c r="BO180" s="43" t="str">
        <f>_xlfn.SINGLE(IF( OR(ISBLANK(_xlfn.SINGLE(#REF!)),ISBLANK(_xlfn.SINGLE(P180:P184)), ISBLANK(_xlfn.SINGLE(#REF!)),ISBLANK(_xlfn.SINGLE(U180:U184))), "·", bdRateExtend(#REF!,#REF!, P180:P184,U180:U184)))</f>
        <v>·</v>
      </c>
      <c r="BP180" s="43" t="str">
        <f>_xlfn.SINGLE(IF( OR(ISBLANK(_xlfn.SINGLE(#REF!)),ISBLANK(_xlfn.SINGLE(P180:P184)), ISBLANK(_xlfn.SINGLE(#REF!)),ISBLANK(_xlfn.SINGLE(V180:V184))), "·", bdRateExtend(#REF!,#REF!, P180:P184,V180:V184)))</f>
        <v>·</v>
      </c>
      <c r="BQ180" s="44"/>
      <c r="BS180" s="43" t="str">
        <f>_xlfn.SINGLE(IF( OR(ISBLANK(_xlfn.SINGLE(#REF!)),ISBLANK(_xlfn.SINGLE(P180:P184)), ISBLANK(_xlfn.SINGLE(#REF!)),ISBLANK(_xlfn.SINGLE(X180:X184))), "·", bdRateExtend(#REF!,#REF!, P180:P184,X180:X184)))</f>
        <v>·</v>
      </c>
      <c r="BT180" s="43" t="str">
        <f>_xlfn.SINGLE(IF( OR(ISBLANK(_xlfn.SINGLE(#REF!)),ISBLANK(_xlfn.SINGLE(P180:P184)), ISBLANK(_xlfn.SINGLE(#REF!)),ISBLANK(_xlfn.SINGLE(Y180:Y184))), "·", bdRateExtend(#REF!,#REF!, P180:P184,Y180:Y184)))</f>
        <v>·</v>
      </c>
      <c r="BU180" s="43" t="str">
        <f>_xlfn.SINGLE(IF( OR(ISBLANK(_xlfn.SINGLE(#REF!)),ISBLANK(_xlfn.SINGLE(P180:P184)), ISBLANK(_xlfn.SINGLE(#REF!)),ISBLANK(_xlfn.SINGLE(Z180:Z184))), "·", bdRateExtend(#REF!,#REF!, P180:P184,Z180:Z184)))</f>
        <v>·</v>
      </c>
      <c r="BV180" s="44"/>
    </row>
    <row r="181" spans="1:74" outlineLevel="1" x14ac:dyDescent="0.15">
      <c r="A181" s="15"/>
      <c r="B181" s="15" t="s">
        <v>338</v>
      </c>
      <c r="C181" s="16" t="s">
        <v>226</v>
      </c>
      <c r="D181" s="15">
        <v>3630907</v>
      </c>
      <c r="E181" s="17">
        <v>20</v>
      </c>
      <c r="F181" s="16">
        <v>1</v>
      </c>
      <c r="G181" s="16"/>
      <c r="I181" s="18" t="str">
        <f>IF(OR(ISBLANK(#REF!),ISBLANK(G181)),"·",#REF!*G181/F181/1000000)</f>
        <v>·</v>
      </c>
      <c r="J181" s="19" t="e">
        <f>IF(ISBLANK(#REF!),"·",#REF!/D181)</f>
        <v>#REF!</v>
      </c>
      <c r="K181" s="19" t="e">
        <f>IF(#REF!="","·",#REF!/D181)</f>
        <v>#REF!</v>
      </c>
      <c r="L181" s="19" t="e">
        <f>IF(ISBLANK(#REF!),"·",#REF!/D181)</f>
        <v>#REF!</v>
      </c>
      <c r="M181" s="20"/>
      <c r="N181" s="19" t="e">
        <f>IF(ISBLANK(#REF!),"·",#REF!/#REF!)</f>
        <v>#REF!</v>
      </c>
      <c r="O181" s="21"/>
      <c r="P181" s="22"/>
      <c r="Q181" s="22"/>
      <c r="R181" s="22"/>
      <c r="S181" s="23"/>
      <c r="T181" s="24"/>
      <c r="U181" s="24"/>
      <c r="V181" s="24"/>
      <c r="W181" s="25"/>
      <c r="X181" s="24"/>
      <c r="Y181" s="24"/>
      <c r="Z181" s="24"/>
      <c r="AA181" s="25"/>
      <c r="AB181" s="26"/>
      <c r="AC181" s="26"/>
      <c r="AE181" s="18" t="str">
        <f t="shared" si="10"/>
        <v>·</v>
      </c>
      <c r="AF181" s="19" t="str">
        <f t="shared" si="11"/>
        <v>·</v>
      </c>
      <c r="AG181" s="19" t="str">
        <f t="shared" si="12"/>
        <v>·</v>
      </c>
      <c r="AH181" s="19" t="str">
        <f t="shared" si="13"/>
        <v>·</v>
      </c>
      <c r="AI181" s="20"/>
      <c r="AJ181" s="19" t="str">
        <f t="shared" si="14"/>
        <v>·</v>
      </c>
      <c r="BA181" s="27" t="e">
        <f>(Q181/P181) - (#REF!/#REF!)</f>
        <v>#DIV/0!</v>
      </c>
      <c r="BB181" s="27"/>
      <c r="BD181" s="28"/>
      <c r="BE181" s="28"/>
      <c r="BF181" s="28"/>
      <c r="BG181" s="29"/>
      <c r="BI181" s="28"/>
      <c r="BJ181" s="28"/>
      <c r="BK181" s="28"/>
      <c r="BL181" s="29"/>
      <c r="BN181" s="28"/>
      <c r="BO181" s="28"/>
      <c r="BP181" s="28"/>
      <c r="BQ181" s="29"/>
      <c r="BS181" s="28"/>
      <c r="BT181" s="28"/>
      <c r="BU181" s="28"/>
      <c r="BV181" s="29"/>
    </row>
    <row r="182" spans="1:74" outlineLevel="1" x14ac:dyDescent="0.15">
      <c r="A182" s="30"/>
      <c r="B182" s="30" t="s">
        <v>338</v>
      </c>
      <c r="C182" s="31" t="s">
        <v>227</v>
      </c>
      <c r="D182" s="30">
        <v>3630907</v>
      </c>
      <c r="E182" s="32">
        <v>20</v>
      </c>
      <c r="F182" s="31">
        <v>1</v>
      </c>
      <c r="G182" s="31"/>
      <c r="I182" s="33" t="str">
        <f>IF(OR(ISBLANK(#REF!),ISBLANK(G182)),"·",#REF!*G182/F182/1000000)</f>
        <v>·</v>
      </c>
      <c r="J182" s="34" t="e">
        <f>IF(ISBLANK(#REF!),"·",#REF!/D182)</f>
        <v>#REF!</v>
      </c>
      <c r="K182" s="34" t="e">
        <f>IF(#REF!="","·",#REF!/D182)</f>
        <v>#REF!</v>
      </c>
      <c r="L182" s="34" t="e">
        <f>IF(ISBLANK(#REF!),"·",#REF!/D182)</f>
        <v>#REF!</v>
      </c>
      <c r="M182" s="35"/>
      <c r="N182" s="34" t="e">
        <f>IF(ISBLANK(#REF!),"·",#REF!/#REF!)</f>
        <v>#REF!</v>
      </c>
      <c r="O182" s="36"/>
      <c r="P182" s="37"/>
      <c r="Q182" s="37"/>
      <c r="R182" s="37"/>
      <c r="S182" s="38"/>
      <c r="T182" s="39"/>
      <c r="U182" s="39"/>
      <c r="V182" s="39"/>
      <c r="W182" s="40"/>
      <c r="X182" s="39"/>
      <c r="Y182" s="39"/>
      <c r="Z182" s="39"/>
      <c r="AA182" s="40"/>
      <c r="AB182" s="41"/>
      <c r="AC182" s="41"/>
      <c r="AE182" s="33" t="str">
        <f t="shared" si="10"/>
        <v>·</v>
      </c>
      <c r="AF182" s="34" t="str">
        <f t="shared" si="11"/>
        <v>·</v>
      </c>
      <c r="AG182" s="34" t="str">
        <f t="shared" si="12"/>
        <v>·</v>
      </c>
      <c r="AH182" s="34" t="str">
        <f t="shared" si="13"/>
        <v>·</v>
      </c>
      <c r="AI182" s="35"/>
      <c r="AJ182" s="34" t="str">
        <f t="shared" si="14"/>
        <v>·</v>
      </c>
      <c r="BA182" s="42" t="e">
        <f>(Q182/P182) - (#REF!/#REF!)</f>
        <v>#DIV/0!</v>
      </c>
      <c r="BB182" s="42"/>
      <c r="BD182" s="43"/>
      <c r="BE182" s="43"/>
      <c r="BF182" s="43"/>
      <c r="BG182" s="44"/>
      <c r="BI182" s="43"/>
      <c r="BJ182" s="43"/>
      <c r="BK182" s="43"/>
      <c r="BL182" s="44"/>
      <c r="BN182" s="43"/>
      <c r="BO182" s="43"/>
      <c r="BP182" s="43"/>
      <c r="BQ182" s="44"/>
      <c r="BS182" s="43"/>
      <c r="BT182" s="43"/>
      <c r="BU182" s="43"/>
      <c r="BV182" s="44"/>
    </row>
    <row r="183" spans="1:74" outlineLevel="1" x14ac:dyDescent="0.15">
      <c r="A183" s="15"/>
      <c r="B183" s="15" t="s">
        <v>338</v>
      </c>
      <c r="C183" s="16" t="s">
        <v>228</v>
      </c>
      <c r="D183" s="15">
        <v>3630907</v>
      </c>
      <c r="E183" s="17">
        <v>20</v>
      </c>
      <c r="F183" s="16">
        <v>1</v>
      </c>
      <c r="G183" s="16"/>
      <c r="I183" s="18" t="str">
        <f>IF(OR(ISBLANK(#REF!),ISBLANK(G183)),"·",#REF!*G183/F183/1000000)</f>
        <v>·</v>
      </c>
      <c r="J183" s="19" t="e">
        <f>IF(ISBLANK(#REF!),"·",#REF!/D183)</f>
        <v>#REF!</v>
      </c>
      <c r="K183" s="19" t="e">
        <f>IF(#REF!="","·",#REF!/D183)</f>
        <v>#REF!</v>
      </c>
      <c r="L183" s="19" t="e">
        <f>IF(ISBLANK(#REF!),"·",#REF!/D183)</f>
        <v>#REF!</v>
      </c>
      <c r="M183" s="20"/>
      <c r="N183" s="19" t="e">
        <f>IF(ISBLANK(#REF!),"·",#REF!/#REF!)</f>
        <v>#REF!</v>
      </c>
      <c r="O183" s="21"/>
      <c r="P183" s="22"/>
      <c r="Q183" s="22"/>
      <c r="R183" s="22"/>
      <c r="S183" s="23"/>
      <c r="T183" s="24"/>
      <c r="U183" s="24"/>
      <c r="V183" s="24"/>
      <c r="W183" s="25"/>
      <c r="X183" s="24"/>
      <c r="Y183" s="24"/>
      <c r="Z183" s="24"/>
      <c r="AA183" s="25"/>
      <c r="AB183" s="26"/>
      <c r="AC183" s="26"/>
      <c r="AE183" s="18" t="str">
        <f t="shared" si="10"/>
        <v>·</v>
      </c>
      <c r="AF183" s="19" t="str">
        <f t="shared" si="11"/>
        <v>·</v>
      </c>
      <c r="AG183" s="19" t="str">
        <f t="shared" si="12"/>
        <v>·</v>
      </c>
      <c r="AH183" s="19" t="str">
        <f t="shared" si="13"/>
        <v>·</v>
      </c>
      <c r="AI183" s="20"/>
      <c r="AJ183" s="19" t="str">
        <f t="shared" si="14"/>
        <v>·</v>
      </c>
      <c r="BA183" s="27" t="e">
        <f>(Q183/P183) - (#REF!/#REF!)</f>
        <v>#DIV/0!</v>
      </c>
      <c r="BB183" s="27"/>
      <c r="BD183" s="28"/>
      <c r="BE183" s="28"/>
      <c r="BF183" s="28"/>
      <c r="BG183" s="29"/>
      <c r="BI183" s="28"/>
      <c r="BJ183" s="28"/>
      <c r="BK183" s="28"/>
      <c r="BL183" s="29"/>
      <c r="BN183" s="28"/>
      <c r="BO183" s="28"/>
      <c r="BP183" s="28"/>
      <c r="BQ183" s="29"/>
      <c r="BS183" s="28"/>
      <c r="BT183" s="28"/>
      <c r="BU183" s="28"/>
      <c r="BV183" s="29"/>
    </row>
    <row r="184" spans="1:74" ht="14.25" outlineLevel="1" thickBot="1" x14ac:dyDescent="0.2">
      <c r="A184" s="30"/>
      <c r="B184" s="45" t="s">
        <v>338</v>
      </c>
      <c r="C184" s="46" t="s">
        <v>229</v>
      </c>
      <c r="D184" s="45">
        <v>3630907</v>
      </c>
      <c r="E184" s="47">
        <v>20</v>
      </c>
      <c r="F184" s="46">
        <v>1</v>
      </c>
      <c r="G184" s="46"/>
      <c r="I184" s="48" t="str">
        <f>IF(OR(ISBLANK(#REF!),ISBLANK(G184)),"·",#REF!*G184/F184/1000000)</f>
        <v>·</v>
      </c>
      <c r="J184" s="49" t="e">
        <f>IF(ISBLANK(#REF!),"·",#REF!/D184)</f>
        <v>#REF!</v>
      </c>
      <c r="K184" s="49" t="e">
        <f>IF(#REF!="","·",#REF!/D184)</f>
        <v>#REF!</v>
      </c>
      <c r="L184" s="49" t="e">
        <f>IF(ISBLANK(#REF!),"·",#REF!/D184)</f>
        <v>#REF!</v>
      </c>
      <c r="M184" s="50"/>
      <c r="N184" s="49" t="e">
        <f>IF(ISBLANK(#REF!),"·",#REF!/#REF!)</f>
        <v>#REF!</v>
      </c>
      <c r="O184" s="51"/>
      <c r="P184" s="52"/>
      <c r="Q184" s="52"/>
      <c r="R184" s="52"/>
      <c r="S184" s="53"/>
      <c r="T184" s="54"/>
      <c r="U184" s="54"/>
      <c r="V184" s="54"/>
      <c r="W184" s="55"/>
      <c r="X184" s="54"/>
      <c r="Y184" s="54"/>
      <c r="Z184" s="54"/>
      <c r="AA184" s="55"/>
      <c r="AB184" s="56"/>
      <c r="AC184" s="56"/>
      <c r="AE184" s="48" t="str">
        <f t="shared" si="10"/>
        <v>·</v>
      </c>
      <c r="AF184" s="49" t="str">
        <f t="shared" si="11"/>
        <v>·</v>
      </c>
      <c r="AG184" s="49" t="str">
        <f t="shared" si="12"/>
        <v>·</v>
      </c>
      <c r="AH184" s="49" t="str">
        <f t="shared" si="13"/>
        <v>·</v>
      </c>
      <c r="AI184" s="50"/>
      <c r="AJ184" s="49" t="str">
        <f t="shared" si="14"/>
        <v>·</v>
      </c>
      <c r="BA184" s="57" t="e">
        <f>(Q184/P184) - (#REF!/#REF!)</f>
        <v>#DIV/0!</v>
      </c>
      <c r="BB184" s="57"/>
      <c r="BD184" s="58"/>
      <c r="BE184" s="58"/>
      <c r="BF184" s="58"/>
      <c r="BG184" s="59"/>
      <c r="BI184" s="58"/>
      <c r="BJ184" s="58"/>
      <c r="BK184" s="58"/>
      <c r="BL184" s="59"/>
      <c r="BN184" s="58"/>
      <c r="BO184" s="58"/>
      <c r="BP184" s="58"/>
      <c r="BQ184" s="59"/>
      <c r="BS184" s="58"/>
      <c r="BT184" s="58"/>
      <c r="BU184" s="58"/>
      <c r="BV184" s="59"/>
    </row>
    <row r="185" spans="1:74" x14ac:dyDescent="0.15">
      <c r="A185" s="15"/>
      <c r="B185" s="15" t="s">
        <v>341</v>
      </c>
      <c r="C185" s="16" t="s">
        <v>225</v>
      </c>
      <c r="D185" s="15">
        <v>14025709</v>
      </c>
      <c r="E185" s="17">
        <v>20</v>
      </c>
      <c r="F185" s="16">
        <v>1</v>
      </c>
      <c r="G185" s="16"/>
      <c r="I185" s="18" t="str">
        <f>IF(OR(ISBLANK(#REF!),ISBLANK(G185)),"·",#REF!*G185/F185/1000000)</f>
        <v>·</v>
      </c>
      <c r="J185" s="19" t="e">
        <f>IF(ISBLANK(#REF!),"·",#REF!/D185)</f>
        <v>#REF!</v>
      </c>
      <c r="K185" s="19" t="e">
        <f>IF(#REF!="","·",#REF!/D185)</f>
        <v>#REF!</v>
      </c>
      <c r="L185" s="19" t="e">
        <f>IF(ISBLANK(#REF!),"·",#REF!/D185)</f>
        <v>#REF!</v>
      </c>
      <c r="M185" s="20"/>
      <c r="N185" s="19" t="e">
        <f>IF(ISBLANK(#REF!),"·",#REF!/#REF!)</f>
        <v>#REF!</v>
      </c>
      <c r="O185" s="21"/>
      <c r="P185" s="22"/>
      <c r="Q185" s="22"/>
      <c r="R185" s="22"/>
      <c r="S185" s="23"/>
      <c r="T185" s="24"/>
      <c r="U185" s="24"/>
      <c r="V185" s="24"/>
      <c r="W185" s="25"/>
      <c r="X185" s="24"/>
      <c r="Y185" s="24"/>
      <c r="Z185" s="24"/>
      <c r="AA185" s="25"/>
      <c r="AB185" s="26"/>
      <c r="AC185" s="26"/>
      <c r="AE185" s="18" t="str">
        <f t="shared" si="10"/>
        <v>·</v>
      </c>
      <c r="AF185" s="19" t="str">
        <f t="shared" si="11"/>
        <v>·</v>
      </c>
      <c r="AG185" s="19" t="str">
        <f t="shared" si="12"/>
        <v>·</v>
      </c>
      <c r="AH185" s="19" t="str">
        <f t="shared" si="13"/>
        <v>·</v>
      </c>
      <c r="AI185" s="20"/>
      <c r="AJ185" s="19" t="str">
        <f t="shared" si="14"/>
        <v>·</v>
      </c>
      <c r="BA185" s="27" t="e">
        <f>(Q185/P185) - (#REF!/#REF!)</f>
        <v>#DIV/0!</v>
      </c>
      <c r="BB185" s="27" t="e">
        <f t="array" ref="BB185">AVERAGE(Q185:Q189/P185:P189) - AVERAGE(#REF!/#REF!)</f>
        <v>#DIV/0!</v>
      </c>
      <c r="BD185" s="28" t="str">
        <f>_xlfn.SINGLE(IF( OR(ISBLANK(_xlfn.SINGLE(#REF!)),ISBLANK(_xlfn.SINGLE(R185:R189)), ISBLANK(_xlfn.SINGLE(#REF!)),ISBLANK(_xlfn.SINGLE(T185:T189))), "·", bdRateExtend(#REF!,#REF!, R185:R189,T185:T189)))</f>
        <v>·</v>
      </c>
      <c r="BE185" s="28" t="str">
        <f>_xlfn.SINGLE(IF( OR(ISBLANK(_xlfn.SINGLE(#REF!)),ISBLANK(_xlfn.SINGLE(R185:R189)), ISBLANK(_xlfn.SINGLE(#REF!)),ISBLANK(_xlfn.SINGLE(U185:U189))), "·", bdRateExtend(#REF!,#REF!, R185:R189,U185:U189)))</f>
        <v>·</v>
      </c>
      <c r="BF185" s="28" t="str">
        <f>_xlfn.SINGLE(IF( OR(ISBLANK(_xlfn.SINGLE(#REF!)),ISBLANK(_xlfn.SINGLE(R185:R189)), ISBLANK(_xlfn.SINGLE(#REF!)),ISBLANK(_xlfn.SINGLE(V185:V189))), "·", bdRateExtend(#REF!,#REF!, R185:R189,V185:V189)))</f>
        <v>·</v>
      </c>
      <c r="BG185" s="29"/>
      <c r="BI185" s="28" t="str">
        <f>_xlfn.SINGLE(IF( OR(ISBLANK(_xlfn.SINGLE(#REF!)),ISBLANK(_xlfn.SINGLE(R185:R189)), ISBLANK(_xlfn.SINGLE(#REF!)),ISBLANK(_xlfn.SINGLE(X185:X189))), "·", bdRateExtend(#REF!,#REF!, R185:R189,X185:X189)))</f>
        <v>·</v>
      </c>
      <c r="BJ185" s="28" t="str">
        <f>_xlfn.SINGLE(IF( OR(ISBLANK(_xlfn.SINGLE(#REF!)),ISBLANK(_xlfn.SINGLE(R185:R189)), ISBLANK(_xlfn.SINGLE(#REF!)),ISBLANK(_xlfn.SINGLE(Y185:Y189))), "·", bdRateExtend(#REF!,#REF!, R185:R189,Y185:Y189)))</f>
        <v>·</v>
      </c>
      <c r="BK185" s="28" t="str">
        <f>_xlfn.SINGLE(IF( OR(ISBLANK(_xlfn.SINGLE(#REF!)),ISBLANK(_xlfn.SINGLE(R185:R189)), ISBLANK(_xlfn.SINGLE(#REF!)),ISBLANK(_xlfn.SINGLE(Z185:Z189))), "·", bdRateExtend(#REF!,#REF!, R185:R189,Z185:Z189)))</f>
        <v>·</v>
      </c>
      <c r="BL185" s="29"/>
      <c r="BN185" s="28" t="str">
        <f>_xlfn.SINGLE(IF( OR(ISBLANK(_xlfn.SINGLE(#REF!)),ISBLANK(_xlfn.SINGLE(P185:P189)), ISBLANK(_xlfn.SINGLE(#REF!)),ISBLANK(_xlfn.SINGLE(T185:T189))), "·", bdRateExtend(#REF!,#REF!, P185:P189,T185:T189)))</f>
        <v>·</v>
      </c>
      <c r="BO185" s="28" t="str">
        <f>_xlfn.SINGLE(IF( OR(ISBLANK(_xlfn.SINGLE(#REF!)),ISBLANK(_xlfn.SINGLE(P185:P189)), ISBLANK(_xlfn.SINGLE(#REF!)),ISBLANK(_xlfn.SINGLE(U185:U189))), "·", bdRateExtend(#REF!,#REF!, P185:P189,U185:U189)))</f>
        <v>·</v>
      </c>
      <c r="BP185" s="28" t="str">
        <f>_xlfn.SINGLE(IF( OR(ISBLANK(_xlfn.SINGLE(#REF!)),ISBLANK(_xlfn.SINGLE(P185:P189)), ISBLANK(_xlfn.SINGLE(#REF!)),ISBLANK(_xlfn.SINGLE(V185:V189))), "·", bdRateExtend(#REF!,#REF!, P185:P189,V185:V189)))</f>
        <v>·</v>
      </c>
      <c r="BQ185" s="29"/>
      <c r="BS185" s="28" t="str">
        <f>_xlfn.SINGLE(IF( OR(ISBLANK(_xlfn.SINGLE(#REF!)),ISBLANK(_xlfn.SINGLE(P185:P189)), ISBLANK(_xlfn.SINGLE(#REF!)),ISBLANK(_xlfn.SINGLE(X185:X189))), "·", bdRateExtend(#REF!,#REF!, P185:P189,X185:X189)))</f>
        <v>·</v>
      </c>
      <c r="BT185" s="28" t="str">
        <f>_xlfn.SINGLE(IF( OR(ISBLANK(_xlfn.SINGLE(#REF!)),ISBLANK(_xlfn.SINGLE(P185:P189)), ISBLANK(_xlfn.SINGLE(#REF!)),ISBLANK(_xlfn.SINGLE(Y185:Y189))), "·", bdRateExtend(#REF!,#REF!, P185:P189,Y185:Y189)))</f>
        <v>·</v>
      </c>
      <c r="BU185" s="28" t="str">
        <f>_xlfn.SINGLE(IF( OR(ISBLANK(_xlfn.SINGLE(#REF!)),ISBLANK(_xlfn.SINGLE(P185:P189)), ISBLANK(_xlfn.SINGLE(#REF!)),ISBLANK(_xlfn.SINGLE(Z185:Z189))), "·", bdRateExtend(#REF!,#REF!, P185:P189,Z185:Z189)))</f>
        <v>·</v>
      </c>
      <c r="BV185" s="29"/>
    </row>
    <row r="186" spans="1:74" outlineLevel="1" x14ac:dyDescent="0.15">
      <c r="A186" s="30"/>
      <c r="B186" s="30" t="s">
        <v>341</v>
      </c>
      <c r="C186" s="31" t="s">
        <v>226</v>
      </c>
      <c r="D186" s="30">
        <v>14025709</v>
      </c>
      <c r="E186" s="32">
        <v>20</v>
      </c>
      <c r="F186" s="31">
        <v>1</v>
      </c>
      <c r="G186" s="31"/>
      <c r="I186" s="33" t="str">
        <f>IF(OR(ISBLANK(#REF!),ISBLANK(G186)),"·",#REF!*G186/F186/1000000)</f>
        <v>·</v>
      </c>
      <c r="J186" s="34" t="e">
        <f>IF(ISBLANK(#REF!),"·",#REF!/D186)</f>
        <v>#REF!</v>
      </c>
      <c r="K186" s="34" t="e">
        <f>IF(#REF!="","·",#REF!/D186)</f>
        <v>#REF!</v>
      </c>
      <c r="L186" s="34" t="e">
        <f>IF(ISBLANK(#REF!),"·",#REF!/D186)</f>
        <v>#REF!</v>
      </c>
      <c r="M186" s="35"/>
      <c r="N186" s="34" t="e">
        <f>IF(ISBLANK(#REF!),"·",#REF!/#REF!)</f>
        <v>#REF!</v>
      </c>
      <c r="O186" s="36"/>
      <c r="P186" s="37"/>
      <c r="Q186" s="37"/>
      <c r="R186" s="37"/>
      <c r="S186" s="38"/>
      <c r="T186" s="39"/>
      <c r="U186" s="39"/>
      <c r="V186" s="39"/>
      <c r="W186" s="40"/>
      <c r="X186" s="39"/>
      <c r="Y186" s="39"/>
      <c r="Z186" s="39"/>
      <c r="AA186" s="40"/>
      <c r="AB186" s="41"/>
      <c r="AC186" s="41"/>
      <c r="AE186" s="33" t="str">
        <f t="shared" si="10"/>
        <v>·</v>
      </c>
      <c r="AF186" s="34" t="str">
        <f t="shared" si="11"/>
        <v>·</v>
      </c>
      <c r="AG186" s="34" t="str">
        <f t="shared" si="12"/>
        <v>·</v>
      </c>
      <c r="AH186" s="34" t="str">
        <f t="shared" si="13"/>
        <v>·</v>
      </c>
      <c r="AI186" s="35"/>
      <c r="AJ186" s="34" t="str">
        <f t="shared" si="14"/>
        <v>·</v>
      </c>
      <c r="BA186" s="42" t="e">
        <f>(Q186/P186) - (#REF!/#REF!)</f>
        <v>#DIV/0!</v>
      </c>
      <c r="BB186" s="42"/>
      <c r="BD186" s="43"/>
      <c r="BE186" s="43"/>
      <c r="BF186" s="43"/>
      <c r="BG186" s="44"/>
      <c r="BI186" s="43"/>
      <c r="BJ186" s="43"/>
      <c r="BK186" s="43"/>
      <c r="BL186" s="44"/>
      <c r="BN186" s="43"/>
      <c r="BO186" s="43"/>
      <c r="BP186" s="43"/>
      <c r="BQ186" s="44"/>
      <c r="BS186" s="43"/>
      <c r="BT186" s="43"/>
      <c r="BU186" s="43"/>
      <c r="BV186" s="44"/>
    </row>
    <row r="187" spans="1:74" outlineLevel="1" x14ac:dyDescent="0.15">
      <c r="A187" s="15"/>
      <c r="B187" s="15" t="s">
        <v>341</v>
      </c>
      <c r="C187" s="16" t="s">
        <v>227</v>
      </c>
      <c r="D187" s="15">
        <v>14025709</v>
      </c>
      <c r="E187" s="17">
        <v>20</v>
      </c>
      <c r="F187" s="16">
        <v>1</v>
      </c>
      <c r="G187" s="16"/>
      <c r="I187" s="18" t="str">
        <f>IF(OR(ISBLANK(#REF!),ISBLANK(G187)),"·",#REF!*G187/F187/1000000)</f>
        <v>·</v>
      </c>
      <c r="J187" s="19" t="e">
        <f>IF(ISBLANK(#REF!),"·",#REF!/D187)</f>
        <v>#REF!</v>
      </c>
      <c r="K187" s="19" t="e">
        <f>IF(#REF!="","·",#REF!/D187)</f>
        <v>#REF!</v>
      </c>
      <c r="L187" s="19" t="e">
        <f>IF(ISBLANK(#REF!),"·",#REF!/D187)</f>
        <v>#REF!</v>
      </c>
      <c r="M187" s="20"/>
      <c r="N187" s="19" t="e">
        <f>IF(ISBLANK(#REF!),"·",#REF!/#REF!)</f>
        <v>#REF!</v>
      </c>
      <c r="O187" s="21"/>
      <c r="P187" s="22"/>
      <c r="Q187" s="22"/>
      <c r="R187" s="22"/>
      <c r="S187" s="23"/>
      <c r="T187" s="24"/>
      <c r="U187" s="24"/>
      <c r="V187" s="24"/>
      <c r="W187" s="25"/>
      <c r="X187" s="24"/>
      <c r="Y187" s="24"/>
      <c r="Z187" s="24"/>
      <c r="AA187" s="25"/>
      <c r="AB187" s="26"/>
      <c r="AC187" s="26"/>
      <c r="AE187" s="18" t="str">
        <f t="shared" si="10"/>
        <v>·</v>
      </c>
      <c r="AF187" s="19" t="str">
        <f t="shared" si="11"/>
        <v>·</v>
      </c>
      <c r="AG187" s="19" t="str">
        <f t="shared" si="12"/>
        <v>·</v>
      </c>
      <c r="AH187" s="19" t="str">
        <f t="shared" si="13"/>
        <v>·</v>
      </c>
      <c r="AI187" s="20"/>
      <c r="AJ187" s="19" t="str">
        <f t="shared" si="14"/>
        <v>·</v>
      </c>
      <c r="BA187" s="27" t="e">
        <f>(Q187/P187) - (#REF!/#REF!)</f>
        <v>#DIV/0!</v>
      </c>
      <c r="BB187" s="27"/>
      <c r="BD187" s="28"/>
      <c r="BE187" s="28"/>
      <c r="BF187" s="28"/>
      <c r="BG187" s="29"/>
      <c r="BI187" s="28"/>
      <c r="BJ187" s="28"/>
      <c r="BK187" s="28"/>
      <c r="BL187" s="29"/>
      <c r="BN187" s="28"/>
      <c r="BO187" s="28"/>
      <c r="BP187" s="28"/>
      <c r="BQ187" s="29"/>
      <c r="BS187" s="28"/>
      <c r="BT187" s="28"/>
      <c r="BU187" s="28"/>
      <c r="BV187" s="29"/>
    </row>
    <row r="188" spans="1:74" outlineLevel="1" x14ac:dyDescent="0.15">
      <c r="A188" s="30"/>
      <c r="B188" s="30" t="s">
        <v>341</v>
      </c>
      <c r="C188" s="31" t="s">
        <v>228</v>
      </c>
      <c r="D188" s="30">
        <v>14025709</v>
      </c>
      <c r="E188" s="32">
        <v>20</v>
      </c>
      <c r="F188" s="31">
        <v>1</v>
      </c>
      <c r="G188" s="31"/>
      <c r="I188" s="33" t="str">
        <f>IF(OR(ISBLANK(#REF!),ISBLANK(G188)),"·",#REF!*G188/F188/1000000)</f>
        <v>·</v>
      </c>
      <c r="J188" s="34" t="e">
        <f>IF(ISBLANK(#REF!),"·",#REF!/D188)</f>
        <v>#REF!</v>
      </c>
      <c r="K188" s="34" t="e">
        <f>IF(#REF!="","·",#REF!/D188)</f>
        <v>#REF!</v>
      </c>
      <c r="L188" s="34" t="e">
        <f>IF(ISBLANK(#REF!),"·",#REF!/D188)</f>
        <v>#REF!</v>
      </c>
      <c r="M188" s="35"/>
      <c r="N188" s="34" t="e">
        <f>IF(ISBLANK(#REF!),"·",#REF!/#REF!)</f>
        <v>#REF!</v>
      </c>
      <c r="O188" s="36"/>
      <c r="P188" s="37"/>
      <c r="Q188" s="37"/>
      <c r="R188" s="37"/>
      <c r="S188" s="38"/>
      <c r="T188" s="39"/>
      <c r="U188" s="39"/>
      <c r="V188" s="39"/>
      <c r="W188" s="40"/>
      <c r="X188" s="39"/>
      <c r="Y188" s="39"/>
      <c r="Z188" s="39"/>
      <c r="AA188" s="40"/>
      <c r="AB188" s="41"/>
      <c r="AC188" s="41"/>
      <c r="AE188" s="33" t="str">
        <f t="shared" si="10"/>
        <v>·</v>
      </c>
      <c r="AF188" s="34" t="str">
        <f t="shared" si="11"/>
        <v>·</v>
      </c>
      <c r="AG188" s="34" t="str">
        <f t="shared" si="12"/>
        <v>·</v>
      </c>
      <c r="AH188" s="34" t="str">
        <f t="shared" si="13"/>
        <v>·</v>
      </c>
      <c r="AI188" s="35"/>
      <c r="AJ188" s="34" t="str">
        <f t="shared" si="14"/>
        <v>·</v>
      </c>
      <c r="BA188" s="42" t="e">
        <f>(Q188/P188) - (#REF!/#REF!)</f>
        <v>#DIV/0!</v>
      </c>
      <c r="BB188" s="42"/>
      <c r="BD188" s="43"/>
      <c r="BE188" s="43"/>
      <c r="BF188" s="43"/>
      <c r="BG188" s="44"/>
      <c r="BI188" s="43"/>
      <c r="BJ188" s="43"/>
      <c r="BK188" s="43"/>
      <c r="BL188" s="44"/>
      <c r="BN188" s="43"/>
      <c r="BO188" s="43"/>
      <c r="BP188" s="43"/>
      <c r="BQ188" s="44"/>
      <c r="BS188" s="43"/>
      <c r="BT188" s="43"/>
      <c r="BU188" s="43"/>
      <c r="BV188" s="44"/>
    </row>
    <row r="189" spans="1:74" ht="14.25" outlineLevel="1" thickBot="1" x14ac:dyDescent="0.2">
      <c r="A189" s="15"/>
      <c r="B189" s="64" t="s">
        <v>341</v>
      </c>
      <c r="C189" s="66" t="s">
        <v>229</v>
      </c>
      <c r="D189" s="64">
        <v>14025709</v>
      </c>
      <c r="E189" s="65">
        <v>20</v>
      </c>
      <c r="F189" s="66">
        <v>1</v>
      </c>
      <c r="G189" s="66"/>
      <c r="I189" s="68" t="str">
        <f>IF(OR(ISBLANK(#REF!),ISBLANK(G189)),"·",#REF!*G189/F189/1000000)</f>
        <v>·</v>
      </c>
      <c r="J189" s="69" t="e">
        <f>IF(ISBLANK(#REF!),"·",#REF!/D189)</f>
        <v>#REF!</v>
      </c>
      <c r="K189" s="69" t="e">
        <f>IF(#REF!="","·",#REF!/D189)</f>
        <v>#REF!</v>
      </c>
      <c r="L189" s="69" t="e">
        <f>IF(ISBLANK(#REF!),"·",#REF!/D189)</f>
        <v>#REF!</v>
      </c>
      <c r="M189" s="70"/>
      <c r="N189" s="69" t="e">
        <f>IF(ISBLANK(#REF!),"·",#REF!/#REF!)</f>
        <v>#REF!</v>
      </c>
      <c r="O189" s="71"/>
      <c r="P189" s="72"/>
      <c r="Q189" s="72"/>
      <c r="R189" s="72"/>
      <c r="S189" s="73"/>
      <c r="T189" s="77"/>
      <c r="U189" s="77"/>
      <c r="V189" s="77"/>
      <c r="W189" s="78"/>
      <c r="X189" s="77"/>
      <c r="Y189" s="77"/>
      <c r="Z189" s="77"/>
      <c r="AA189" s="78"/>
      <c r="AB189" s="74"/>
      <c r="AC189" s="74"/>
      <c r="AE189" s="68" t="str">
        <f t="shared" si="10"/>
        <v>·</v>
      </c>
      <c r="AF189" s="69" t="str">
        <f t="shared" si="11"/>
        <v>·</v>
      </c>
      <c r="AG189" s="69" t="str">
        <f t="shared" si="12"/>
        <v>·</v>
      </c>
      <c r="AH189" s="69" t="str">
        <f t="shared" si="13"/>
        <v>·</v>
      </c>
      <c r="AI189" s="70"/>
      <c r="AJ189" s="69" t="str">
        <f t="shared" si="14"/>
        <v>·</v>
      </c>
      <c r="BA189" s="67" t="e">
        <f>(Q189/P189) - (#REF!/#REF!)</f>
        <v>#DIV/0!</v>
      </c>
      <c r="BB189" s="67"/>
      <c r="BD189" s="75"/>
      <c r="BE189" s="75"/>
      <c r="BF189" s="75"/>
      <c r="BG189" s="76"/>
      <c r="BI189" s="75"/>
      <c r="BJ189" s="75"/>
      <c r="BK189" s="75"/>
      <c r="BL189" s="76"/>
      <c r="BN189" s="75"/>
      <c r="BO189" s="75"/>
      <c r="BP189" s="75"/>
      <c r="BQ189" s="76"/>
      <c r="BS189" s="75"/>
      <c r="BT189" s="75"/>
      <c r="BU189" s="75"/>
      <c r="BV189" s="76"/>
    </row>
    <row r="190" spans="1:74" x14ac:dyDescent="0.15">
      <c r="A190" s="30"/>
      <c r="B190" s="30" t="s">
        <v>344</v>
      </c>
      <c r="C190" s="31" t="s">
        <v>225</v>
      </c>
      <c r="D190" s="30">
        <v>5001077</v>
      </c>
      <c r="E190" s="32">
        <v>20</v>
      </c>
      <c r="F190" s="31">
        <v>1</v>
      </c>
      <c r="G190" s="31"/>
      <c r="I190" s="33" t="str">
        <f>IF(OR(ISBLANK(#REF!),ISBLANK(G190)),"·",#REF!*G190/F190/1000000)</f>
        <v>·</v>
      </c>
      <c r="J190" s="34" t="e">
        <f>IF(ISBLANK(#REF!),"·",#REF!/D190)</f>
        <v>#REF!</v>
      </c>
      <c r="K190" s="34" t="e">
        <f>IF(#REF!="","·",#REF!/D190)</f>
        <v>#REF!</v>
      </c>
      <c r="L190" s="34" t="e">
        <f>IF(ISBLANK(#REF!),"·",#REF!/D190)</f>
        <v>#REF!</v>
      </c>
      <c r="M190" s="35"/>
      <c r="N190" s="34" t="e">
        <f>IF(ISBLANK(#REF!),"·",#REF!/#REF!)</f>
        <v>#REF!</v>
      </c>
      <c r="O190" s="36"/>
      <c r="P190" s="37"/>
      <c r="Q190" s="37"/>
      <c r="R190" s="37"/>
      <c r="S190" s="38"/>
      <c r="T190" s="39"/>
      <c r="U190" s="39"/>
      <c r="V190" s="39"/>
      <c r="W190" s="40"/>
      <c r="X190" s="39"/>
      <c r="Y190" s="39"/>
      <c r="Z190" s="39"/>
      <c r="AA190" s="40"/>
      <c r="AB190" s="41"/>
      <c r="AC190" s="41"/>
      <c r="AE190" s="33" t="str">
        <f t="shared" si="10"/>
        <v>·</v>
      </c>
      <c r="AF190" s="34" t="str">
        <f t="shared" si="11"/>
        <v>·</v>
      </c>
      <c r="AG190" s="34" t="str">
        <f t="shared" si="12"/>
        <v>·</v>
      </c>
      <c r="AH190" s="34" t="str">
        <f t="shared" si="13"/>
        <v>·</v>
      </c>
      <c r="AI190" s="35"/>
      <c r="AJ190" s="34" t="str">
        <f t="shared" si="14"/>
        <v>·</v>
      </c>
      <c r="BA190" s="42" t="e">
        <f>(Q190/P190) - (#REF!/#REF!)</f>
        <v>#DIV/0!</v>
      </c>
      <c r="BB190" s="42" t="e">
        <f t="array" ref="BB190">AVERAGE(Q190:Q194/P190:P194) - AVERAGE(#REF!/#REF!)</f>
        <v>#DIV/0!</v>
      </c>
      <c r="BD190" s="43" t="str">
        <f>_xlfn.SINGLE(IF( OR(ISBLANK(_xlfn.SINGLE(#REF!)),ISBLANK(_xlfn.SINGLE(R190:R194)), ISBLANK(_xlfn.SINGLE(#REF!)),ISBLANK(_xlfn.SINGLE(T190:T194))), "·", bdRateExtend(#REF!,#REF!, R190:R194,T190:T194)))</f>
        <v>·</v>
      </c>
      <c r="BE190" s="43" t="str">
        <f>_xlfn.SINGLE(IF( OR(ISBLANK(_xlfn.SINGLE(#REF!)),ISBLANK(_xlfn.SINGLE(R190:R194)), ISBLANK(_xlfn.SINGLE(#REF!)),ISBLANK(_xlfn.SINGLE(U190:U194))), "·", bdRateExtend(#REF!,#REF!, R190:R194,U190:U194)))</f>
        <v>·</v>
      </c>
      <c r="BF190" s="43" t="str">
        <f>_xlfn.SINGLE(IF( OR(ISBLANK(_xlfn.SINGLE(#REF!)),ISBLANK(_xlfn.SINGLE(R190:R194)), ISBLANK(_xlfn.SINGLE(#REF!)),ISBLANK(_xlfn.SINGLE(V190:V194))), "·", bdRateExtend(#REF!,#REF!, R190:R194,V190:V194)))</f>
        <v>·</v>
      </c>
      <c r="BG190" s="44"/>
      <c r="BI190" s="43" t="str">
        <f>_xlfn.SINGLE(IF( OR(ISBLANK(_xlfn.SINGLE(#REF!)),ISBLANK(_xlfn.SINGLE(R190:R194)), ISBLANK(_xlfn.SINGLE(#REF!)),ISBLANK(_xlfn.SINGLE(X190:X194))), "·", bdRateExtend(#REF!,#REF!, R190:R194,X190:X194)))</f>
        <v>·</v>
      </c>
      <c r="BJ190" s="43" t="str">
        <f>_xlfn.SINGLE(IF( OR(ISBLANK(_xlfn.SINGLE(#REF!)),ISBLANK(_xlfn.SINGLE(R190:R194)), ISBLANK(_xlfn.SINGLE(#REF!)),ISBLANK(_xlfn.SINGLE(Y190:Y194))), "·", bdRateExtend(#REF!,#REF!, R190:R194,Y190:Y194)))</f>
        <v>·</v>
      </c>
      <c r="BK190" s="43" t="str">
        <f>_xlfn.SINGLE(IF( OR(ISBLANK(_xlfn.SINGLE(#REF!)),ISBLANK(_xlfn.SINGLE(R190:R194)), ISBLANK(_xlfn.SINGLE(#REF!)),ISBLANK(_xlfn.SINGLE(Z190:Z194))), "·", bdRateExtend(#REF!,#REF!, R190:R194,Z190:Z194)))</f>
        <v>·</v>
      </c>
      <c r="BL190" s="44"/>
      <c r="BN190" s="43" t="str">
        <f>_xlfn.SINGLE(IF( OR(ISBLANK(_xlfn.SINGLE(#REF!)),ISBLANK(_xlfn.SINGLE(P190:P194)), ISBLANK(_xlfn.SINGLE(#REF!)),ISBLANK(_xlfn.SINGLE(T190:T194))), "·", bdRateExtend(#REF!,#REF!, P190:P194,T190:T194)))</f>
        <v>·</v>
      </c>
      <c r="BO190" s="43" t="str">
        <f>_xlfn.SINGLE(IF( OR(ISBLANK(_xlfn.SINGLE(#REF!)),ISBLANK(_xlfn.SINGLE(P190:P194)), ISBLANK(_xlfn.SINGLE(#REF!)),ISBLANK(_xlfn.SINGLE(U190:U194))), "·", bdRateExtend(#REF!,#REF!, P190:P194,U190:U194)))</f>
        <v>·</v>
      </c>
      <c r="BP190" s="43" t="str">
        <f>_xlfn.SINGLE(IF( OR(ISBLANK(_xlfn.SINGLE(#REF!)),ISBLANK(_xlfn.SINGLE(P190:P194)), ISBLANK(_xlfn.SINGLE(#REF!)),ISBLANK(_xlfn.SINGLE(V190:V194))), "·", bdRateExtend(#REF!,#REF!, P190:P194,V190:V194)))</f>
        <v>·</v>
      </c>
      <c r="BQ190" s="44"/>
      <c r="BS190" s="43" t="str">
        <f>_xlfn.SINGLE(IF( OR(ISBLANK(_xlfn.SINGLE(#REF!)),ISBLANK(_xlfn.SINGLE(P190:P194)), ISBLANK(_xlfn.SINGLE(#REF!)),ISBLANK(_xlfn.SINGLE(X190:X194))), "·", bdRateExtend(#REF!,#REF!, P190:P194,X190:X194)))</f>
        <v>·</v>
      </c>
      <c r="BT190" s="43" t="str">
        <f>_xlfn.SINGLE(IF( OR(ISBLANK(_xlfn.SINGLE(#REF!)),ISBLANK(_xlfn.SINGLE(P190:P194)), ISBLANK(_xlfn.SINGLE(#REF!)),ISBLANK(_xlfn.SINGLE(Y190:Y194))), "·", bdRateExtend(#REF!,#REF!, P190:P194,Y190:Y194)))</f>
        <v>·</v>
      </c>
      <c r="BU190" s="43" t="str">
        <f>_xlfn.SINGLE(IF( OR(ISBLANK(_xlfn.SINGLE(#REF!)),ISBLANK(_xlfn.SINGLE(P190:P194)), ISBLANK(_xlfn.SINGLE(#REF!)),ISBLANK(_xlfn.SINGLE(Z190:Z194))), "·", bdRateExtend(#REF!,#REF!, P190:P194,Z190:Z194)))</f>
        <v>·</v>
      </c>
      <c r="BV190" s="44"/>
    </row>
    <row r="191" spans="1:74" outlineLevel="1" x14ac:dyDescent="0.15">
      <c r="A191" s="15"/>
      <c r="B191" s="15" t="s">
        <v>344</v>
      </c>
      <c r="C191" s="16" t="s">
        <v>226</v>
      </c>
      <c r="D191" s="15">
        <v>5001077</v>
      </c>
      <c r="E191" s="17">
        <v>20</v>
      </c>
      <c r="F191" s="16">
        <v>1</v>
      </c>
      <c r="G191" s="16"/>
      <c r="I191" s="18" t="str">
        <f>IF(OR(ISBLANK(#REF!),ISBLANK(G191)),"·",#REF!*G191/F191/1000000)</f>
        <v>·</v>
      </c>
      <c r="J191" s="19" t="e">
        <f>IF(ISBLANK(#REF!),"·",#REF!/D191)</f>
        <v>#REF!</v>
      </c>
      <c r="K191" s="19" t="e">
        <f>IF(#REF!="","·",#REF!/D191)</f>
        <v>#REF!</v>
      </c>
      <c r="L191" s="19" t="e">
        <f>IF(ISBLANK(#REF!),"·",#REF!/D191)</f>
        <v>#REF!</v>
      </c>
      <c r="M191" s="20"/>
      <c r="N191" s="19" t="e">
        <f>IF(ISBLANK(#REF!),"·",#REF!/#REF!)</f>
        <v>#REF!</v>
      </c>
      <c r="O191" s="21"/>
      <c r="P191" s="22"/>
      <c r="Q191" s="22"/>
      <c r="R191" s="22"/>
      <c r="S191" s="23"/>
      <c r="T191" s="24"/>
      <c r="U191" s="24"/>
      <c r="V191" s="24"/>
      <c r="W191" s="25"/>
      <c r="X191" s="24"/>
      <c r="Y191" s="24"/>
      <c r="Z191" s="24"/>
      <c r="AA191" s="25"/>
      <c r="AB191" s="26"/>
      <c r="AC191" s="26"/>
      <c r="AE191" s="18" t="str">
        <f t="shared" si="10"/>
        <v>·</v>
      </c>
      <c r="AF191" s="19" t="str">
        <f t="shared" si="11"/>
        <v>·</v>
      </c>
      <c r="AG191" s="19" t="str">
        <f t="shared" si="12"/>
        <v>·</v>
      </c>
      <c r="AH191" s="19" t="str">
        <f t="shared" si="13"/>
        <v>·</v>
      </c>
      <c r="AI191" s="20"/>
      <c r="AJ191" s="19" t="str">
        <f t="shared" si="14"/>
        <v>·</v>
      </c>
      <c r="BA191" s="27" t="e">
        <f>(Q191/P191) - (#REF!/#REF!)</f>
        <v>#DIV/0!</v>
      </c>
      <c r="BB191" s="27"/>
      <c r="BD191" s="28"/>
      <c r="BE191" s="28"/>
      <c r="BF191" s="28"/>
      <c r="BG191" s="29"/>
      <c r="BI191" s="28"/>
      <c r="BJ191" s="28"/>
      <c r="BK191" s="28"/>
      <c r="BL191" s="29"/>
      <c r="BN191" s="28"/>
      <c r="BO191" s="28"/>
      <c r="BP191" s="28"/>
      <c r="BQ191" s="29"/>
      <c r="BS191" s="28"/>
      <c r="BT191" s="28"/>
      <c r="BU191" s="28"/>
      <c r="BV191" s="29"/>
    </row>
    <row r="192" spans="1:74" outlineLevel="1" x14ac:dyDescent="0.15">
      <c r="A192" s="30"/>
      <c r="B192" s="30" t="s">
        <v>344</v>
      </c>
      <c r="C192" s="31" t="s">
        <v>227</v>
      </c>
      <c r="D192" s="30">
        <v>5001077</v>
      </c>
      <c r="E192" s="32">
        <v>20</v>
      </c>
      <c r="F192" s="31">
        <v>1</v>
      </c>
      <c r="G192" s="31"/>
      <c r="I192" s="33" t="str">
        <f>IF(OR(ISBLANK(#REF!),ISBLANK(G192)),"·",#REF!*G192/F192/1000000)</f>
        <v>·</v>
      </c>
      <c r="J192" s="34" t="e">
        <f>IF(ISBLANK(#REF!),"·",#REF!/D192)</f>
        <v>#REF!</v>
      </c>
      <c r="K192" s="34" t="e">
        <f>IF(#REF!="","·",#REF!/D192)</f>
        <v>#REF!</v>
      </c>
      <c r="L192" s="34" t="e">
        <f>IF(ISBLANK(#REF!),"·",#REF!/D192)</f>
        <v>#REF!</v>
      </c>
      <c r="M192" s="35"/>
      <c r="N192" s="34" t="e">
        <f>IF(ISBLANK(#REF!),"·",#REF!/#REF!)</f>
        <v>#REF!</v>
      </c>
      <c r="O192" s="36"/>
      <c r="P192" s="37"/>
      <c r="Q192" s="37"/>
      <c r="R192" s="37"/>
      <c r="S192" s="38"/>
      <c r="T192" s="39"/>
      <c r="U192" s="39"/>
      <c r="V192" s="39"/>
      <c r="W192" s="40"/>
      <c r="X192" s="39"/>
      <c r="Y192" s="39"/>
      <c r="Z192" s="39"/>
      <c r="AA192" s="40"/>
      <c r="AB192" s="41"/>
      <c r="AC192" s="41"/>
      <c r="AE192" s="33" t="str">
        <f t="shared" si="10"/>
        <v>·</v>
      </c>
      <c r="AF192" s="34" t="str">
        <f t="shared" si="11"/>
        <v>·</v>
      </c>
      <c r="AG192" s="34" t="str">
        <f t="shared" si="12"/>
        <v>·</v>
      </c>
      <c r="AH192" s="34" t="str">
        <f t="shared" si="13"/>
        <v>·</v>
      </c>
      <c r="AI192" s="35"/>
      <c r="AJ192" s="34" t="str">
        <f t="shared" si="14"/>
        <v>·</v>
      </c>
      <c r="BA192" s="42" t="e">
        <f>(Q192/P192) - (#REF!/#REF!)</f>
        <v>#DIV/0!</v>
      </c>
      <c r="BB192" s="42"/>
      <c r="BD192" s="43"/>
      <c r="BE192" s="43"/>
      <c r="BF192" s="43"/>
      <c r="BG192" s="44"/>
      <c r="BI192" s="43"/>
      <c r="BJ192" s="43"/>
      <c r="BK192" s="43"/>
      <c r="BL192" s="44"/>
      <c r="BN192" s="43"/>
      <c r="BO192" s="43"/>
      <c r="BP192" s="43"/>
      <c r="BQ192" s="44"/>
      <c r="BS192" s="43"/>
      <c r="BT192" s="43"/>
      <c r="BU192" s="43"/>
      <c r="BV192" s="44"/>
    </row>
    <row r="193" spans="1:74" outlineLevel="1" x14ac:dyDescent="0.15">
      <c r="A193" s="15"/>
      <c r="B193" s="15" t="s">
        <v>344</v>
      </c>
      <c r="C193" s="16" t="s">
        <v>228</v>
      </c>
      <c r="D193" s="15">
        <v>5001077</v>
      </c>
      <c r="E193" s="17">
        <v>20</v>
      </c>
      <c r="F193" s="16">
        <v>1</v>
      </c>
      <c r="G193" s="16"/>
      <c r="I193" s="18" t="str">
        <f>IF(OR(ISBLANK(#REF!),ISBLANK(G193)),"·",#REF!*G193/F193/1000000)</f>
        <v>·</v>
      </c>
      <c r="J193" s="19" t="e">
        <f>IF(ISBLANK(#REF!),"·",#REF!/D193)</f>
        <v>#REF!</v>
      </c>
      <c r="K193" s="19" t="e">
        <f>IF(#REF!="","·",#REF!/D193)</f>
        <v>#REF!</v>
      </c>
      <c r="L193" s="19" t="e">
        <f>IF(ISBLANK(#REF!),"·",#REF!/D193)</f>
        <v>#REF!</v>
      </c>
      <c r="M193" s="20"/>
      <c r="N193" s="19" t="e">
        <f>IF(ISBLANK(#REF!),"·",#REF!/#REF!)</f>
        <v>#REF!</v>
      </c>
      <c r="O193" s="21"/>
      <c r="P193" s="22"/>
      <c r="Q193" s="22"/>
      <c r="R193" s="22"/>
      <c r="S193" s="23"/>
      <c r="T193" s="24"/>
      <c r="U193" s="24"/>
      <c r="V193" s="24"/>
      <c r="W193" s="25"/>
      <c r="X193" s="24"/>
      <c r="Y193" s="24"/>
      <c r="Z193" s="24"/>
      <c r="AA193" s="25"/>
      <c r="AB193" s="26"/>
      <c r="AC193" s="26"/>
      <c r="AE193" s="18" t="str">
        <f t="shared" si="10"/>
        <v>·</v>
      </c>
      <c r="AF193" s="19" t="str">
        <f t="shared" si="11"/>
        <v>·</v>
      </c>
      <c r="AG193" s="19" t="str">
        <f t="shared" si="12"/>
        <v>·</v>
      </c>
      <c r="AH193" s="19" t="str">
        <f t="shared" si="13"/>
        <v>·</v>
      </c>
      <c r="AI193" s="20"/>
      <c r="AJ193" s="19" t="str">
        <f t="shared" si="14"/>
        <v>·</v>
      </c>
      <c r="BA193" s="27" t="e">
        <f>(Q193/P193) - (#REF!/#REF!)</f>
        <v>#DIV/0!</v>
      </c>
      <c r="BB193" s="27"/>
      <c r="BD193" s="28"/>
      <c r="BE193" s="28"/>
      <c r="BF193" s="28"/>
      <c r="BG193" s="29"/>
      <c r="BI193" s="28"/>
      <c r="BJ193" s="28"/>
      <c r="BK193" s="28"/>
      <c r="BL193" s="29"/>
      <c r="BN193" s="28"/>
      <c r="BO193" s="28"/>
      <c r="BP193" s="28"/>
      <c r="BQ193" s="29"/>
      <c r="BS193" s="28"/>
      <c r="BT193" s="28"/>
      <c r="BU193" s="28"/>
      <c r="BV193" s="29"/>
    </row>
    <row r="194" spans="1:74" ht="14.25" outlineLevel="1" thickBot="1" x14ac:dyDescent="0.2">
      <c r="A194" s="30"/>
      <c r="B194" s="45" t="s">
        <v>344</v>
      </c>
      <c r="C194" s="46" t="s">
        <v>229</v>
      </c>
      <c r="D194" s="45">
        <v>5001077</v>
      </c>
      <c r="E194" s="47">
        <v>20</v>
      </c>
      <c r="F194" s="46">
        <v>1</v>
      </c>
      <c r="G194" s="46"/>
      <c r="I194" s="48" t="str">
        <f>IF(OR(ISBLANK(#REF!),ISBLANK(G194)),"·",#REF!*G194/F194/1000000)</f>
        <v>·</v>
      </c>
      <c r="J194" s="49" t="e">
        <f>IF(ISBLANK(#REF!),"·",#REF!/D194)</f>
        <v>#REF!</v>
      </c>
      <c r="K194" s="49" t="e">
        <f>IF(#REF!="","·",#REF!/D194)</f>
        <v>#REF!</v>
      </c>
      <c r="L194" s="49" t="e">
        <f>IF(ISBLANK(#REF!),"·",#REF!/D194)</f>
        <v>#REF!</v>
      </c>
      <c r="M194" s="50"/>
      <c r="N194" s="49" t="e">
        <f>IF(ISBLANK(#REF!),"·",#REF!/#REF!)</f>
        <v>#REF!</v>
      </c>
      <c r="O194" s="51"/>
      <c r="P194" s="52"/>
      <c r="Q194" s="52"/>
      <c r="R194" s="52"/>
      <c r="S194" s="53"/>
      <c r="T194" s="54"/>
      <c r="U194" s="54"/>
      <c r="V194" s="54"/>
      <c r="W194" s="55"/>
      <c r="X194" s="54"/>
      <c r="Y194" s="54"/>
      <c r="Z194" s="54"/>
      <c r="AA194" s="55"/>
      <c r="AB194" s="56"/>
      <c r="AC194" s="56"/>
      <c r="AE194" s="48" t="str">
        <f t="shared" si="10"/>
        <v>·</v>
      </c>
      <c r="AF194" s="49" t="str">
        <f t="shared" si="11"/>
        <v>·</v>
      </c>
      <c r="AG194" s="49" t="str">
        <f t="shared" si="12"/>
        <v>·</v>
      </c>
      <c r="AH194" s="49" t="str">
        <f t="shared" si="13"/>
        <v>·</v>
      </c>
      <c r="AI194" s="50"/>
      <c r="AJ194" s="49" t="str">
        <f t="shared" si="14"/>
        <v>·</v>
      </c>
      <c r="BA194" s="57" t="e">
        <f>(Q194/P194) - (#REF!/#REF!)</f>
        <v>#DIV/0!</v>
      </c>
      <c r="BB194" s="57"/>
      <c r="BD194" s="58"/>
      <c r="BE194" s="58"/>
      <c r="BF194" s="58"/>
      <c r="BG194" s="59"/>
      <c r="BI194" s="58"/>
      <c r="BJ194" s="58"/>
      <c r="BK194" s="58"/>
      <c r="BL194" s="59"/>
      <c r="BN194" s="58"/>
      <c r="BO194" s="58"/>
      <c r="BP194" s="58"/>
      <c r="BQ194" s="59"/>
      <c r="BS194" s="58"/>
      <c r="BT194" s="58"/>
      <c r="BU194" s="58"/>
      <c r="BV194" s="59"/>
    </row>
    <row r="195" spans="1:74" x14ac:dyDescent="0.15">
      <c r="A195" s="15"/>
      <c r="B195" s="15" t="s">
        <v>347</v>
      </c>
      <c r="C195" s="16" t="s">
        <v>225</v>
      </c>
      <c r="D195" s="15">
        <v>72145549</v>
      </c>
      <c r="E195" s="17">
        <v>20</v>
      </c>
      <c r="F195" s="16">
        <v>1</v>
      </c>
      <c r="G195" s="16"/>
      <c r="I195" s="18" t="str">
        <f>IF(OR(ISBLANK(#REF!),ISBLANK(G195)),"·",#REF!*G195/F195/1000000)</f>
        <v>·</v>
      </c>
      <c r="J195" s="19" t="e">
        <f>IF(ISBLANK(#REF!),"·",#REF!/D195)</f>
        <v>#REF!</v>
      </c>
      <c r="K195" s="19" t="e">
        <f>IF(#REF!="","·",#REF!/D195)</f>
        <v>#REF!</v>
      </c>
      <c r="L195" s="19" t="e">
        <f>IF(ISBLANK(#REF!),"·",#REF!/D195)</f>
        <v>#REF!</v>
      </c>
      <c r="M195" s="20"/>
      <c r="N195" s="19" t="e">
        <f>IF(ISBLANK(#REF!),"·",#REF!/#REF!)</f>
        <v>#REF!</v>
      </c>
      <c r="O195" s="21"/>
      <c r="P195" s="22"/>
      <c r="Q195" s="22"/>
      <c r="R195" s="22"/>
      <c r="S195" s="23"/>
      <c r="T195" s="24"/>
      <c r="U195" s="24"/>
      <c r="V195" s="24"/>
      <c r="W195" s="25"/>
      <c r="X195" s="24"/>
      <c r="Y195" s="24"/>
      <c r="Z195" s="24"/>
      <c r="AA195" s="25"/>
      <c r="AB195" s="26"/>
      <c r="AC195" s="26"/>
      <c r="AE195" s="18" t="str">
        <f t="shared" si="10"/>
        <v>·</v>
      </c>
      <c r="AF195" s="19" t="str">
        <f t="shared" si="11"/>
        <v>·</v>
      </c>
      <c r="AG195" s="19" t="str">
        <f t="shared" si="12"/>
        <v>·</v>
      </c>
      <c r="AH195" s="19" t="str">
        <f t="shared" si="13"/>
        <v>·</v>
      </c>
      <c r="AI195" s="20"/>
      <c r="AJ195" s="19" t="str">
        <f t="shared" si="14"/>
        <v>·</v>
      </c>
      <c r="BA195" s="27" t="e">
        <f>(Q195/P195) - (#REF!/#REF!)</f>
        <v>#DIV/0!</v>
      </c>
      <c r="BB195" s="27" t="e">
        <f t="array" ref="BB195">AVERAGE(Q195:Q199/P195:P199) - AVERAGE(#REF!/#REF!)</f>
        <v>#DIV/0!</v>
      </c>
      <c r="BD195" s="28" t="str">
        <f>_xlfn.SINGLE(IF( OR(ISBLANK(_xlfn.SINGLE(#REF!)),ISBLANK(_xlfn.SINGLE(R195:R199)), ISBLANK(_xlfn.SINGLE(#REF!)),ISBLANK(_xlfn.SINGLE(T195:T199))), "·", bdRateExtend(#REF!,#REF!, R195:R199,T195:T199)))</f>
        <v>·</v>
      </c>
      <c r="BE195" s="28" t="str">
        <f>_xlfn.SINGLE(IF( OR(ISBLANK(_xlfn.SINGLE(#REF!)),ISBLANK(_xlfn.SINGLE(R195:R199)), ISBLANK(_xlfn.SINGLE(#REF!)),ISBLANK(_xlfn.SINGLE(U195:U199))), "·", bdRateExtend(#REF!,#REF!, R195:R199,U195:U199)))</f>
        <v>·</v>
      </c>
      <c r="BF195" s="28" t="str">
        <f>_xlfn.SINGLE(IF( OR(ISBLANK(_xlfn.SINGLE(#REF!)),ISBLANK(_xlfn.SINGLE(R195:R199)), ISBLANK(_xlfn.SINGLE(#REF!)),ISBLANK(_xlfn.SINGLE(V195:V199))), "·", bdRateExtend(#REF!,#REF!, R195:R199,V195:V199)))</f>
        <v>·</v>
      </c>
      <c r="BG195" s="29"/>
      <c r="BI195" s="28" t="str">
        <f>_xlfn.SINGLE(IF( OR(ISBLANK(_xlfn.SINGLE(#REF!)),ISBLANK(_xlfn.SINGLE(R195:R199)), ISBLANK(_xlfn.SINGLE(#REF!)),ISBLANK(_xlfn.SINGLE(X195:X199))), "·", bdRateExtend(#REF!,#REF!, R195:R199,X195:X199)))</f>
        <v>·</v>
      </c>
      <c r="BJ195" s="28" t="str">
        <f>_xlfn.SINGLE(IF( OR(ISBLANK(_xlfn.SINGLE(#REF!)),ISBLANK(_xlfn.SINGLE(R195:R199)), ISBLANK(_xlfn.SINGLE(#REF!)),ISBLANK(_xlfn.SINGLE(Y195:Y199))), "·", bdRateExtend(#REF!,#REF!, R195:R199,Y195:Y199)))</f>
        <v>·</v>
      </c>
      <c r="BK195" s="28" t="str">
        <f>_xlfn.SINGLE(IF( OR(ISBLANK(_xlfn.SINGLE(#REF!)),ISBLANK(_xlfn.SINGLE(R195:R199)), ISBLANK(_xlfn.SINGLE(#REF!)),ISBLANK(_xlfn.SINGLE(Z195:Z199))), "·", bdRateExtend(#REF!,#REF!, R195:R199,Z195:Z199)))</f>
        <v>·</v>
      </c>
      <c r="BL195" s="29"/>
      <c r="BN195" s="28" t="str">
        <f>_xlfn.SINGLE(IF( OR(ISBLANK(_xlfn.SINGLE(#REF!)),ISBLANK(_xlfn.SINGLE(P195:P199)), ISBLANK(_xlfn.SINGLE(#REF!)),ISBLANK(_xlfn.SINGLE(T195:T199))), "·", bdRateExtend(#REF!,#REF!, P195:P199,T195:T199)))</f>
        <v>·</v>
      </c>
      <c r="BO195" s="28" t="str">
        <f>_xlfn.SINGLE(IF( OR(ISBLANK(_xlfn.SINGLE(#REF!)),ISBLANK(_xlfn.SINGLE(P195:P199)), ISBLANK(_xlfn.SINGLE(#REF!)),ISBLANK(_xlfn.SINGLE(U195:U199))), "·", bdRateExtend(#REF!,#REF!, P195:P199,U195:U199)))</f>
        <v>·</v>
      </c>
      <c r="BP195" s="28" t="str">
        <f>_xlfn.SINGLE(IF( OR(ISBLANK(_xlfn.SINGLE(#REF!)),ISBLANK(_xlfn.SINGLE(P195:P199)), ISBLANK(_xlfn.SINGLE(#REF!)),ISBLANK(_xlfn.SINGLE(V195:V199))), "·", bdRateExtend(#REF!,#REF!, P195:P199,V195:V199)))</f>
        <v>·</v>
      </c>
      <c r="BQ195" s="29"/>
      <c r="BS195" s="28" t="str">
        <f>_xlfn.SINGLE(IF( OR(ISBLANK(_xlfn.SINGLE(#REF!)),ISBLANK(_xlfn.SINGLE(P195:P199)), ISBLANK(_xlfn.SINGLE(#REF!)),ISBLANK(_xlfn.SINGLE(X195:X199))), "·", bdRateExtend(#REF!,#REF!, P195:P199,X195:X199)))</f>
        <v>·</v>
      </c>
      <c r="BT195" s="28" t="str">
        <f>_xlfn.SINGLE(IF( OR(ISBLANK(_xlfn.SINGLE(#REF!)),ISBLANK(_xlfn.SINGLE(P195:P199)), ISBLANK(_xlfn.SINGLE(#REF!)),ISBLANK(_xlfn.SINGLE(Y195:Y199))), "·", bdRateExtend(#REF!,#REF!, P195:P199,Y195:Y199)))</f>
        <v>·</v>
      </c>
      <c r="BU195" s="28" t="str">
        <f>_xlfn.SINGLE(IF( OR(ISBLANK(_xlfn.SINGLE(#REF!)),ISBLANK(_xlfn.SINGLE(P195:P199)), ISBLANK(_xlfn.SINGLE(#REF!)),ISBLANK(_xlfn.SINGLE(Z195:Z199))), "·", bdRateExtend(#REF!,#REF!, P195:P199,Z195:Z199)))</f>
        <v>·</v>
      </c>
      <c r="BV195" s="29"/>
    </row>
    <row r="196" spans="1:74" outlineLevel="1" x14ac:dyDescent="0.15">
      <c r="A196" s="30"/>
      <c r="B196" s="30" t="s">
        <v>347</v>
      </c>
      <c r="C196" s="31" t="s">
        <v>226</v>
      </c>
      <c r="D196" s="30">
        <v>72145549</v>
      </c>
      <c r="E196" s="32">
        <v>20</v>
      </c>
      <c r="F196" s="31">
        <v>1</v>
      </c>
      <c r="G196" s="31"/>
      <c r="I196" s="33" t="str">
        <f>IF(OR(ISBLANK(#REF!),ISBLANK(G196)),"·",#REF!*G196/F196/1000000)</f>
        <v>·</v>
      </c>
      <c r="J196" s="34" t="e">
        <f>IF(ISBLANK(#REF!),"·",#REF!/D196)</f>
        <v>#REF!</v>
      </c>
      <c r="K196" s="34" t="e">
        <f>IF(#REF!="","·",#REF!/D196)</f>
        <v>#REF!</v>
      </c>
      <c r="L196" s="34" t="e">
        <f>IF(ISBLANK(#REF!),"·",#REF!/D196)</f>
        <v>#REF!</v>
      </c>
      <c r="M196" s="35"/>
      <c r="N196" s="34" t="e">
        <f>IF(ISBLANK(#REF!),"·",#REF!/#REF!)</f>
        <v>#REF!</v>
      </c>
      <c r="O196" s="36"/>
      <c r="P196" s="37"/>
      <c r="Q196" s="37"/>
      <c r="R196" s="37"/>
      <c r="S196" s="38"/>
      <c r="T196" s="39"/>
      <c r="U196" s="39"/>
      <c r="V196" s="39"/>
      <c r="W196" s="40"/>
      <c r="X196" s="39"/>
      <c r="Y196" s="39"/>
      <c r="Z196" s="39"/>
      <c r="AA196" s="40"/>
      <c r="AB196" s="41"/>
      <c r="AC196" s="41"/>
      <c r="AE196" s="33" t="str">
        <f t="shared" si="10"/>
        <v>·</v>
      </c>
      <c r="AF196" s="34" t="str">
        <f t="shared" si="11"/>
        <v>·</v>
      </c>
      <c r="AG196" s="34" t="str">
        <f t="shared" si="12"/>
        <v>·</v>
      </c>
      <c r="AH196" s="34" t="str">
        <f t="shared" si="13"/>
        <v>·</v>
      </c>
      <c r="AI196" s="35"/>
      <c r="AJ196" s="34" t="str">
        <f t="shared" si="14"/>
        <v>·</v>
      </c>
      <c r="BA196" s="42" t="e">
        <f>(Q196/P196) - (#REF!/#REF!)</f>
        <v>#DIV/0!</v>
      </c>
      <c r="BB196" s="42"/>
      <c r="BD196" s="43"/>
      <c r="BE196" s="43"/>
      <c r="BF196" s="43"/>
      <c r="BG196" s="44"/>
      <c r="BI196" s="43"/>
      <c r="BJ196" s="43"/>
      <c r="BK196" s="43"/>
      <c r="BL196" s="44"/>
      <c r="BN196" s="43"/>
      <c r="BO196" s="43"/>
      <c r="BP196" s="43"/>
      <c r="BQ196" s="44"/>
      <c r="BS196" s="43"/>
      <c r="BT196" s="43"/>
      <c r="BU196" s="43"/>
      <c r="BV196" s="44"/>
    </row>
    <row r="197" spans="1:74" outlineLevel="1" x14ac:dyDescent="0.15">
      <c r="A197" s="15"/>
      <c r="B197" s="15" t="s">
        <v>347</v>
      </c>
      <c r="C197" s="16" t="s">
        <v>227</v>
      </c>
      <c r="D197" s="15">
        <v>72145549</v>
      </c>
      <c r="E197" s="17">
        <v>20</v>
      </c>
      <c r="F197" s="16">
        <v>1</v>
      </c>
      <c r="G197" s="16"/>
      <c r="I197" s="18" t="str">
        <f>IF(OR(ISBLANK(#REF!),ISBLANK(G197)),"·",#REF!*G197/F197/1000000)</f>
        <v>·</v>
      </c>
      <c r="J197" s="19" t="e">
        <f>IF(ISBLANK(#REF!),"·",#REF!/D197)</f>
        <v>#REF!</v>
      </c>
      <c r="K197" s="19" t="e">
        <f>IF(#REF!="","·",#REF!/D197)</f>
        <v>#REF!</v>
      </c>
      <c r="L197" s="19" t="e">
        <f>IF(ISBLANK(#REF!),"·",#REF!/D197)</f>
        <v>#REF!</v>
      </c>
      <c r="M197" s="20"/>
      <c r="N197" s="19" t="e">
        <f>IF(ISBLANK(#REF!),"·",#REF!/#REF!)</f>
        <v>#REF!</v>
      </c>
      <c r="O197" s="21"/>
      <c r="P197" s="22"/>
      <c r="Q197" s="22"/>
      <c r="R197" s="22"/>
      <c r="S197" s="23"/>
      <c r="T197" s="24"/>
      <c r="U197" s="24"/>
      <c r="V197" s="24"/>
      <c r="W197" s="25"/>
      <c r="X197" s="24"/>
      <c r="Y197" s="24"/>
      <c r="Z197" s="24"/>
      <c r="AA197" s="25"/>
      <c r="AB197" s="26"/>
      <c r="AC197" s="26"/>
      <c r="AE197" s="18" t="str">
        <f t="shared" ref="AE197:AE260" si="15">IF(OR(ISBLANK(P197),ISBLANK(G197)),"·",P197*G197/F197/1000000)</f>
        <v>·</v>
      </c>
      <c r="AF197" s="19" t="str">
        <f t="shared" ref="AF197:AF260" si="16">IF(ISBLANK(P197),"·",P197/D197)</f>
        <v>·</v>
      </c>
      <c r="AG197" s="19" t="str">
        <f t="shared" ref="AG197:AG260" si="17">IF(Q197="","·",Q197/D197)</f>
        <v>·</v>
      </c>
      <c r="AH197" s="19" t="str">
        <f t="shared" ref="AH197:AH249" si="18">IF(ISBLANK(R197),"·",R197/D197)</f>
        <v>·</v>
      </c>
      <c r="AI197" s="20"/>
      <c r="AJ197" s="19" t="str">
        <f t="shared" ref="AJ197:AJ260" si="19">IF(ISBLANK(P197),"·",P197/O197)</f>
        <v>·</v>
      </c>
      <c r="BA197" s="27" t="e">
        <f>(Q197/P197) - (#REF!/#REF!)</f>
        <v>#DIV/0!</v>
      </c>
      <c r="BB197" s="27"/>
      <c r="BD197" s="28"/>
      <c r="BE197" s="28"/>
      <c r="BF197" s="28"/>
      <c r="BG197" s="29"/>
      <c r="BI197" s="28"/>
      <c r="BJ197" s="28"/>
      <c r="BK197" s="28"/>
      <c r="BL197" s="29"/>
      <c r="BN197" s="28"/>
      <c r="BO197" s="28"/>
      <c r="BP197" s="28"/>
      <c r="BQ197" s="29"/>
      <c r="BS197" s="28"/>
      <c r="BT197" s="28"/>
      <c r="BU197" s="28"/>
      <c r="BV197" s="29"/>
    </row>
    <row r="198" spans="1:74" outlineLevel="1" x14ac:dyDescent="0.15">
      <c r="A198" s="30"/>
      <c r="B198" s="30" t="s">
        <v>347</v>
      </c>
      <c r="C198" s="31" t="s">
        <v>228</v>
      </c>
      <c r="D198" s="30">
        <v>72145549</v>
      </c>
      <c r="E198" s="32">
        <v>20</v>
      </c>
      <c r="F198" s="31">
        <v>1</v>
      </c>
      <c r="G198" s="31"/>
      <c r="I198" s="33" t="str">
        <f>IF(OR(ISBLANK(#REF!),ISBLANK(G198)),"·",#REF!*G198/F198/1000000)</f>
        <v>·</v>
      </c>
      <c r="J198" s="34" t="e">
        <f>IF(ISBLANK(#REF!),"·",#REF!/D198)</f>
        <v>#REF!</v>
      </c>
      <c r="K198" s="34" t="e">
        <f>IF(#REF!="","·",#REF!/D198)</f>
        <v>#REF!</v>
      </c>
      <c r="L198" s="34" t="e">
        <f>IF(ISBLANK(#REF!),"·",#REF!/D198)</f>
        <v>#REF!</v>
      </c>
      <c r="M198" s="35"/>
      <c r="N198" s="34" t="e">
        <f>IF(ISBLANK(#REF!),"·",#REF!/#REF!)</f>
        <v>#REF!</v>
      </c>
      <c r="O198" s="36"/>
      <c r="P198" s="37"/>
      <c r="Q198" s="37"/>
      <c r="R198" s="37"/>
      <c r="S198" s="38"/>
      <c r="T198" s="39"/>
      <c r="U198" s="39"/>
      <c r="V198" s="39"/>
      <c r="W198" s="40"/>
      <c r="X198" s="39"/>
      <c r="Y198" s="39"/>
      <c r="Z198" s="39"/>
      <c r="AA198" s="40"/>
      <c r="AB198" s="41"/>
      <c r="AC198" s="41"/>
      <c r="AE198" s="33" t="str">
        <f t="shared" si="15"/>
        <v>·</v>
      </c>
      <c r="AF198" s="34" t="str">
        <f t="shared" si="16"/>
        <v>·</v>
      </c>
      <c r="AG198" s="34" t="str">
        <f t="shared" si="17"/>
        <v>·</v>
      </c>
      <c r="AH198" s="34" t="str">
        <f t="shared" si="18"/>
        <v>·</v>
      </c>
      <c r="AI198" s="35"/>
      <c r="AJ198" s="34" t="str">
        <f t="shared" si="19"/>
        <v>·</v>
      </c>
      <c r="BA198" s="42" t="e">
        <f>(Q198/P198) - (#REF!/#REF!)</f>
        <v>#DIV/0!</v>
      </c>
      <c r="BB198" s="42"/>
      <c r="BD198" s="43"/>
      <c r="BE198" s="43"/>
      <c r="BF198" s="43"/>
      <c r="BG198" s="44"/>
      <c r="BI198" s="43"/>
      <c r="BJ198" s="43"/>
      <c r="BK198" s="43"/>
      <c r="BL198" s="44"/>
      <c r="BN198" s="43"/>
      <c r="BO198" s="43"/>
      <c r="BP198" s="43"/>
      <c r="BQ198" s="44"/>
      <c r="BS198" s="43"/>
      <c r="BT198" s="43"/>
      <c r="BU198" s="43"/>
      <c r="BV198" s="44"/>
    </row>
    <row r="199" spans="1:74" ht="14.25" outlineLevel="1" thickBot="1" x14ac:dyDescent="0.2">
      <c r="A199" s="15"/>
      <c r="B199" s="64" t="s">
        <v>347</v>
      </c>
      <c r="C199" s="66" t="s">
        <v>229</v>
      </c>
      <c r="D199" s="64">
        <v>72145549</v>
      </c>
      <c r="E199" s="65">
        <v>20</v>
      </c>
      <c r="F199" s="66">
        <v>1</v>
      </c>
      <c r="G199" s="66"/>
      <c r="I199" s="68" t="str">
        <f>IF(OR(ISBLANK(#REF!),ISBLANK(G199)),"·",#REF!*G199/F199/1000000)</f>
        <v>·</v>
      </c>
      <c r="J199" s="69" t="e">
        <f>IF(ISBLANK(#REF!),"·",#REF!/D199)</f>
        <v>#REF!</v>
      </c>
      <c r="K199" s="69" t="e">
        <f>IF(#REF!="","·",#REF!/D199)</f>
        <v>#REF!</v>
      </c>
      <c r="L199" s="69" t="e">
        <f>IF(ISBLANK(#REF!),"·",#REF!/D199)</f>
        <v>#REF!</v>
      </c>
      <c r="M199" s="70"/>
      <c r="N199" s="69" t="e">
        <f>IF(ISBLANK(#REF!),"·",#REF!/#REF!)</f>
        <v>#REF!</v>
      </c>
      <c r="O199" s="71"/>
      <c r="P199" s="72"/>
      <c r="Q199" s="72"/>
      <c r="R199" s="72"/>
      <c r="S199" s="73"/>
      <c r="T199" s="77"/>
      <c r="U199" s="77"/>
      <c r="V199" s="77"/>
      <c r="W199" s="78"/>
      <c r="X199" s="77"/>
      <c r="Y199" s="77"/>
      <c r="Z199" s="77"/>
      <c r="AA199" s="78"/>
      <c r="AB199" s="74"/>
      <c r="AC199" s="74"/>
      <c r="AE199" s="68" t="str">
        <f t="shared" si="15"/>
        <v>·</v>
      </c>
      <c r="AF199" s="69" t="str">
        <f t="shared" si="16"/>
        <v>·</v>
      </c>
      <c r="AG199" s="69" t="str">
        <f t="shared" si="17"/>
        <v>·</v>
      </c>
      <c r="AH199" s="69" t="str">
        <f t="shared" si="18"/>
        <v>·</v>
      </c>
      <c r="AI199" s="70"/>
      <c r="AJ199" s="69" t="str">
        <f t="shared" si="19"/>
        <v>·</v>
      </c>
      <c r="BA199" s="67" t="e">
        <f>(Q199/P199) - (#REF!/#REF!)</f>
        <v>#DIV/0!</v>
      </c>
      <c r="BB199" s="67"/>
      <c r="BD199" s="75"/>
      <c r="BE199" s="75"/>
      <c r="BF199" s="75"/>
      <c r="BG199" s="76"/>
      <c r="BI199" s="75"/>
      <c r="BJ199" s="75"/>
      <c r="BK199" s="75"/>
      <c r="BL199" s="76"/>
      <c r="BN199" s="75"/>
      <c r="BO199" s="75"/>
      <c r="BP199" s="75"/>
      <c r="BQ199" s="76"/>
      <c r="BS199" s="75"/>
      <c r="BT199" s="75"/>
      <c r="BU199" s="75"/>
      <c r="BV199" s="76"/>
    </row>
    <row r="200" spans="1:74" x14ac:dyDescent="0.15">
      <c r="A200" s="30"/>
      <c r="B200" s="30" t="s">
        <v>350</v>
      </c>
      <c r="C200" s="31" t="s">
        <v>225</v>
      </c>
      <c r="D200" s="30">
        <v>4203962</v>
      </c>
      <c r="E200" s="32">
        <v>20</v>
      </c>
      <c r="F200" s="31">
        <v>1</v>
      </c>
      <c r="G200" s="31"/>
      <c r="I200" s="33" t="str">
        <f>IF(OR(ISBLANK(#REF!),ISBLANK(G200)),"·",#REF!*G200/F200/1000000)</f>
        <v>·</v>
      </c>
      <c r="J200" s="34" t="e">
        <f>IF(ISBLANK(#REF!),"·",#REF!/D200)</f>
        <v>#REF!</v>
      </c>
      <c r="K200" s="34" t="e">
        <f>IF(#REF!="","·",#REF!/D200)</f>
        <v>#REF!</v>
      </c>
      <c r="L200" s="34" t="e">
        <f>IF(ISBLANK(#REF!),"·",#REF!/D200)</f>
        <v>#REF!</v>
      </c>
      <c r="M200" s="35"/>
      <c r="N200" s="34" t="e">
        <f>IF(ISBLANK(#REF!),"·",#REF!/#REF!)</f>
        <v>#REF!</v>
      </c>
      <c r="O200" s="36"/>
      <c r="P200" s="37"/>
      <c r="Q200" s="37"/>
      <c r="R200" s="37"/>
      <c r="S200" s="38"/>
      <c r="T200" s="39"/>
      <c r="U200" s="39"/>
      <c r="V200" s="39"/>
      <c r="W200" s="40"/>
      <c r="X200" s="39"/>
      <c r="Y200" s="39"/>
      <c r="Z200" s="39"/>
      <c r="AA200" s="40"/>
      <c r="AB200" s="41"/>
      <c r="AC200" s="41"/>
      <c r="AE200" s="33" t="str">
        <f t="shared" si="15"/>
        <v>·</v>
      </c>
      <c r="AF200" s="34" t="str">
        <f t="shared" si="16"/>
        <v>·</v>
      </c>
      <c r="AG200" s="34" t="str">
        <f t="shared" si="17"/>
        <v>·</v>
      </c>
      <c r="AH200" s="34" t="str">
        <f t="shared" si="18"/>
        <v>·</v>
      </c>
      <c r="AI200" s="35"/>
      <c r="AJ200" s="34" t="str">
        <f t="shared" si="19"/>
        <v>·</v>
      </c>
      <c r="BA200" s="42" t="e">
        <f>(Q200/P200) - (#REF!/#REF!)</f>
        <v>#DIV/0!</v>
      </c>
      <c r="BB200" s="42" t="e">
        <f t="array" ref="BB200">AVERAGE(Q200:Q204/P200:P204) - AVERAGE(#REF!/#REF!)</f>
        <v>#DIV/0!</v>
      </c>
      <c r="BD200" s="43" t="str">
        <f>_xlfn.SINGLE(IF( OR(ISBLANK(_xlfn.SINGLE(#REF!)),ISBLANK(_xlfn.SINGLE(R200:R204)), ISBLANK(_xlfn.SINGLE(#REF!)),ISBLANK(_xlfn.SINGLE(T200:T204))), "·", bdRateExtend(#REF!,#REF!, R200:R204,T200:T204)))</f>
        <v>·</v>
      </c>
      <c r="BE200" s="43" t="str">
        <f>_xlfn.SINGLE(IF( OR(ISBLANK(_xlfn.SINGLE(#REF!)),ISBLANK(_xlfn.SINGLE(R200:R204)), ISBLANK(_xlfn.SINGLE(#REF!)),ISBLANK(_xlfn.SINGLE(U200:U204))), "·", bdRateExtend(#REF!,#REF!, R200:R204,U200:U204)))</f>
        <v>·</v>
      </c>
      <c r="BF200" s="43" t="str">
        <f>_xlfn.SINGLE(IF( OR(ISBLANK(_xlfn.SINGLE(#REF!)),ISBLANK(_xlfn.SINGLE(R200:R204)), ISBLANK(_xlfn.SINGLE(#REF!)),ISBLANK(_xlfn.SINGLE(V200:V204))), "·", bdRateExtend(#REF!,#REF!, R200:R204,V200:V204)))</f>
        <v>·</v>
      </c>
      <c r="BG200" s="44"/>
      <c r="BI200" s="43" t="str">
        <f>_xlfn.SINGLE(IF( OR(ISBLANK(_xlfn.SINGLE(#REF!)),ISBLANK(_xlfn.SINGLE(R200:R204)), ISBLANK(_xlfn.SINGLE(#REF!)),ISBLANK(_xlfn.SINGLE(X200:X204))), "·", bdRateExtend(#REF!,#REF!, R200:R204,X200:X204)))</f>
        <v>·</v>
      </c>
      <c r="BJ200" s="43" t="str">
        <f>_xlfn.SINGLE(IF( OR(ISBLANK(_xlfn.SINGLE(#REF!)),ISBLANK(_xlfn.SINGLE(R200:R204)), ISBLANK(_xlfn.SINGLE(#REF!)),ISBLANK(_xlfn.SINGLE(Y200:Y204))), "·", bdRateExtend(#REF!,#REF!, R200:R204,Y200:Y204)))</f>
        <v>·</v>
      </c>
      <c r="BK200" s="43" t="str">
        <f>_xlfn.SINGLE(IF( OR(ISBLANK(_xlfn.SINGLE(#REF!)),ISBLANK(_xlfn.SINGLE(R200:R204)), ISBLANK(_xlfn.SINGLE(#REF!)),ISBLANK(_xlfn.SINGLE(Z200:Z204))), "·", bdRateExtend(#REF!,#REF!, R200:R204,Z200:Z204)))</f>
        <v>·</v>
      </c>
      <c r="BL200" s="44"/>
      <c r="BN200" s="43" t="str">
        <f>_xlfn.SINGLE(IF( OR(ISBLANK(_xlfn.SINGLE(#REF!)),ISBLANK(_xlfn.SINGLE(P200:P204)), ISBLANK(_xlfn.SINGLE(#REF!)),ISBLANK(_xlfn.SINGLE(T200:T204))), "·", bdRateExtend(#REF!,#REF!, P200:P204,T200:T204)))</f>
        <v>·</v>
      </c>
      <c r="BO200" s="43" t="str">
        <f>_xlfn.SINGLE(IF( OR(ISBLANK(_xlfn.SINGLE(#REF!)),ISBLANK(_xlfn.SINGLE(P200:P204)), ISBLANK(_xlfn.SINGLE(#REF!)),ISBLANK(_xlfn.SINGLE(U200:U204))), "·", bdRateExtend(#REF!,#REF!, P200:P204,U200:U204)))</f>
        <v>·</v>
      </c>
      <c r="BP200" s="43" t="str">
        <f>_xlfn.SINGLE(IF( OR(ISBLANK(_xlfn.SINGLE(#REF!)),ISBLANK(_xlfn.SINGLE(P200:P204)), ISBLANK(_xlfn.SINGLE(#REF!)),ISBLANK(_xlfn.SINGLE(V200:V204))), "·", bdRateExtend(#REF!,#REF!, P200:P204,V200:V204)))</f>
        <v>·</v>
      </c>
      <c r="BQ200" s="44"/>
      <c r="BS200" s="43" t="str">
        <f>_xlfn.SINGLE(IF( OR(ISBLANK(_xlfn.SINGLE(#REF!)),ISBLANK(_xlfn.SINGLE(P200:P204)), ISBLANK(_xlfn.SINGLE(#REF!)),ISBLANK(_xlfn.SINGLE(X200:X204))), "·", bdRateExtend(#REF!,#REF!, P200:P204,X200:X204)))</f>
        <v>·</v>
      </c>
      <c r="BT200" s="43" t="str">
        <f>_xlfn.SINGLE(IF( OR(ISBLANK(_xlfn.SINGLE(#REF!)),ISBLANK(_xlfn.SINGLE(P200:P204)), ISBLANK(_xlfn.SINGLE(#REF!)),ISBLANK(_xlfn.SINGLE(Y200:Y204))), "·", bdRateExtend(#REF!,#REF!, P200:P204,Y200:Y204)))</f>
        <v>·</v>
      </c>
      <c r="BU200" s="43" t="str">
        <f>_xlfn.SINGLE(IF( OR(ISBLANK(_xlfn.SINGLE(#REF!)),ISBLANK(_xlfn.SINGLE(P200:P204)), ISBLANK(_xlfn.SINGLE(#REF!)),ISBLANK(_xlfn.SINGLE(Z200:Z204))), "·", bdRateExtend(#REF!,#REF!, P200:P204,Z200:Z204)))</f>
        <v>·</v>
      </c>
      <c r="BV200" s="44"/>
    </row>
    <row r="201" spans="1:74" outlineLevel="1" x14ac:dyDescent="0.15">
      <c r="A201" s="15"/>
      <c r="B201" s="15" t="s">
        <v>350</v>
      </c>
      <c r="C201" s="16" t="s">
        <v>226</v>
      </c>
      <c r="D201" s="15">
        <v>4203962</v>
      </c>
      <c r="E201" s="17">
        <v>20</v>
      </c>
      <c r="F201" s="16">
        <v>1</v>
      </c>
      <c r="G201" s="16"/>
      <c r="I201" s="18" t="str">
        <f>IF(OR(ISBLANK(#REF!),ISBLANK(G201)),"·",#REF!*G201/F201/1000000)</f>
        <v>·</v>
      </c>
      <c r="J201" s="19" t="e">
        <f>IF(ISBLANK(#REF!),"·",#REF!/D201)</f>
        <v>#REF!</v>
      </c>
      <c r="K201" s="19" t="e">
        <f>IF(#REF!="","·",#REF!/D201)</f>
        <v>#REF!</v>
      </c>
      <c r="L201" s="19" t="e">
        <f>IF(ISBLANK(#REF!),"·",#REF!/D201)</f>
        <v>#REF!</v>
      </c>
      <c r="M201" s="20"/>
      <c r="N201" s="19" t="e">
        <f>IF(ISBLANK(#REF!),"·",#REF!/#REF!)</f>
        <v>#REF!</v>
      </c>
      <c r="O201" s="21"/>
      <c r="P201" s="22"/>
      <c r="Q201" s="22"/>
      <c r="R201" s="22"/>
      <c r="S201" s="23"/>
      <c r="T201" s="24"/>
      <c r="U201" s="24"/>
      <c r="V201" s="24"/>
      <c r="W201" s="25"/>
      <c r="X201" s="24"/>
      <c r="Y201" s="24"/>
      <c r="Z201" s="24"/>
      <c r="AA201" s="25"/>
      <c r="AB201" s="26"/>
      <c r="AC201" s="26"/>
      <c r="AE201" s="18" t="str">
        <f t="shared" si="15"/>
        <v>·</v>
      </c>
      <c r="AF201" s="19" t="str">
        <f t="shared" si="16"/>
        <v>·</v>
      </c>
      <c r="AG201" s="19" t="str">
        <f t="shared" si="17"/>
        <v>·</v>
      </c>
      <c r="AH201" s="19" t="str">
        <f t="shared" si="18"/>
        <v>·</v>
      </c>
      <c r="AI201" s="20"/>
      <c r="AJ201" s="19" t="str">
        <f t="shared" si="19"/>
        <v>·</v>
      </c>
      <c r="BA201" s="27" t="e">
        <f>(Q201/P201) - (#REF!/#REF!)</f>
        <v>#DIV/0!</v>
      </c>
      <c r="BB201" s="27"/>
      <c r="BD201" s="28"/>
      <c r="BE201" s="28"/>
      <c r="BF201" s="28"/>
      <c r="BG201" s="29"/>
      <c r="BI201" s="28"/>
      <c r="BJ201" s="28"/>
      <c r="BK201" s="28"/>
      <c r="BL201" s="29"/>
      <c r="BN201" s="28"/>
      <c r="BO201" s="28"/>
      <c r="BP201" s="28"/>
      <c r="BQ201" s="29"/>
      <c r="BS201" s="28"/>
      <c r="BT201" s="28"/>
      <c r="BU201" s="28"/>
      <c r="BV201" s="29"/>
    </row>
    <row r="202" spans="1:74" outlineLevel="1" x14ac:dyDescent="0.15">
      <c r="A202" s="30"/>
      <c r="B202" s="30" t="s">
        <v>350</v>
      </c>
      <c r="C202" s="31" t="s">
        <v>227</v>
      </c>
      <c r="D202" s="30">
        <v>4203962</v>
      </c>
      <c r="E202" s="32">
        <v>20</v>
      </c>
      <c r="F202" s="31">
        <v>1</v>
      </c>
      <c r="G202" s="31"/>
      <c r="I202" s="33" t="str">
        <f>IF(OR(ISBLANK(#REF!),ISBLANK(G202)),"·",#REF!*G202/F202/1000000)</f>
        <v>·</v>
      </c>
      <c r="J202" s="34" t="e">
        <f>IF(ISBLANK(#REF!),"·",#REF!/D202)</f>
        <v>#REF!</v>
      </c>
      <c r="K202" s="34" t="e">
        <f>IF(#REF!="","·",#REF!/D202)</f>
        <v>#REF!</v>
      </c>
      <c r="L202" s="34" t="e">
        <f>IF(ISBLANK(#REF!),"·",#REF!/D202)</f>
        <v>#REF!</v>
      </c>
      <c r="M202" s="35"/>
      <c r="N202" s="34" t="e">
        <f>IF(ISBLANK(#REF!),"·",#REF!/#REF!)</f>
        <v>#REF!</v>
      </c>
      <c r="O202" s="36"/>
      <c r="P202" s="37"/>
      <c r="Q202" s="37"/>
      <c r="R202" s="37"/>
      <c r="S202" s="38"/>
      <c r="T202" s="39"/>
      <c r="U202" s="39"/>
      <c r="V202" s="39"/>
      <c r="W202" s="40"/>
      <c r="X202" s="39"/>
      <c r="Y202" s="39"/>
      <c r="Z202" s="39"/>
      <c r="AA202" s="40"/>
      <c r="AB202" s="41"/>
      <c r="AC202" s="41"/>
      <c r="AE202" s="33" t="str">
        <f t="shared" si="15"/>
        <v>·</v>
      </c>
      <c r="AF202" s="34" t="str">
        <f t="shared" si="16"/>
        <v>·</v>
      </c>
      <c r="AG202" s="34" t="str">
        <f t="shared" si="17"/>
        <v>·</v>
      </c>
      <c r="AH202" s="34" t="str">
        <f t="shared" si="18"/>
        <v>·</v>
      </c>
      <c r="AI202" s="35"/>
      <c r="AJ202" s="34" t="str">
        <f t="shared" si="19"/>
        <v>·</v>
      </c>
      <c r="BA202" s="42" t="e">
        <f>(Q202/P202) - (#REF!/#REF!)</f>
        <v>#DIV/0!</v>
      </c>
      <c r="BB202" s="42"/>
      <c r="BD202" s="43"/>
      <c r="BE202" s="43"/>
      <c r="BF202" s="43"/>
      <c r="BG202" s="44"/>
      <c r="BI202" s="43"/>
      <c r="BJ202" s="43"/>
      <c r="BK202" s="43"/>
      <c r="BL202" s="44"/>
      <c r="BN202" s="43"/>
      <c r="BO202" s="43"/>
      <c r="BP202" s="43"/>
      <c r="BQ202" s="44"/>
      <c r="BS202" s="43"/>
      <c r="BT202" s="43"/>
      <c r="BU202" s="43"/>
      <c r="BV202" s="44"/>
    </row>
    <row r="203" spans="1:74" outlineLevel="1" x14ac:dyDescent="0.15">
      <c r="A203" s="15"/>
      <c r="B203" s="15" t="s">
        <v>350</v>
      </c>
      <c r="C203" s="16" t="s">
        <v>228</v>
      </c>
      <c r="D203" s="15">
        <v>4203962</v>
      </c>
      <c r="E203" s="17">
        <v>20</v>
      </c>
      <c r="F203" s="16">
        <v>1</v>
      </c>
      <c r="G203" s="16"/>
      <c r="I203" s="18" t="str">
        <f>IF(OR(ISBLANK(#REF!),ISBLANK(G203)),"·",#REF!*G203/F203/1000000)</f>
        <v>·</v>
      </c>
      <c r="J203" s="19" t="e">
        <f>IF(ISBLANK(#REF!),"·",#REF!/D203)</f>
        <v>#REF!</v>
      </c>
      <c r="K203" s="19" t="e">
        <f>IF(#REF!="","·",#REF!/D203)</f>
        <v>#REF!</v>
      </c>
      <c r="L203" s="19" t="e">
        <f>IF(ISBLANK(#REF!),"·",#REF!/D203)</f>
        <v>#REF!</v>
      </c>
      <c r="M203" s="20"/>
      <c r="N203" s="19" t="e">
        <f>IF(ISBLANK(#REF!),"·",#REF!/#REF!)</f>
        <v>#REF!</v>
      </c>
      <c r="O203" s="21"/>
      <c r="P203" s="22"/>
      <c r="Q203" s="22"/>
      <c r="R203" s="22"/>
      <c r="S203" s="23"/>
      <c r="T203" s="24"/>
      <c r="U203" s="24"/>
      <c r="V203" s="24"/>
      <c r="W203" s="25"/>
      <c r="X203" s="24"/>
      <c r="Y203" s="24"/>
      <c r="Z203" s="24"/>
      <c r="AA203" s="25"/>
      <c r="AB203" s="26"/>
      <c r="AC203" s="26"/>
      <c r="AE203" s="18" t="str">
        <f t="shared" si="15"/>
        <v>·</v>
      </c>
      <c r="AF203" s="19" t="str">
        <f t="shared" si="16"/>
        <v>·</v>
      </c>
      <c r="AG203" s="19" t="str">
        <f t="shared" si="17"/>
        <v>·</v>
      </c>
      <c r="AH203" s="19" t="str">
        <f t="shared" si="18"/>
        <v>·</v>
      </c>
      <c r="AI203" s="20"/>
      <c r="AJ203" s="19" t="str">
        <f t="shared" si="19"/>
        <v>·</v>
      </c>
      <c r="BA203" s="27" t="e">
        <f>(Q203/P203) - (#REF!/#REF!)</f>
        <v>#DIV/0!</v>
      </c>
      <c r="BB203" s="27"/>
      <c r="BD203" s="28"/>
      <c r="BE203" s="28"/>
      <c r="BF203" s="28"/>
      <c r="BG203" s="29"/>
      <c r="BI203" s="28"/>
      <c r="BJ203" s="28"/>
      <c r="BK203" s="28"/>
      <c r="BL203" s="29"/>
      <c r="BN203" s="28"/>
      <c r="BO203" s="28"/>
      <c r="BP203" s="28"/>
      <c r="BQ203" s="29"/>
      <c r="BS203" s="28"/>
      <c r="BT203" s="28"/>
      <c r="BU203" s="28"/>
      <c r="BV203" s="29"/>
    </row>
    <row r="204" spans="1:74" ht="14.25" outlineLevel="1" thickBot="1" x14ac:dyDescent="0.2">
      <c r="A204" s="30"/>
      <c r="B204" s="45" t="s">
        <v>350</v>
      </c>
      <c r="C204" s="46" t="s">
        <v>229</v>
      </c>
      <c r="D204" s="45">
        <v>4203962</v>
      </c>
      <c r="E204" s="47">
        <v>20</v>
      </c>
      <c r="F204" s="46">
        <v>1</v>
      </c>
      <c r="G204" s="46"/>
      <c r="I204" s="48" t="str">
        <f>IF(OR(ISBLANK(#REF!),ISBLANK(G204)),"·",#REF!*G204/F204/1000000)</f>
        <v>·</v>
      </c>
      <c r="J204" s="49" t="e">
        <f>IF(ISBLANK(#REF!),"·",#REF!/D204)</f>
        <v>#REF!</v>
      </c>
      <c r="K204" s="49" t="e">
        <f>IF(#REF!="","·",#REF!/D204)</f>
        <v>#REF!</v>
      </c>
      <c r="L204" s="49" t="e">
        <f>IF(ISBLANK(#REF!),"·",#REF!/D204)</f>
        <v>#REF!</v>
      </c>
      <c r="M204" s="50"/>
      <c r="N204" s="49" t="e">
        <f>IF(ISBLANK(#REF!),"·",#REF!/#REF!)</f>
        <v>#REF!</v>
      </c>
      <c r="O204" s="51"/>
      <c r="P204" s="52"/>
      <c r="Q204" s="52"/>
      <c r="R204" s="52"/>
      <c r="S204" s="53"/>
      <c r="T204" s="54"/>
      <c r="U204" s="54"/>
      <c r="V204" s="54"/>
      <c r="W204" s="55"/>
      <c r="X204" s="54"/>
      <c r="Y204" s="54"/>
      <c r="Z204" s="54"/>
      <c r="AA204" s="55"/>
      <c r="AB204" s="56"/>
      <c r="AC204" s="56"/>
      <c r="AE204" s="48" t="str">
        <f t="shared" si="15"/>
        <v>·</v>
      </c>
      <c r="AF204" s="49" t="str">
        <f t="shared" si="16"/>
        <v>·</v>
      </c>
      <c r="AG204" s="49" t="str">
        <f t="shared" si="17"/>
        <v>·</v>
      </c>
      <c r="AH204" s="49" t="str">
        <f t="shared" si="18"/>
        <v>·</v>
      </c>
      <c r="AI204" s="50"/>
      <c r="AJ204" s="49" t="str">
        <f t="shared" si="19"/>
        <v>·</v>
      </c>
      <c r="BA204" s="57" t="e">
        <f>(Q204/P204) - (#REF!/#REF!)</f>
        <v>#DIV/0!</v>
      </c>
      <c r="BB204" s="57"/>
      <c r="BD204" s="58"/>
      <c r="BE204" s="58"/>
      <c r="BF204" s="58"/>
      <c r="BG204" s="59"/>
      <c r="BI204" s="58"/>
      <c r="BJ204" s="58"/>
      <c r="BK204" s="58"/>
      <c r="BL204" s="59"/>
      <c r="BN204" s="58"/>
      <c r="BO204" s="58"/>
      <c r="BP204" s="58"/>
      <c r="BQ204" s="59"/>
      <c r="BS204" s="58"/>
      <c r="BT204" s="58"/>
      <c r="BU204" s="58"/>
      <c r="BV204" s="59"/>
    </row>
    <row r="205" spans="1:74" x14ac:dyDescent="0.15">
      <c r="A205" s="15"/>
      <c r="B205" s="15" t="s">
        <v>353</v>
      </c>
      <c r="C205" s="16" t="s">
        <v>225</v>
      </c>
      <c r="D205" s="15">
        <v>1010591</v>
      </c>
      <c r="E205" s="17">
        <v>20</v>
      </c>
      <c r="F205" s="16">
        <v>1</v>
      </c>
      <c r="G205" s="16"/>
      <c r="I205" s="18" t="str">
        <f>IF(OR(ISBLANK(#REF!),ISBLANK(G205)),"·",#REF!*G205/F205/1000000)</f>
        <v>·</v>
      </c>
      <c r="J205" s="19" t="e">
        <f>IF(ISBLANK(#REF!),"·",#REF!/D205)</f>
        <v>#REF!</v>
      </c>
      <c r="K205" s="19" t="e">
        <f>IF(#REF!="","·",#REF!/D205)</f>
        <v>#REF!</v>
      </c>
      <c r="L205" s="19" t="e">
        <f>IF(ISBLANK(#REF!),"·",#REF!/D205)</f>
        <v>#REF!</v>
      </c>
      <c r="M205" s="20"/>
      <c r="N205" s="19" t="e">
        <f>IF(ISBLANK(#REF!),"·",#REF!/#REF!)</f>
        <v>#REF!</v>
      </c>
      <c r="O205" s="21"/>
      <c r="P205" s="22"/>
      <c r="Q205" s="22"/>
      <c r="R205" s="22"/>
      <c r="S205" s="23"/>
      <c r="T205" s="24"/>
      <c r="U205" s="24"/>
      <c r="V205" s="24"/>
      <c r="W205" s="25"/>
      <c r="X205" s="24"/>
      <c r="Y205" s="24"/>
      <c r="Z205" s="24"/>
      <c r="AA205" s="25"/>
      <c r="AB205" s="26"/>
      <c r="AC205" s="26"/>
      <c r="AE205" s="18" t="str">
        <f t="shared" si="15"/>
        <v>·</v>
      </c>
      <c r="AF205" s="19" t="str">
        <f t="shared" si="16"/>
        <v>·</v>
      </c>
      <c r="AG205" s="19" t="str">
        <f t="shared" si="17"/>
        <v>·</v>
      </c>
      <c r="AH205" s="19" t="str">
        <f t="shared" si="18"/>
        <v>·</v>
      </c>
      <c r="AI205" s="20"/>
      <c r="AJ205" s="19" t="str">
        <f t="shared" si="19"/>
        <v>·</v>
      </c>
      <c r="BA205" s="27" t="e">
        <f>(Q205/P205) - (#REF!/#REF!)</f>
        <v>#DIV/0!</v>
      </c>
      <c r="BB205" s="27" t="e">
        <f t="array" ref="BB205">AVERAGE(Q205:Q209/P205:P209) - AVERAGE(#REF!/#REF!)</f>
        <v>#DIV/0!</v>
      </c>
      <c r="BD205" s="28" t="str">
        <f>_xlfn.SINGLE(IF( OR(ISBLANK(_xlfn.SINGLE(#REF!)),ISBLANK(_xlfn.SINGLE(R205:R209)), ISBLANK(_xlfn.SINGLE(#REF!)),ISBLANK(_xlfn.SINGLE(T205:T209))), "·", bdRateExtend(#REF!,#REF!, R205:R209,T205:T209)))</f>
        <v>·</v>
      </c>
      <c r="BE205" s="28" t="str">
        <f>_xlfn.SINGLE(IF( OR(ISBLANK(_xlfn.SINGLE(#REF!)),ISBLANK(_xlfn.SINGLE(R205:R209)), ISBLANK(_xlfn.SINGLE(#REF!)),ISBLANK(_xlfn.SINGLE(U205:U209))), "·", bdRateExtend(#REF!,#REF!, R205:R209,U205:U209)))</f>
        <v>·</v>
      </c>
      <c r="BF205" s="28" t="str">
        <f>_xlfn.SINGLE(IF( OR(ISBLANK(_xlfn.SINGLE(#REF!)),ISBLANK(_xlfn.SINGLE(R205:R209)), ISBLANK(_xlfn.SINGLE(#REF!)),ISBLANK(_xlfn.SINGLE(V205:V209))), "·", bdRateExtend(#REF!,#REF!, R205:R209,V205:V209)))</f>
        <v>·</v>
      </c>
      <c r="BG205" s="29"/>
      <c r="BI205" s="28" t="str">
        <f>_xlfn.SINGLE(IF( OR(ISBLANK(_xlfn.SINGLE(#REF!)),ISBLANK(_xlfn.SINGLE(R205:R209)), ISBLANK(_xlfn.SINGLE(#REF!)),ISBLANK(_xlfn.SINGLE(X205:X209))), "·", bdRateExtend(#REF!,#REF!, R205:R209,X205:X209)))</f>
        <v>·</v>
      </c>
      <c r="BJ205" s="28" t="str">
        <f>_xlfn.SINGLE(IF( OR(ISBLANK(_xlfn.SINGLE(#REF!)),ISBLANK(_xlfn.SINGLE(R205:R209)), ISBLANK(_xlfn.SINGLE(#REF!)),ISBLANK(_xlfn.SINGLE(Y205:Y209))), "·", bdRateExtend(#REF!,#REF!, R205:R209,Y205:Y209)))</f>
        <v>·</v>
      </c>
      <c r="BK205" s="28" t="str">
        <f>_xlfn.SINGLE(IF( OR(ISBLANK(_xlfn.SINGLE(#REF!)),ISBLANK(_xlfn.SINGLE(R205:R209)), ISBLANK(_xlfn.SINGLE(#REF!)),ISBLANK(_xlfn.SINGLE(Z205:Z209))), "·", bdRateExtend(#REF!,#REF!, R205:R209,Z205:Z209)))</f>
        <v>·</v>
      </c>
      <c r="BL205" s="29"/>
      <c r="BN205" s="28" t="str">
        <f>_xlfn.SINGLE(IF( OR(ISBLANK(_xlfn.SINGLE(#REF!)),ISBLANK(_xlfn.SINGLE(P205:P209)), ISBLANK(_xlfn.SINGLE(#REF!)),ISBLANK(_xlfn.SINGLE(T205:T209))), "·", bdRateExtend(#REF!,#REF!, P205:P209,T205:T209)))</f>
        <v>·</v>
      </c>
      <c r="BO205" s="28" t="str">
        <f>_xlfn.SINGLE(IF( OR(ISBLANK(_xlfn.SINGLE(#REF!)),ISBLANK(_xlfn.SINGLE(P205:P209)), ISBLANK(_xlfn.SINGLE(#REF!)),ISBLANK(_xlfn.SINGLE(U205:U209))), "·", bdRateExtend(#REF!,#REF!, P205:P209,U205:U209)))</f>
        <v>·</v>
      </c>
      <c r="BP205" s="28" t="str">
        <f>_xlfn.SINGLE(IF( OR(ISBLANK(_xlfn.SINGLE(#REF!)),ISBLANK(_xlfn.SINGLE(P205:P209)), ISBLANK(_xlfn.SINGLE(#REF!)),ISBLANK(_xlfn.SINGLE(V205:V209))), "·", bdRateExtend(#REF!,#REF!, P205:P209,V205:V209)))</f>
        <v>·</v>
      </c>
      <c r="BQ205" s="29"/>
      <c r="BS205" s="28" t="str">
        <f>_xlfn.SINGLE(IF( OR(ISBLANK(_xlfn.SINGLE(#REF!)),ISBLANK(_xlfn.SINGLE(P205:P209)), ISBLANK(_xlfn.SINGLE(#REF!)),ISBLANK(_xlfn.SINGLE(X205:X209))), "·", bdRateExtend(#REF!,#REF!, P205:P209,X205:X209)))</f>
        <v>·</v>
      </c>
      <c r="BT205" s="28" t="str">
        <f>_xlfn.SINGLE(IF( OR(ISBLANK(_xlfn.SINGLE(#REF!)),ISBLANK(_xlfn.SINGLE(P205:P209)), ISBLANK(_xlfn.SINGLE(#REF!)),ISBLANK(_xlfn.SINGLE(Y205:Y209))), "·", bdRateExtend(#REF!,#REF!, P205:P209,Y205:Y209)))</f>
        <v>·</v>
      </c>
      <c r="BU205" s="28" t="str">
        <f>_xlfn.SINGLE(IF( OR(ISBLANK(_xlfn.SINGLE(#REF!)),ISBLANK(_xlfn.SINGLE(P205:P209)), ISBLANK(_xlfn.SINGLE(#REF!)),ISBLANK(_xlfn.SINGLE(Z205:Z209))), "·", bdRateExtend(#REF!,#REF!, P205:P209,Z205:Z209)))</f>
        <v>·</v>
      </c>
      <c r="BV205" s="29"/>
    </row>
    <row r="206" spans="1:74" outlineLevel="1" x14ac:dyDescent="0.15">
      <c r="A206" s="30"/>
      <c r="B206" s="30" t="s">
        <v>353</v>
      </c>
      <c r="C206" s="31" t="s">
        <v>226</v>
      </c>
      <c r="D206" s="30">
        <v>1010591</v>
      </c>
      <c r="E206" s="32">
        <v>20</v>
      </c>
      <c r="F206" s="31">
        <v>1</v>
      </c>
      <c r="G206" s="31"/>
      <c r="I206" s="33" t="str">
        <f>IF(OR(ISBLANK(#REF!),ISBLANK(G206)),"·",#REF!*G206/F206/1000000)</f>
        <v>·</v>
      </c>
      <c r="J206" s="34" t="e">
        <f>IF(ISBLANK(#REF!),"·",#REF!/D206)</f>
        <v>#REF!</v>
      </c>
      <c r="K206" s="34" t="e">
        <f>IF(#REF!="","·",#REF!/D206)</f>
        <v>#REF!</v>
      </c>
      <c r="L206" s="34" t="e">
        <f>IF(ISBLANK(#REF!),"·",#REF!/D206)</f>
        <v>#REF!</v>
      </c>
      <c r="M206" s="35"/>
      <c r="N206" s="34" t="e">
        <f>IF(ISBLANK(#REF!),"·",#REF!/#REF!)</f>
        <v>#REF!</v>
      </c>
      <c r="O206" s="36"/>
      <c r="P206" s="37"/>
      <c r="Q206" s="37"/>
      <c r="R206" s="37"/>
      <c r="S206" s="38"/>
      <c r="T206" s="39"/>
      <c r="U206" s="39"/>
      <c r="V206" s="39"/>
      <c r="W206" s="40"/>
      <c r="X206" s="39"/>
      <c r="Y206" s="39"/>
      <c r="Z206" s="39"/>
      <c r="AA206" s="40"/>
      <c r="AB206" s="41"/>
      <c r="AC206" s="41"/>
      <c r="AE206" s="33" t="str">
        <f t="shared" si="15"/>
        <v>·</v>
      </c>
      <c r="AF206" s="34" t="str">
        <f t="shared" si="16"/>
        <v>·</v>
      </c>
      <c r="AG206" s="34" t="str">
        <f t="shared" si="17"/>
        <v>·</v>
      </c>
      <c r="AH206" s="34" t="str">
        <f t="shared" si="18"/>
        <v>·</v>
      </c>
      <c r="AI206" s="35"/>
      <c r="AJ206" s="34" t="str">
        <f t="shared" si="19"/>
        <v>·</v>
      </c>
      <c r="BA206" s="42" t="e">
        <f>(Q206/P206) - (#REF!/#REF!)</f>
        <v>#DIV/0!</v>
      </c>
      <c r="BB206" s="42"/>
      <c r="BD206" s="43"/>
      <c r="BE206" s="43"/>
      <c r="BF206" s="43"/>
      <c r="BG206" s="44"/>
      <c r="BI206" s="43"/>
      <c r="BJ206" s="43"/>
      <c r="BK206" s="43"/>
      <c r="BL206" s="44"/>
      <c r="BN206" s="43"/>
      <c r="BO206" s="43"/>
      <c r="BP206" s="43"/>
      <c r="BQ206" s="44"/>
      <c r="BS206" s="43"/>
      <c r="BT206" s="43"/>
      <c r="BU206" s="43"/>
      <c r="BV206" s="44"/>
    </row>
    <row r="207" spans="1:74" outlineLevel="1" x14ac:dyDescent="0.15">
      <c r="A207" s="15"/>
      <c r="B207" s="15" t="s">
        <v>353</v>
      </c>
      <c r="C207" s="16" t="s">
        <v>227</v>
      </c>
      <c r="D207" s="15">
        <v>1010591</v>
      </c>
      <c r="E207" s="17">
        <v>20</v>
      </c>
      <c r="F207" s="16">
        <v>1</v>
      </c>
      <c r="G207" s="16"/>
      <c r="I207" s="18" t="str">
        <f>IF(OR(ISBLANK(#REF!),ISBLANK(G207)),"·",#REF!*G207/F207/1000000)</f>
        <v>·</v>
      </c>
      <c r="J207" s="19" t="e">
        <f>IF(ISBLANK(#REF!),"·",#REF!/D207)</f>
        <v>#REF!</v>
      </c>
      <c r="K207" s="19" t="e">
        <f>IF(#REF!="","·",#REF!/D207)</f>
        <v>#REF!</v>
      </c>
      <c r="L207" s="19" t="e">
        <f>IF(ISBLANK(#REF!),"·",#REF!/D207)</f>
        <v>#REF!</v>
      </c>
      <c r="M207" s="20"/>
      <c r="N207" s="19" t="e">
        <f>IF(ISBLANK(#REF!),"·",#REF!/#REF!)</f>
        <v>#REF!</v>
      </c>
      <c r="O207" s="21"/>
      <c r="P207" s="22"/>
      <c r="Q207" s="22"/>
      <c r="R207" s="22"/>
      <c r="S207" s="23"/>
      <c r="T207" s="24"/>
      <c r="U207" s="24"/>
      <c r="V207" s="24"/>
      <c r="W207" s="25"/>
      <c r="X207" s="24"/>
      <c r="Y207" s="24"/>
      <c r="Z207" s="24"/>
      <c r="AA207" s="25"/>
      <c r="AB207" s="26"/>
      <c r="AC207" s="26"/>
      <c r="AE207" s="18" t="str">
        <f t="shared" si="15"/>
        <v>·</v>
      </c>
      <c r="AF207" s="19" t="str">
        <f t="shared" si="16"/>
        <v>·</v>
      </c>
      <c r="AG207" s="19" t="str">
        <f t="shared" si="17"/>
        <v>·</v>
      </c>
      <c r="AH207" s="19" t="str">
        <f t="shared" si="18"/>
        <v>·</v>
      </c>
      <c r="AI207" s="20"/>
      <c r="AJ207" s="19" t="str">
        <f t="shared" si="19"/>
        <v>·</v>
      </c>
      <c r="BA207" s="27" t="e">
        <f>(Q207/P207) - (#REF!/#REF!)</f>
        <v>#DIV/0!</v>
      </c>
      <c r="BB207" s="27"/>
      <c r="BD207" s="28"/>
      <c r="BE207" s="28"/>
      <c r="BF207" s="28"/>
      <c r="BG207" s="29"/>
      <c r="BI207" s="28"/>
      <c r="BJ207" s="28"/>
      <c r="BK207" s="28"/>
      <c r="BL207" s="29"/>
      <c r="BN207" s="28"/>
      <c r="BO207" s="28"/>
      <c r="BP207" s="28"/>
      <c r="BQ207" s="29"/>
      <c r="BS207" s="28"/>
      <c r="BT207" s="28"/>
      <c r="BU207" s="28"/>
      <c r="BV207" s="29"/>
    </row>
    <row r="208" spans="1:74" outlineLevel="1" x14ac:dyDescent="0.15">
      <c r="A208" s="30"/>
      <c r="B208" s="30" t="s">
        <v>353</v>
      </c>
      <c r="C208" s="31" t="s">
        <v>228</v>
      </c>
      <c r="D208" s="30">
        <v>1010591</v>
      </c>
      <c r="E208" s="32">
        <v>20</v>
      </c>
      <c r="F208" s="31">
        <v>1</v>
      </c>
      <c r="G208" s="31"/>
      <c r="I208" s="33" t="str">
        <f>IF(OR(ISBLANK(#REF!),ISBLANK(G208)),"·",#REF!*G208/F208/1000000)</f>
        <v>·</v>
      </c>
      <c r="J208" s="34" t="e">
        <f>IF(ISBLANK(#REF!),"·",#REF!/D208)</f>
        <v>#REF!</v>
      </c>
      <c r="K208" s="34" t="e">
        <f>IF(#REF!="","·",#REF!/D208)</f>
        <v>#REF!</v>
      </c>
      <c r="L208" s="34" t="e">
        <f>IF(ISBLANK(#REF!),"·",#REF!/D208)</f>
        <v>#REF!</v>
      </c>
      <c r="M208" s="35"/>
      <c r="N208" s="34" t="e">
        <f>IF(ISBLANK(#REF!),"·",#REF!/#REF!)</f>
        <v>#REF!</v>
      </c>
      <c r="O208" s="36"/>
      <c r="P208" s="37"/>
      <c r="Q208" s="37"/>
      <c r="R208" s="37"/>
      <c r="S208" s="38"/>
      <c r="T208" s="39"/>
      <c r="U208" s="39"/>
      <c r="V208" s="39"/>
      <c r="W208" s="40"/>
      <c r="X208" s="39"/>
      <c r="Y208" s="39"/>
      <c r="Z208" s="39"/>
      <c r="AA208" s="40"/>
      <c r="AB208" s="41"/>
      <c r="AC208" s="41"/>
      <c r="AE208" s="33" t="str">
        <f t="shared" si="15"/>
        <v>·</v>
      </c>
      <c r="AF208" s="34" t="str">
        <f t="shared" si="16"/>
        <v>·</v>
      </c>
      <c r="AG208" s="34" t="str">
        <f t="shared" si="17"/>
        <v>·</v>
      </c>
      <c r="AH208" s="34" t="str">
        <f t="shared" si="18"/>
        <v>·</v>
      </c>
      <c r="AI208" s="35"/>
      <c r="AJ208" s="34" t="str">
        <f t="shared" si="19"/>
        <v>·</v>
      </c>
      <c r="BA208" s="42" t="e">
        <f>(Q208/P208) - (#REF!/#REF!)</f>
        <v>#DIV/0!</v>
      </c>
      <c r="BB208" s="42"/>
      <c r="BD208" s="43"/>
      <c r="BE208" s="43"/>
      <c r="BF208" s="43"/>
      <c r="BG208" s="44"/>
      <c r="BI208" s="43"/>
      <c r="BJ208" s="43"/>
      <c r="BK208" s="43"/>
      <c r="BL208" s="44"/>
      <c r="BN208" s="43"/>
      <c r="BO208" s="43"/>
      <c r="BP208" s="43"/>
      <c r="BQ208" s="44"/>
      <c r="BS208" s="43"/>
      <c r="BT208" s="43"/>
      <c r="BU208" s="43"/>
      <c r="BV208" s="44"/>
    </row>
    <row r="209" spans="1:74" ht="14.25" outlineLevel="1" thickBot="1" x14ac:dyDescent="0.2">
      <c r="A209" s="15"/>
      <c r="B209" s="64" t="s">
        <v>353</v>
      </c>
      <c r="C209" s="66" t="s">
        <v>229</v>
      </c>
      <c r="D209" s="64">
        <v>1010591</v>
      </c>
      <c r="E209" s="65">
        <v>20</v>
      </c>
      <c r="F209" s="66">
        <v>1</v>
      </c>
      <c r="G209" s="66"/>
      <c r="I209" s="68" t="str">
        <f>IF(OR(ISBLANK(#REF!),ISBLANK(G209)),"·",#REF!*G209/F209/1000000)</f>
        <v>·</v>
      </c>
      <c r="J209" s="69" t="e">
        <f>IF(ISBLANK(#REF!),"·",#REF!/D209)</f>
        <v>#REF!</v>
      </c>
      <c r="K209" s="69" t="e">
        <f>IF(#REF!="","·",#REF!/D209)</f>
        <v>#REF!</v>
      </c>
      <c r="L209" s="69" t="e">
        <f>IF(ISBLANK(#REF!),"·",#REF!/D209)</f>
        <v>#REF!</v>
      </c>
      <c r="M209" s="70"/>
      <c r="N209" s="69" t="e">
        <f>IF(ISBLANK(#REF!),"·",#REF!/#REF!)</f>
        <v>#REF!</v>
      </c>
      <c r="O209" s="71"/>
      <c r="P209" s="72"/>
      <c r="Q209" s="72"/>
      <c r="R209" s="72"/>
      <c r="S209" s="73"/>
      <c r="T209" s="77"/>
      <c r="U209" s="77"/>
      <c r="V209" s="77"/>
      <c r="W209" s="78"/>
      <c r="X209" s="77"/>
      <c r="Y209" s="77"/>
      <c r="Z209" s="77"/>
      <c r="AA209" s="78"/>
      <c r="AB209" s="74"/>
      <c r="AC209" s="74"/>
      <c r="AE209" s="68" t="str">
        <f t="shared" si="15"/>
        <v>·</v>
      </c>
      <c r="AF209" s="69" t="str">
        <f t="shared" si="16"/>
        <v>·</v>
      </c>
      <c r="AG209" s="69" t="str">
        <f t="shared" si="17"/>
        <v>·</v>
      </c>
      <c r="AH209" s="69" t="str">
        <f t="shared" si="18"/>
        <v>·</v>
      </c>
      <c r="AI209" s="70"/>
      <c r="AJ209" s="69" t="str">
        <f t="shared" si="19"/>
        <v>·</v>
      </c>
      <c r="BA209" s="67" t="e">
        <f>(Q209/P209) - (#REF!/#REF!)</f>
        <v>#DIV/0!</v>
      </c>
      <c r="BB209" s="67"/>
      <c r="BD209" s="75"/>
      <c r="BE209" s="75"/>
      <c r="BF209" s="75"/>
      <c r="BG209" s="76"/>
      <c r="BI209" s="75"/>
      <c r="BJ209" s="75"/>
      <c r="BK209" s="75"/>
      <c r="BL209" s="76"/>
      <c r="BN209" s="75"/>
      <c r="BO209" s="75"/>
      <c r="BP209" s="75"/>
      <c r="BQ209" s="76"/>
      <c r="BS209" s="75"/>
      <c r="BT209" s="75"/>
      <c r="BU209" s="75"/>
      <c r="BV209" s="76"/>
    </row>
    <row r="210" spans="1:74" x14ac:dyDescent="0.15">
      <c r="A210" s="30"/>
      <c r="B210" s="30" t="s">
        <v>356</v>
      </c>
      <c r="C210" s="31" t="s">
        <v>225</v>
      </c>
      <c r="D210" s="30">
        <v>47062018</v>
      </c>
      <c r="E210" s="32">
        <v>20</v>
      </c>
      <c r="F210" s="31">
        <v>1</v>
      </c>
      <c r="G210" s="31"/>
      <c r="I210" s="33" t="str">
        <f>IF(OR(ISBLANK(#REF!),ISBLANK(G210)),"·",#REF!*G210/F210/1000000)</f>
        <v>·</v>
      </c>
      <c r="J210" s="34" t="e">
        <f>IF(ISBLANK(#REF!),"·",#REF!/D210)</f>
        <v>#REF!</v>
      </c>
      <c r="K210" s="34" t="e">
        <f>IF(#REF!="","·",#REF!/D210)</f>
        <v>#REF!</v>
      </c>
      <c r="L210" s="34" t="e">
        <f>IF(ISBLANK(#REF!),"·",#REF!/D210)</f>
        <v>#REF!</v>
      </c>
      <c r="M210" s="35"/>
      <c r="N210" s="34" t="e">
        <f>IF(ISBLANK(#REF!),"·",#REF!/#REF!)</f>
        <v>#REF!</v>
      </c>
      <c r="O210" s="36"/>
      <c r="P210" s="37"/>
      <c r="Q210" s="37"/>
      <c r="R210" s="37"/>
      <c r="S210" s="38"/>
      <c r="T210" s="39"/>
      <c r="U210" s="39"/>
      <c r="V210" s="39"/>
      <c r="W210" s="40"/>
      <c r="X210" s="39"/>
      <c r="Y210" s="39"/>
      <c r="Z210" s="39"/>
      <c r="AA210" s="40"/>
      <c r="AB210" s="41"/>
      <c r="AC210" s="41"/>
      <c r="AE210" s="33" t="str">
        <f t="shared" si="15"/>
        <v>·</v>
      </c>
      <c r="AF210" s="34" t="str">
        <f t="shared" si="16"/>
        <v>·</v>
      </c>
      <c r="AG210" s="34" t="str">
        <f t="shared" si="17"/>
        <v>·</v>
      </c>
      <c r="AH210" s="34" t="str">
        <f t="shared" si="18"/>
        <v>·</v>
      </c>
      <c r="AI210" s="35"/>
      <c r="AJ210" s="34" t="str">
        <f t="shared" si="19"/>
        <v>·</v>
      </c>
      <c r="BA210" s="42" t="e">
        <f>(Q210/P210) - (#REF!/#REF!)</f>
        <v>#DIV/0!</v>
      </c>
      <c r="BB210" s="42" t="e">
        <f t="array" ref="BB210">AVERAGE(Q210:Q214/P210:P214) - AVERAGE(#REF!/#REF!)</f>
        <v>#DIV/0!</v>
      </c>
      <c r="BD210" s="43" t="str">
        <f>_xlfn.SINGLE(IF( OR(ISBLANK(_xlfn.SINGLE(#REF!)),ISBLANK(_xlfn.SINGLE(R210:R214)), ISBLANK(_xlfn.SINGLE(#REF!)),ISBLANK(_xlfn.SINGLE(T210:T214))), "·", bdRateExtend(#REF!,#REF!, R210:R214,T210:T214)))</f>
        <v>·</v>
      </c>
      <c r="BE210" s="43" t="str">
        <f>_xlfn.SINGLE(IF( OR(ISBLANK(_xlfn.SINGLE(#REF!)),ISBLANK(_xlfn.SINGLE(R210:R214)), ISBLANK(_xlfn.SINGLE(#REF!)),ISBLANK(_xlfn.SINGLE(U210:U214))), "·", bdRateExtend(#REF!,#REF!, R210:R214,U210:U214)))</f>
        <v>·</v>
      </c>
      <c r="BF210" s="43" t="str">
        <f>_xlfn.SINGLE(IF( OR(ISBLANK(_xlfn.SINGLE(#REF!)),ISBLANK(_xlfn.SINGLE(R210:R214)), ISBLANK(_xlfn.SINGLE(#REF!)),ISBLANK(_xlfn.SINGLE(V210:V214))), "·", bdRateExtend(#REF!,#REF!, R210:R214,V210:V214)))</f>
        <v>·</v>
      </c>
      <c r="BG210" s="44"/>
      <c r="BI210" s="43" t="str">
        <f>_xlfn.SINGLE(IF( OR(ISBLANK(_xlfn.SINGLE(#REF!)),ISBLANK(_xlfn.SINGLE(R210:R214)), ISBLANK(_xlfn.SINGLE(#REF!)),ISBLANK(_xlfn.SINGLE(X210:X214))), "·", bdRateExtend(#REF!,#REF!, R210:R214,X210:X214)))</f>
        <v>·</v>
      </c>
      <c r="BJ210" s="43" t="str">
        <f>_xlfn.SINGLE(IF( OR(ISBLANK(_xlfn.SINGLE(#REF!)),ISBLANK(_xlfn.SINGLE(R210:R214)), ISBLANK(_xlfn.SINGLE(#REF!)),ISBLANK(_xlfn.SINGLE(Y210:Y214))), "·", bdRateExtend(#REF!,#REF!, R210:R214,Y210:Y214)))</f>
        <v>·</v>
      </c>
      <c r="BK210" s="43" t="str">
        <f>_xlfn.SINGLE(IF( OR(ISBLANK(_xlfn.SINGLE(#REF!)),ISBLANK(_xlfn.SINGLE(R210:R214)), ISBLANK(_xlfn.SINGLE(#REF!)),ISBLANK(_xlfn.SINGLE(Z210:Z214))), "·", bdRateExtend(#REF!,#REF!, R210:R214,Z210:Z214)))</f>
        <v>·</v>
      </c>
      <c r="BL210" s="44"/>
      <c r="BN210" s="43" t="str">
        <f>_xlfn.SINGLE(IF( OR(ISBLANK(_xlfn.SINGLE(#REF!)),ISBLANK(_xlfn.SINGLE(P210:P214)), ISBLANK(_xlfn.SINGLE(#REF!)),ISBLANK(_xlfn.SINGLE(T210:T214))), "·", bdRateExtend(#REF!,#REF!, P210:P214,T210:T214)))</f>
        <v>·</v>
      </c>
      <c r="BO210" s="43" t="str">
        <f>_xlfn.SINGLE(IF( OR(ISBLANK(_xlfn.SINGLE(#REF!)),ISBLANK(_xlfn.SINGLE(P210:P214)), ISBLANK(_xlfn.SINGLE(#REF!)),ISBLANK(_xlfn.SINGLE(U210:U214))), "·", bdRateExtend(#REF!,#REF!, P210:P214,U210:U214)))</f>
        <v>·</v>
      </c>
      <c r="BP210" s="43" t="str">
        <f>_xlfn.SINGLE(IF( OR(ISBLANK(_xlfn.SINGLE(#REF!)),ISBLANK(_xlfn.SINGLE(P210:P214)), ISBLANK(_xlfn.SINGLE(#REF!)),ISBLANK(_xlfn.SINGLE(V210:V214))), "·", bdRateExtend(#REF!,#REF!, P210:P214,V210:V214)))</f>
        <v>·</v>
      </c>
      <c r="BQ210" s="44"/>
      <c r="BS210" s="43" t="str">
        <f>_xlfn.SINGLE(IF( OR(ISBLANK(_xlfn.SINGLE(#REF!)),ISBLANK(_xlfn.SINGLE(P210:P214)), ISBLANK(_xlfn.SINGLE(#REF!)),ISBLANK(_xlfn.SINGLE(X210:X214))), "·", bdRateExtend(#REF!,#REF!, P210:P214,X210:X214)))</f>
        <v>·</v>
      </c>
      <c r="BT210" s="43" t="str">
        <f>_xlfn.SINGLE(IF( OR(ISBLANK(_xlfn.SINGLE(#REF!)),ISBLANK(_xlfn.SINGLE(P210:P214)), ISBLANK(_xlfn.SINGLE(#REF!)),ISBLANK(_xlfn.SINGLE(Y210:Y214))), "·", bdRateExtend(#REF!,#REF!, P210:P214,Y210:Y214)))</f>
        <v>·</v>
      </c>
      <c r="BU210" s="43" t="str">
        <f>_xlfn.SINGLE(IF( OR(ISBLANK(_xlfn.SINGLE(#REF!)),ISBLANK(_xlfn.SINGLE(P210:P214)), ISBLANK(_xlfn.SINGLE(#REF!)),ISBLANK(_xlfn.SINGLE(Z210:Z214))), "·", bdRateExtend(#REF!,#REF!, P210:P214,Z210:Z214)))</f>
        <v>·</v>
      </c>
      <c r="BV210" s="44"/>
    </row>
    <row r="211" spans="1:74" outlineLevel="1" x14ac:dyDescent="0.15">
      <c r="A211" s="15"/>
      <c r="B211" s="15" t="s">
        <v>356</v>
      </c>
      <c r="C211" s="16" t="s">
        <v>226</v>
      </c>
      <c r="D211" s="15">
        <v>47062018</v>
      </c>
      <c r="E211" s="17">
        <v>20</v>
      </c>
      <c r="F211" s="16">
        <v>1</v>
      </c>
      <c r="G211" s="16"/>
      <c r="I211" s="18" t="str">
        <f>IF(OR(ISBLANK(#REF!),ISBLANK(G211)),"·",#REF!*G211/F211/1000000)</f>
        <v>·</v>
      </c>
      <c r="J211" s="19" t="e">
        <f>IF(ISBLANK(#REF!),"·",#REF!/D211)</f>
        <v>#REF!</v>
      </c>
      <c r="K211" s="19" t="e">
        <f>IF(#REF!="","·",#REF!/D211)</f>
        <v>#REF!</v>
      </c>
      <c r="L211" s="19" t="e">
        <f>IF(ISBLANK(#REF!),"·",#REF!/D211)</f>
        <v>#REF!</v>
      </c>
      <c r="M211" s="20"/>
      <c r="N211" s="19" t="e">
        <f>IF(ISBLANK(#REF!),"·",#REF!/#REF!)</f>
        <v>#REF!</v>
      </c>
      <c r="O211" s="21"/>
      <c r="P211" s="22"/>
      <c r="Q211" s="22"/>
      <c r="R211" s="22"/>
      <c r="S211" s="23"/>
      <c r="T211" s="24"/>
      <c r="U211" s="24"/>
      <c r="V211" s="24"/>
      <c r="W211" s="25"/>
      <c r="X211" s="24"/>
      <c r="Y211" s="24"/>
      <c r="Z211" s="24"/>
      <c r="AA211" s="25"/>
      <c r="AB211" s="26"/>
      <c r="AC211" s="26"/>
      <c r="AE211" s="18" t="str">
        <f t="shared" si="15"/>
        <v>·</v>
      </c>
      <c r="AF211" s="19" t="str">
        <f t="shared" si="16"/>
        <v>·</v>
      </c>
      <c r="AG211" s="19" t="str">
        <f t="shared" si="17"/>
        <v>·</v>
      </c>
      <c r="AH211" s="19" t="str">
        <f t="shared" si="18"/>
        <v>·</v>
      </c>
      <c r="AI211" s="20"/>
      <c r="AJ211" s="19" t="str">
        <f t="shared" si="19"/>
        <v>·</v>
      </c>
      <c r="BA211" s="27" t="e">
        <f>(Q211/P211) - (#REF!/#REF!)</f>
        <v>#DIV/0!</v>
      </c>
      <c r="BB211" s="27"/>
      <c r="BD211" s="28"/>
      <c r="BE211" s="28"/>
      <c r="BF211" s="28"/>
      <c r="BG211" s="29"/>
      <c r="BI211" s="28"/>
      <c r="BJ211" s="28"/>
      <c r="BK211" s="28"/>
      <c r="BL211" s="29"/>
      <c r="BN211" s="28"/>
      <c r="BO211" s="28"/>
      <c r="BP211" s="28"/>
      <c r="BQ211" s="29"/>
      <c r="BS211" s="28"/>
      <c r="BT211" s="28"/>
      <c r="BU211" s="28"/>
      <c r="BV211" s="29"/>
    </row>
    <row r="212" spans="1:74" outlineLevel="1" x14ac:dyDescent="0.15">
      <c r="A212" s="30"/>
      <c r="B212" s="30" t="s">
        <v>356</v>
      </c>
      <c r="C212" s="31" t="s">
        <v>227</v>
      </c>
      <c r="D212" s="30">
        <v>47062018</v>
      </c>
      <c r="E212" s="32">
        <v>20</v>
      </c>
      <c r="F212" s="31">
        <v>1</v>
      </c>
      <c r="G212" s="31"/>
      <c r="I212" s="33" t="str">
        <f>IF(OR(ISBLANK(#REF!),ISBLANK(G212)),"·",#REF!*G212/F212/1000000)</f>
        <v>·</v>
      </c>
      <c r="J212" s="34" t="e">
        <f>IF(ISBLANK(#REF!),"·",#REF!/D212)</f>
        <v>#REF!</v>
      </c>
      <c r="K212" s="34" t="e">
        <f>IF(#REF!="","·",#REF!/D212)</f>
        <v>#REF!</v>
      </c>
      <c r="L212" s="34" t="e">
        <f>IF(ISBLANK(#REF!),"·",#REF!/D212)</f>
        <v>#REF!</v>
      </c>
      <c r="M212" s="35"/>
      <c r="N212" s="34" t="e">
        <f>IF(ISBLANK(#REF!),"·",#REF!/#REF!)</f>
        <v>#REF!</v>
      </c>
      <c r="O212" s="36"/>
      <c r="P212" s="37"/>
      <c r="Q212" s="37"/>
      <c r="R212" s="37"/>
      <c r="S212" s="38"/>
      <c r="T212" s="39"/>
      <c r="U212" s="39"/>
      <c r="V212" s="39"/>
      <c r="W212" s="40"/>
      <c r="X212" s="39"/>
      <c r="Y212" s="39"/>
      <c r="Z212" s="39"/>
      <c r="AA212" s="40"/>
      <c r="AB212" s="41"/>
      <c r="AC212" s="41"/>
      <c r="AE212" s="33" t="str">
        <f t="shared" si="15"/>
        <v>·</v>
      </c>
      <c r="AF212" s="34" t="str">
        <f t="shared" si="16"/>
        <v>·</v>
      </c>
      <c r="AG212" s="34" t="str">
        <f t="shared" si="17"/>
        <v>·</v>
      </c>
      <c r="AH212" s="34" t="str">
        <f t="shared" si="18"/>
        <v>·</v>
      </c>
      <c r="AI212" s="35"/>
      <c r="AJ212" s="34" t="str">
        <f t="shared" si="19"/>
        <v>·</v>
      </c>
      <c r="BA212" s="42" t="e">
        <f>(Q212/P212) - (#REF!/#REF!)</f>
        <v>#DIV/0!</v>
      </c>
      <c r="BB212" s="42"/>
      <c r="BD212" s="43"/>
      <c r="BE212" s="43"/>
      <c r="BF212" s="43"/>
      <c r="BG212" s="44"/>
      <c r="BI212" s="43"/>
      <c r="BJ212" s="43"/>
      <c r="BK212" s="43"/>
      <c r="BL212" s="44"/>
      <c r="BN212" s="43"/>
      <c r="BO212" s="43"/>
      <c r="BP212" s="43"/>
      <c r="BQ212" s="44"/>
      <c r="BS212" s="43"/>
      <c r="BT212" s="43"/>
      <c r="BU212" s="43"/>
      <c r="BV212" s="44"/>
    </row>
    <row r="213" spans="1:74" outlineLevel="1" x14ac:dyDescent="0.15">
      <c r="A213" s="15"/>
      <c r="B213" s="15" t="s">
        <v>356</v>
      </c>
      <c r="C213" s="16" t="s">
        <v>228</v>
      </c>
      <c r="D213" s="15">
        <v>47062018</v>
      </c>
      <c r="E213" s="17">
        <v>20</v>
      </c>
      <c r="F213" s="16">
        <v>1</v>
      </c>
      <c r="G213" s="16"/>
      <c r="I213" s="18" t="str">
        <f>IF(OR(ISBLANK(#REF!),ISBLANK(G213)),"·",#REF!*G213/F213/1000000)</f>
        <v>·</v>
      </c>
      <c r="J213" s="19" t="e">
        <f>IF(ISBLANK(#REF!),"·",#REF!/D213)</f>
        <v>#REF!</v>
      </c>
      <c r="K213" s="19" t="e">
        <f>IF(#REF!="","·",#REF!/D213)</f>
        <v>#REF!</v>
      </c>
      <c r="L213" s="19" t="e">
        <f>IF(ISBLANK(#REF!),"·",#REF!/D213)</f>
        <v>#REF!</v>
      </c>
      <c r="M213" s="20"/>
      <c r="N213" s="19" t="e">
        <f>IF(ISBLANK(#REF!),"·",#REF!/#REF!)</f>
        <v>#REF!</v>
      </c>
      <c r="O213" s="21"/>
      <c r="P213" s="22"/>
      <c r="Q213" s="22"/>
      <c r="R213" s="22"/>
      <c r="S213" s="23"/>
      <c r="T213" s="24"/>
      <c r="U213" s="24"/>
      <c r="V213" s="24"/>
      <c r="W213" s="25"/>
      <c r="X213" s="24"/>
      <c r="Y213" s="24"/>
      <c r="Z213" s="24"/>
      <c r="AA213" s="25"/>
      <c r="AB213" s="26"/>
      <c r="AC213" s="26"/>
      <c r="AE213" s="18" t="str">
        <f t="shared" si="15"/>
        <v>·</v>
      </c>
      <c r="AF213" s="19" t="str">
        <f t="shared" si="16"/>
        <v>·</v>
      </c>
      <c r="AG213" s="19" t="str">
        <f t="shared" si="17"/>
        <v>·</v>
      </c>
      <c r="AH213" s="19" t="str">
        <f t="shared" si="18"/>
        <v>·</v>
      </c>
      <c r="AI213" s="20"/>
      <c r="AJ213" s="19" t="str">
        <f t="shared" si="19"/>
        <v>·</v>
      </c>
      <c r="BA213" s="27" t="e">
        <f>(Q213/P213) - (#REF!/#REF!)</f>
        <v>#DIV/0!</v>
      </c>
      <c r="BB213" s="27"/>
      <c r="BD213" s="28"/>
      <c r="BE213" s="28"/>
      <c r="BF213" s="28"/>
      <c r="BG213" s="29"/>
      <c r="BI213" s="28"/>
      <c r="BJ213" s="28"/>
      <c r="BK213" s="28"/>
      <c r="BL213" s="29"/>
      <c r="BN213" s="28"/>
      <c r="BO213" s="28"/>
      <c r="BP213" s="28"/>
      <c r="BQ213" s="29"/>
      <c r="BS213" s="28"/>
      <c r="BT213" s="28"/>
      <c r="BU213" s="28"/>
      <c r="BV213" s="29"/>
    </row>
    <row r="214" spans="1:74" ht="14.25" outlineLevel="1" thickBot="1" x14ac:dyDescent="0.2">
      <c r="A214" s="30"/>
      <c r="B214" s="45" t="s">
        <v>356</v>
      </c>
      <c r="C214" s="46" t="s">
        <v>229</v>
      </c>
      <c r="D214" s="45">
        <v>47062018</v>
      </c>
      <c r="E214" s="47">
        <v>20</v>
      </c>
      <c r="F214" s="46">
        <v>1</v>
      </c>
      <c r="G214" s="46"/>
      <c r="I214" s="48" t="str">
        <f>IF(OR(ISBLANK(#REF!),ISBLANK(G214)),"·",#REF!*G214/F214/1000000)</f>
        <v>·</v>
      </c>
      <c r="J214" s="49" t="e">
        <f>IF(ISBLANK(#REF!),"·",#REF!/D214)</f>
        <v>#REF!</v>
      </c>
      <c r="K214" s="49" t="e">
        <f>IF(#REF!="","·",#REF!/D214)</f>
        <v>#REF!</v>
      </c>
      <c r="L214" s="49" t="e">
        <f>IF(ISBLANK(#REF!),"·",#REF!/D214)</f>
        <v>#REF!</v>
      </c>
      <c r="M214" s="50"/>
      <c r="N214" s="49" t="e">
        <f>IF(ISBLANK(#REF!),"·",#REF!/#REF!)</f>
        <v>#REF!</v>
      </c>
      <c r="O214" s="51"/>
      <c r="P214" s="52"/>
      <c r="Q214" s="52"/>
      <c r="R214" s="52"/>
      <c r="S214" s="53"/>
      <c r="T214" s="54"/>
      <c r="U214" s="54"/>
      <c r="V214" s="54"/>
      <c r="W214" s="55"/>
      <c r="X214" s="54"/>
      <c r="Y214" s="54"/>
      <c r="Z214" s="54"/>
      <c r="AA214" s="55"/>
      <c r="AB214" s="56"/>
      <c r="AC214" s="56"/>
      <c r="AE214" s="48" t="str">
        <f t="shared" si="15"/>
        <v>·</v>
      </c>
      <c r="AF214" s="49" t="str">
        <f t="shared" si="16"/>
        <v>·</v>
      </c>
      <c r="AG214" s="49" t="str">
        <f t="shared" si="17"/>
        <v>·</v>
      </c>
      <c r="AH214" s="49" t="str">
        <f t="shared" si="18"/>
        <v>·</v>
      </c>
      <c r="AI214" s="50"/>
      <c r="AJ214" s="49" t="str">
        <f t="shared" si="19"/>
        <v>·</v>
      </c>
      <c r="BA214" s="57" t="e">
        <f>(Q214/P214) - (#REF!/#REF!)</f>
        <v>#DIV/0!</v>
      </c>
      <c r="BB214" s="57"/>
      <c r="BD214" s="58"/>
      <c r="BE214" s="58"/>
      <c r="BF214" s="58"/>
      <c r="BG214" s="59"/>
      <c r="BI214" s="58"/>
      <c r="BJ214" s="58"/>
      <c r="BK214" s="58"/>
      <c r="BL214" s="59"/>
      <c r="BN214" s="58"/>
      <c r="BO214" s="58"/>
      <c r="BP214" s="58"/>
      <c r="BQ214" s="59"/>
      <c r="BS214" s="58"/>
      <c r="BT214" s="58"/>
      <c r="BU214" s="58"/>
      <c r="BV214" s="59"/>
    </row>
    <row r="215" spans="1:74" x14ac:dyDescent="0.15">
      <c r="A215" s="15"/>
      <c r="B215" s="15" t="s">
        <v>359</v>
      </c>
      <c r="C215" s="16" t="s">
        <v>225</v>
      </c>
      <c r="D215" s="15">
        <v>43399207</v>
      </c>
      <c r="E215" s="17">
        <v>20</v>
      </c>
      <c r="F215" s="16">
        <v>1</v>
      </c>
      <c r="G215" s="16"/>
      <c r="I215" s="18" t="str">
        <f>IF(OR(ISBLANK(#REF!),ISBLANK(G215)),"·",#REF!*G215/F215/1000000)</f>
        <v>·</v>
      </c>
      <c r="J215" s="19" t="e">
        <f>IF(ISBLANK(#REF!),"·",#REF!/D215)</f>
        <v>#REF!</v>
      </c>
      <c r="K215" s="19" t="e">
        <f>IF(#REF!="","·",#REF!/D215)</f>
        <v>#REF!</v>
      </c>
      <c r="L215" s="19" t="e">
        <f>IF(ISBLANK(#REF!),"·",#REF!/D215)</f>
        <v>#REF!</v>
      </c>
      <c r="M215" s="20"/>
      <c r="N215" s="19" t="e">
        <f>IF(ISBLANK(#REF!),"·",#REF!/#REF!)</f>
        <v>#REF!</v>
      </c>
      <c r="O215" s="21"/>
      <c r="P215" s="22"/>
      <c r="Q215" s="22"/>
      <c r="R215" s="22"/>
      <c r="S215" s="23"/>
      <c r="T215" s="24"/>
      <c r="U215" s="24"/>
      <c r="V215" s="24"/>
      <c r="W215" s="25"/>
      <c r="X215" s="24"/>
      <c r="Y215" s="24"/>
      <c r="Z215" s="24"/>
      <c r="AA215" s="25"/>
      <c r="AB215" s="26"/>
      <c r="AC215" s="26"/>
      <c r="AE215" s="18" t="str">
        <f t="shared" si="15"/>
        <v>·</v>
      </c>
      <c r="AF215" s="19" t="str">
        <f t="shared" si="16"/>
        <v>·</v>
      </c>
      <c r="AG215" s="19" t="str">
        <f t="shared" si="17"/>
        <v>·</v>
      </c>
      <c r="AH215" s="19" t="str">
        <f t="shared" si="18"/>
        <v>·</v>
      </c>
      <c r="AI215" s="20"/>
      <c r="AJ215" s="19" t="str">
        <f t="shared" si="19"/>
        <v>·</v>
      </c>
      <c r="BA215" s="27" t="e">
        <f>(Q215/P215) - (#REF!/#REF!)</f>
        <v>#DIV/0!</v>
      </c>
      <c r="BB215" s="27" t="e">
        <f t="array" ref="BB215">AVERAGE(Q215:Q219/P215:P219) - AVERAGE(#REF!/#REF!)</f>
        <v>#DIV/0!</v>
      </c>
      <c r="BD215" s="28" t="str">
        <f>_xlfn.SINGLE(IF( OR(ISBLANK(_xlfn.SINGLE(#REF!)),ISBLANK(_xlfn.SINGLE(R215:R219)), ISBLANK(_xlfn.SINGLE(#REF!)),ISBLANK(_xlfn.SINGLE(T215:T219))), "·", bdRateExtend(#REF!,#REF!, R215:R219,T215:T219)))</f>
        <v>·</v>
      </c>
      <c r="BE215" s="28" t="str">
        <f>_xlfn.SINGLE(IF( OR(ISBLANK(_xlfn.SINGLE(#REF!)),ISBLANK(_xlfn.SINGLE(R215:R219)), ISBLANK(_xlfn.SINGLE(#REF!)),ISBLANK(_xlfn.SINGLE(U215:U219))), "·", bdRateExtend(#REF!,#REF!, R215:R219,U215:U219)))</f>
        <v>·</v>
      </c>
      <c r="BF215" s="28" t="str">
        <f>_xlfn.SINGLE(IF( OR(ISBLANK(_xlfn.SINGLE(#REF!)),ISBLANK(_xlfn.SINGLE(R215:R219)), ISBLANK(_xlfn.SINGLE(#REF!)),ISBLANK(_xlfn.SINGLE(V215:V219))), "·", bdRateExtend(#REF!,#REF!, R215:R219,V215:V219)))</f>
        <v>·</v>
      </c>
      <c r="BG215" s="29"/>
      <c r="BI215" s="28" t="str">
        <f>_xlfn.SINGLE(IF( OR(ISBLANK(_xlfn.SINGLE(#REF!)),ISBLANK(_xlfn.SINGLE(R215:R219)), ISBLANK(_xlfn.SINGLE(#REF!)),ISBLANK(_xlfn.SINGLE(X215:X219))), "·", bdRateExtend(#REF!,#REF!, R215:R219,X215:X219)))</f>
        <v>·</v>
      </c>
      <c r="BJ215" s="28" t="str">
        <f>_xlfn.SINGLE(IF( OR(ISBLANK(_xlfn.SINGLE(#REF!)),ISBLANK(_xlfn.SINGLE(R215:R219)), ISBLANK(_xlfn.SINGLE(#REF!)),ISBLANK(_xlfn.SINGLE(Y215:Y219))), "·", bdRateExtend(#REF!,#REF!, R215:R219,Y215:Y219)))</f>
        <v>·</v>
      </c>
      <c r="BK215" s="28" t="str">
        <f>_xlfn.SINGLE(IF( OR(ISBLANK(_xlfn.SINGLE(#REF!)),ISBLANK(_xlfn.SINGLE(R215:R219)), ISBLANK(_xlfn.SINGLE(#REF!)),ISBLANK(_xlfn.SINGLE(Z215:Z219))), "·", bdRateExtend(#REF!,#REF!, R215:R219,Z215:Z219)))</f>
        <v>·</v>
      </c>
      <c r="BL215" s="29"/>
      <c r="BN215" s="28" t="str">
        <f>_xlfn.SINGLE(IF( OR(ISBLANK(_xlfn.SINGLE(#REF!)),ISBLANK(_xlfn.SINGLE(P215:P219)), ISBLANK(_xlfn.SINGLE(#REF!)),ISBLANK(_xlfn.SINGLE(T215:T219))), "·", bdRateExtend(#REF!,#REF!, P215:P219,T215:T219)))</f>
        <v>·</v>
      </c>
      <c r="BO215" s="28" t="str">
        <f>_xlfn.SINGLE(IF( OR(ISBLANK(_xlfn.SINGLE(#REF!)),ISBLANK(_xlfn.SINGLE(P215:P219)), ISBLANK(_xlfn.SINGLE(#REF!)),ISBLANK(_xlfn.SINGLE(U215:U219))), "·", bdRateExtend(#REF!,#REF!, P215:P219,U215:U219)))</f>
        <v>·</v>
      </c>
      <c r="BP215" s="28" t="str">
        <f>_xlfn.SINGLE(IF( OR(ISBLANK(_xlfn.SINGLE(#REF!)),ISBLANK(_xlfn.SINGLE(P215:P219)), ISBLANK(_xlfn.SINGLE(#REF!)),ISBLANK(_xlfn.SINGLE(V215:V219))), "·", bdRateExtend(#REF!,#REF!, P215:P219,V215:V219)))</f>
        <v>·</v>
      </c>
      <c r="BQ215" s="29"/>
      <c r="BS215" s="28" t="str">
        <f>_xlfn.SINGLE(IF( OR(ISBLANK(_xlfn.SINGLE(#REF!)),ISBLANK(_xlfn.SINGLE(P215:P219)), ISBLANK(_xlfn.SINGLE(#REF!)),ISBLANK(_xlfn.SINGLE(X215:X219))), "·", bdRateExtend(#REF!,#REF!, P215:P219,X215:X219)))</f>
        <v>·</v>
      </c>
      <c r="BT215" s="28" t="str">
        <f>_xlfn.SINGLE(IF( OR(ISBLANK(_xlfn.SINGLE(#REF!)),ISBLANK(_xlfn.SINGLE(P215:P219)), ISBLANK(_xlfn.SINGLE(#REF!)),ISBLANK(_xlfn.SINGLE(Y215:Y219))), "·", bdRateExtend(#REF!,#REF!, P215:P219,Y215:Y219)))</f>
        <v>·</v>
      </c>
      <c r="BU215" s="28" t="str">
        <f>_xlfn.SINGLE(IF( OR(ISBLANK(_xlfn.SINGLE(#REF!)),ISBLANK(_xlfn.SINGLE(P215:P219)), ISBLANK(_xlfn.SINGLE(#REF!)),ISBLANK(_xlfn.SINGLE(Z215:Z219))), "·", bdRateExtend(#REF!,#REF!, P215:P219,Z215:Z219)))</f>
        <v>·</v>
      </c>
      <c r="BV215" s="29"/>
    </row>
    <row r="216" spans="1:74" outlineLevel="1" x14ac:dyDescent="0.15">
      <c r="A216" s="30"/>
      <c r="B216" s="30" t="s">
        <v>359</v>
      </c>
      <c r="C216" s="31" t="s">
        <v>226</v>
      </c>
      <c r="D216" s="30">
        <v>43399207</v>
      </c>
      <c r="E216" s="32">
        <v>20</v>
      </c>
      <c r="F216" s="31">
        <v>1</v>
      </c>
      <c r="G216" s="31"/>
      <c r="I216" s="33" t="str">
        <f>IF(OR(ISBLANK(#REF!),ISBLANK(G216)),"·",#REF!*G216/F216/1000000)</f>
        <v>·</v>
      </c>
      <c r="J216" s="34" t="e">
        <f>IF(ISBLANK(#REF!),"·",#REF!/D216)</f>
        <v>#REF!</v>
      </c>
      <c r="K216" s="34" t="e">
        <f>IF(#REF!="","·",#REF!/D216)</f>
        <v>#REF!</v>
      </c>
      <c r="L216" s="34" t="e">
        <f>IF(ISBLANK(#REF!),"·",#REF!/D216)</f>
        <v>#REF!</v>
      </c>
      <c r="M216" s="35"/>
      <c r="N216" s="34" t="e">
        <f>IF(ISBLANK(#REF!),"·",#REF!/#REF!)</f>
        <v>#REF!</v>
      </c>
      <c r="O216" s="36"/>
      <c r="P216" s="37"/>
      <c r="Q216" s="37"/>
      <c r="R216" s="37"/>
      <c r="S216" s="38"/>
      <c r="T216" s="39"/>
      <c r="U216" s="39"/>
      <c r="V216" s="39"/>
      <c r="W216" s="40"/>
      <c r="X216" s="39"/>
      <c r="Y216" s="39"/>
      <c r="Z216" s="39"/>
      <c r="AA216" s="40"/>
      <c r="AB216" s="41"/>
      <c r="AC216" s="41"/>
      <c r="AE216" s="33" t="str">
        <f t="shared" si="15"/>
        <v>·</v>
      </c>
      <c r="AF216" s="34" t="str">
        <f t="shared" si="16"/>
        <v>·</v>
      </c>
      <c r="AG216" s="34" t="str">
        <f t="shared" si="17"/>
        <v>·</v>
      </c>
      <c r="AH216" s="34" t="str">
        <f t="shared" si="18"/>
        <v>·</v>
      </c>
      <c r="AI216" s="35"/>
      <c r="AJ216" s="34" t="str">
        <f t="shared" si="19"/>
        <v>·</v>
      </c>
      <c r="BA216" s="42" t="e">
        <f>(Q216/P216) - (#REF!/#REF!)</f>
        <v>#DIV/0!</v>
      </c>
      <c r="BB216" s="42"/>
      <c r="BD216" s="43"/>
      <c r="BE216" s="43"/>
      <c r="BF216" s="43"/>
      <c r="BG216" s="44"/>
      <c r="BI216" s="43"/>
      <c r="BJ216" s="43"/>
      <c r="BK216" s="43"/>
      <c r="BL216" s="44"/>
      <c r="BN216" s="43"/>
      <c r="BO216" s="43"/>
      <c r="BP216" s="43"/>
      <c r="BQ216" s="44"/>
      <c r="BS216" s="43"/>
      <c r="BT216" s="43"/>
      <c r="BU216" s="43"/>
      <c r="BV216" s="44"/>
    </row>
    <row r="217" spans="1:74" outlineLevel="1" x14ac:dyDescent="0.15">
      <c r="A217" s="15"/>
      <c r="B217" s="15" t="s">
        <v>359</v>
      </c>
      <c r="C217" s="16" t="s">
        <v>227</v>
      </c>
      <c r="D217" s="15">
        <v>43399207</v>
      </c>
      <c r="E217" s="17">
        <v>20</v>
      </c>
      <c r="F217" s="16">
        <v>1</v>
      </c>
      <c r="G217" s="16"/>
      <c r="I217" s="18" t="str">
        <f>IF(OR(ISBLANK(#REF!),ISBLANK(G217)),"·",#REF!*G217/F217/1000000)</f>
        <v>·</v>
      </c>
      <c r="J217" s="19" t="e">
        <f>IF(ISBLANK(#REF!),"·",#REF!/D217)</f>
        <v>#REF!</v>
      </c>
      <c r="K217" s="19" t="e">
        <f>IF(#REF!="","·",#REF!/D217)</f>
        <v>#REF!</v>
      </c>
      <c r="L217" s="19" t="e">
        <f>IF(ISBLANK(#REF!),"·",#REF!/D217)</f>
        <v>#REF!</v>
      </c>
      <c r="M217" s="20"/>
      <c r="N217" s="19" t="e">
        <f>IF(ISBLANK(#REF!),"·",#REF!/#REF!)</f>
        <v>#REF!</v>
      </c>
      <c r="O217" s="21"/>
      <c r="P217" s="22"/>
      <c r="Q217" s="22"/>
      <c r="R217" s="22"/>
      <c r="S217" s="23"/>
      <c r="T217" s="24"/>
      <c r="U217" s="24"/>
      <c r="V217" s="24"/>
      <c r="W217" s="25"/>
      <c r="X217" s="24"/>
      <c r="Y217" s="24"/>
      <c r="Z217" s="24"/>
      <c r="AA217" s="25"/>
      <c r="AB217" s="26"/>
      <c r="AC217" s="26"/>
      <c r="AE217" s="18" t="str">
        <f t="shared" si="15"/>
        <v>·</v>
      </c>
      <c r="AF217" s="19" t="str">
        <f t="shared" si="16"/>
        <v>·</v>
      </c>
      <c r="AG217" s="19" t="str">
        <f t="shared" si="17"/>
        <v>·</v>
      </c>
      <c r="AH217" s="19" t="str">
        <f t="shared" si="18"/>
        <v>·</v>
      </c>
      <c r="AI217" s="20"/>
      <c r="AJ217" s="19" t="str">
        <f t="shared" si="19"/>
        <v>·</v>
      </c>
      <c r="BA217" s="27" t="e">
        <f>(Q217/P217) - (#REF!/#REF!)</f>
        <v>#DIV/0!</v>
      </c>
      <c r="BB217" s="27"/>
      <c r="BD217" s="28"/>
      <c r="BE217" s="28"/>
      <c r="BF217" s="28"/>
      <c r="BG217" s="29"/>
      <c r="BI217" s="28"/>
      <c r="BJ217" s="28"/>
      <c r="BK217" s="28"/>
      <c r="BL217" s="29"/>
      <c r="BN217" s="28"/>
      <c r="BO217" s="28"/>
      <c r="BP217" s="28"/>
      <c r="BQ217" s="29"/>
      <c r="BS217" s="28"/>
      <c r="BT217" s="28"/>
      <c r="BU217" s="28"/>
      <c r="BV217" s="29"/>
    </row>
    <row r="218" spans="1:74" outlineLevel="1" x14ac:dyDescent="0.15">
      <c r="A218" s="30"/>
      <c r="B218" s="30" t="s">
        <v>359</v>
      </c>
      <c r="C218" s="31" t="s">
        <v>228</v>
      </c>
      <c r="D218" s="30">
        <v>43399207</v>
      </c>
      <c r="E218" s="32">
        <v>20</v>
      </c>
      <c r="F218" s="31">
        <v>1</v>
      </c>
      <c r="G218" s="31"/>
      <c r="I218" s="33" t="str">
        <f>IF(OR(ISBLANK(#REF!),ISBLANK(G218)),"·",#REF!*G218/F218/1000000)</f>
        <v>·</v>
      </c>
      <c r="J218" s="34" t="e">
        <f>IF(ISBLANK(#REF!),"·",#REF!/D218)</f>
        <v>#REF!</v>
      </c>
      <c r="K218" s="34" t="e">
        <f>IF(#REF!="","·",#REF!/D218)</f>
        <v>#REF!</v>
      </c>
      <c r="L218" s="34" t="e">
        <f>IF(ISBLANK(#REF!),"·",#REF!/D218)</f>
        <v>#REF!</v>
      </c>
      <c r="M218" s="35"/>
      <c r="N218" s="34" t="e">
        <f>IF(ISBLANK(#REF!),"·",#REF!/#REF!)</f>
        <v>#REF!</v>
      </c>
      <c r="O218" s="36"/>
      <c r="P218" s="37"/>
      <c r="Q218" s="37"/>
      <c r="R218" s="37"/>
      <c r="S218" s="38"/>
      <c r="T218" s="39"/>
      <c r="U218" s="39"/>
      <c r="V218" s="39"/>
      <c r="W218" s="40"/>
      <c r="X218" s="39"/>
      <c r="Y218" s="39"/>
      <c r="Z218" s="39"/>
      <c r="AA218" s="40"/>
      <c r="AB218" s="41"/>
      <c r="AC218" s="41"/>
      <c r="AE218" s="33" t="str">
        <f t="shared" si="15"/>
        <v>·</v>
      </c>
      <c r="AF218" s="34" t="str">
        <f t="shared" si="16"/>
        <v>·</v>
      </c>
      <c r="AG218" s="34" t="str">
        <f t="shared" si="17"/>
        <v>·</v>
      </c>
      <c r="AH218" s="34" t="str">
        <f t="shared" si="18"/>
        <v>·</v>
      </c>
      <c r="AI218" s="35"/>
      <c r="AJ218" s="34" t="str">
        <f t="shared" si="19"/>
        <v>·</v>
      </c>
      <c r="BA218" s="42" t="e">
        <f>(Q218/P218) - (#REF!/#REF!)</f>
        <v>#DIV/0!</v>
      </c>
      <c r="BB218" s="42"/>
      <c r="BD218" s="43"/>
      <c r="BE218" s="43"/>
      <c r="BF218" s="43"/>
      <c r="BG218" s="44"/>
      <c r="BI218" s="43"/>
      <c r="BJ218" s="43"/>
      <c r="BK218" s="43"/>
      <c r="BL218" s="44"/>
      <c r="BN218" s="43"/>
      <c r="BO218" s="43"/>
      <c r="BP218" s="43"/>
      <c r="BQ218" s="44"/>
      <c r="BS218" s="43"/>
      <c r="BT218" s="43"/>
      <c r="BU218" s="43"/>
      <c r="BV218" s="44"/>
    </row>
    <row r="219" spans="1:74" ht="14.25" outlineLevel="1" thickBot="1" x14ac:dyDescent="0.2">
      <c r="A219" s="15"/>
      <c r="B219" s="64" t="s">
        <v>359</v>
      </c>
      <c r="C219" s="66" t="s">
        <v>229</v>
      </c>
      <c r="D219" s="64">
        <v>43399207</v>
      </c>
      <c r="E219" s="65">
        <v>20</v>
      </c>
      <c r="F219" s="66">
        <v>1</v>
      </c>
      <c r="G219" s="66"/>
      <c r="I219" s="68" t="str">
        <f>IF(OR(ISBLANK(#REF!),ISBLANK(G219)),"·",#REF!*G219/F219/1000000)</f>
        <v>·</v>
      </c>
      <c r="J219" s="69" t="e">
        <f>IF(ISBLANK(#REF!),"·",#REF!/D219)</f>
        <v>#REF!</v>
      </c>
      <c r="K219" s="69" t="e">
        <f>IF(#REF!="","·",#REF!/D219)</f>
        <v>#REF!</v>
      </c>
      <c r="L219" s="69" t="e">
        <f>IF(ISBLANK(#REF!),"·",#REF!/D219)</f>
        <v>#REF!</v>
      </c>
      <c r="M219" s="70"/>
      <c r="N219" s="69" t="e">
        <f>IF(ISBLANK(#REF!),"·",#REF!/#REF!)</f>
        <v>#REF!</v>
      </c>
      <c r="O219" s="71"/>
      <c r="P219" s="72"/>
      <c r="Q219" s="72"/>
      <c r="R219" s="72"/>
      <c r="S219" s="73"/>
      <c r="T219" s="77"/>
      <c r="U219" s="77"/>
      <c r="V219" s="77"/>
      <c r="W219" s="78"/>
      <c r="X219" s="77"/>
      <c r="Y219" s="77"/>
      <c r="Z219" s="77"/>
      <c r="AA219" s="78"/>
      <c r="AB219" s="74"/>
      <c r="AC219" s="74"/>
      <c r="AE219" s="68" t="str">
        <f t="shared" si="15"/>
        <v>·</v>
      </c>
      <c r="AF219" s="69" t="str">
        <f t="shared" si="16"/>
        <v>·</v>
      </c>
      <c r="AG219" s="69" t="str">
        <f t="shared" si="17"/>
        <v>·</v>
      </c>
      <c r="AH219" s="69" t="str">
        <f t="shared" si="18"/>
        <v>·</v>
      </c>
      <c r="AI219" s="70"/>
      <c r="AJ219" s="69" t="str">
        <f t="shared" si="19"/>
        <v>·</v>
      </c>
      <c r="BA219" s="67" t="e">
        <f>(Q219/P219) - (#REF!/#REF!)</f>
        <v>#DIV/0!</v>
      </c>
      <c r="BB219" s="67"/>
      <c r="BD219" s="75"/>
      <c r="BE219" s="75"/>
      <c r="BF219" s="75"/>
      <c r="BG219" s="76"/>
      <c r="BI219" s="75"/>
      <c r="BJ219" s="75"/>
      <c r="BK219" s="75"/>
      <c r="BL219" s="76"/>
      <c r="BN219" s="75"/>
      <c r="BO219" s="75"/>
      <c r="BP219" s="75"/>
      <c r="BQ219" s="76"/>
      <c r="BS219" s="75"/>
      <c r="BT219" s="75"/>
      <c r="BU219" s="75"/>
      <c r="BV219" s="76"/>
    </row>
    <row r="220" spans="1:74" x14ac:dyDescent="0.15">
      <c r="A220" s="30"/>
      <c r="B220" s="30" t="s">
        <v>362</v>
      </c>
      <c r="C220" s="31" t="s">
        <v>225</v>
      </c>
      <c r="D220" s="30">
        <v>499886</v>
      </c>
      <c r="E220" s="32">
        <v>20</v>
      </c>
      <c r="F220" s="31">
        <v>1</v>
      </c>
      <c r="G220" s="31"/>
      <c r="I220" s="33" t="str">
        <f>IF(OR(ISBLANK(#REF!),ISBLANK(G220)),"·",#REF!*G220/F220/1000000)</f>
        <v>·</v>
      </c>
      <c r="J220" s="34" t="e">
        <f>IF(ISBLANK(#REF!),"·",#REF!/D220)</f>
        <v>#REF!</v>
      </c>
      <c r="K220" s="34" t="e">
        <f>IF(#REF!="","·",#REF!/D220)</f>
        <v>#REF!</v>
      </c>
      <c r="L220" s="34" t="e">
        <f>IF(ISBLANK(#REF!),"·",#REF!/D220)</f>
        <v>#REF!</v>
      </c>
      <c r="M220" s="35"/>
      <c r="N220" s="34" t="e">
        <f>IF(ISBLANK(#REF!),"·",#REF!/#REF!)</f>
        <v>#REF!</v>
      </c>
      <c r="O220" s="36"/>
      <c r="P220" s="37"/>
      <c r="Q220" s="37"/>
      <c r="R220" s="37"/>
      <c r="S220" s="38"/>
      <c r="T220" s="39"/>
      <c r="U220" s="39"/>
      <c r="V220" s="39"/>
      <c r="W220" s="40"/>
      <c r="X220" s="39"/>
      <c r="Y220" s="39"/>
      <c r="Z220" s="39"/>
      <c r="AA220" s="40"/>
      <c r="AB220" s="41"/>
      <c r="AC220" s="41"/>
      <c r="AE220" s="33" t="str">
        <f t="shared" si="15"/>
        <v>·</v>
      </c>
      <c r="AF220" s="34" t="str">
        <f t="shared" si="16"/>
        <v>·</v>
      </c>
      <c r="AG220" s="34" t="str">
        <f t="shared" si="17"/>
        <v>·</v>
      </c>
      <c r="AH220" s="34" t="str">
        <f t="shared" si="18"/>
        <v>·</v>
      </c>
      <c r="AI220" s="35"/>
      <c r="AJ220" s="34" t="str">
        <f t="shared" si="19"/>
        <v>·</v>
      </c>
      <c r="BA220" s="42" t="e">
        <f>(Q220/P220) - (#REF!/#REF!)</f>
        <v>#DIV/0!</v>
      </c>
      <c r="BB220" s="42" t="e">
        <f t="array" ref="BB220">AVERAGE(Q220:Q224/P220:P224) - AVERAGE(#REF!/#REF!)</f>
        <v>#DIV/0!</v>
      </c>
      <c r="BD220" s="43" t="str">
        <f>_xlfn.SINGLE(IF( OR(ISBLANK(_xlfn.SINGLE(#REF!)),ISBLANK(_xlfn.SINGLE(R220:R224)), ISBLANK(_xlfn.SINGLE(#REF!)),ISBLANK(_xlfn.SINGLE(T220:T224))), "·", bdRateExtend(#REF!,#REF!, R220:R224,T220:T224)))</f>
        <v>·</v>
      </c>
      <c r="BE220" s="43" t="str">
        <f>_xlfn.SINGLE(IF( OR(ISBLANK(_xlfn.SINGLE(#REF!)),ISBLANK(_xlfn.SINGLE(R220:R224)), ISBLANK(_xlfn.SINGLE(#REF!)),ISBLANK(_xlfn.SINGLE(U220:U224))), "·", bdRateExtend(#REF!,#REF!, R220:R224,U220:U224)))</f>
        <v>·</v>
      </c>
      <c r="BF220" s="43" t="str">
        <f>_xlfn.SINGLE(IF( OR(ISBLANK(_xlfn.SINGLE(#REF!)),ISBLANK(_xlfn.SINGLE(R220:R224)), ISBLANK(_xlfn.SINGLE(#REF!)),ISBLANK(_xlfn.SINGLE(V220:V224))), "·", bdRateExtend(#REF!,#REF!, R220:R224,V220:V224)))</f>
        <v>·</v>
      </c>
      <c r="BG220" s="44"/>
      <c r="BI220" s="43" t="str">
        <f>_xlfn.SINGLE(IF( OR(ISBLANK(_xlfn.SINGLE(#REF!)),ISBLANK(_xlfn.SINGLE(R220:R224)), ISBLANK(_xlfn.SINGLE(#REF!)),ISBLANK(_xlfn.SINGLE(X220:X224))), "·", bdRateExtend(#REF!,#REF!, R220:R224,X220:X224)))</f>
        <v>·</v>
      </c>
      <c r="BJ220" s="43" t="str">
        <f>_xlfn.SINGLE(IF( OR(ISBLANK(_xlfn.SINGLE(#REF!)),ISBLANK(_xlfn.SINGLE(R220:R224)), ISBLANK(_xlfn.SINGLE(#REF!)),ISBLANK(_xlfn.SINGLE(Y220:Y224))), "·", bdRateExtend(#REF!,#REF!, R220:R224,Y220:Y224)))</f>
        <v>·</v>
      </c>
      <c r="BK220" s="43" t="str">
        <f>_xlfn.SINGLE(IF( OR(ISBLANK(_xlfn.SINGLE(#REF!)),ISBLANK(_xlfn.SINGLE(R220:R224)), ISBLANK(_xlfn.SINGLE(#REF!)),ISBLANK(_xlfn.SINGLE(Z220:Z224))), "·", bdRateExtend(#REF!,#REF!, R220:R224,Z220:Z224)))</f>
        <v>·</v>
      </c>
      <c r="BL220" s="44"/>
      <c r="BN220" s="43" t="str">
        <f>_xlfn.SINGLE(IF( OR(ISBLANK(_xlfn.SINGLE(#REF!)),ISBLANK(_xlfn.SINGLE(P220:P224)), ISBLANK(_xlfn.SINGLE(#REF!)),ISBLANK(_xlfn.SINGLE(T220:T224))), "·", bdRateExtend(#REF!,#REF!, P220:P224,T220:T224)))</f>
        <v>·</v>
      </c>
      <c r="BO220" s="43" t="str">
        <f>_xlfn.SINGLE(IF( OR(ISBLANK(_xlfn.SINGLE(#REF!)),ISBLANK(_xlfn.SINGLE(P220:P224)), ISBLANK(_xlfn.SINGLE(#REF!)),ISBLANK(_xlfn.SINGLE(U220:U224))), "·", bdRateExtend(#REF!,#REF!, P220:P224,U220:U224)))</f>
        <v>·</v>
      </c>
      <c r="BP220" s="43" t="str">
        <f>_xlfn.SINGLE(IF( OR(ISBLANK(_xlfn.SINGLE(#REF!)),ISBLANK(_xlfn.SINGLE(P220:P224)), ISBLANK(_xlfn.SINGLE(#REF!)),ISBLANK(_xlfn.SINGLE(V220:V224))), "·", bdRateExtend(#REF!,#REF!, P220:P224,V220:V224)))</f>
        <v>·</v>
      </c>
      <c r="BQ220" s="44"/>
      <c r="BS220" s="43" t="str">
        <f>_xlfn.SINGLE(IF( OR(ISBLANK(_xlfn.SINGLE(#REF!)),ISBLANK(_xlfn.SINGLE(P220:P224)), ISBLANK(_xlfn.SINGLE(#REF!)),ISBLANK(_xlfn.SINGLE(X220:X224))), "·", bdRateExtend(#REF!,#REF!, P220:P224,X220:X224)))</f>
        <v>·</v>
      </c>
      <c r="BT220" s="43" t="str">
        <f>_xlfn.SINGLE(IF( OR(ISBLANK(_xlfn.SINGLE(#REF!)),ISBLANK(_xlfn.SINGLE(P220:P224)), ISBLANK(_xlfn.SINGLE(#REF!)),ISBLANK(_xlfn.SINGLE(Y220:Y224))), "·", bdRateExtend(#REF!,#REF!, P220:P224,Y220:Y224)))</f>
        <v>·</v>
      </c>
      <c r="BU220" s="43" t="str">
        <f>_xlfn.SINGLE(IF( OR(ISBLANK(_xlfn.SINGLE(#REF!)),ISBLANK(_xlfn.SINGLE(P220:P224)), ISBLANK(_xlfn.SINGLE(#REF!)),ISBLANK(_xlfn.SINGLE(Z220:Z224))), "·", bdRateExtend(#REF!,#REF!, P220:P224,Z220:Z224)))</f>
        <v>·</v>
      </c>
      <c r="BV220" s="44"/>
    </row>
    <row r="221" spans="1:74" outlineLevel="1" x14ac:dyDescent="0.15">
      <c r="A221" s="15"/>
      <c r="B221" s="15" t="s">
        <v>362</v>
      </c>
      <c r="C221" s="16" t="s">
        <v>226</v>
      </c>
      <c r="D221" s="15">
        <v>499886</v>
      </c>
      <c r="E221" s="17">
        <v>20</v>
      </c>
      <c r="F221" s="16">
        <v>1</v>
      </c>
      <c r="G221" s="16"/>
      <c r="I221" s="18" t="str">
        <f>IF(OR(ISBLANK(#REF!),ISBLANK(G221)),"·",#REF!*G221/F221/1000000)</f>
        <v>·</v>
      </c>
      <c r="J221" s="19" t="e">
        <f>IF(ISBLANK(#REF!),"·",#REF!/D221)</f>
        <v>#REF!</v>
      </c>
      <c r="K221" s="19" t="e">
        <f>IF(#REF!="","·",#REF!/D221)</f>
        <v>#REF!</v>
      </c>
      <c r="L221" s="19" t="e">
        <f>IF(ISBLANK(#REF!),"·",#REF!/D221)</f>
        <v>#REF!</v>
      </c>
      <c r="M221" s="20"/>
      <c r="N221" s="19" t="e">
        <f>IF(ISBLANK(#REF!),"·",#REF!/#REF!)</f>
        <v>#REF!</v>
      </c>
      <c r="O221" s="21"/>
      <c r="P221" s="22"/>
      <c r="Q221" s="22"/>
      <c r="R221" s="22"/>
      <c r="S221" s="23"/>
      <c r="T221" s="24"/>
      <c r="U221" s="24"/>
      <c r="V221" s="24"/>
      <c r="W221" s="25"/>
      <c r="X221" s="24"/>
      <c r="Y221" s="24"/>
      <c r="Z221" s="24"/>
      <c r="AA221" s="25"/>
      <c r="AB221" s="26"/>
      <c r="AC221" s="26"/>
      <c r="AE221" s="18" t="str">
        <f t="shared" si="15"/>
        <v>·</v>
      </c>
      <c r="AF221" s="19" t="str">
        <f t="shared" si="16"/>
        <v>·</v>
      </c>
      <c r="AG221" s="19" t="str">
        <f t="shared" si="17"/>
        <v>·</v>
      </c>
      <c r="AH221" s="19" t="str">
        <f t="shared" si="18"/>
        <v>·</v>
      </c>
      <c r="AI221" s="20"/>
      <c r="AJ221" s="19" t="str">
        <f t="shared" si="19"/>
        <v>·</v>
      </c>
      <c r="BA221" s="27" t="e">
        <f>(Q221/P221) - (#REF!/#REF!)</f>
        <v>#DIV/0!</v>
      </c>
      <c r="BB221" s="27"/>
      <c r="BD221" s="28"/>
      <c r="BE221" s="28"/>
      <c r="BF221" s="28"/>
      <c r="BG221" s="29"/>
      <c r="BI221" s="28"/>
      <c r="BJ221" s="28"/>
      <c r="BK221" s="28"/>
      <c r="BL221" s="29"/>
      <c r="BN221" s="28"/>
      <c r="BO221" s="28"/>
      <c r="BP221" s="28"/>
      <c r="BQ221" s="29"/>
      <c r="BS221" s="28"/>
      <c r="BT221" s="28"/>
      <c r="BU221" s="28"/>
      <c r="BV221" s="29"/>
    </row>
    <row r="222" spans="1:74" outlineLevel="1" x14ac:dyDescent="0.15">
      <c r="A222" s="30"/>
      <c r="B222" s="30" t="s">
        <v>362</v>
      </c>
      <c r="C222" s="31" t="s">
        <v>227</v>
      </c>
      <c r="D222" s="30">
        <v>499886</v>
      </c>
      <c r="E222" s="32">
        <v>20</v>
      </c>
      <c r="F222" s="31">
        <v>1</v>
      </c>
      <c r="G222" s="31"/>
      <c r="I222" s="33" t="str">
        <f>IF(OR(ISBLANK(#REF!),ISBLANK(G222)),"·",#REF!*G222/F222/1000000)</f>
        <v>·</v>
      </c>
      <c r="J222" s="34" t="e">
        <f>IF(ISBLANK(#REF!),"·",#REF!/D222)</f>
        <v>#REF!</v>
      </c>
      <c r="K222" s="34" t="e">
        <f>IF(#REF!="","·",#REF!/D222)</f>
        <v>#REF!</v>
      </c>
      <c r="L222" s="34" t="e">
        <f>IF(ISBLANK(#REF!),"·",#REF!/D222)</f>
        <v>#REF!</v>
      </c>
      <c r="M222" s="35"/>
      <c r="N222" s="34" t="e">
        <f>IF(ISBLANK(#REF!),"·",#REF!/#REF!)</f>
        <v>#REF!</v>
      </c>
      <c r="O222" s="36"/>
      <c r="P222" s="37"/>
      <c r="Q222" s="37"/>
      <c r="R222" s="37"/>
      <c r="S222" s="38"/>
      <c r="T222" s="39"/>
      <c r="U222" s="39"/>
      <c r="V222" s="39"/>
      <c r="W222" s="40"/>
      <c r="X222" s="39"/>
      <c r="Y222" s="39"/>
      <c r="Z222" s="39"/>
      <c r="AA222" s="40"/>
      <c r="AB222" s="41"/>
      <c r="AC222" s="41"/>
      <c r="AE222" s="33" t="str">
        <f t="shared" si="15"/>
        <v>·</v>
      </c>
      <c r="AF222" s="34" t="str">
        <f t="shared" si="16"/>
        <v>·</v>
      </c>
      <c r="AG222" s="34" t="str">
        <f t="shared" si="17"/>
        <v>·</v>
      </c>
      <c r="AH222" s="34" t="str">
        <f t="shared" si="18"/>
        <v>·</v>
      </c>
      <c r="AI222" s="35"/>
      <c r="AJ222" s="34" t="str">
        <f t="shared" si="19"/>
        <v>·</v>
      </c>
      <c r="BA222" s="42" t="e">
        <f>(Q222/P222) - (#REF!/#REF!)</f>
        <v>#DIV/0!</v>
      </c>
      <c r="BB222" s="42"/>
      <c r="BD222" s="43"/>
      <c r="BE222" s="43"/>
      <c r="BF222" s="43"/>
      <c r="BG222" s="44"/>
      <c r="BI222" s="43"/>
      <c r="BJ222" s="43"/>
      <c r="BK222" s="43"/>
      <c r="BL222" s="44"/>
      <c r="BN222" s="43"/>
      <c r="BO222" s="43"/>
      <c r="BP222" s="43"/>
      <c r="BQ222" s="44"/>
      <c r="BS222" s="43"/>
      <c r="BT222" s="43"/>
      <c r="BU222" s="43"/>
      <c r="BV222" s="44"/>
    </row>
    <row r="223" spans="1:74" outlineLevel="1" x14ac:dyDescent="0.15">
      <c r="A223" s="15"/>
      <c r="B223" s="15" t="s">
        <v>362</v>
      </c>
      <c r="C223" s="16" t="s">
        <v>228</v>
      </c>
      <c r="D223" s="15">
        <v>499886</v>
      </c>
      <c r="E223" s="17">
        <v>20</v>
      </c>
      <c r="F223" s="16">
        <v>1</v>
      </c>
      <c r="G223" s="16"/>
      <c r="I223" s="18" t="str">
        <f>IF(OR(ISBLANK(#REF!),ISBLANK(G223)),"·",#REF!*G223/F223/1000000)</f>
        <v>·</v>
      </c>
      <c r="J223" s="19" t="e">
        <f>IF(ISBLANK(#REF!),"·",#REF!/D223)</f>
        <v>#REF!</v>
      </c>
      <c r="K223" s="19" t="e">
        <f>IF(#REF!="","·",#REF!/D223)</f>
        <v>#REF!</v>
      </c>
      <c r="L223" s="19" t="e">
        <f>IF(ISBLANK(#REF!),"·",#REF!/D223)</f>
        <v>#REF!</v>
      </c>
      <c r="M223" s="20"/>
      <c r="N223" s="19" t="e">
        <f>IF(ISBLANK(#REF!),"·",#REF!/#REF!)</f>
        <v>#REF!</v>
      </c>
      <c r="O223" s="21"/>
      <c r="P223" s="22"/>
      <c r="Q223" s="22"/>
      <c r="R223" s="22"/>
      <c r="S223" s="23"/>
      <c r="T223" s="24"/>
      <c r="U223" s="24"/>
      <c r="V223" s="24"/>
      <c r="W223" s="25"/>
      <c r="X223" s="24"/>
      <c r="Y223" s="24"/>
      <c r="Z223" s="24"/>
      <c r="AA223" s="25"/>
      <c r="AB223" s="26"/>
      <c r="AC223" s="26"/>
      <c r="AE223" s="18" t="str">
        <f t="shared" si="15"/>
        <v>·</v>
      </c>
      <c r="AF223" s="19" t="str">
        <f t="shared" si="16"/>
        <v>·</v>
      </c>
      <c r="AG223" s="19" t="str">
        <f t="shared" si="17"/>
        <v>·</v>
      </c>
      <c r="AH223" s="19" t="str">
        <f t="shared" si="18"/>
        <v>·</v>
      </c>
      <c r="AI223" s="20"/>
      <c r="AJ223" s="19" t="str">
        <f t="shared" si="19"/>
        <v>·</v>
      </c>
      <c r="BA223" s="27" t="e">
        <f>(Q223/P223) - (#REF!/#REF!)</f>
        <v>#DIV/0!</v>
      </c>
      <c r="BB223" s="27"/>
      <c r="BD223" s="28"/>
      <c r="BE223" s="28"/>
      <c r="BF223" s="28"/>
      <c r="BG223" s="29"/>
      <c r="BI223" s="28"/>
      <c r="BJ223" s="28"/>
      <c r="BK223" s="28"/>
      <c r="BL223" s="29"/>
      <c r="BN223" s="28"/>
      <c r="BO223" s="28"/>
      <c r="BP223" s="28"/>
      <c r="BQ223" s="29"/>
      <c r="BS223" s="28"/>
      <c r="BT223" s="28"/>
      <c r="BU223" s="28"/>
      <c r="BV223" s="29"/>
    </row>
    <row r="224" spans="1:74" ht="14.25" outlineLevel="1" thickBot="1" x14ac:dyDescent="0.2">
      <c r="A224" s="30"/>
      <c r="B224" s="45" t="s">
        <v>362</v>
      </c>
      <c r="C224" s="46" t="s">
        <v>229</v>
      </c>
      <c r="D224" s="45">
        <v>499886</v>
      </c>
      <c r="E224" s="47">
        <v>20</v>
      </c>
      <c r="F224" s="46">
        <v>1</v>
      </c>
      <c r="G224" s="46"/>
      <c r="I224" s="48" t="str">
        <f>IF(OR(ISBLANK(#REF!),ISBLANK(G224)),"·",#REF!*G224/F224/1000000)</f>
        <v>·</v>
      </c>
      <c r="J224" s="49" t="e">
        <f>IF(ISBLANK(#REF!),"·",#REF!/D224)</f>
        <v>#REF!</v>
      </c>
      <c r="K224" s="49" t="e">
        <f>IF(#REF!="","·",#REF!/D224)</f>
        <v>#REF!</v>
      </c>
      <c r="L224" s="49" t="e">
        <f>IF(ISBLANK(#REF!),"·",#REF!/D224)</f>
        <v>#REF!</v>
      </c>
      <c r="M224" s="50"/>
      <c r="N224" s="49" t="e">
        <f>IF(ISBLANK(#REF!),"·",#REF!/#REF!)</f>
        <v>#REF!</v>
      </c>
      <c r="O224" s="51"/>
      <c r="P224" s="52"/>
      <c r="Q224" s="52"/>
      <c r="R224" s="52"/>
      <c r="S224" s="53"/>
      <c r="T224" s="54"/>
      <c r="U224" s="54"/>
      <c r="V224" s="54"/>
      <c r="W224" s="55"/>
      <c r="X224" s="54"/>
      <c r="Y224" s="54"/>
      <c r="Z224" s="54"/>
      <c r="AA224" s="55"/>
      <c r="AB224" s="56"/>
      <c r="AC224" s="56"/>
      <c r="AE224" s="48" t="str">
        <f t="shared" si="15"/>
        <v>·</v>
      </c>
      <c r="AF224" s="49" t="str">
        <f t="shared" si="16"/>
        <v>·</v>
      </c>
      <c r="AG224" s="49" t="str">
        <f t="shared" si="17"/>
        <v>·</v>
      </c>
      <c r="AH224" s="49" t="str">
        <f t="shared" si="18"/>
        <v>·</v>
      </c>
      <c r="AI224" s="50"/>
      <c r="AJ224" s="49" t="str">
        <f t="shared" si="19"/>
        <v>·</v>
      </c>
      <c r="BA224" s="57" t="e">
        <f>(Q224/P224) - (#REF!/#REF!)</f>
        <v>#DIV/0!</v>
      </c>
      <c r="BB224" s="57"/>
      <c r="BD224" s="58"/>
      <c r="BE224" s="58"/>
      <c r="BF224" s="58"/>
      <c r="BG224" s="59"/>
      <c r="BI224" s="58"/>
      <c r="BJ224" s="58"/>
      <c r="BK224" s="58"/>
      <c r="BL224" s="59"/>
      <c r="BN224" s="58"/>
      <c r="BO224" s="58"/>
      <c r="BP224" s="58"/>
      <c r="BQ224" s="59"/>
      <c r="BS224" s="58"/>
      <c r="BT224" s="58"/>
      <c r="BU224" s="58"/>
      <c r="BV224" s="59"/>
    </row>
    <row r="225" spans="1:74" x14ac:dyDescent="0.15">
      <c r="A225" s="15"/>
      <c r="B225" s="15" t="s">
        <v>365</v>
      </c>
      <c r="C225" s="16" t="s">
        <v>225</v>
      </c>
      <c r="D225" s="15">
        <v>63864641</v>
      </c>
      <c r="E225" s="17">
        <v>20</v>
      </c>
      <c r="F225" s="16">
        <v>1</v>
      </c>
      <c r="G225" s="16"/>
      <c r="I225" s="18" t="str">
        <f>IF(OR(ISBLANK(#REF!),ISBLANK(G225)),"·",#REF!*G225/F225/1000000)</f>
        <v>·</v>
      </c>
      <c r="J225" s="19" t="e">
        <f>IF(ISBLANK(#REF!),"·",#REF!/D225)</f>
        <v>#REF!</v>
      </c>
      <c r="K225" s="19" t="e">
        <f>IF(#REF!="","·",#REF!/D225)</f>
        <v>#REF!</v>
      </c>
      <c r="L225" s="19" t="e">
        <f>IF(ISBLANK(#REF!),"·",#REF!/D225)</f>
        <v>#REF!</v>
      </c>
      <c r="M225" s="20"/>
      <c r="N225" s="19" t="e">
        <f>IF(ISBLANK(#REF!),"·",#REF!/#REF!)</f>
        <v>#REF!</v>
      </c>
      <c r="O225" s="21"/>
      <c r="P225" s="22"/>
      <c r="Q225" s="22"/>
      <c r="R225" s="22"/>
      <c r="S225" s="23"/>
      <c r="T225" s="24"/>
      <c r="U225" s="24"/>
      <c r="V225" s="24"/>
      <c r="W225" s="25"/>
      <c r="X225" s="24"/>
      <c r="Y225" s="24"/>
      <c r="Z225" s="24"/>
      <c r="AA225" s="25"/>
      <c r="AB225" s="26"/>
      <c r="AC225" s="26"/>
      <c r="AE225" s="18" t="str">
        <f t="shared" si="15"/>
        <v>·</v>
      </c>
      <c r="AF225" s="19" t="str">
        <f t="shared" si="16"/>
        <v>·</v>
      </c>
      <c r="AG225" s="19" t="str">
        <f t="shared" si="17"/>
        <v>·</v>
      </c>
      <c r="AH225" s="19" t="str">
        <f t="shared" si="18"/>
        <v>·</v>
      </c>
      <c r="AI225" s="20"/>
      <c r="AJ225" s="19" t="str">
        <f t="shared" si="19"/>
        <v>·</v>
      </c>
      <c r="BA225" s="27" t="e">
        <f>(Q225/P225) - (#REF!/#REF!)</f>
        <v>#DIV/0!</v>
      </c>
      <c r="BB225" s="27" t="e">
        <f t="array" ref="BB225">AVERAGE(Q225:Q229/P225:P229) - AVERAGE(#REF!/#REF!)</f>
        <v>#DIV/0!</v>
      </c>
      <c r="BD225" s="28" t="str">
        <f>_xlfn.SINGLE(IF( OR(ISBLANK(_xlfn.SINGLE(#REF!)),ISBLANK(_xlfn.SINGLE(R225:R229)), ISBLANK(_xlfn.SINGLE(#REF!)),ISBLANK(_xlfn.SINGLE(T225:T229))), "·", bdRateExtend(#REF!,#REF!, R225:R229,T225:T229)))</f>
        <v>·</v>
      </c>
      <c r="BE225" s="28" t="str">
        <f>_xlfn.SINGLE(IF( OR(ISBLANK(_xlfn.SINGLE(#REF!)),ISBLANK(_xlfn.SINGLE(R225:R229)), ISBLANK(_xlfn.SINGLE(#REF!)),ISBLANK(_xlfn.SINGLE(U225:U229))), "·", bdRateExtend(#REF!,#REF!, R225:R229,U225:U229)))</f>
        <v>·</v>
      </c>
      <c r="BF225" s="28" t="str">
        <f>_xlfn.SINGLE(IF( OR(ISBLANK(_xlfn.SINGLE(#REF!)),ISBLANK(_xlfn.SINGLE(R225:R229)), ISBLANK(_xlfn.SINGLE(#REF!)),ISBLANK(_xlfn.SINGLE(V225:V229))), "·", bdRateExtend(#REF!,#REF!, R225:R229,V225:V229)))</f>
        <v>·</v>
      </c>
      <c r="BG225" s="29"/>
      <c r="BI225" s="28" t="str">
        <f>_xlfn.SINGLE(IF( OR(ISBLANK(_xlfn.SINGLE(#REF!)),ISBLANK(_xlfn.SINGLE(R225:R229)), ISBLANK(_xlfn.SINGLE(#REF!)),ISBLANK(_xlfn.SINGLE(X225:X229))), "·", bdRateExtend(#REF!,#REF!, R225:R229,X225:X229)))</f>
        <v>·</v>
      </c>
      <c r="BJ225" s="28" t="str">
        <f>_xlfn.SINGLE(IF( OR(ISBLANK(_xlfn.SINGLE(#REF!)),ISBLANK(_xlfn.SINGLE(R225:R229)), ISBLANK(_xlfn.SINGLE(#REF!)),ISBLANK(_xlfn.SINGLE(Y225:Y229))), "·", bdRateExtend(#REF!,#REF!, R225:R229,Y225:Y229)))</f>
        <v>·</v>
      </c>
      <c r="BK225" s="28" t="str">
        <f>_xlfn.SINGLE(IF( OR(ISBLANK(_xlfn.SINGLE(#REF!)),ISBLANK(_xlfn.SINGLE(R225:R229)), ISBLANK(_xlfn.SINGLE(#REF!)),ISBLANK(_xlfn.SINGLE(Z225:Z229))), "·", bdRateExtend(#REF!,#REF!, R225:R229,Z225:Z229)))</f>
        <v>·</v>
      </c>
      <c r="BL225" s="29"/>
      <c r="BN225" s="28" t="str">
        <f>_xlfn.SINGLE(IF( OR(ISBLANK(_xlfn.SINGLE(#REF!)),ISBLANK(_xlfn.SINGLE(P225:P229)), ISBLANK(_xlfn.SINGLE(#REF!)),ISBLANK(_xlfn.SINGLE(T225:T229))), "·", bdRateExtend(#REF!,#REF!, P225:P229,T225:T229)))</f>
        <v>·</v>
      </c>
      <c r="BO225" s="28" t="str">
        <f>_xlfn.SINGLE(IF( OR(ISBLANK(_xlfn.SINGLE(#REF!)),ISBLANK(_xlfn.SINGLE(P225:P229)), ISBLANK(_xlfn.SINGLE(#REF!)),ISBLANK(_xlfn.SINGLE(U225:U229))), "·", bdRateExtend(#REF!,#REF!, P225:P229,U225:U229)))</f>
        <v>·</v>
      </c>
      <c r="BP225" s="28" t="str">
        <f>_xlfn.SINGLE(IF( OR(ISBLANK(_xlfn.SINGLE(#REF!)),ISBLANK(_xlfn.SINGLE(P225:P229)), ISBLANK(_xlfn.SINGLE(#REF!)),ISBLANK(_xlfn.SINGLE(V225:V229))), "·", bdRateExtend(#REF!,#REF!, P225:P229,V225:V229)))</f>
        <v>·</v>
      </c>
      <c r="BQ225" s="29"/>
      <c r="BS225" s="28" t="str">
        <f>_xlfn.SINGLE(IF( OR(ISBLANK(_xlfn.SINGLE(#REF!)),ISBLANK(_xlfn.SINGLE(P225:P229)), ISBLANK(_xlfn.SINGLE(#REF!)),ISBLANK(_xlfn.SINGLE(X225:X229))), "·", bdRateExtend(#REF!,#REF!, P225:P229,X225:X229)))</f>
        <v>·</v>
      </c>
      <c r="BT225" s="28" t="str">
        <f>_xlfn.SINGLE(IF( OR(ISBLANK(_xlfn.SINGLE(#REF!)),ISBLANK(_xlfn.SINGLE(P225:P229)), ISBLANK(_xlfn.SINGLE(#REF!)),ISBLANK(_xlfn.SINGLE(Y225:Y229))), "·", bdRateExtend(#REF!,#REF!, P225:P229,Y225:Y229)))</f>
        <v>·</v>
      </c>
      <c r="BU225" s="28" t="str">
        <f>_xlfn.SINGLE(IF( OR(ISBLANK(_xlfn.SINGLE(#REF!)),ISBLANK(_xlfn.SINGLE(P225:P229)), ISBLANK(_xlfn.SINGLE(#REF!)),ISBLANK(_xlfn.SINGLE(Z225:Z229))), "·", bdRateExtend(#REF!,#REF!, P225:P229,Z225:Z229)))</f>
        <v>·</v>
      </c>
      <c r="BV225" s="29"/>
    </row>
    <row r="226" spans="1:74" outlineLevel="1" x14ac:dyDescent="0.15">
      <c r="A226" s="30"/>
      <c r="B226" s="30" t="s">
        <v>365</v>
      </c>
      <c r="C226" s="31" t="s">
        <v>226</v>
      </c>
      <c r="D226" s="30">
        <v>63864641</v>
      </c>
      <c r="E226" s="32">
        <v>20</v>
      </c>
      <c r="F226" s="31">
        <v>1</v>
      </c>
      <c r="G226" s="31"/>
      <c r="I226" s="33" t="str">
        <f>IF(OR(ISBLANK(#REF!),ISBLANK(G226)),"·",#REF!*G226/F226/1000000)</f>
        <v>·</v>
      </c>
      <c r="J226" s="34" t="e">
        <f>IF(ISBLANK(#REF!),"·",#REF!/D226)</f>
        <v>#REF!</v>
      </c>
      <c r="K226" s="34" t="e">
        <f>IF(#REF!="","·",#REF!/D226)</f>
        <v>#REF!</v>
      </c>
      <c r="L226" s="34" t="e">
        <f>IF(ISBLANK(#REF!),"·",#REF!/D226)</f>
        <v>#REF!</v>
      </c>
      <c r="M226" s="35"/>
      <c r="N226" s="34" t="e">
        <f>IF(ISBLANK(#REF!),"·",#REF!/#REF!)</f>
        <v>#REF!</v>
      </c>
      <c r="O226" s="36"/>
      <c r="P226" s="37"/>
      <c r="Q226" s="37"/>
      <c r="R226" s="37"/>
      <c r="S226" s="38"/>
      <c r="T226" s="39"/>
      <c r="U226" s="39"/>
      <c r="V226" s="39"/>
      <c r="W226" s="40"/>
      <c r="X226" s="39"/>
      <c r="Y226" s="39"/>
      <c r="Z226" s="39"/>
      <c r="AA226" s="40"/>
      <c r="AB226" s="41"/>
      <c r="AC226" s="41"/>
      <c r="AE226" s="33" t="str">
        <f t="shared" si="15"/>
        <v>·</v>
      </c>
      <c r="AF226" s="34" t="str">
        <f t="shared" si="16"/>
        <v>·</v>
      </c>
      <c r="AG226" s="34" t="str">
        <f t="shared" si="17"/>
        <v>·</v>
      </c>
      <c r="AH226" s="34" t="str">
        <f t="shared" si="18"/>
        <v>·</v>
      </c>
      <c r="AI226" s="35"/>
      <c r="AJ226" s="34" t="str">
        <f t="shared" si="19"/>
        <v>·</v>
      </c>
      <c r="BA226" s="42" t="e">
        <f>(Q226/P226) - (#REF!/#REF!)</f>
        <v>#DIV/0!</v>
      </c>
      <c r="BB226" s="42"/>
      <c r="BD226" s="43"/>
      <c r="BE226" s="43"/>
      <c r="BF226" s="43"/>
      <c r="BG226" s="44"/>
      <c r="BI226" s="43"/>
      <c r="BJ226" s="43"/>
      <c r="BK226" s="43"/>
      <c r="BL226" s="44"/>
      <c r="BN226" s="43"/>
      <c r="BO226" s="43"/>
      <c r="BP226" s="43"/>
      <c r="BQ226" s="44"/>
      <c r="BS226" s="43"/>
      <c r="BT226" s="43"/>
      <c r="BU226" s="43"/>
      <c r="BV226" s="44"/>
    </row>
    <row r="227" spans="1:74" outlineLevel="1" x14ac:dyDescent="0.15">
      <c r="A227" s="15"/>
      <c r="B227" s="15" t="s">
        <v>365</v>
      </c>
      <c r="C227" s="16" t="s">
        <v>227</v>
      </c>
      <c r="D227" s="15">
        <v>63864641</v>
      </c>
      <c r="E227" s="17">
        <v>20</v>
      </c>
      <c r="F227" s="16">
        <v>1</v>
      </c>
      <c r="G227" s="16"/>
      <c r="I227" s="18" t="str">
        <f>IF(OR(ISBLANK(#REF!),ISBLANK(G227)),"·",#REF!*G227/F227/1000000)</f>
        <v>·</v>
      </c>
      <c r="J227" s="19" t="e">
        <f>IF(ISBLANK(#REF!),"·",#REF!/D227)</f>
        <v>#REF!</v>
      </c>
      <c r="K227" s="19" t="e">
        <f>IF(#REF!="","·",#REF!/D227)</f>
        <v>#REF!</v>
      </c>
      <c r="L227" s="19" t="e">
        <f>IF(ISBLANK(#REF!),"·",#REF!/D227)</f>
        <v>#REF!</v>
      </c>
      <c r="M227" s="20"/>
      <c r="N227" s="19" t="e">
        <f>IF(ISBLANK(#REF!),"·",#REF!/#REF!)</f>
        <v>#REF!</v>
      </c>
      <c r="O227" s="21"/>
      <c r="P227" s="22"/>
      <c r="Q227" s="22"/>
      <c r="R227" s="22"/>
      <c r="S227" s="23"/>
      <c r="T227" s="24"/>
      <c r="U227" s="24"/>
      <c r="V227" s="24"/>
      <c r="W227" s="25"/>
      <c r="X227" s="24"/>
      <c r="Y227" s="24"/>
      <c r="Z227" s="24"/>
      <c r="AA227" s="25"/>
      <c r="AB227" s="26"/>
      <c r="AC227" s="26"/>
      <c r="AE227" s="18" t="str">
        <f t="shared" si="15"/>
        <v>·</v>
      </c>
      <c r="AF227" s="19" t="str">
        <f t="shared" si="16"/>
        <v>·</v>
      </c>
      <c r="AG227" s="19" t="str">
        <f t="shared" si="17"/>
        <v>·</v>
      </c>
      <c r="AH227" s="19" t="str">
        <f t="shared" si="18"/>
        <v>·</v>
      </c>
      <c r="AI227" s="20"/>
      <c r="AJ227" s="19" t="str">
        <f t="shared" si="19"/>
        <v>·</v>
      </c>
      <c r="BA227" s="27" t="e">
        <f>(Q227/P227) - (#REF!/#REF!)</f>
        <v>#DIV/0!</v>
      </c>
      <c r="BB227" s="27"/>
      <c r="BD227" s="28"/>
      <c r="BE227" s="28"/>
      <c r="BF227" s="28"/>
      <c r="BG227" s="29"/>
      <c r="BI227" s="28"/>
      <c r="BJ227" s="28"/>
      <c r="BK227" s="28"/>
      <c r="BL227" s="29"/>
      <c r="BN227" s="28"/>
      <c r="BO227" s="28"/>
      <c r="BP227" s="28"/>
      <c r="BQ227" s="29"/>
      <c r="BS227" s="28"/>
      <c r="BT227" s="28"/>
      <c r="BU227" s="28"/>
      <c r="BV227" s="29"/>
    </row>
    <row r="228" spans="1:74" outlineLevel="1" x14ac:dyDescent="0.15">
      <c r="A228" s="30"/>
      <c r="B228" s="30" t="s">
        <v>365</v>
      </c>
      <c r="C228" s="31" t="s">
        <v>228</v>
      </c>
      <c r="D228" s="30">
        <v>63864641</v>
      </c>
      <c r="E228" s="32">
        <v>20</v>
      </c>
      <c r="F228" s="31">
        <v>1</v>
      </c>
      <c r="G228" s="31"/>
      <c r="I228" s="33" t="str">
        <f>IF(OR(ISBLANK(#REF!),ISBLANK(G228)),"·",#REF!*G228/F228/1000000)</f>
        <v>·</v>
      </c>
      <c r="J228" s="34" t="e">
        <f>IF(ISBLANK(#REF!),"·",#REF!/D228)</f>
        <v>#REF!</v>
      </c>
      <c r="K228" s="34" t="e">
        <f>IF(#REF!="","·",#REF!/D228)</f>
        <v>#REF!</v>
      </c>
      <c r="L228" s="34" t="e">
        <f>IF(ISBLANK(#REF!),"·",#REF!/D228)</f>
        <v>#REF!</v>
      </c>
      <c r="M228" s="35"/>
      <c r="N228" s="34" t="e">
        <f>IF(ISBLANK(#REF!),"·",#REF!/#REF!)</f>
        <v>#REF!</v>
      </c>
      <c r="O228" s="36"/>
      <c r="P228" s="37"/>
      <c r="Q228" s="37"/>
      <c r="R228" s="37"/>
      <c r="S228" s="38"/>
      <c r="T228" s="39"/>
      <c r="U228" s="39"/>
      <c r="V228" s="39"/>
      <c r="W228" s="40"/>
      <c r="X228" s="39"/>
      <c r="Y228" s="39"/>
      <c r="Z228" s="39"/>
      <c r="AA228" s="40"/>
      <c r="AB228" s="41"/>
      <c r="AC228" s="41"/>
      <c r="AE228" s="33" t="str">
        <f t="shared" si="15"/>
        <v>·</v>
      </c>
      <c r="AF228" s="34" t="str">
        <f t="shared" si="16"/>
        <v>·</v>
      </c>
      <c r="AG228" s="34" t="str">
        <f t="shared" si="17"/>
        <v>·</v>
      </c>
      <c r="AH228" s="34" t="str">
        <f t="shared" si="18"/>
        <v>·</v>
      </c>
      <c r="AI228" s="35"/>
      <c r="AJ228" s="34" t="str">
        <f t="shared" si="19"/>
        <v>·</v>
      </c>
      <c r="BA228" s="42" t="e">
        <f>(Q228/P228) - (#REF!/#REF!)</f>
        <v>#DIV/0!</v>
      </c>
      <c r="BB228" s="42"/>
      <c r="BD228" s="43"/>
      <c r="BE228" s="43"/>
      <c r="BF228" s="43"/>
      <c r="BG228" s="44"/>
      <c r="BI228" s="43"/>
      <c r="BJ228" s="43"/>
      <c r="BK228" s="43"/>
      <c r="BL228" s="44"/>
      <c r="BN228" s="43"/>
      <c r="BO228" s="43"/>
      <c r="BP228" s="43"/>
      <c r="BQ228" s="44"/>
      <c r="BS228" s="43"/>
      <c r="BT228" s="43"/>
      <c r="BU228" s="43"/>
      <c r="BV228" s="44"/>
    </row>
    <row r="229" spans="1:74" ht="14.25" outlineLevel="1" thickBot="1" x14ac:dyDescent="0.2">
      <c r="A229" s="15"/>
      <c r="B229" s="64" t="s">
        <v>365</v>
      </c>
      <c r="C229" s="66" t="s">
        <v>229</v>
      </c>
      <c r="D229" s="64">
        <v>63864641</v>
      </c>
      <c r="E229" s="65">
        <v>20</v>
      </c>
      <c r="F229" s="66">
        <v>1</v>
      </c>
      <c r="G229" s="66"/>
      <c r="I229" s="68" t="str">
        <f>IF(OR(ISBLANK(#REF!),ISBLANK(G229)),"·",#REF!*G229/F229/1000000)</f>
        <v>·</v>
      </c>
      <c r="J229" s="69" t="e">
        <f>IF(ISBLANK(#REF!),"·",#REF!/D229)</f>
        <v>#REF!</v>
      </c>
      <c r="K229" s="69" t="e">
        <f>IF(#REF!="","·",#REF!/D229)</f>
        <v>#REF!</v>
      </c>
      <c r="L229" s="69" t="e">
        <f>IF(ISBLANK(#REF!),"·",#REF!/D229)</f>
        <v>#REF!</v>
      </c>
      <c r="M229" s="70"/>
      <c r="N229" s="69" t="e">
        <f>IF(ISBLANK(#REF!),"·",#REF!/#REF!)</f>
        <v>#REF!</v>
      </c>
      <c r="O229" s="71"/>
      <c r="P229" s="72"/>
      <c r="Q229" s="72"/>
      <c r="R229" s="72"/>
      <c r="S229" s="73"/>
      <c r="T229" s="77"/>
      <c r="U229" s="77"/>
      <c r="V229" s="77"/>
      <c r="W229" s="78"/>
      <c r="X229" s="77"/>
      <c r="Y229" s="77"/>
      <c r="Z229" s="77"/>
      <c r="AA229" s="78"/>
      <c r="AB229" s="74"/>
      <c r="AC229" s="74"/>
      <c r="AE229" s="68" t="str">
        <f t="shared" si="15"/>
        <v>·</v>
      </c>
      <c r="AF229" s="69" t="str">
        <f t="shared" si="16"/>
        <v>·</v>
      </c>
      <c r="AG229" s="69" t="str">
        <f t="shared" si="17"/>
        <v>·</v>
      </c>
      <c r="AH229" s="69" t="str">
        <f t="shared" si="18"/>
        <v>·</v>
      </c>
      <c r="AI229" s="70"/>
      <c r="AJ229" s="69" t="str">
        <f t="shared" si="19"/>
        <v>·</v>
      </c>
      <c r="BA229" s="67" t="e">
        <f>(Q229/P229) - (#REF!/#REF!)</f>
        <v>#DIV/0!</v>
      </c>
      <c r="BB229" s="67"/>
      <c r="BD229" s="75"/>
      <c r="BE229" s="75"/>
      <c r="BF229" s="75"/>
      <c r="BG229" s="76"/>
      <c r="BI229" s="75"/>
      <c r="BJ229" s="75"/>
      <c r="BK229" s="75"/>
      <c r="BL229" s="76"/>
      <c r="BN229" s="75"/>
      <c r="BO229" s="75"/>
      <c r="BP229" s="75"/>
      <c r="BQ229" s="76"/>
      <c r="BS229" s="75"/>
      <c r="BT229" s="75"/>
      <c r="BU229" s="75"/>
      <c r="BV229" s="76"/>
    </row>
    <row r="230" spans="1:74" x14ac:dyDescent="0.15">
      <c r="A230" s="30"/>
      <c r="B230" s="30" t="s">
        <v>368</v>
      </c>
      <c r="C230" s="31" t="s">
        <v>225</v>
      </c>
      <c r="D230" s="30">
        <v>2000297</v>
      </c>
      <c r="E230" s="32">
        <v>20</v>
      </c>
      <c r="F230" s="31">
        <v>1</v>
      </c>
      <c r="G230" s="31"/>
      <c r="I230" s="33" t="str">
        <f>IF(OR(ISBLANK(#REF!),ISBLANK(G230)),"·",#REF!*G230/F230/1000000)</f>
        <v>·</v>
      </c>
      <c r="J230" s="34" t="e">
        <f>IF(ISBLANK(#REF!),"·",#REF!/D230)</f>
        <v>#REF!</v>
      </c>
      <c r="K230" s="34" t="e">
        <f>IF(#REF!="","·",#REF!/D230)</f>
        <v>#REF!</v>
      </c>
      <c r="L230" s="34" t="e">
        <f>IF(ISBLANK(#REF!),"·",#REF!/D230)</f>
        <v>#REF!</v>
      </c>
      <c r="M230" s="35"/>
      <c r="N230" s="34" t="e">
        <f>IF(ISBLANK(#REF!),"·",#REF!/#REF!)</f>
        <v>#REF!</v>
      </c>
      <c r="O230" s="36"/>
      <c r="P230" s="37"/>
      <c r="Q230" s="37"/>
      <c r="R230" s="37"/>
      <c r="S230" s="38"/>
      <c r="T230" s="39"/>
      <c r="U230" s="39"/>
      <c r="V230" s="39"/>
      <c r="W230" s="40"/>
      <c r="X230" s="39"/>
      <c r="Y230" s="39"/>
      <c r="Z230" s="39"/>
      <c r="AA230" s="40"/>
      <c r="AB230" s="41"/>
      <c r="AC230" s="41"/>
      <c r="AE230" s="33" t="str">
        <f t="shared" si="15"/>
        <v>·</v>
      </c>
      <c r="AF230" s="34" t="str">
        <f t="shared" si="16"/>
        <v>·</v>
      </c>
      <c r="AG230" s="34" t="str">
        <f t="shared" si="17"/>
        <v>·</v>
      </c>
      <c r="AH230" s="34" t="str">
        <f t="shared" si="18"/>
        <v>·</v>
      </c>
      <c r="AI230" s="35"/>
      <c r="AJ230" s="34" t="str">
        <f t="shared" si="19"/>
        <v>·</v>
      </c>
      <c r="BA230" s="42" t="e">
        <f>(Q230/P230) - (#REF!/#REF!)</f>
        <v>#DIV/0!</v>
      </c>
      <c r="BB230" s="42" t="e">
        <f t="array" ref="BB230">AVERAGE(Q230:Q234/P230:P234) - AVERAGE(#REF!/#REF!)</f>
        <v>#DIV/0!</v>
      </c>
      <c r="BD230" s="43" t="str">
        <f>_xlfn.SINGLE(IF( OR(ISBLANK(_xlfn.SINGLE(#REF!)),ISBLANK(_xlfn.SINGLE(R230:R234)), ISBLANK(_xlfn.SINGLE(#REF!)),ISBLANK(_xlfn.SINGLE(T230:T234))), "·", bdRateExtend(#REF!,#REF!, R230:R234,T230:T234)))</f>
        <v>·</v>
      </c>
      <c r="BE230" s="43" t="str">
        <f>_xlfn.SINGLE(IF( OR(ISBLANK(_xlfn.SINGLE(#REF!)),ISBLANK(_xlfn.SINGLE(R230:R234)), ISBLANK(_xlfn.SINGLE(#REF!)),ISBLANK(_xlfn.SINGLE(U230:U234))), "·", bdRateExtend(#REF!,#REF!, R230:R234,U230:U234)))</f>
        <v>·</v>
      </c>
      <c r="BF230" s="43" t="str">
        <f>_xlfn.SINGLE(IF( OR(ISBLANK(_xlfn.SINGLE(#REF!)),ISBLANK(_xlfn.SINGLE(R230:R234)), ISBLANK(_xlfn.SINGLE(#REF!)),ISBLANK(_xlfn.SINGLE(V230:V234))), "·", bdRateExtend(#REF!,#REF!, R230:R234,V230:V234)))</f>
        <v>·</v>
      </c>
      <c r="BG230" s="44"/>
      <c r="BI230" s="43" t="str">
        <f>_xlfn.SINGLE(IF( OR(ISBLANK(_xlfn.SINGLE(#REF!)),ISBLANK(_xlfn.SINGLE(R230:R234)), ISBLANK(_xlfn.SINGLE(#REF!)),ISBLANK(_xlfn.SINGLE(X230:X234))), "·", bdRateExtend(#REF!,#REF!, R230:R234,X230:X234)))</f>
        <v>·</v>
      </c>
      <c r="BJ230" s="43" t="str">
        <f>_xlfn.SINGLE(IF( OR(ISBLANK(_xlfn.SINGLE(#REF!)),ISBLANK(_xlfn.SINGLE(R230:R234)), ISBLANK(_xlfn.SINGLE(#REF!)),ISBLANK(_xlfn.SINGLE(Y230:Y234))), "·", bdRateExtend(#REF!,#REF!, R230:R234,Y230:Y234)))</f>
        <v>·</v>
      </c>
      <c r="BK230" s="43" t="str">
        <f>_xlfn.SINGLE(IF( OR(ISBLANK(_xlfn.SINGLE(#REF!)),ISBLANK(_xlfn.SINGLE(R230:R234)), ISBLANK(_xlfn.SINGLE(#REF!)),ISBLANK(_xlfn.SINGLE(Z230:Z234))), "·", bdRateExtend(#REF!,#REF!, R230:R234,Z230:Z234)))</f>
        <v>·</v>
      </c>
      <c r="BL230" s="44"/>
      <c r="BN230" s="43" t="str">
        <f>_xlfn.SINGLE(IF( OR(ISBLANK(_xlfn.SINGLE(#REF!)),ISBLANK(_xlfn.SINGLE(P230:P234)), ISBLANK(_xlfn.SINGLE(#REF!)),ISBLANK(_xlfn.SINGLE(T230:T234))), "·", bdRateExtend(#REF!,#REF!, P230:P234,T230:T234)))</f>
        <v>·</v>
      </c>
      <c r="BO230" s="43" t="str">
        <f>_xlfn.SINGLE(IF( OR(ISBLANK(_xlfn.SINGLE(#REF!)),ISBLANK(_xlfn.SINGLE(P230:P234)), ISBLANK(_xlfn.SINGLE(#REF!)),ISBLANK(_xlfn.SINGLE(U230:U234))), "·", bdRateExtend(#REF!,#REF!, P230:P234,U230:U234)))</f>
        <v>·</v>
      </c>
      <c r="BP230" s="43" t="str">
        <f>_xlfn.SINGLE(IF( OR(ISBLANK(_xlfn.SINGLE(#REF!)),ISBLANK(_xlfn.SINGLE(P230:P234)), ISBLANK(_xlfn.SINGLE(#REF!)),ISBLANK(_xlfn.SINGLE(V230:V234))), "·", bdRateExtend(#REF!,#REF!, P230:P234,V230:V234)))</f>
        <v>·</v>
      </c>
      <c r="BQ230" s="44"/>
      <c r="BS230" s="43" t="str">
        <f>_xlfn.SINGLE(IF( OR(ISBLANK(_xlfn.SINGLE(#REF!)),ISBLANK(_xlfn.SINGLE(P230:P234)), ISBLANK(_xlfn.SINGLE(#REF!)),ISBLANK(_xlfn.SINGLE(X230:X234))), "·", bdRateExtend(#REF!,#REF!, P230:P234,X230:X234)))</f>
        <v>·</v>
      </c>
      <c r="BT230" s="43" t="str">
        <f>_xlfn.SINGLE(IF( OR(ISBLANK(_xlfn.SINGLE(#REF!)),ISBLANK(_xlfn.SINGLE(P230:P234)), ISBLANK(_xlfn.SINGLE(#REF!)),ISBLANK(_xlfn.SINGLE(Y230:Y234))), "·", bdRateExtend(#REF!,#REF!, P230:P234,Y230:Y234)))</f>
        <v>·</v>
      </c>
      <c r="BU230" s="43" t="str">
        <f>_xlfn.SINGLE(IF( OR(ISBLANK(_xlfn.SINGLE(#REF!)),ISBLANK(_xlfn.SINGLE(P230:P234)), ISBLANK(_xlfn.SINGLE(#REF!)),ISBLANK(_xlfn.SINGLE(Z230:Z234))), "·", bdRateExtend(#REF!,#REF!, P230:P234,Z230:Z234)))</f>
        <v>·</v>
      </c>
      <c r="BV230" s="44"/>
    </row>
    <row r="231" spans="1:74" outlineLevel="1" x14ac:dyDescent="0.15">
      <c r="A231" s="15"/>
      <c r="B231" s="15" t="s">
        <v>368</v>
      </c>
      <c r="C231" s="16" t="s">
        <v>226</v>
      </c>
      <c r="D231" s="15">
        <v>2000297</v>
      </c>
      <c r="E231" s="17">
        <v>20</v>
      </c>
      <c r="F231" s="16">
        <v>1</v>
      </c>
      <c r="G231" s="16"/>
      <c r="I231" s="18" t="str">
        <f>IF(OR(ISBLANK(#REF!),ISBLANK(G231)),"·",#REF!*G231/F231/1000000)</f>
        <v>·</v>
      </c>
      <c r="J231" s="19" t="e">
        <f>IF(ISBLANK(#REF!),"·",#REF!/D231)</f>
        <v>#REF!</v>
      </c>
      <c r="K231" s="19" t="e">
        <f>IF(#REF!="","·",#REF!/D231)</f>
        <v>#REF!</v>
      </c>
      <c r="L231" s="19" t="e">
        <f>IF(ISBLANK(#REF!),"·",#REF!/D231)</f>
        <v>#REF!</v>
      </c>
      <c r="M231" s="20"/>
      <c r="N231" s="19" t="e">
        <f>IF(ISBLANK(#REF!),"·",#REF!/#REF!)</f>
        <v>#REF!</v>
      </c>
      <c r="O231" s="21"/>
      <c r="P231" s="22"/>
      <c r="Q231" s="22"/>
      <c r="R231" s="22"/>
      <c r="S231" s="23"/>
      <c r="T231" s="24"/>
      <c r="U231" s="24"/>
      <c r="V231" s="24"/>
      <c r="W231" s="25"/>
      <c r="X231" s="24"/>
      <c r="Y231" s="24"/>
      <c r="Z231" s="24"/>
      <c r="AA231" s="25"/>
      <c r="AB231" s="26"/>
      <c r="AC231" s="26"/>
      <c r="AE231" s="18" t="str">
        <f t="shared" si="15"/>
        <v>·</v>
      </c>
      <c r="AF231" s="19" t="str">
        <f t="shared" si="16"/>
        <v>·</v>
      </c>
      <c r="AG231" s="19" t="str">
        <f t="shared" si="17"/>
        <v>·</v>
      </c>
      <c r="AH231" s="19" t="str">
        <f t="shared" si="18"/>
        <v>·</v>
      </c>
      <c r="AI231" s="20"/>
      <c r="AJ231" s="19" t="str">
        <f t="shared" si="19"/>
        <v>·</v>
      </c>
      <c r="BA231" s="27" t="e">
        <f>(Q231/P231) - (#REF!/#REF!)</f>
        <v>#DIV/0!</v>
      </c>
      <c r="BB231" s="27"/>
      <c r="BD231" s="28"/>
      <c r="BE231" s="28"/>
      <c r="BF231" s="28"/>
      <c r="BG231" s="29"/>
      <c r="BI231" s="28"/>
      <c r="BJ231" s="28"/>
      <c r="BK231" s="28"/>
      <c r="BL231" s="29"/>
      <c r="BN231" s="28"/>
      <c r="BO231" s="28"/>
      <c r="BP231" s="28"/>
      <c r="BQ231" s="29"/>
      <c r="BS231" s="28"/>
      <c r="BT231" s="28"/>
      <c r="BU231" s="28"/>
      <c r="BV231" s="29"/>
    </row>
    <row r="232" spans="1:74" outlineLevel="1" x14ac:dyDescent="0.15">
      <c r="A232" s="30"/>
      <c r="B232" s="30" t="s">
        <v>368</v>
      </c>
      <c r="C232" s="31" t="s">
        <v>227</v>
      </c>
      <c r="D232" s="30">
        <v>2000297</v>
      </c>
      <c r="E232" s="32">
        <v>20</v>
      </c>
      <c r="F232" s="31">
        <v>1</v>
      </c>
      <c r="G232" s="31"/>
      <c r="I232" s="33" t="str">
        <f>IF(OR(ISBLANK(#REF!),ISBLANK(G232)),"·",#REF!*G232/F232/1000000)</f>
        <v>·</v>
      </c>
      <c r="J232" s="34" t="e">
        <f>IF(ISBLANK(#REF!),"·",#REF!/D232)</f>
        <v>#REF!</v>
      </c>
      <c r="K232" s="34" t="e">
        <f>IF(#REF!="","·",#REF!/D232)</f>
        <v>#REF!</v>
      </c>
      <c r="L232" s="34" t="e">
        <f>IF(ISBLANK(#REF!),"·",#REF!/D232)</f>
        <v>#REF!</v>
      </c>
      <c r="M232" s="35"/>
      <c r="N232" s="34" t="e">
        <f>IF(ISBLANK(#REF!),"·",#REF!/#REF!)</f>
        <v>#REF!</v>
      </c>
      <c r="O232" s="36"/>
      <c r="P232" s="37"/>
      <c r="Q232" s="37"/>
      <c r="R232" s="37"/>
      <c r="S232" s="38"/>
      <c r="T232" s="39"/>
      <c r="U232" s="39"/>
      <c r="V232" s="39"/>
      <c r="W232" s="40"/>
      <c r="X232" s="39"/>
      <c r="Y232" s="39"/>
      <c r="Z232" s="39"/>
      <c r="AA232" s="40"/>
      <c r="AB232" s="41"/>
      <c r="AC232" s="41"/>
      <c r="AE232" s="33" t="str">
        <f t="shared" si="15"/>
        <v>·</v>
      </c>
      <c r="AF232" s="34" t="str">
        <f t="shared" si="16"/>
        <v>·</v>
      </c>
      <c r="AG232" s="34" t="str">
        <f t="shared" si="17"/>
        <v>·</v>
      </c>
      <c r="AH232" s="34" t="str">
        <f t="shared" si="18"/>
        <v>·</v>
      </c>
      <c r="AI232" s="35"/>
      <c r="AJ232" s="34" t="str">
        <f t="shared" si="19"/>
        <v>·</v>
      </c>
      <c r="BA232" s="42" t="e">
        <f>(Q232/P232) - (#REF!/#REF!)</f>
        <v>#DIV/0!</v>
      </c>
      <c r="BB232" s="42"/>
      <c r="BD232" s="43"/>
      <c r="BE232" s="43"/>
      <c r="BF232" s="43"/>
      <c r="BG232" s="44"/>
      <c r="BI232" s="43"/>
      <c r="BJ232" s="43"/>
      <c r="BK232" s="43"/>
      <c r="BL232" s="44"/>
      <c r="BN232" s="43"/>
      <c r="BO232" s="43"/>
      <c r="BP232" s="43"/>
      <c r="BQ232" s="44"/>
      <c r="BS232" s="43"/>
      <c r="BT232" s="43"/>
      <c r="BU232" s="43"/>
      <c r="BV232" s="44"/>
    </row>
    <row r="233" spans="1:74" outlineLevel="1" x14ac:dyDescent="0.15">
      <c r="A233" s="15"/>
      <c r="B233" s="15" t="s">
        <v>368</v>
      </c>
      <c r="C233" s="16" t="s">
        <v>228</v>
      </c>
      <c r="D233" s="15">
        <v>2000297</v>
      </c>
      <c r="E233" s="17">
        <v>20</v>
      </c>
      <c r="F233" s="16">
        <v>1</v>
      </c>
      <c r="G233" s="16"/>
      <c r="I233" s="18" t="str">
        <f>IF(OR(ISBLANK(#REF!),ISBLANK(G233)),"·",#REF!*G233/F233/1000000)</f>
        <v>·</v>
      </c>
      <c r="J233" s="19" t="e">
        <f>IF(ISBLANK(#REF!),"·",#REF!/D233)</f>
        <v>#REF!</v>
      </c>
      <c r="K233" s="19" t="e">
        <f>IF(#REF!="","·",#REF!/D233)</f>
        <v>#REF!</v>
      </c>
      <c r="L233" s="19" t="e">
        <f>IF(ISBLANK(#REF!),"·",#REF!/D233)</f>
        <v>#REF!</v>
      </c>
      <c r="M233" s="20"/>
      <c r="N233" s="19" t="e">
        <f>IF(ISBLANK(#REF!),"·",#REF!/#REF!)</f>
        <v>#REF!</v>
      </c>
      <c r="O233" s="21"/>
      <c r="P233" s="22"/>
      <c r="Q233" s="22"/>
      <c r="R233" s="22"/>
      <c r="S233" s="23"/>
      <c r="T233" s="24"/>
      <c r="U233" s="24"/>
      <c r="V233" s="24"/>
      <c r="W233" s="25"/>
      <c r="X233" s="24"/>
      <c r="Y233" s="24"/>
      <c r="Z233" s="24"/>
      <c r="AA233" s="25"/>
      <c r="AB233" s="26"/>
      <c r="AC233" s="26"/>
      <c r="AE233" s="18" t="str">
        <f t="shared" si="15"/>
        <v>·</v>
      </c>
      <c r="AF233" s="19" t="str">
        <f t="shared" si="16"/>
        <v>·</v>
      </c>
      <c r="AG233" s="19" t="str">
        <f t="shared" si="17"/>
        <v>·</v>
      </c>
      <c r="AH233" s="19" t="str">
        <f t="shared" si="18"/>
        <v>·</v>
      </c>
      <c r="AI233" s="20"/>
      <c r="AJ233" s="19" t="str">
        <f t="shared" si="19"/>
        <v>·</v>
      </c>
      <c r="BA233" s="27" t="e">
        <f>(Q233/P233) - (#REF!/#REF!)</f>
        <v>#DIV/0!</v>
      </c>
      <c r="BB233" s="27"/>
      <c r="BD233" s="28"/>
      <c r="BE233" s="28"/>
      <c r="BF233" s="28"/>
      <c r="BG233" s="29"/>
      <c r="BI233" s="28"/>
      <c r="BJ233" s="28"/>
      <c r="BK233" s="28"/>
      <c r="BL233" s="29"/>
      <c r="BN233" s="28"/>
      <c r="BO233" s="28"/>
      <c r="BP233" s="28"/>
      <c r="BQ233" s="29"/>
      <c r="BS233" s="28"/>
      <c r="BT233" s="28"/>
      <c r="BU233" s="28"/>
      <c r="BV233" s="29"/>
    </row>
    <row r="234" spans="1:74" ht="14.25" outlineLevel="1" thickBot="1" x14ac:dyDescent="0.2">
      <c r="A234" s="45"/>
      <c r="B234" s="45" t="s">
        <v>368</v>
      </c>
      <c r="C234" s="46" t="s">
        <v>229</v>
      </c>
      <c r="D234" s="45">
        <v>2000297</v>
      </c>
      <c r="E234" s="47">
        <v>20</v>
      </c>
      <c r="F234" s="46">
        <v>1</v>
      </c>
      <c r="G234" s="46"/>
      <c r="I234" s="48" t="str">
        <f>IF(OR(ISBLANK(#REF!),ISBLANK(G234)),"·",#REF!*G234/F234/1000000)</f>
        <v>·</v>
      </c>
      <c r="J234" s="49" t="e">
        <f>IF(ISBLANK(#REF!),"·",#REF!/D234)</f>
        <v>#REF!</v>
      </c>
      <c r="K234" s="49" t="e">
        <f>IF(#REF!="","·",#REF!/D234)</f>
        <v>#REF!</v>
      </c>
      <c r="L234" s="49" t="e">
        <f>IF(ISBLANK(#REF!),"·",#REF!/D234)</f>
        <v>#REF!</v>
      </c>
      <c r="M234" s="50"/>
      <c r="N234" s="49" t="e">
        <f>IF(ISBLANK(#REF!),"·",#REF!/#REF!)</f>
        <v>#REF!</v>
      </c>
      <c r="O234" s="51"/>
      <c r="P234" s="52"/>
      <c r="Q234" s="52"/>
      <c r="R234" s="52"/>
      <c r="S234" s="53"/>
      <c r="T234" s="54"/>
      <c r="U234" s="54"/>
      <c r="V234" s="54"/>
      <c r="W234" s="55"/>
      <c r="X234" s="54"/>
      <c r="Y234" s="54"/>
      <c r="Z234" s="54"/>
      <c r="AA234" s="55"/>
      <c r="AB234" s="56"/>
      <c r="AC234" s="56"/>
      <c r="AE234" s="48" t="str">
        <f t="shared" si="15"/>
        <v>·</v>
      </c>
      <c r="AF234" s="49" t="str">
        <f t="shared" si="16"/>
        <v>·</v>
      </c>
      <c r="AG234" s="49" t="str">
        <f t="shared" si="17"/>
        <v>·</v>
      </c>
      <c r="AH234" s="49" t="str">
        <f t="shared" si="18"/>
        <v>·</v>
      </c>
      <c r="AI234" s="50"/>
      <c r="AJ234" s="49" t="str">
        <f t="shared" si="19"/>
        <v>·</v>
      </c>
      <c r="BA234" s="57" t="e">
        <f>(Q234/P234) - (#REF!/#REF!)</f>
        <v>#DIV/0!</v>
      </c>
      <c r="BB234" s="57"/>
      <c r="BD234" s="58"/>
      <c r="BE234" s="58"/>
      <c r="BF234" s="58"/>
      <c r="BG234" s="59"/>
      <c r="BI234" s="58"/>
      <c r="BJ234" s="58"/>
      <c r="BK234" s="58"/>
      <c r="BL234" s="59"/>
      <c r="BN234" s="58"/>
      <c r="BO234" s="58"/>
      <c r="BP234" s="58"/>
      <c r="BQ234" s="59"/>
      <c r="BS234" s="58"/>
      <c r="BT234" s="58"/>
      <c r="BU234" s="58"/>
      <c r="BV234" s="59"/>
    </row>
    <row r="235" spans="1:74" x14ac:dyDescent="0.15">
      <c r="A235" s="15" t="s">
        <v>372</v>
      </c>
      <c r="B235" s="15" t="s">
        <v>371</v>
      </c>
      <c r="C235" s="16" t="s">
        <v>225</v>
      </c>
      <c r="D235" s="15">
        <v>19948121</v>
      </c>
      <c r="E235" s="17">
        <v>21</v>
      </c>
      <c r="F235" s="16">
        <v>1</v>
      </c>
      <c r="G235" s="16"/>
      <c r="I235" s="18" t="str">
        <f>IF(OR(ISBLANK(#REF!),ISBLANK(G235)),"·",#REF!*G235/F235/1000000)</f>
        <v>·</v>
      </c>
      <c r="J235" s="19" t="e">
        <f>IF(ISBLANK(#REF!),"·",#REF!/D235)</f>
        <v>#REF!</v>
      </c>
      <c r="K235" s="19" t="e">
        <f>IF(#REF!="","·",#REF!/D235)</f>
        <v>#REF!</v>
      </c>
      <c r="L235" s="19" t="e">
        <f>IF(ISBLANK(#REF!),"·",#REF!/D235)</f>
        <v>#REF!</v>
      </c>
      <c r="M235" s="19" t="e">
        <f>IF(ISBLANK(#REF!),"·",#REF!/D235)</f>
        <v>#REF!</v>
      </c>
      <c r="N235" s="19" t="e">
        <f>IF(ISBLANK(#REF!),"·",#REF!/#REF!)</f>
        <v>#REF!</v>
      </c>
      <c r="O235" s="21"/>
      <c r="P235" s="22"/>
      <c r="Q235" s="22"/>
      <c r="R235" s="22"/>
      <c r="S235" s="22"/>
      <c r="T235" s="24"/>
      <c r="U235" s="24"/>
      <c r="V235" s="24"/>
      <c r="W235" s="24"/>
      <c r="X235" s="24"/>
      <c r="Y235" s="24"/>
      <c r="Z235" s="24"/>
      <c r="AA235" s="24"/>
      <c r="AB235" s="26"/>
      <c r="AC235" s="26"/>
      <c r="AE235" s="18" t="str">
        <f t="shared" si="15"/>
        <v>·</v>
      </c>
      <c r="AF235" s="19" t="str">
        <f t="shared" si="16"/>
        <v>·</v>
      </c>
      <c r="AG235" s="19" t="str">
        <f t="shared" si="17"/>
        <v>·</v>
      </c>
      <c r="AH235" s="19" t="str">
        <f t="shared" si="18"/>
        <v>·</v>
      </c>
      <c r="AI235" s="19" t="str">
        <f t="shared" ref="AI235:AI266" si="20">IF(ISBLANK(Q235),"·",S235/D235)</f>
        <v>·</v>
      </c>
      <c r="AJ235" s="19" t="str">
        <f t="shared" si="19"/>
        <v>·</v>
      </c>
      <c r="BA235" s="27" t="e">
        <f>(Q235/P235) - (#REF!/#REF!)</f>
        <v>#DIV/0!</v>
      </c>
      <c r="BB235" s="27" t="e">
        <f t="array" ref="BB235">AVERAGE(Q235:Q239/P235:P239) - AVERAGE(#REF!/#REF!)</f>
        <v>#DIV/0!</v>
      </c>
      <c r="BD235" s="28" t="str">
        <f>_xlfn.SINGLE(IF( OR(ISBLANK(_xlfn.SINGLE(#REF!)),ISBLANK(_xlfn.SINGLE(R235:R239)), ISBLANK(_xlfn.SINGLE(#REF!)),ISBLANK(_xlfn.SINGLE(T235:T239))), "·", bdRateExtend(#REF!,#REF!, R235:R239,T235:T239)))</f>
        <v>·</v>
      </c>
      <c r="BE235" s="28" t="str">
        <f>_xlfn.SINGLE(IF( OR(ISBLANK(_xlfn.SINGLE(#REF!)),ISBLANK(_xlfn.SINGLE(R235:R239)), ISBLANK(_xlfn.SINGLE(#REF!)),ISBLANK(_xlfn.SINGLE(U235:U239))), "·", bdRateExtend(#REF!,#REF!, R235:R239,U235:U239)))</f>
        <v>·</v>
      </c>
      <c r="BF235" s="28" t="str">
        <f>_xlfn.SINGLE(IF( OR(ISBLANK(_xlfn.SINGLE(#REF!)),ISBLANK(_xlfn.SINGLE(R235:R239)), ISBLANK(_xlfn.SINGLE(#REF!)),ISBLANK(_xlfn.SINGLE(V235:V239))), "·", bdRateExtend(#REF!,#REF!, R235:R239,V235:V239)))</f>
        <v>·</v>
      </c>
      <c r="BG235" s="28" t="str">
        <f>_xlfn.SINGLE(IF( OR(ISBLANK(_xlfn.SINGLE(#REF!)),ISBLANK(_xlfn.SINGLE(S235:S239)), ISBLANK(_xlfn.SINGLE(#REF!)),ISBLANK(_xlfn.SINGLE(W235:W239))), "·", bdRateExtend(#REF!,#REF!, S235:S239,W235:W239)))</f>
        <v>·</v>
      </c>
      <c r="BI235" s="28" t="str">
        <f>_xlfn.SINGLE(IF( OR(ISBLANK(_xlfn.SINGLE(#REF!)),ISBLANK(_xlfn.SINGLE(R235:R239)), ISBLANK(_xlfn.SINGLE(#REF!)),ISBLANK(_xlfn.SINGLE(X235:X239))), "·", bdRateExtend(#REF!,#REF!, R235:R239,X235:X239)))</f>
        <v>·</v>
      </c>
      <c r="BJ235" s="28" t="str">
        <f>_xlfn.SINGLE(IF( OR(ISBLANK(_xlfn.SINGLE(#REF!)),ISBLANK(_xlfn.SINGLE(R235:R239)), ISBLANK(_xlfn.SINGLE(#REF!)),ISBLANK(_xlfn.SINGLE(Y235:Y239))), "·", bdRateExtend(#REF!,#REF!, R235:R239,Y235:Y239)))</f>
        <v>·</v>
      </c>
      <c r="BK235" s="28" t="str">
        <f>_xlfn.SINGLE(IF( OR(ISBLANK(_xlfn.SINGLE(#REF!)),ISBLANK(_xlfn.SINGLE(R235:R239)), ISBLANK(_xlfn.SINGLE(#REF!)),ISBLANK(_xlfn.SINGLE(Z235:Z239))), "·", bdRateExtend(#REF!,#REF!, R235:R239,Z235:Z239)))</f>
        <v>·</v>
      </c>
      <c r="BL235" s="28" t="str">
        <f>_xlfn.SINGLE(IF( OR(ISBLANK(_xlfn.SINGLE(#REF!)),ISBLANK(_xlfn.SINGLE(S235:S239)), ISBLANK(_xlfn.SINGLE(#REF!)),ISBLANK(_xlfn.SINGLE(AA235:AA239))), "·", bdRateExtend(#REF!,#REF!, S235:S239,AA235:AA239)))</f>
        <v>·</v>
      </c>
      <c r="BN235" s="28" t="str">
        <f>_xlfn.SINGLE(IF( OR(ISBLANK(_xlfn.SINGLE(#REF!)),ISBLANK(_xlfn.SINGLE(P235:P239)), ISBLANK(_xlfn.SINGLE(#REF!)),ISBLANK(_xlfn.SINGLE(T235:T239))), "·", bdRateExtend(#REF!,#REF!, P235:P239,T235:T239)))</f>
        <v>·</v>
      </c>
      <c r="BO235" s="28" t="str">
        <f>_xlfn.SINGLE(IF( OR(ISBLANK(_xlfn.SINGLE(#REF!)),ISBLANK(_xlfn.SINGLE(P235:P239)), ISBLANK(_xlfn.SINGLE(#REF!)),ISBLANK(_xlfn.SINGLE(U235:U239))), "·", bdRateExtend(#REF!,#REF!, P235:P239,U235:U239)))</f>
        <v>·</v>
      </c>
      <c r="BP235" s="28" t="str">
        <f>_xlfn.SINGLE(IF( OR(ISBLANK(_xlfn.SINGLE(#REF!)),ISBLANK(_xlfn.SINGLE(P235:P239)), ISBLANK(_xlfn.SINGLE(#REF!)),ISBLANK(_xlfn.SINGLE(V235:V239))), "·", bdRateExtend(#REF!,#REF!, P235:P239,V235:V239)))</f>
        <v>·</v>
      </c>
      <c r="BQ235" s="28" t="str">
        <f>_xlfn.SINGLE(IF( OR(ISBLANK(_xlfn.SINGLE(#REF!)),ISBLANK(_xlfn.SINGLE(P235:P239)), ISBLANK(_xlfn.SINGLE(#REF!)),ISBLANK(_xlfn.SINGLE(W235:W239))), "·", bdRateExtend(#REF!,#REF!, P235:P239,W235:W239)))</f>
        <v>·</v>
      </c>
      <c r="BS235" s="28" t="str">
        <f>_xlfn.SINGLE(IF( OR(ISBLANK(_xlfn.SINGLE(#REF!)),ISBLANK(_xlfn.SINGLE(P235:P239)), ISBLANK(_xlfn.SINGLE(#REF!)),ISBLANK(_xlfn.SINGLE(X235:X239))), "·", bdRateExtend(#REF!,#REF!, P235:P239,X235:X239)))</f>
        <v>·</v>
      </c>
      <c r="BT235" s="28" t="str">
        <f>_xlfn.SINGLE(IF( OR(ISBLANK(_xlfn.SINGLE(#REF!)),ISBLANK(_xlfn.SINGLE(P235:P239)), ISBLANK(_xlfn.SINGLE(#REF!)),ISBLANK(_xlfn.SINGLE(Y235:Y239))), "·", bdRateExtend(#REF!,#REF!, P235:P239,Y235:Y239)))</f>
        <v>·</v>
      </c>
      <c r="BU235" s="28" t="str">
        <f>_xlfn.SINGLE(IF( OR(ISBLANK(_xlfn.SINGLE(#REF!)),ISBLANK(_xlfn.SINGLE(P235:P239)), ISBLANK(_xlfn.SINGLE(#REF!)),ISBLANK(_xlfn.SINGLE(Z235:Z239))), "·", bdRateExtend(#REF!,#REF!, P235:P239,Z235:Z239)))</f>
        <v>·</v>
      </c>
      <c r="BV235" s="28" t="str">
        <f>_xlfn.SINGLE(IF( OR(ISBLANK(_xlfn.SINGLE(#REF!)),ISBLANK(_xlfn.SINGLE(P235:P239)), ISBLANK(_xlfn.SINGLE(#REF!)),ISBLANK(_xlfn.SINGLE(AA235:AA239))), "·", bdRateExtend(#REF!,#REF!, P235:P239,AA235:AA239)))</f>
        <v>·</v>
      </c>
    </row>
    <row r="236" spans="1:74" outlineLevel="1" x14ac:dyDescent="0.15">
      <c r="A236" s="30"/>
      <c r="B236" s="30" t="s">
        <v>371</v>
      </c>
      <c r="C236" s="31" t="s">
        <v>226</v>
      </c>
      <c r="D236" s="30">
        <v>19948121</v>
      </c>
      <c r="E236" s="32">
        <v>21</v>
      </c>
      <c r="F236" s="31">
        <v>1</v>
      </c>
      <c r="G236" s="31"/>
      <c r="I236" s="33" t="str">
        <f>IF(OR(ISBLANK(#REF!),ISBLANK(G236)),"·",#REF!*G236/F236/1000000)</f>
        <v>·</v>
      </c>
      <c r="J236" s="34" t="e">
        <f>IF(ISBLANK(#REF!),"·",#REF!/D236)</f>
        <v>#REF!</v>
      </c>
      <c r="K236" s="34" t="e">
        <f>IF(#REF!="","·",#REF!/D236)</f>
        <v>#REF!</v>
      </c>
      <c r="L236" s="34" t="e">
        <f>IF(ISBLANK(#REF!),"·",#REF!/D236)</f>
        <v>#REF!</v>
      </c>
      <c r="M236" s="34" t="e">
        <f>IF(ISBLANK(#REF!),"·",#REF!/D236)</f>
        <v>#REF!</v>
      </c>
      <c r="N236" s="34" t="e">
        <f>IF(ISBLANK(#REF!),"·",#REF!/#REF!)</f>
        <v>#REF!</v>
      </c>
      <c r="O236" s="36"/>
      <c r="P236" s="37"/>
      <c r="Q236" s="37"/>
      <c r="R236" s="37"/>
      <c r="S236" s="37"/>
      <c r="T236" s="39"/>
      <c r="U236" s="39"/>
      <c r="V236" s="39"/>
      <c r="W236" s="39"/>
      <c r="X236" s="39"/>
      <c r="Y236" s="39"/>
      <c r="Z236" s="39"/>
      <c r="AA236" s="39"/>
      <c r="AB236" s="41"/>
      <c r="AC236" s="41"/>
      <c r="AE236" s="33" t="str">
        <f t="shared" si="15"/>
        <v>·</v>
      </c>
      <c r="AF236" s="34" t="str">
        <f t="shared" si="16"/>
        <v>·</v>
      </c>
      <c r="AG236" s="34" t="str">
        <f t="shared" si="17"/>
        <v>·</v>
      </c>
      <c r="AH236" s="34" t="str">
        <f t="shared" si="18"/>
        <v>·</v>
      </c>
      <c r="AI236" s="34" t="str">
        <f t="shared" si="20"/>
        <v>·</v>
      </c>
      <c r="AJ236" s="34" t="str">
        <f t="shared" si="19"/>
        <v>·</v>
      </c>
      <c r="BA236" s="42" t="e">
        <f>(Q236/P236) - (#REF!/#REF!)</f>
        <v>#DIV/0!</v>
      </c>
      <c r="BB236" s="42"/>
      <c r="BD236" s="43"/>
      <c r="BE236" s="43"/>
      <c r="BF236" s="43"/>
      <c r="BG236" s="43"/>
      <c r="BI236" s="43"/>
      <c r="BJ236" s="43"/>
      <c r="BK236" s="43"/>
      <c r="BL236" s="43"/>
      <c r="BN236" s="43"/>
      <c r="BO236" s="43"/>
      <c r="BP236" s="43"/>
      <c r="BQ236" s="43"/>
      <c r="BS236" s="43"/>
      <c r="BT236" s="43"/>
      <c r="BU236" s="43"/>
      <c r="BV236" s="43"/>
    </row>
    <row r="237" spans="1:74" outlineLevel="1" x14ac:dyDescent="0.15">
      <c r="A237" s="15"/>
      <c r="B237" s="15" t="s">
        <v>371</v>
      </c>
      <c r="C237" s="16" t="s">
        <v>227</v>
      </c>
      <c r="D237" s="15">
        <v>19948121</v>
      </c>
      <c r="E237" s="17">
        <v>21</v>
      </c>
      <c r="F237" s="16">
        <v>1</v>
      </c>
      <c r="G237" s="16"/>
      <c r="I237" s="18" t="str">
        <f>IF(OR(ISBLANK(#REF!),ISBLANK(G237)),"·",#REF!*G237/F237/1000000)</f>
        <v>·</v>
      </c>
      <c r="J237" s="19" t="e">
        <f>IF(ISBLANK(#REF!),"·",#REF!/D237)</f>
        <v>#REF!</v>
      </c>
      <c r="K237" s="19" t="e">
        <f>IF(#REF!="","·",#REF!/D237)</f>
        <v>#REF!</v>
      </c>
      <c r="L237" s="19" t="e">
        <f>IF(ISBLANK(#REF!),"·",#REF!/D237)</f>
        <v>#REF!</v>
      </c>
      <c r="M237" s="19" t="e">
        <f>IF(ISBLANK(#REF!),"·",#REF!/D237)</f>
        <v>#REF!</v>
      </c>
      <c r="N237" s="19" t="e">
        <f>IF(ISBLANK(#REF!),"·",#REF!/#REF!)</f>
        <v>#REF!</v>
      </c>
      <c r="O237" s="21"/>
      <c r="P237" s="22"/>
      <c r="Q237" s="22"/>
      <c r="R237" s="22"/>
      <c r="S237" s="22"/>
      <c r="T237" s="24"/>
      <c r="U237" s="24"/>
      <c r="V237" s="24"/>
      <c r="W237" s="24"/>
      <c r="X237" s="24"/>
      <c r="Y237" s="24"/>
      <c r="Z237" s="24"/>
      <c r="AA237" s="24"/>
      <c r="AB237" s="26"/>
      <c r="AC237" s="26"/>
      <c r="AE237" s="18" t="str">
        <f t="shared" si="15"/>
        <v>·</v>
      </c>
      <c r="AF237" s="19" t="str">
        <f t="shared" si="16"/>
        <v>·</v>
      </c>
      <c r="AG237" s="19" t="str">
        <f t="shared" si="17"/>
        <v>·</v>
      </c>
      <c r="AH237" s="19" t="str">
        <f t="shared" si="18"/>
        <v>·</v>
      </c>
      <c r="AI237" s="19" t="str">
        <f t="shared" si="20"/>
        <v>·</v>
      </c>
      <c r="AJ237" s="19" t="str">
        <f t="shared" si="19"/>
        <v>·</v>
      </c>
      <c r="BA237" s="27" t="e">
        <f>(Q237/P237) - (#REF!/#REF!)</f>
        <v>#DIV/0!</v>
      </c>
      <c r="BB237" s="27"/>
      <c r="BD237" s="28"/>
      <c r="BE237" s="28"/>
      <c r="BF237" s="28"/>
      <c r="BG237" s="28"/>
      <c r="BI237" s="28"/>
      <c r="BJ237" s="28"/>
      <c r="BK237" s="28"/>
      <c r="BL237" s="28"/>
      <c r="BN237" s="28"/>
      <c r="BO237" s="28"/>
      <c r="BP237" s="28"/>
      <c r="BQ237" s="28"/>
      <c r="BS237" s="28"/>
      <c r="BT237" s="28"/>
      <c r="BU237" s="28"/>
      <c r="BV237" s="28"/>
    </row>
    <row r="238" spans="1:74" outlineLevel="1" x14ac:dyDescent="0.15">
      <c r="A238" s="30"/>
      <c r="B238" s="30" t="s">
        <v>371</v>
      </c>
      <c r="C238" s="31" t="s">
        <v>228</v>
      </c>
      <c r="D238" s="30">
        <v>19948121</v>
      </c>
      <c r="E238" s="32">
        <v>21</v>
      </c>
      <c r="F238" s="31">
        <v>1</v>
      </c>
      <c r="G238" s="31"/>
      <c r="I238" s="33" t="str">
        <f>IF(OR(ISBLANK(#REF!),ISBLANK(G238)),"·",#REF!*G238/F238/1000000)</f>
        <v>·</v>
      </c>
      <c r="J238" s="34" t="e">
        <f>IF(ISBLANK(#REF!),"·",#REF!/D238)</f>
        <v>#REF!</v>
      </c>
      <c r="K238" s="34" t="e">
        <f>IF(#REF!="","·",#REF!/D238)</f>
        <v>#REF!</v>
      </c>
      <c r="L238" s="34" t="e">
        <f>IF(ISBLANK(#REF!),"·",#REF!/D238)</f>
        <v>#REF!</v>
      </c>
      <c r="M238" s="34" t="e">
        <f>IF(ISBLANK(#REF!),"·",#REF!/D238)</f>
        <v>#REF!</v>
      </c>
      <c r="N238" s="34" t="e">
        <f>IF(ISBLANK(#REF!),"·",#REF!/#REF!)</f>
        <v>#REF!</v>
      </c>
      <c r="O238" s="36"/>
      <c r="P238" s="37"/>
      <c r="Q238" s="37"/>
      <c r="R238" s="37"/>
      <c r="S238" s="37"/>
      <c r="T238" s="39"/>
      <c r="U238" s="39"/>
      <c r="V238" s="39"/>
      <c r="W238" s="39"/>
      <c r="X238" s="39"/>
      <c r="Y238" s="39"/>
      <c r="Z238" s="39"/>
      <c r="AA238" s="39"/>
      <c r="AB238" s="41"/>
      <c r="AC238" s="41"/>
      <c r="AE238" s="33" t="str">
        <f t="shared" si="15"/>
        <v>·</v>
      </c>
      <c r="AF238" s="34" t="str">
        <f t="shared" si="16"/>
        <v>·</v>
      </c>
      <c r="AG238" s="34" t="str">
        <f t="shared" si="17"/>
        <v>·</v>
      </c>
      <c r="AH238" s="34" t="str">
        <f t="shared" si="18"/>
        <v>·</v>
      </c>
      <c r="AI238" s="34" t="str">
        <f t="shared" si="20"/>
        <v>·</v>
      </c>
      <c r="AJ238" s="34" t="str">
        <f t="shared" si="19"/>
        <v>·</v>
      </c>
      <c r="BA238" s="42" t="e">
        <f>(Q238/P238) - (#REF!/#REF!)</f>
        <v>#DIV/0!</v>
      </c>
      <c r="BB238" s="42"/>
      <c r="BD238" s="43"/>
      <c r="BE238" s="43"/>
      <c r="BF238" s="43"/>
      <c r="BG238" s="43"/>
      <c r="BI238" s="43"/>
      <c r="BJ238" s="43"/>
      <c r="BK238" s="43"/>
      <c r="BL238" s="43"/>
      <c r="BN238" s="43"/>
      <c r="BO238" s="43"/>
      <c r="BP238" s="43"/>
      <c r="BQ238" s="43"/>
      <c r="BS238" s="43"/>
      <c r="BT238" s="43"/>
      <c r="BU238" s="43"/>
      <c r="BV238" s="43"/>
    </row>
    <row r="239" spans="1:74" ht="14.25" outlineLevel="1" thickBot="1" x14ac:dyDescent="0.2">
      <c r="A239" s="15"/>
      <c r="B239" s="64" t="s">
        <v>371</v>
      </c>
      <c r="C239" s="66" t="s">
        <v>229</v>
      </c>
      <c r="D239" s="64">
        <v>19948121</v>
      </c>
      <c r="E239" s="65">
        <v>21</v>
      </c>
      <c r="F239" s="66">
        <v>1</v>
      </c>
      <c r="G239" s="66"/>
      <c r="I239" s="68" t="str">
        <f>IF(OR(ISBLANK(#REF!),ISBLANK(G239)),"·",#REF!*G239/F239/1000000)</f>
        <v>·</v>
      </c>
      <c r="J239" s="69" t="e">
        <f>IF(ISBLANK(#REF!),"·",#REF!/D239)</f>
        <v>#REF!</v>
      </c>
      <c r="K239" s="69" t="e">
        <f>IF(#REF!="","·",#REF!/D239)</f>
        <v>#REF!</v>
      </c>
      <c r="L239" s="69" t="e">
        <f>IF(ISBLANK(#REF!),"·",#REF!/D239)</f>
        <v>#REF!</v>
      </c>
      <c r="M239" s="69" t="e">
        <f>IF(ISBLANK(#REF!),"·",#REF!/D239)</f>
        <v>#REF!</v>
      </c>
      <c r="N239" s="69" t="e">
        <f>IF(ISBLANK(#REF!),"·",#REF!/#REF!)</f>
        <v>#REF!</v>
      </c>
      <c r="O239" s="71"/>
      <c r="P239" s="72"/>
      <c r="Q239" s="72"/>
      <c r="R239" s="72"/>
      <c r="S239" s="72"/>
      <c r="T239" s="77"/>
      <c r="U239" s="77"/>
      <c r="V239" s="77"/>
      <c r="W239" s="77"/>
      <c r="X239" s="77"/>
      <c r="Y239" s="77"/>
      <c r="Z239" s="77"/>
      <c r="AA239" s="77"/>
      <c r="AB239" s="74"/>
      <c r="AC239" s="74"/>
      <c r="AE239" s="68" t="str">
        <f t="shared" si="15"/>
        <v>·</v>
      </c>
      <c r="AF239" s="69" t="str">
        <f t="shared" si="16"/>
        <v>·</v>
      </c>
      <c r="AG239" s="69" t="str">
        <f t="shared" si="17"/>
        <v>·</v>
      </c>
      <c r="AH239" s="69" t="str">
        <f t="shared" si="18"/>
        <v>·</v>
      </c>
      <c r="AI239" s="69" t="str">
        <f t="shared" si="20"/>
        <v>·</v>
      </c>
      <c r="AJ239" s="69" t="str">
        <f t="shared" si="19"/>
        <v>·</v>
      </c>
      <c r="BA239" s="67" t="e">
        <f>(Q239/P239) - (#REF!/#REF!)</f>
        <v>#DIV/0!</v>
      </c>
      <c r="BB239" s="67"/>
      <c r="BD239" s="75"/>
      <c r="BE239" s="75"/>
      <c r="BF239" s="75"/>
      <c r="BG239" s="75"/>
      <c r="BI239" s="75"/>
      <c r="BJ239" s="75"/>
      <c r="BK239" s="75"/>
      <c r="BL239" s="75"/>
      <c r="BN239" s="75"/>
      <c r="BO239" s="75"/>
      <c r="BP239" s="75"/>
      <c r="BQ239" s="75"/>
      <c r="BS239" s="75"/>
      <c r="BT239" s="75"/>
      <c r="BU239" s="75"/>
      <c r="BV239" s="75"/>
    </row>
    <row r="240" spans="1:74" x14ac:dyDescent="0.15">
      <c r="A240" s="30"/>
      <c r="B240" s="30" t="s">
        <v>375</v>
      </c>
      <c r="C240" s="31" t="s">
        <v>225</v>
      </c>
      <c r="D240" s="30">
        <v>5255920</v>
      </c>
      <c r="E240" s="32">
        <v>20</v>
      </c>
      <c r="F240" s="31">
        <v>1</v>
      </c>
      <c r="G240" s="31"/>
      <c r="I240" s="33" t="str">
        <f>IF(OR(ISBLANK(#REF!),ISBLANK(G240)),"·",#REF!*G240/F240/1000000)</f>
        <v>·</v>
      </c>
      <c r="J240" s="34" t="e">
        <f>IF(ISBLANK(#REF!),"·",#REF!/D240)</f>
        <v>#REF!</v>
      </c>
      <c r="K240" s="34" t="e">
        <f>IF(#REF!="","·",#REF!/D240)</f>
        <v>#REF!</v>
      </c>
      <c r="L240" s="34" t="e">
        <f>IF(ISBLANK(#REF!),"·",#REF!/D240)</f>
        <v>#REF!</v>
      </c>
      <c r="M240" s="34" t="e">
        <f>IF(ISBLANK(#REF!),"·",#REF!/D240)</f>
        <v>#REF!</v>
      </c>
      <c r="N240" s="34" t="e">
        <f>IF(ISBLANK(#REF!),"·",#REF!/#REF!)</f>
        <v>#REF!</v>
      </c>
      <c r="O240" s="36"/>
      <c r="P240" s="37"/>
      <c r="Q240" s="37"/>
      <c r="R240" s="37"/>
      <c r="S240" s="37"/>
      <c r="T240" s="39"/>
      <c r="U240" s="39"/>
      <c r="V240" s="39"/>
      <c r="W240" s="39"/>
      <c r="X240" s="39"/>
      <c r="Y240" s="39"/>
      <c r="Z240" s="39"/>
      <c r="AA240" s="39"/>
      <c r="AB240" s="41"/>
      <c r="AC240" s="41"/>
      <c r="AE240" s="33" t="str">
        <f t="shared" si="15"/>
        <v>·</v>
      </c>
      <c r="AF240" s="34" t="str">
        <f t="shared" si="16"/>
        <v>·</v>
      </c>
      <c r="AG240" s="34" t="str">
        <f t="shared" si="17"/>
        <v>·</v>
      </c>
      <c r="AH240" s="34" t="str">
        <f t="shared" si="18"/>
        <v>·</v>
      </c>
      <c r="AI240" s="34" t="str">
        <f t="shared" si="20"/>
        <v>·</v>
      </c>
      <c r="AJ240" s="34" t="str">
        <f t="shared" si="19"/>
        <v>·</v>
      </c>
      <c r="BA240" s="42" t="e">
        <f>(Q240/P240) - (#REF!/#REF!)</f>
        <v>#DIV/0!</v>
      </c>
      <c r="BB240" s="42" t="e">
        <f t="array" ref="BB240">AVERAGE(Q240:Q244/P240:P244) - AVERAGE(#REF!/#REF!)</f>
        <v>#DIV/0!</v>
      </c>
      <c r="BD240" s="43" t="str">
        <f>_xlfn.SINGLE(IF( OR(ISBLANK(_xlfn.SINGLE(#REF!)),ISBLANK(_xlfn.SINGLE(R240:R244)), ISBLANK(_xlfn.SINGLE(#REF!)),ISBLANK(_xlfn.SINGLE(T240:T244))), "·", bdRateExtend(#REF!,#REF!, R240:R244,T240:T244)))</f>
        <v>·</v>
      </c>
      <c r="BE240" s="43" t="str">
        <f>_xlfn.SINGLE(IF( OR(ISBLANK(_xlfn.SINGLE(#REF!)),ISBLANK(_xlfn.SINGLE(R240:R244)), ISBLANK(_xlfn.SINGLE(#REF!)),ISBLANK(_xlfn.SINGLE(U240:U244))), "·", bdRateExtend(#REF!,#REF!, R240:R244,U240:U244)))</f>
        <v>·</v>
      </c>
      <c r="BF240" s="43" t="str">
        <f>_xlfn.SINGLE(IF( OR(ISBLANK(_xlfn.SINGLE(#REF!)),ISBLANK(_xlfn.SINGLE(R240:R244)), ISBLANK(_xlfn.SINGLE(#REF!)),ISBLANK(_xlfn.SINGLE(V240:V244))), "·", bdRateExtend(#REF!,#REF!, R240:R244,V240:V244)))</f>
        <v>·</v>
      </c>
      <c r="BG240" s="43" t="str">
        <f>_xlfn.SINGLE(IF( OR(ISBLANK(_xlfn.SINGLE(#REF!)),ISBLANK(_xlfn.SINGLE(S240:S244)), ISBLANK(_xlfn.SINGLE(#REF!)),ISBLANK(_xlfn.SINGLE(W240:W244))), "·", bdRateExtend(#REF!,#REF!, S240:S244,W240:W244)))</f>
        <v>·</v>
      </c>
      <c r="BI240" s="43" t="str">
        <f>_xlfn.SINGLE(IF( OR(ISBLANK(_xlfn.SINGLE(#REF!)),ISBLANK(_xlfn.SINGLE(R240:R244)), ISBLANK(_xlfn.SINGLE(#REF!)),ISBLANK(_xlfn.SINGLE(X240:X244))), "·", bdRateExtend(#REF!,#REF!, R240:R244,X240:X244)))</f>
        <v>·</v>
      </c>
      <c r="BJ240" s="43" t="str">
        <f>_xlfn.SINGLE(IF( OR(ISBLANK(_xlfn.SINGLE(#REF!)),ISBLANK(_xlfn.SINGLE(R240:R244)), ISBLANK(_xlfn.SINGLE(#REF!)),ISBLANK(_xlfn.SINGLE(Y240:Y244))), "·", bdRateExtend(#REF!,#REF!, R240:R244,Y240:Y244)))</f>
        <v>·</v>
      </c>
      <c r="BK240" s="43" t="str">
        <f>_xlfn.SINGLE(IF( OR(ISBLANK(_xlfn.SINGLE(#REF!)),ISBLANK(_xlfn.SINGLE(R240:R244)), ISBLANK(_xlfn.SINGLE(#REF!)),ISBLANK(_xlfn.SINGLE(Z240:Z244))), "·", bdRateExtend(#REF!,#REF!, R240:R244,Z240:Z244)))</f>
        <v>·</v>
      </c>
      <c r="BL240" s="43" t="str">
        <f>_xlfn.SINGLE(IF( OR(ISBLANK(_xlfn.SINGLE(#REF!)),ISBLANK(_xlfn.SINGLE(S240:S244)), ISBLANK(_xlfn.SINGLE(#REF!)),ISBLANK(_xlfn.SINGLE(AA240:AA244))), "·", bdRateExtend(#REF!,#REF!, S240:S244,AA240:AA244)))</f>
        <v>·</v>
      </c>
      <c r="BN240" s="43" t="str">
        <f>_xlfn.SINGLE(IF( OR(ISBLANK(_xlfn.SINGLE(#REF!)),ISBLANK(_xlfn.SINGLE(P240:P244)), ISBLANK(_xlfn.SINGLE(#REF!)),ISBLANK(_xlfn.SINGLE(T240:T244))), "·", bdRateExtend(#REF!,#REF!, P240:P244,T240:T244)))</f>
        <v>·</v>
      </c>
      <c r="BO240" s="43" t="str">
        <f>_xlfn.SINGLE(IF( OR(ISBLANK(_xlfn.SINGLE(#REF!)),ISBLANK(_xlfn.SINGLE(P240:P244)), ISBLANK(_xlfn.SINGLE(#REF!)),ISBLANK(_xlfn.SINGLE(U240:U244))), "·", bdRateExtend(#REF!,#REF!, P240:P244,U240:U244)))</f>
        <v>·</v>
      </c>
      <c r="BP240" s="43" t="str">
        <f>_xlfn.SINGLE(IF( OR(ISBLANK(_xlfn.SINGLE(#REF!)),ISBLANK(_xlfn.SINGLE(P240:P244)), ISBLANK(_xlfn.SINGLE(#REF!)),ISBLANK(_xlfn.SINGLE(V240:V244))), "·", bdRateExtend(#REF!,#REF!, P240:P244,V240:V244)))</f>
        <v>·</v>
      </c>
      <c r="BQ240" s="43" t="str">
        <f>_xlfn.SINGLE(IF( OR(ISBLANK(_xlfn.SINGLE(#REF!)),ISBLANK(_xlfn.SINGLE(P240:P244)), ISBLANK(_xlfn.SINGLE(#REF!)),ISBLANK(_xlfn.SINGLE(W240:W244))), "·", bdRateExtend(#REF!,#REF!, P240:P244,W240:W244)))</f>
        <v>·</v>
      </c>
      <c r="BS240" s="43" t="str">
        <f>_xlfn.SINGLE(IF( OR(ISBLANK(_xlfn.SINGLE(#REF!)),ISBLANK(_xlfn.SINGLE(P240:P244)), ISBLANK(_xlfn.SINGLE(#REF!)),ISBLANK(_xlfn.SINGLE(X240:X244))), "·", bdRateExtend(#REF!,#REF!, P240:P244,X240:X244)))</f>
        <v>·</v>
      </c>
      <c r="BT240" s="43" t="str">
        <f>_xlfn.SINGLE(IF( OR(ISBLANK(_xlfn.SINGLE(#REF!)),ISBLANK(_xlfn.SINGLE(P240:P244)), ISBLANK(_xlfn.SINGLE(#REF!)),ISBLANK(_xlfn.SINGLE(Y240:Y244))), "·", bdRateExtend(#REF!,#REF!, P240:P244,Y240:Y244)))</f>
        <v>·</v>
      </c>
      <c r="BU240" s="43" t="str">
        <f>_xlfn.SINGLE(IF( OR(ISBLANK(_xlfn.SINGLE(#REF!)),ISBLANK(_xlfn.SINGLE(P240:P244)), ISBLANK(_xlfn.SINGLE(#REF!)),ISBLANK(_xlfn.SINGLE(Z240:Z244))), "·", bdRateExtend(#REF!,#REF!, P240:P244,Z240:Z244)))</f>
        <v>·</v>
      </c>
      <c r="BV240" s="43" t="str">
        <f>_xlfn.SINGLE(IF( OR(ISBLANK(_xlfn.SINGLE(#REF!)),ISBLANK(_xlfn.SINGLE(P240:P244)), ISBLANK(_xlfn.SINGLE(#REF!)),ISBLANK(_xlfn.SINGLE(AA240:AA244))), "·", bdRateExtend(#REF!,#REF!, P240:P244,AA240:AA244)))</f>
        <v>·</v>
      </c>
    </row>
    <row r="241" spans="1:74" outlineLevel="1" x14ac:dyDescent="0.15">
      <c r="A241" s="15"/>
      <c r="B241" s="15" t="s">
        <v>375</v>
      </c>
      <c r="C241" s="16" t="s">
        <v>226</v>
      </c>
      <c r="D241" s="15">
        <v>5255920</v>
      </c>
      <c r="E241" s="17">
        <v>20</v>
      </c>
      <c r="F241" s="16">
        <v>1</v>
      </c>
      <c r="G241" s="16"/>
      <c r="I241" s="18" t="str">
        <f>IF(OR(ISBLANK(#REF!),ISBLANK(G241)),"·",#REF!*G241/F241/1000000)</f>
        <v>·</v>
      </c>
      <c r="J241" s="19" t="e">
        <f>IF(ISBLANK(#REF!),"·",#REF!/D241)</f>
        <v>#REF!</v>
      </c>
      <c r="K241" s="19" t="e">
        <f>IF(#REF!="","·",#REF!/D241)</f>
        <v>#REF!</v>
      </c>
      <c r="L241" s="19" t="e">
        <f>IF(ISBLANK(#REF!),"·",#REF!/D241)</f>
        <v>#REF!</v>
      </c>
      <c r="M241" s="19" t="e">
        <f>IF(ISBLANK(#REF!),"·",#REF!/D241)</f>
        <v>#REF!</v>
      </c>
      <c r="N241" s="19" t="e">
        <f>IF(ISBLANK(#REF!),"·",#REF!/#REF!)</f>
        <v>#REF!</v>
      </c>
      <c r="O241" s="21"/>
      <c r="P241" s="22"/>
      <c r="Q241" s="22"/>
      <c r="R241" s="22"/>
      <c r="S241" s="22"/>
      <c r="T241" s="24"/>
      <c r="U241" s="24"/>
      <c r="V241" s="24"/>
      <c r="W241" s="24"/>
      <c r="X241" s="24"/>
      <c r="Y241" s="24"/>
      <c r="Z241" s="24"/>
      <c r="AA241" s="24"/>
      <c r="AB241" s="26"/>
      <c r="AC241" s="26"/>
      <c r="AE241" s="18" t="str">
        <f t="shared" si="15"/>
        <v>·</v>
      </c>
      <c r="AF241" s="19" t="str">
        <f t="shared" si="16"/>
        <v>·</v>
      </c>
      <c r="AG241" s="19" t="str">
        <f t="shared" si="17"/>
        <v>·</v>
      </c>
      <c r="AH241" s="19" t="str">
        <f t="shared" si="18"/>
        <v>·</v>
      </c>
      <c r="AI241" s="19" t="str">
        <f t="shared" si="20"/>
        <v>·</v>
      </c>
      <c r="AJ241" s="19" t="str">
        <f t="shared" si="19"/>
        <v>·</v>
      </c>
      <c r="BA241" s="27" t="e">
        <f>(Q241/P241) - (#REF!/#REF!)</f>
        <v>#DIV/0!</v>
      </c>
      <c r="BB241" s="27"/>
      <c r="BD241" s="28"/>
      <c r="BE241" s="28"/>
      <c r="BF241" s="28"/>
      <c r="BG241" s="28"/>
      <c r="BI241" s="28"/>
      <c r="BJ241" s="28"/>
      <c r="BK241" s="28"/>
      <c r="BL241" s="28"/>
      <c r="BN241" s="28"/>
      <c r="BO241" s="28"/>
      <c r="BP241" s="28"/>
      <c r="BQ241" s="28"/>
      <c r="BS241" s="28"/>
      <c r="BT241" s="28"/>
      <c r="BU241" s="28"/>
      <c r="BV241" s="28"/>
    </row>
    <row r="242" spans="1:74" outlineLevel="1" x14ac:dyDescent="0.15">
      <c r="A242" s="30"/>
      <c r="B242" s="30" t="s">
        <v>375</v>
      </c>
      <c r="C242" s="31" t="s">
        <v>227</v>
      </c>
      <c r="D242" s="30">
        <v>5255920</v>
      </c>
      <c r="E242" s="32">
        <v>20</v>
      </c>
      <c r="F242" s="31">
        <v>1</v>
      </c>
      <c r="G242" s="31"/>
      <c r="I242" s="33" t="str">
        <f>IF(OR(ISBLANK(#REF!),ISBLANK(G242)),"·",#REF!*G242/F242/1000000)</f>
        <v>·</v>
      </c>
      <c r="J242" s="34" t="e">
        <f>IF(ISBLANK(#REF!),"·",#REF!/D242)</f>
        <v>#REF!</v>
      </c>
      <c r="K242" s="34" t="e">
        <f>IF(#REF!="","·",#REF!/D242)</f>
        <v>#REF!</v>
      </c>
      <c r="L242" s="34" t="e">
        <f>IF(ISBLANK(#REF!),"·",#REF!/D242)</f>
        <v>#REF!</v>
      </c>
      <c r="M242" s="34" t="e">
        <f>IF(ISBLANK(#REF!),"·",#REF!/D242)</f>
        <v>#REF!</v>
      </c>
      <c r="N242" s="34" t="e">
        <f>IF(ISBLANK(#REF!),"·",#REF!/#REF!)</f>
        <v>#REF!</v>
      </c>
      <c r="O242" s="36"/>
      <c r="P242" s="37"/>
      <c r="Q242" s="37"/>
      <c r="R242" s="37"/>
      <c r="S242" s="37"/>
      <c r="T242" s="39"/>
      <c r="U242" s="39"/>
      <c r="V242" s="39"/>
      <c r="W242" s="39"/>
      <c r="X242" s="39"/>
      <c r="Y242" s="39"/>
      <c r="Z242" s="39"/>
      <c r="AA242" s="39"/>
      <c r="AB242" s="41"/>
      <c r="AC242" s="41"/>
      <c r="AE242" s="33" t="str">
        <f t="shared" si="15"/>
        <v>·</v>
      </c>
      <c r="AF242" s="34" t="str">
        <f t="shared" si="16"/>
        <v>·</v>
      </c>
      <c r="AG242" s="34" t="str">
        <f t="shared" si="17"/>
        <v>·</v>
      </c>
      <c r="AH242" s="34" t="str">
        <f t="shared" si="18"/>
        <v>·</v>
      </c>
      <c r="AI242" s="34" t="str">
        <f t="shared" si="20"/>
        <v>·</v>
      </c>
      <c r="AJ242" s="34" t="str">
        <f t="shared" si="19"/>
        <v>·</v>
      </c>
      <c r="BA242" s="42" t="e">
        <f>(Q242/P242) - (#REF!/#REF!)</f>
        <v>#DIV/0!</v>
      </c>
      <c r="BB242" s="42"/>
      <c r="BD242" s="43"/>
      <c r="BE242" s="43"/>
      <c r="BF242" s="43"/>
      <c r="BG242" s="43"/>
      <c r="BI242" s="43"/>
      <c r="BJ242" s="43"/>
      <c r="BK242" s="43"/>
      <c r="BL242" s="43"/>
      <c r="BN242" s="43"/>
      <c r="BO242" s="43"/>
      <c r="BP242" s="43"/>
      <c r="BQ242" s="43"/>
      <c r="BS242" s="43"/>
      <c r="BT242" s="43"/>
      <c r="BU242" s="43"/>
      <c r="BV242" s="43"/>
    </row>
    <row r="243" spans="1:74" outlineLevel="1" x14ac:dyDescent="0.15">
      <c r="A243" s="15"/>
      <c r="B243" s="15" t="s">
        <v>375</v>
      </c>
      <c r="C243" s="16" t="s">
        <v>228</v>
      </c>
      <c r="D243" s="15">
        <v>5255920</v>
      </c>
      <c r="E243" s="17">
        <v>20</v>
      </c>
      <c r="F243" s="16">
        <v>1</v>
      </c>
      <c r="G243" s="16"/>
      <c r="I243" s="18" t="str">
        <f>IF(OR(ISBLANK(#REF!),ISBLANK(G243)),"·",#REF!*G243/F243/1000000)</f>
        <v>·</v>
      </c>
      <c r="J243" s="19" t="e">
        <f>IF(ISBLANK(#REF!),"·",#REF!/D243)</f>
        <v>#REF!</v>
      </c>
      <c r="K243" s="19" t="e">
        <f>IF(#REF!="","·",#REF!/D243)</f>
        <v>#REF!</v>
      </c>
      <c r="L243" s="19" t="e">
        <f>IF(ISBLANK(#REF!),"·",#REF!/D243)</f>
        <v>#REF!</v>
      </c>
      <c r="M243" s="19" t="e">
        <f>IF(ISBLANK(#REF!),"·",#REF!/D243)</f>
        <v>#REF!</v>
      </c>
      <c r="N243" s="19" t="e">
        <f>IF(ISBLANK(#REF!),"·",#REF!/#REF!)</f>
        <v>#REF!</v>
      </c>
      <c r="O243" s="21"/>
      <c r="P243" s="22"/>
      <c r="Q243" s="22"/>
      <c r="R243" s="22"/>
      <c r="S243" s="22"/>
      <c r="T243" s="24"/>
      <c r="U243" s="24"/>
      <c r="V243" s="24"/>
      <c r="W243" s="24"/>
      <c r="X243" s="24"/>
      <c r="Y243" s="24"/>
      <c r="Z243" s="24"/>
      <c r="AA243" s="24"/>
      <c r="AB243" s="26"/>
      <c r="AC243" s="26"/>
      <c r="AE243" s="18" t="str">
        <f t="shared" si="15"/>
        <v>·</v>
      </c>
      <c r="AF243" s="19" t="str">
        <f t="shared" si="16"/>
        <v>·</v>
      </c>
      <c r="AG243" s="19" t="str">
        <f t="shared" si="17"/>
        <v>·</v>
      </c>
      <c r="AH243" s="19" t="str">
        <f t="shared" si="18"/>
        <v>·</v>
      </c>
      <c r="AI243" s="19" t="str">
        <f t="shared" si="20"/>
        <v>·</v>
      </c>
      <c r="AJ243" s="19" t="str">
        <f t="shared" si="19"/>
        <v>·</v>
      </c>
      <c r="BA243" s="27" t="e">
        <f>(Q243/P243) - (#REF!/#REF!)</f>
        <v>#DIV/0!</v>
      </c>
      <c r="BB243" s="27"/>
      <c r="BD243" s="28"/>
      <c r="BE243" s="28"/>
      <c r="BF243" s="28"/>
      <c r="BG243" s="28"/>
      <c r="BI243" s="28"/>
      <c r="BJ243" s="28"/>
      <c r="BK243" s="28"/>
      <c r="BL243" s="28"/>
      <c r="BN243" s="28"/>
      <c r="BO243" s="28"/>
      <c r="BP243" s="28"/>
      <c r="BQ243" s="28"/>
      <c r="BS243" s="28"/>
      <c r="BT243" s="28"/>
      <c r="BU243" s="28"/>
      <c r="BV243" s="28"/>
    </row>
    <row r="244" spans="1:74" ht="14.25" outlineLevel="1" thickBot="1" x14ac:dyDescent="0.2">
      <c r="A244" s="30"/>
      <c r="B244" s="45" t="s">
        <v>375</v>
      </c>
      <c r="C244" s="46" t="s">
        <v>229</v>
      </c>
      <c r="D244" s="45">
        <v>5255920</v>
      </c>
      <c r="E244" s="47">
        <v>20</v>
      </c>
      <c r="F244" s="46">
        <v>1</v>
      </c>
      <c r="G244" s="46"/>
      <c r="I244" s="48" t="str">
        <f>IF(OR(ISBLANK(#REF!),ISBLANK(G244)),"·",#REF!*G244/F244/1000000)</f>
        <v>·</v>
      </c>
      <c r="J244" s="49" t="e">
        <f>IF(ISBLANK(#REF!),"·",#REF!/D244)</f>
        <v>#REF!</v>
      </c>
      <c r="K244" s="49" t="e">
        <f>IF(#REF!="","·",#REF!/D244)</f>
        <v>#REF!</v>
      </c>
      <c r="L244" s="49" t="e">
        <f>IF(ISBLANK(#REF!),"·",#REF!/D244)</f>
        <v>#REF!</v>
      </c>
      <c r="M244" s="49" t="e">
        <f>IF(ISBLANK(#REF!),"·",#REF!/D244)</f>
        <v>#REF!</v>
      </c>
      <c r="N244" s="49" t="e">
        <f>IF(ISBLANK(#REF!),"·",#REF!/#REF!)</f>
        <v>#REF!</v>
      </c>
      <c r="O244" s="51"/>
      <c r="P244" s="52"/>
      <c r="Q244" s="52"/>
      <c r="R244" s="52"/>
      <c r="S244" s="52"/>
      <c r="T244" s="54"/>
      <c r="U244" s="54"/>
      <c r="V244" s="54"/>
      <c r="W244" s="54"/>
      <c r="X244" s="54"/>
      <c r="Y244" s="54"/>
      <c r="Z244" s="54"/>
      <c r="AA244" s="54"/>
      <c r="AB244" s="56"/>
      <c r="AC244" s="56"/>
      <c r="AE244" s="48" t="str">
        <f t="shared" si="15"/>
        <v>·</v>
      </c>
      <c r="AF244" s="49" t="str">
        <f t="shared" si="16"/>
        <v>·</v>
      </c>
      <c r="AG244" s="49" t="str">
        <f t="shared" si="17"/>
        <v>·</v>
      </c>
      <c r="AH244" s="49" t="str">
        <f t="shared" si="18"/>
        <v>·</v>
      </c>
      <c r="AI244" s="49" t="str">
        <f t="shared" si="20"/>
        <v>·</v>
      </c>
      <c r="AJ244" s="49" t="str">
        <f t="shared" si="19"/>
        <v>·</v>
      </c>
      <c r="BA244" s="57" t="e">
        <f>(Q244/P244) - (#REF!/#REF!)</f>
        <v>#DIV/0!</v>
      </c>
      <c r="BB244" s="57"/>
      <c r="BD244" s="58"/>
      <c r="BE244" s="58"/>
      <c r="BF244" s="58"/>
      <c r="BG244" s="58"/>
      <c r="BI244" s="58"/>
      <c r="BJ244" s="58"/>
      <c r="BK244" s="58"/>
      <c r="BL244" s="58"/>
      <c r="BN244" s="58"/>
      <c r="BO244" s="58"/>
      <c r="BP244" s="58"/>
      <c r="BQ244" s="58"/>
      <c r="BS244" s="58"/>
      <c r="BT244" s="58"/>
      <c r="BU244" s="58"/>
      <c r="BV244" s="58"/>
    </row>
    <row r="245" spans="1:74" x14ac:dyDescent="0.15">
      <c r="A245" s="15"/>
      <c r="B245" s="15" t="s">
        <v>378</v>
      </c>
      <c r="C245" s="16" t="s">
        <v>225</v>
      </c>
      <c r="D245" s="15">
        <v>7148516</v>
      </c>
      <c r="E245" s="17">
        <v>21</v>
      </c>
      <c r="F245" s="16">
        <v>1</v>
      </c>
      <c r="G245" s="16"/>
      <c r="I245" s="18" t="str">
        <f>IF(OR(ISBLANK(#REF!),ISBLANK(G245)),"·",#REF!*G245/F245/1000000)</f>
        <v>·</v>
      </c>
      <c r="J245" s="19" t="e">
        <f>IF(ISBLANK(#REF!),"·",#REF!/D245)</f>
        <v>#REF!</v>
      </c>
      <c r="K245" s="19" t="e">
        <f>IF(#REF!="","·",#REF!/D245)</f>
        <v>#REF!</v>
      </c>
      <c r="L245" s="19" t="e">
        <f>IF(ISBLANK(#REF!),"·",#REF!/D245)</f>
        <v>#REF!</v>
      </c>
      <c r="M245" s="19" t="e">
        <f>IF(ISBLANK(#REF!),"·",#REF!/D245)</f>
        <v>#REF!</v>
      </c>
      <c r="N245" s="19" t="e">
        <f>IF(ISBLANK(#REF!),"·",#REF!/#REF!)</f>
        <v>#REF!</v>
      </c>
      <c r="O245" s="21"/>
      <c r="P245" s="22"/>
      <c r="Q245" s="22"/>
      <c r="R245" s="22"/>
      <c r="S245" s="22"/>
      <c r="T245" s="24"/>
      <c r="U245" s="24"/>
      <c r="V245" s="24"/>
      <c r="W245" s="24"/>
      <c r="X245" s="24"/>
      <c r="Y245" s="24"/>
      <c r="Z245" s="24"/>
      <c r="AA245" s="24"/>
      <c r="AB245" s="26"/>
      <c r="AC245" s="26"/>
      <c r="AE245" s="18" t="str">
        <f t="shared" si="15"/>
        <v>·</v>
      </c>
      <c r="AF245" s="19" t="str">
        <f t="shared" si="16"/>
        <v>·</v>
      </c>
      <c r="AG245" s="19" t="str">
        <f t="shared" si="17"/>
        <v>·</v>
      </c>
      <c r="AH245" s="19" t="str">
        <f t="shared" si="18"/>
        <v>·</v>
      </c>
      <c r="AI245" s="19" t="str">
        <f t="shared" si="20"/>
        <v>·</v>
      </c>
      <c r="AJ245" s="19" t="str">
        <f t="shared" si="19"/>
        <v>·</v>
      </c>
      <c r="BA245" s="27" t="e">
        <f>(Q245/P245) - (#REF!/#REF!)</f>
        <v>#DIV/0!</v>
      </c>
      <c r="BB245" s="27" t="e">
        <f t="array" ref="BB245">AVERAGE(Q245:Q249/P245:P249) - AVERAGE(#REF!/#REF!)</f>
        <v>#DIV/0!</v>
      </c>
      <c r="BD245" s="28" t="str">
        <f>_xlfn.SINGLE(IF( OR(ISBLANK(_xlfn.SINGLE(#REF!)),ISBLANK(_xlfn.SINGLE(R245:R249)), ISBLANK(_xlfn.SINGLE(#REF!)),ISBLANK(_xlfn.SINGLE(T245:T249))), "·", bdRateExtend(#REF!,#REF!, R245:R249,T245:T249)))</f>
        <v>·</v>
      </c>
      <c r="BE245" s="28" t="str">
        <f>_xlfn.SINGLE(IF( OR(ISBLANK(_xlfn.SINGLE(#REF!)),ISBLANK(_xlfn.SINGLE(R245:R249)), ISBLANK(_xlfn.SINGLE(#REF!)),ISBLANK(_xlfn.SINGLE(U245:U249))), "·", bdRateExtend(#REF!,#REF!, R245:R249,U245:U249)))</f>
        <v>·</v>
      </c>
      <c r="BF245" s="28" t="str">
        <f>_xlfn.SINGLE(IF( OR(ISBLANK(_xlfn.SINGLE(#REF!)),ISBLANK(_xlfn.SINGLE(R245:R249)), ISBLANK(_xlfn.SINGLE(#REF!)),ISBLANK(_xlfn.SINGLE(V245:V249))), "·", bdRateExtend(#REF!,#REF!, R245:R249,V245:V249)))</f>
        <v>·</v>
      </c>
      <c r="BG245" s="28" t="str">
        <f>_xlfn.SINGLE(IF( OR(ISBLANK(_xlfn.SINGLE(#REF!)),ISBLANK(_xlfn.SINGLE(S245:S249)), ISBLANK(_xlfn.SINGLE(#REF!)),ISBLANK(_xlfn.SINGLE(W245:W249))), "·", bdRateExtend(#REF!,#REF!, S245:S249,W245:W249)))</f>
        <v>·</v>
      </c>
      <c r="BI245" s="28" t="str">
        <f>_xlfn.SINGLE(IF( OR(ISBLANK(_xlfn.SINGLE(#REF!)),ISBLANK(_xlfn.SINGLE(R245:R249)), ISBLANK(_xlfn.SINGLE(#REF!)),ISBLANK(_xlfn.SINGLE(X245:X249))), "·", bdRateExtend(#REF!,#REF!, R245:R249,X245:X249)))</f>
        <v>·</v>
      </c>
      <c r="BJ245" s="28" t="str">
        <f>_xlfn.SINGLE(IF( OR(ISBLANK(_xlfn.SINGLE(#REF!)),ISBLANK(_xlfn.SINGLE(R245:R249)), ISBLANK(_xlfn.SINGLE(#REF!)),ISBLANK(_xlfn.SINGLE(Y245:Y249))), "·", bdRateExtend(#REF!,#REF!, R245:R249,Y245:Y249)))</f>
        <v>·</v>
      </c>
      <c r="BK245" s="28" t="str">
        <f>_xlfn.SINGLE(IF( OR(ISBLANK(_xlfn.SINGLE(#REF!)),ISBLANK(_xlfn.SINGLE(R245:R249)), ISBLANK(_xlfn.SINGLE(#REF!)),ISBLANK(_xlfn.SINGLE(Z245:Z249))), "·", bdRateExtend(#REF!,#REF!, R245:R249,Z245:Z249)))</f>
        <v>·</v>
      </c>
      <c r="BL245" s="28" t="str">
        <f>_xlfn.SINGLE(IF( OR(ISBLANK(_xlfn.SINGLE(#REF!)),ISBLANK(_xlfn.SINGLE(S245:S249)), ISBLANK(_xlfn.SINGLE(#REF!)),ISBLANK(_xlfn.SINGLE(AA245:AA249))), "·", bdRateExtend(#REF!,#REF!, S245:S249,AA245:AA249)))</f>
        <v>·</v>
      </c>
      <c r="BN245" s="28" t="str">
        <f>_xlfn.SINGLE(IF( OR(ISBLANK(_xlfn.SINGLE(#REF!)),ISBLANK(_xlfn.SINGLE(P245:P249)), ISBLANK(_xlfn.SINGLE(#REF!)),ISBLANK(_xlfn.SINGLE(T245:T249))), "·", bdRateExtend(#REF!,#REF!, P245:P249,T245:T249)))</f>
        <v>·</v>
      </c>
      <c r="BO245" s="28" t="str">
        <f>_xlfn.SINGLE(IF( OR(ISBLANK(_xlfn.SINGLE(#REF!)),ISBLANK(_xlfn.SINGLE(P245:P249)), ISBLANK(_xlfn.SINGLE(#REF!)),ISBLANK(_xlfn.SINGLE(U245:U249))), "·", bdRateExtend(#REF!,#REF!, P245:P249,U245:U249)))</f>
        <v>·</v>
      </c>
      <c r="BP245" s="28" t="str">
        <f>_xlfn.SINGLE(IF( OR(ISBLANK(_xlfn.SINGLE(#REF!)),ISBLANK(_xlfn.SINGLE(P245:P249)), ISBLANK(_xlfn.SINGLE(#REF!)),ISBLANK(_xlfn.SINGLE(V245:V249))), "·", bdRateExtend(#REF!,#REF!, P245:P249,V245:V249)))</f>
        <v>·</v>
      </c>
      <c r="BQ245" s="28" t="str">
        <f>_xlfn.SINGLE(IF( OR(ISBLANK(_xlfn.SINGLE(#REF!)),ISBLANK(_xlfn.SINGLE(P245:P249)), ISBLANK(_xlfn.SINGLE(#REF!)),ISBLANK(_xlfn.SINGLE(W245:W249))), "·", bdRateExtend(#REF!,#REF!, P245:P249,W245:W249)))</f>
        <v>·</v>
      </c>
      <c r="BS245" s="28" t="str">
        <f>_xlfn.SINGLE(IF( OR(ISBLANK(_xlfn.SINGLE(#REF!)),ISBLANK(_xlfn.SINGLE(P245:P249)), ISBLANK(_xlfn.SINGLE(#REF!)),ISBLANK(_xlfn.SINGLE(X245:X249))), "·", bdRateExtend(#REF!,#REF!, P245:P249,X245:X249)))</f>
        <v>·</v>
      </c>
      <c r="BT245" s="28" t="str">
        <f>_xlfn.SINGLE(IF( OR(ISBLANK(_xlfn.SINGLE(#REF!)),ISBLANK(_xlfn.SINGLE(P245:P249)), ISBLANK(_xlfn.SINGLE(#REF!)),ISBLANK(_xlfn.SINGLE(Y245:Y249))), "·", bdRateExtend(#REF!,#REF!, P245:P249,Y245:Y249)))</f>
        <v>·</v>
      </c>
      <c r="BU245" s="28" t="str">
        <f>_xlfn.SINGLE(IF( OR(ISBLANK(_xlfn.SINGLE(#REF!)),ISBLANK(_xlfn.SINGLE(P245:P249)), ISBLANK(_xlfn.SINGLE(#REF!)),ISBLANK(_xlfn.SINGLE(Z245:Z249))), "·", bdRateExtend(#REF!,#REF!, P245:P249,Z245:Z249)))</f>
        <v>·</v>
      </c>
      <c r="BV245" s="28" t="str">
        <f>_xlfn.SINGLE(IF( OR(ISBLANK(_xlfn.SINGLE(#REF!)),ISBLANK(_xlfn.SINGLE(P245:P249)), ISBLANK(_xlfn.SINGLE(#REF!)),ISBLANK(_xlfn.SINGLE(AA245:AA249))), "·", bdRateExtend(#REF!,#REF!, P245:P249,AA245:AA249)))</f>
        <v>·</v>
      </c>
    </row>
    <row r="246" spans="1:74" outlineLevel="1" x14ac:dyDescent="0.15">
      <c r="A246" s="30"/>
      <c r="B246" s="30" t="s">
        <v>378</v>
      </c>
      <c r="C246" s="31" t="s">
        <v>226</v>
      </c>
      <c r="D246" s="30">
        <v>7148516</v>
      </c>
      <c r="E246" s="32">
        <v>21</v>
      </c>
      <c r="F246" s="31">
        <v>1</v>
      </c>
      <c r="G246" s="31"/>
      <c r="I246" s="33" t="str">
        <f>IF(OR(ISBLANK(#REF!),ISBLANK(G246)),"·",#REF!*G246/F246/1000000)</f>
        <v>·</v>
      </c>
      <c r="J246" s="34" t="e">
        <f>IF(ISBLANK(#REF!),"·",#REF!/D246)</f>
        <v>#REF!</v>
      </c>
      <c r="K246" s="34" t="e">
        <f>IF(#REF!="","·",#REF!/D246)</f>
        <v>#REF!</v>
      </c>
      <c r="L246" s="34" t="e">
        <f>IF(ISBLANK(#REF!),"·",#REF!/D246)</f>
        <v>#REF!</v>
      </c>
      <c r="M246" s="34" t="e">
        <f>IF(ISBLANK(#REF!),"·",#REF!/D246)</f>
        <v>#REF!</v>
      </c>
      <c r="N246" s="34" t="e">
        <f>IF(ISBLANK(#REF!),"·",#REF!/#REF!)</f>
        <v>#REF!</v>
      </c>
      <c r="O246" s="36"/>
      <c r="P246" s="37"/>
      <c r="Q246" s="37"/>
      <c r="R246" s="37"/>
      <c r="S246" s="37"/>
      <c r="T246" s="39"/>
      <c r="U246" s="39"/>
      <c r="V246" s="39"/>
      <c r="W246" s="39"/>
      <c r="X246" s="39"/>
      <c r="Y246" s="39"/>
      <c r="Z246" s="39"/>
      <c r="AA246" s="39"/>
      <c r="AB246" s="41"/>
      <c r="AC246" s="41"/>
      <c r="AE246" s="33" t="str">
        <f t="shared" si="15"/>
        <v>·</v>
      </c>
      <c r="AF246" s="34" t="str">
        <f t="shared" si="16"/>
        <v>·</v>
      </c>
      <c r="AG246" s="34" t="str">
        <f t="shared" si="17"/>
        <v>·</v>
      </c>
      <c r="AH246" s="34" t="str">
        <f t="shared" si="18"/>
        <v>·</v>
      </c>
      <c r="AI246" s="34" t="str">
        <f t="shared" si="20"/>
        <v>·</v>
      </c>
      <c r="AJ246" s="34" t="str">
        <f t="shared" si="19"/>
        <v>·</v>
      </c>
      <c r="BA246" s="42" t="e">
        <f>(Q246/P246) - (#REF!/#REF!)</f>
        <v>#DIV/0!</v>
      </c>
      <c r="BB246" s="42"/>
      <c r="BD246" s="43"/>
      <c r="BE246" s="43"/>
      <c r="BF246" s="43"/>
      <c r="BG246" s="43"/>
      <c r="BI246" s="43"/>
      <c r="BJ246" s="43"/>
      <c r="BK246" s="43"/>
      <c r="BL246" s="43"/>
      <c r="BN246" s="43"/>
      <c r="BO246" s="43"/>
      <c r="BP246" s="43"/>
      <c r="BQ246" s="43"/>
      <c r="BS246" s="43"/>
      <c r="BT246" s="43"/>
      <c r="BU246" s="43"/>
      <c r="BV246" s="43"/>
    </row>
    <row r="247" spans="1:74" outlineLevel="1" x14ac:dyDescent="0.15">
      <c r="A247" s="15"/>
      <c r="B247" s="15" t="s">
        <v>378</v>
      </c>
      <c r="C247" s="16" t="s">
        <v>227</v>
      </c>
      <c r="D247" s="15">
        <v>7148516</v>
      </c>
      <c r="E247" s="17">
        <v>21</v>
      </c>
      <c r="F247" s="16">
        <v>1</v>
      </c>
      <c r="G247" s="16"/>
      <c r="I247" s="18" t="str">
        <f>IF(OR(ISBLANK(#REF!),ISBLANK(G247)),"·",#REF!*G247/F247/1000000)</f>
        <v>·</v>
      </c>
      <c r="J247" s="19" t="e">
        <f>IF(ISBLANK(#REF!),"·",#REF!/D247)</f>
        <v>#REF!</v>
      </c>
      <c r="K247" s="19" t="e">
        <f>IF(#REF!="","·",#REF!/D247)</f>
        <v>#REF!</v>
      </c>
      <c r="L247" s="19" t="e">
        <f>IF(ISBLANK(#REF!),"·",#REF!/D247)</f>
        <v>#REF!</v>
      </c>
      <c r="M247" s="19" t="e">
        <f>IF(ISBLANK(#REF!),"·",#REF!/D247)</f>
        <v>#REF!</v>
      </c>
      <c r="N247" s="19" t="e">
        <f>IF(ISBLANK(#REF!),"·",#REF!/#REF!)</f>
        <v>#REF!</v>
      </c>
      <c r="O247" s="21"/>
      <c r="P247" s="22"/>
      <c r="Q247" s="22"/>
      <c r="R247" s="22"/>
      <c r="S247" s="22"/>
      <c r="T247" s="24"/>
      <c r="U247" s="24"/>
      <c r="V247" s="24"/>
      <c r="W247" s="24"/>
      <c r="X247" s="24"/>
      <c r="Y247" s="24"/>
      <c r="Z247" s="24"/>
      <c r="AA247" s="24"/>
      <c r="AB247" s="26"/>
      <c r="AC247" s="26"/>
      <c r="AE247" s="18" t="str">
        <f t="shared" si="15"/>
        <v>·</v>
      </c>
      <c r="AF247" s="19" t="str">
        <f t="shared" si="16"/>
        <v>·</v>
      </c>
      <c r="AG247" s="19" t="str">
        <f t="shared" si="17"/>
        <v>·</v>
      </c>
      <c r="AH247" s="19" t="str">
        <f t="shared" si="18"/>
        <v>·</v>
      </c>
      <c r="AI247" s="19" t="str">
        <f t="shared" si="20"/>
        <v>·</v>
      </c>
      <c r="AJ247" s="19" t="str">
        <f t="shared" si="19"/>
        <v>·</v>
      </c>
      <c r="BA247" s="27" t="e">
        <f>(Q247/P247) - (#REF!/#REF!)</f>
        <v>#DIV/0!</v>
      </c>
      <c r="BB247" s="27"/>
      <c r="BD247" s="28"/>
      <c r="BE247" s="28"/>
      <c r="BF247" s="28"/>
      <c r="BG247" s="28"/>
      <c r="BI247" s="28"/>
      <c r="BJ247" s="28"/>
      <c r="BK247" s="28"/>
      <c r="BL247" s="28"/>
      <c r="BN247" s="28"/>
      <c r="BO247" s="28"/>
      <c r="BP247" s="28"/>
      <c r="BQ247" s="28"/>
      <c r="BS247" s="28"/>
      <c r="BT247" s="28"/>
      <c r="BU247" s="28"/>
      <c r="BV247" s="28"/>
    </row>
    <row r="248" spans="1:74" outlineLevel="1" x14ac:dyDescent="0.15">
      <c r="A248" s="30"/>
      <c r="B248" s="30" t="s">
        <v>378</v>
      </c>
      <c r="C248" s="31" t="s">
        <v>228</v>
      </c>
      <c r="D248" s="30">
        <v>7148516</v>
      </c>
      <c r="E248" s="32">
        <v>21</v>
      </c>
      <c r="F248" s="31">
        <v>1</v>
      </c>
      <c r="G248" s="31"/>
      <c r="I248" s="33" t="str">
        <f>IF(OR(ISBLANK(#REF!),ISBLANK(G248)),"·",#REF!*G248/F248/1000000)</f>
        <v>·</v>
      </c>
      <c r="J248" s="34" t="e">
        <f>IF(ISBLANK(#REF!),"·",#REF!/D248)</f>
        <v>#REF!</v>
      </c>
      <c r="K248" s="34" t="e">
        <f>IF(#REF!="","·",#REF!/D248)</f>
        <v>#REF!</v>
      </c>
      <c r="L248" s="34" t="e">
        <f>IF(ISBLANK(#REF!),"·",#REF!/D248)</f>
        <v>#REF!</v>
      </c>
      <c r="M248" s="34" t="e">
        <f>IF(ISBLANK(#REF!),"·",#REF!/D248)</f>
        <v>#REF!</v>
      </c>
      <c r="N248" s="34" t="e">
        <f>IF(ISBLANK(#REF!),"·",#REF!/#REF!)</f>
        <v>#REF!</v>
      </c>
      <c r="O248" s="36"/>
      <c r="P248" s="37"/>
      <c r="Q248" s="37"/>
      <c r="R248" s="37"/>
      <c r="S248" s="37"/>
      <c r="T248" s="39"/>
      <c r="U248" s="39"/>
      <c r="V248" s="39"/>
      <c r="W248" s="39"/>
      <c r="X248" s="39"/>
      <c r="Y248" s="39"/>
      <c r="Z248" s="39"/>
      <c r="AA248" s="39"/>
      <c r="AB248" s="41"/>
      <c r="AC248" s="41"/>
      <c r="AE248" s="33" t="str">
        <f t="shared" si="15"/>
        <v>·</v>
      </c>
      <c r="AF248" s="34" t="str">
        <f t="shared" si="16"/>
        <v>·</v>
      </c>
      <c r="AG248" s="34" t="str">
        <f t="shared" si="17"/>
        <v>·</v>
      </c>
      <c r="AH248" s="34" t="str">
        <f t="shared" si="18"/>
        <v>·</v>
      </c>
      <c r="AI248" s="34" t="str">
        <f t="shared" si="20"/>
        <v>·</v>
      </c>
      <c r="AJ248" s="34" t="str">
        <f t="shared" si="19"/>
        <v>·</v>
      </c>
      <c r="BA248" s="42" t="e">
        <f>(Q248/P248) - (#REF!/#REF!)</f>
        <v>#DIV/0!</v>
      </c>
      <c r="BB248" s="42"/>
      <c r="BD248" s="43"/>
      <c r="BE248" s="43"/>
      <c r="BF248" s="43"/>
      <c r="BG248" s="43"/>
      <c r="BI248" s="43"/>
      <c r="BJ248" s="43"/>
      <c r="BK248" s="43"/>
      <c r="BL248" s="43"/>
      <c r="BN248" s="43"/>
      <c r="BO248" s="43"/>
      <c r="BP248" s="43"/>
      <c r="BQ248" s="43"/>
      <c r="BS248" s="43"/>
      <c r="BT248" s="43"/>
      <c r="BU248" s="43"/>
      <c r="BV248" s="43"/>
    </row>
    <row r="249" spans="1:74" ht="14.25" outlineLevel="1" thickBot="1" x14ac:dyDescent="0.2">
      <c r="A249" s="64"/>
      <c r="B249" s="64" t="s">
        <v>378</v>
      </c>
      <c r="C249" s="66" t="s">
        <v>229</v>
      </c>
      <c r="D249" s="64">
        <v>7148516</v>
      </c>
      <c r="E249" s="65">
        <v>21</v>
      </c>
      <c r="F249" s="66">
        <v>1</v>
      </c>
      <c r="G249" s="66"/>
      <c r="I249" s="68" t="str">
        <f>IF(OR(ISBLANK(#REF!),ISBLANK(G249)),"·",#REF!*G249/F249/1000000)</f>
        <v>·</v>
      </c>
      <c r="J249" s="69" t="e">
        <f>IF(ISBLANK(#REF!),"·",#REF!/D249)</f>
        <v>#REF!</v>
      </c>
      <c r="K249" s="69" t="e">
        <f>IF(#REF!="","·",#REF!/D249)</f>
        <v>#REF!</v>
      </c>
      <c r="L249" s="69" t="e">
        <f>IF(ISBLANK(#REF!),"·",#REF!/D249)</f>
        <v>#REF!</v>
      </c>
      <c r="M249" s="69" t="e">
        <f>IF(ISBLANK(#REF!),"·",#REF!/D249)</f>
        <v>#REF!</v>
      </c>
      <c r="N249" s="69" t="e">
        <f>IF(ISBLANK(#REF!),"·",#REF!/#REF!)</f>
        <v>#REF!</v>
      </c>
      <c r="O249" s="71"/>
      <c r="P249" s="72"/>
      <c r="Q249" s="72"/>
      <c r="R249" s="72"/>
      <c r="S249" s="72"/>
      <c r="T249" s="77"/>
      <c r="U249" s="77"/>
      <c r="V249" s="77"/>
      <c r="W249" s="77"/>
      <c r="X249" s="77"/>
      <c r="Y249" s="77"/>
      <c r="Z249" s="77"/>
      <c r="AA249" s="77"/>
      <c r="AB249" s="74"/>
      <c r="AC249" s="74"/>
      <c r="AE249" s="68" t="str">
        <f t="shared" si="15"/>
        <v>·</v>
      </c>
      <c r="AF249" s="69" t="str">
        <f t="shared" si="16"/>
        <v>·</v>
      </c>
      <c r="AG249" s="69" t="str">
        <f t="shared" si="17"/>
        <v>·</v>
      </c>
      <c r="AH249" s="69" t="str">
        <f t="shared" si="18"/>
        <v>·</v>
      </c>
      <c r="AI249" s="69" t="str">
        <f t="shared" si="20"/>
        <v>·</v>
      </c>
      <c r="AJ249" s="69" t="str">
        <f t="shared" si="19"/>
        <v>·</v>
      </c>
      <c r="BA249" s="67" t="e">
        <f>(Q249/P249) - (#REF!/#REF!)</f>
        <v>#DIV/0!</v>
      </c>
      <c r="BB249" s="67"/>
      <c r="BD249" s="75"/>
      <c r="BE249" s="75"/>
      <c r="BF249" s="75"/>
      <c r="BG249" s="75"/>
      <c r="BI249" s="75"/>
      <c r="BJ249" s="75"/>
      <c r="BK249" s="75"/>
      <c r="BL249" s="75"/>
      <c r="BN249" s="75"/>
      <c r="BO249" s="75"/>
      <c r="BP249" s="75"/>
      <c r="BQ249" s="75"/>
      <c r="BS249" s="75"/>
      <c r="BT249" s="75"/>
      <c r="BU249" s="75"/>
      <c r="BV249" s="75"/>
    </row>
    <row r="250" spans="1:74" x14ac:dyDescent="0.15">
      <c r="A250" s="15" t="s">
        <v>1020</v>
      </c>
      <c r="B250" s="30" t="s">
        <v>381</v>
      </c>
      <c r="C250" s="31" t="s">
        <v>225</v>
      </c>
      <c r="D250" s="30">
        <v>123940658</v>
      </c>
      <c r="E250" s="32">
        <v>18</v>
      </c>
      <c r="F250" s="31">
        <v>1500</v>
      </c>
      <c r="G250" s="31">
        <v>10</v>
      </c>
      <c r="I250" s="33" t="e">
        <f>IF(OR(ISBLANK(#REF!),ISBLANK(G250)),"·",#REF!*G250/F250/1000000)</f>
        <v>#REF!</v>
      </c>
      <c r="J250" s="34" t="e">
        <f>IF(ISBLANK(#REF!),"·",#REF!/D250)</f>
        <v>#REF!</v>
      </c>
      <c r="K250" s="34" t="e">
        <f>IF(#REF!="","·",#REF!/D250)</f>
        <v>#REF!</v>
      </c>
      <c r="L250" s="35"/>
      <c r="M250" s="34" t="e">
        <f>IF(ISBLANK(#REF!),"·",#REF!/D250)</f>
        <v>#REF!</v>
      </c>
      <c r="N250" s="34" t="e">
        <f>IF(ISBLANK(#REF!),"·",#REF!/#REF!)</f>
        <v>#REF!</v>
      </c>
      <c r="O250" s="36"/>
      <c r="P250" s="37"/>
      <c r="Q250" s="37"/>
      <c r="R250" s="38"/>
      <c r="S250" s="37"/>
      <c r="T250" s="40"/>
      <c r="U250" s="40"/>
      <c r="V250" s="40"/>
      <c r="W250" s="39"/>
      <c r="X250" s="40"/>
      <c r="Y250" s="40"/>
      <c r="Z250" s="40"/>
      <c r="AA250" s="39"/>
      <c r="AB250" s="41"/>
      <c r="AC250" s="41"/>
      <c r="AE250" s="33" t="str">
        <f t="shared" si="15"/>
        <v>·</v>
      </c>
      <c r="AF250" s="34" t="str">
        <f t="shared" si="16"/>
        <v>·</v>
      </c>
      <c r="AG250" s="34" t="str">
        <f t="shared" si="17"/>
        <v>·</v>
      </c>
      <c r="AH250" s="35"/>
      <c r="AI250" s="34" t="str">
        <f t="shared" si="20"/>
        <v>·</v>
      </c>
      <c r="AJ250" s="34" t="str">
        <f t="shared" si="19"/>
        <v>·</v>
      </c>
      <c r="BA250" s="42" t="e">
        <f>(Q250/P250) - (#REF!/#REF!)</f>
        <v>#DIV/0!</v>
      </c>
      <c r="BB250" s="42" t="e">
        <f t="array" ref="BB250">AVERAGE(Q250:Q254/P250:P254) - AVERAGE(#REF!/#REF!)</f>
        <v>#DIV/0!</v>
      </c>
      <c r="BD250" s="44"/>
      <c r="BE250" s="44"/>
      <c r="BF250" s="44"/>
      <c r="BG250" s="43" t="str">
        <f>_xlfn.SINGLE(IF( OR(ISBLANK(_xlfn.SINGLE(#REF!)),ISBLANK(_xlfn.SINGLE(S250:S254)), ISBLANK(_xlfn.SINGLE(#REF!)),ISBLANK(_xlfn.SINGLE(W250:W254))), "·", bdRateExtend(#REF!,#REF!, S250:S254,W250:W254)))</f>
        <v>·</v>
      </c>
      <c r="BI250" s="44"/>
      <c r="BJ250" s="44"/>
      <c r="BK250" s="44"/>
      <c r="BL250" s="43" t="str">
        <f>_xlfn.SINGLE(IF( OR(ISBLANK(_xlfn.SINGLE(#REF!)),ISBLANK(_xlfn.SINGLE(S250:S254)), ISBLANK(_xlfn.SINGLE(#REF!)),ISBLANK(_xlfn.SINGLE(AA250:AA254))), "·", bdRateExtend(#REF!,#REF!, S250:S254,AA250:AA254)))</f>
        <v>·</v>
      </c>
      <c r="BN250" s="44"/>
      <c r="BO250" s="44"/>
      <c r="BP250" s="44"/>
      <c r="BQ250" s="43" t="str">
        <f>_xlfn.SINGLE(IF( OR(ISBLANK(_xlfn.SINGLE(#REF!)),ISBLANK(_xlfn.SINGLE(P250:P254)), ISBLANK(_xlfn.SINGLE(#REF!)),ISBLANK(_xlfn.SINGLE(W250:W254))), "·", bdRateExtend(#REF!,#REF!, P250:P254,W250:W254)))</f>
        <v>·</v>
      </c>
      <c r="BS250" s="44"/>
      <c r="BT250" s="44"/>
      <c r="BU250" s="44"/>
      <c r="BV250" s="43" t="str">
        <f>_xlfn.SINGLE(IF( OR(ISBLANK(_xlfn.SINGLE(#REF!)),ISBLANK(_xlfn.SINGLE(P250:P254)), ISBLANK(_xlfn.SINGLE(#REF!)),ISBLANK(_xlfn.SINGLE(AA250:AA254))), "·", bdRateExtend(#REF!,#REF!, P250:P254,AA250:AA254)))</f>
        <v>·</v>
      </c>
    </row>
    <row r="251" spans="1:74" outlineLevel="1" x14ac:dyDescent="0.15">
      <c r="A251" s="15"/>
      <c r="B251" s="15" t="s">
        <v>381</v>
      </c>
      <c r="C251" s="16" t="s">
        <v>226</v>
      </c>
      <c r="D251" s="15">
        <v>123940658</v>
      </c>
      <c r="E251" s="17">
        <v>18</v>
      </c>
      <c r="F251" s="16">
        <v>1500</v>
      </c>
      <c r="G251" s="16">
        <v>10</v>
      </c>
      <c r="I251" s="18" t="e">
        <f>IF(OR(ISBLANK(#REF!),ISBLANK(G251)),"·",#REF!*G251/F251/1000000)</f>
        <v>#REF!</v>
      </c>
      <c r="J251" s="19" t="e">
        <f>IF(ISBLANK(#REF!),"·",#REF!/D251)</f>
        <v>#REF!</v>
      </c>
      <c r="K251" s="19" t="e">
        <f>IF(#REF!="","·",#REF!/D251)</f>
        <v>#REF!</v>
      </c>
      <c r="L251" s="20"/>
      <c r="M251" s="19" t="e">
        <f>IF(ISBLANK(#REF!),"·",#REF!/D251)</f>
        <v>#REF!</v>
      </c>
      <c r="N251" s="19" t="e">
        <f>IF(ISBLANK(#REF!),"·",#REF!/#REF!)</f>
        <v>#REF!</v>
      </c>
      <c r="O251" s="21"/>
      <c r="P251" s="22"/>
      <c r="Q251" s="22"/>
      <c r="R251" s="23"/>
      <c r="S251" s="22"/>
      <c r="T251" s="25"/>
      <c r="U251" s="25"/>
      <c r="V251" s="25"/>
      <c r="W251" s="24"/>
      <c r="X251" s="25"/>
      <c r="Y251" s="25"/>
      <c r="Z251" s="25"/>
      <c r="AA251" s="24"/>
      <c r="AB251" s="26"/>
      <c r="AC251" s="26"/>
      <c r="AE251" s="18" t="str">
        <f t="shared" si="15"/>
        <v>·</v>
      </c>
      <c r="AF251" s="19" t="str">
        <f t="shared" si="16"/>
        <v>·</v>
      </c>
      <c r="AG251" s="19" t="str">
        <f t="shared" si="17"/>
        <v>·</v>
      </c>
      <c r="AH251" s="20"/>
      <c r="AI251" s="19" t="str">
        <f t="shared" si="20"/>
        <v>·</v>
      </c>
      <c r="AJ251" s="19" t="str">
        <f t="shared" si="19"/>
        <v>·</v>
      </c>
      <c r="BA251" s="27" t="e">
        <f>(Q251/P251) - (#REF!/#REF!)</f>
        <v>#DIV/0!</v>
      </c>
      <c r="BB251" s="27"/>
      <c r="BD251" s="29"/>
      <c r="BE251" s="29"/>
      <c r="BF251" s="29"/>
      <c r="BG251" s="28"/>
      <c r="BI251" s="29"/>
      <c r="BJ251" s="29"/>
      <c r="BK251" s="29"/>
      <c r="BL251" s="28"/>
      <c r="BN251" s="29"/>
      <c r="BO251" s="29"/>
      <c r="BP251" s="29"/>
      <c r="BQ251" s="28"/>
      <c r="BS251" s="29"/>
      <c r="BT251" s="29"/>
      <c r="BU251" s="29"/>
      <c r="BV251" s="28"/>
    </row>
    <row r="252" spans="1:74" outlineLevel="1" x14ac:dyDescent="0.15">
      <c r="A252" s="30"/>
      <c r="B252" s="30" t="s">
        <v>381</v>
      </c>
      <c r="C252" s="31" t="s">
        <v>227</v>
      </c>
      <c r="D252" s="30">
        <v>123940658</v>
      </c>
      <c r="E252" s="32">
        <v>18</v>
      </c>
      <c r="F252" s="31">
        <v>1500</v>
      </c>
      <c r="G252" s="31">
        <v>10</v>
      </c>
      <c r="I252" s="33" t="e">
        <f>IF(OR(ISBLANK(#REF!),ISBLANK(G252)),"·",#REF!*G252/F252/1000000)</f>
        <v>#REF!</v>
      </c>
      <c r="J252" s="34" t="e">
        <f>IF(ISBLANK(#REF!),"·",#REF!/D252)</f>
        <v>#REF!</v>
      </c>
      <c r="K252" s="34" t="e">
        <f>IF(#REF!="","·",#REF!/D252)</f>
        <v>#REF!</v>
      </c>
      <c r="L252" s="35"/>
      <c r="M252" s="34" t="e">
        <f>IF(ISBLANK(#REF!),"·",#REF!/D252)</f>
        <v>#REF!</v>
      </c>
      <c r="N252" s="34" t="e">
        <f>IF(ISBLANK(#REF!),"·",#REF!/#REF!)</f>
        <v>#REF!</v>
      </c>
      <c r="O252" s="36"/>
      <c r="P252" s="37"/>
      <c r="Q252" s="37"/>
      <c r="R252" s="38"/>
      <c r="S252" s="37"/>
      <c r="T252" s="40"/>
      <c r="U252" s="40"/>
      <c r="V252" s="40"/>
      <c r="W252" s="39"/>
      <c r="X252" s="40"/>
      <c r="Y252" s="40"/>
      <c r="Z252" s="40"/>
      <c r="AA252" s="39"/>
      <c r="AB252" s="41"/>
      <c r="AC252" s="41"/>
      <c r="AE252" s="33" t="str">
        <f t="shared" si="15"/>
        <v>·</v>
      </c>
      <c r="AF252" s="34" t="str">
        <f t="shared" si="16"/>
        <v>·</v>
      </c>
      <c r="AG252" s="34" t="str">
        <f t="shared" si="17"/>
        <v>·</v>
      </c>
      <c r="AH252" s="35"/>
      <c r="AI252" s="34" t="str">
        <f t="shared" si="20"/>
        <v>·</v>
      </c>
      <c r="AJ252" s="34" t="str">
        <f t="shared" si="19"/>
        <v>·</v>
      </c>
      <c r="BA252" s="42" t="e">
        <f>(Q252/P252) - (#REF!/#REF!)</f>
        <v>#DIV/0!</v>
      </c>
      <c r="BB252" s="42"/>
      <c r="BD252" s="44"/>
      <c r="BE252" s="44"/>
      <c r="BF252" s="44"/>
      <c r="BG252" s="43"/>
      <c r="BI252" s="44"/>
      <c r="BJ252" s="44"/>
      <c r="BK252" s="44"/>
      <c r="BL252" s="43"/>
      <c r="BN252" s="44"/>
      <c r="BO252" s="44"/>
      <c r="BP252" s="44"/>
      <c r="BQ252" s="43"/>
      <c r="BS252" s="44"/>
      <c r="BT252" s="44"/>
      <c r="BU252" s="44"/>
      <c r="BV252" s="43"/>
    </row>
    <row r="253" spans="1:74" outlineLevel="1" x14ac:dyDescent="0.15">
      <c r="A253" s="15"/>
      <c r="B253" s="15" t="s">
        <v>381</v>
      </c>
      <c r="C253" s="16" t="s">
        <v>228</v>
      </c>
      <c r="D253" s="15">
        <v>123940658</v>
      </c>
      <c r="E253" s="17">
        <v>18</v>
      </c>
      <c r="F253" s="16">
        <v>1500</v>
      </c>
      <c r="G253" s="16">
        <v>10</v>
      </c>
      <c r="I253" s="18" t="e">
        <f>IF(OR(ISBLANK(#REF!),ISBLANK(G253)),"·",#REF!*G253/F253/1000000)</f>
        <v>#REF!</v>
      </c>
      <c r="J253" s="19" t="e">
        <f>IF(ISBLANK(#REF!),"·",#REF!/D253)</f>
        <v>#REF!</v>
      </c>
      <c r="K253" s="19" t="e">
        <f>IF(#REF!="","·",#REF!/D253)</f>
        <v>#REF!</v>
      </c>
      <c r="L253" s="20"/>
      <c r="M253" s="19" t="e">
        <f>IF(ISBLANK(#REF!),"·",#REF!/D253)</f>
        <v>#REF!</v>
      </c>
      <c r="N253" s="19" t="e">
        <f>IF(ISBLANK(#REF!),"·",#REF!/#REF!)</f>
        <v>#REF!</v>
      </c>
      <c r="O253" s="21"/>
      <c r="P253" s="22"/>
      <c r="Q253" s="22"/>
      <c r="R253" s="23"/>
      <c r="S253" s="22"/>
      <c r="T253" s="25"/>
      <c r="U253" s="25"/>
      <c r="V253" s="25"/>
      <c r="W253" s="24"/>
      <c r="X253" s="25"/>
      <c r="Y253" s="25"/>
      <c r="Z253" s="25"/>
      <c r="AA253" s="24"/>
      <c r="AB253" s="26"/>
      <c r="AC253" s="26"/>
      <c r="AE253" s="18" t="str">
        <f t="shared" si="15"/>
        <v>·</v>
      </c>
      <c r="AF253" s="19" t="str">
        <f t="shared" si="16"/>
        <v>·</v>
      </c>
      <c r="AG253" s="19" t="str">
        <f t="shared" si="17"/>
        <v>·</v>
      </c>
      <c r="AH253" s="20"/>
      <c r="AI253" s="19" t="str">
        <f t="shared" si="20"/>
        <v>·</v>
      </c>
      <c r="AJ253" s="19" t="str">
        <f t="shared" si="19"/>
        <v>·</v>
      </c>
      <c r="BA253" s="27" t="e">
        <f>(Q253/P253) - (#REF!/#REF!)</f>
        <v>#DIV/0!</v>
      </c>
      <c r="BB253" s="27"/>
      <c r="BD253" s="29"/>
      <c r="BE253" s="29"/>
      <c r="BF253" s="29"/>
      <c r="BG253" s="28"/>
      <c r="BI253" s="29"/>
      <c r="BJ253" s="29"/>
      <c r="BK253" s="29"/>
      <c r="BL253" s="28"/>
      <c r="BN253" s="29"/>
      <c r="BO253" s="29"/>
      <c r="BP253" s="29"/>
      <c r="BQ253" s="28"/>
      <c r="BS253" s="29"/>
      <c r="BT253" s="29"/>
      <c r="BU253" s="29"/>
      <c r="BV253" s="28"/>
    </row>
    <row r="254" spans="1:74" ht="14.25" outlineLevel="1" thickBot="1" x14ac:dyDescent="0.2">
      <c r="A254" s="30"/>
      <c r="B254" s="45" t="s">
        <v>381</v>
      </c>
      <c r="C254" s="46" t="s">
        <v>229</v>
      </c>
      <c r="D254" s="45">
        <v>123940658</v>
      </c>
      <c r="E254" s="47">
        <v>18</v>
      </c>
      <c r="F254" s="46">
        <v>1500</v>
      </c>
      <c r="G254" s="46">
        <v>10</v>
      </c>
      <c r="I254" s="48" t="e">
        <f>IF(OR(ISBLANK(#REF!),ISBLANK(G254)),"·",#REF!*G254/F254/1000000)</f>
        <v>#REF!</v>
      </c>
      <c r="J254" s="49" t="e">
        <f>IF(ISBLANK(#REF!),"·",#REF!/D254)</f>
        <v>#REF!</v>
      </c>
      <c r="K254" s="49" t="e">
        <f>IF(#REF!="","·",#REF!/D254)</f>
        <v>#REF!</v>
      </c>
      <c r="L254" s="50"/>
      <c r="M254" s="49" t="e">
        <f>IF(ISBLANK(#REF!),"·",#REF!/D254)</f>
        <v>#REF!</v>
      </c>
      <c r="N254" s="49" t="e">
        <f>IF(ISBLANK(#REF!),"·",#REF!/#REF!)</f>
        <v>#REF!</v>
      </c>
      <c r="O254" s="51"/>
      <c r="P254" s="52"/>
      <c r="Q254" s="52"/>
      <c r="R254" s="53"/>
      <c r="S254" s="52"/>
      <c r="T254" s="55"/>
      <c r="U254" s="55"/>
      <c r="V254" s="55"/>
      <c r="W254" s="54"/>
      <c r="X254" s="55"/>
      <c r="Y254" s="55"/>
      <c r="Z254" s="55"/>
      <c r="AA254" s="54"/>
      <c r="AB254" s="56"/>
      <c r="AC254" s="56"/>
      <c r="AE254" s="48" t="str">
        <f t="shared" si="15"/>
        <v>·</v>
      </c>
      <c r="AF254" s="49" t="str">
        <f t="shared" si="16"/>
        <v>·</v>
      </c>
      <c r="AG254" s="49" t="str">
        <f t="shared" si="17"/>
        <v>·</v>
      </c>
      <c r="AH254" s="50"/>
      <c r="AI254" s="49" t="str">
        <f t="shared" si="20"/>
        <v>·</v>
      </c>
      <c r="AJ254" s="49" t="str">
        <f t="shared" si="19"/>
        <v>·</v>
      </c>
      <c r="BA254" s="57" t="e">
        <f>(Q254/P254) - (#REF!/#REF!)</f>
        <v>#DIV/0!</v>
      </c>
      <c r="BB254" s="57"/>
      <c r="BD254" s="59"/>
      <c r="BE254" s="59"/>
      <c r="BF254" s="59"/>
      <c r="BG254" s="58"/>
      <c r="BI254" s="59"/>
      <c r="BJ254" s="59"/>
      <c r="BK254" s="59"/>
      <c r="BL254" s="58"/>
      <c r="BN254" s="59"/>
      <c r="BO254" s="59"/>
      <c r="BP254" s="59"/>
      <c r="BQ254" s="58"/>
      <c r="BS254" s="59"/>
      <c r="BT254" s="59"/>
      <c r="BU254" s="59"/>
      <c r="BV254" s="58"/>
    </row>
    <row r="255" spans="1:74" x14ac:dyDescent="0.15">
      <c r="A255" s="15"/>
      <c r="B255" s="15" t="s">
        <v>384</v>
      </c>
      <c r="C255" s="16" t="s">
        <v>225</v>
      </c>
      <c r="D255" s="15">
        <v>125751705</v>
      </c>
      <c r="E255" s="17">
        <v>18</v>
      </c>
      <c r="F255" s="16">
        <v>1500</v>
      </c>
      <c r="G255" s="16">
        <v>10</v>
      </c>
      <c r="I255" s="18" t="e">
        <f>IF(OR(ISBLANK(#REF!),ISBLANK(G255)),"·",#REF!*G255/F255/1000000)</f>
        <v>#REF!</v>
      </c>
      <c r="J255" s="19" t="e">
        <f>IF(ISBLANK(#REF!),"·",#REF!/D255)</f>
        <v>#REF!</v>
      </c>
      <c r="K255" s="19" t="e">
        <f>IF(#REF!="","·",#REF!/D255)</f>
        <v>#REF!</v>
      </c>
      <c r="L255" s="20"/>
      <c r="M255" s="19" t="e">
        <f>IF(ISBLANK(#REF!),"·",#REF!/D255)</f>
        <v>#REF!</v>
      </c>
      <c r="N255" s="19" t="e">
        <f>IF(ISBLANK(#REF!),"·",#REF!/#REF!)</f>
        <v>#REF!</v>
      </c>
      <c r="O255" s="21"/>
      <c r="P255" s="22"/>
      <c r="Q255" s="22"/>
      <c r="R255" s="23"/>
      <c r="S255" s="22"/>
      <c r="T255" s="25"/>
      <c r="U255" s="25"/>
      <c r="V255" s="25"/>
      <c r="W255" s="24"/>
      <c r="X255" s="25"/>
      <c r="Y255" s="25"/>
      <c r="Z255" s="25"/>
      <c r="AA255" s="24"/>
      <c r="AB255" s="26"/>
      <c r="AC255" s="26"/>
      <c r="AE255" s="18" t="str">
        <f t="shared" si="15"/>
        <v>·</v>
      </c>
      <c r="AF255" s="19" t="str">
        <f t="shared" si="16"/>
        <v>·</v>
      </c>
      <c r="AG255" s="19" t="str">
        <f t="shared" si="17"/>
        <v>·</v>
      </c>
      <c r="AH255" s="20"/>
      <c r="AI255" s="19" t="str">
        <f t="shared" si="20"/>
        <v>·</v>
      </c>
      <c r="AJ255" s="19" t="str">
        <f t="shared" si="19"/>
        <v>·</v>
      </c>
      <c r="BA255" s="27" t="e">
        <f>(Q255/P255) - (#REF!/#REF!)</f>
        <v>#DIV/0!</v>
      </c>
      <c r="BB255" s="27" t="e">
        <f t="array" ref="BB255">AVERAGE(Q255:Q259/P255:P259) - AVERAGE(#REF!/#REF!)</f>
        <v>#DIV/0!</v>
      </c>
      <c r="BD255" s="29"/>
      <c r="BE255" s="29"/>
      <c r="BF255" s="29"/>
      <c r="BG255" s="28" t="str">
        <f>_xlfn.SINGLE(IF( OR(ISBLANK(_xlfn.SINGLE(#REF!)),ISBLANK(_xlfn.SINGLE(S255:S259)), ISBLANK(_xlfn.SINGLE(#REF!)),ISBLANK(_xlfn.SINGLE(W255:W259))), "·", bdRateExtend(#REF!,#REF!, S255:S259,W255:W259)))</f>
        <v>·</v>
      </c>
      <c r="BI255" s="29"/>
      <c r="BJ255" s="29"/>
      <c r="BK255" s="29"/>
      <c r="BL255" s="28" t="str">
        <f>_xlfn.SINGLE(IF( OR(ISBLANK(_xlfn.SINGLE(#REF!)),ISBLANK(_xlfn.SINGLE(S255:S259)), ISBLANK(_xlfn.SINGLE(#REF!)),ISBLANK(_xlfn.SINGLE(AA255:AA259))), "·", bdRateExtend(#REF!,#REF!, S255:S259,AA255:AA259)))</f>
        <v>·</v>
      </c>
      <c r="BN255" s="29"/>
      <c r="BO255" s="29"/>
      <c r="BP255" s="29"/>
      <c r="BQ255" s="28" t="str">
        <f>_xlfn.SINGLE(IF( OR(ISBLANK(_xlfn.SINGLE(#REF!)),ISBLANK(_xlfn.SINGLE(P255:P259)), ISBLANK(_xlfn.SINGLE(#REF!)),ISBLANK(_xlfn.SINGLE(W255:W259))), "·", bdRateExtend(#REF!,#REF!, P255:P259,W255:W259)))</f>
        <v>·</v>
      </c>
      <c r="BS255" s="29"/>
      <c r="BT255" s="29"/>
      <c r="BU255" s="29"/>
      <c r="BV255" s="28" t="str">
        <f>_xlfn.SINGLE(IF( OR(ISBLANK(_xlfn.SINGLE(#REF!)),ISBLANK(_xlfn.SINGLE(P255:P259)), ISBLANK(_xlfn.SINGLE(#REF!)),ISBLANK(_xlfn.SINGLE(AA255:AA259))), "·", bdRateExtend(#REF!,#REF!, P255:P259,AA255:AA259)))</f>
        <v>·</v>
      </c>
    </row>
    <row r="256" spans="1:74" outlineLevel="1" x14ac:dyDescent="0.15">
      <c r="A256" s="30"/>
      <c r="B256" s="30" t="s">
        <v>384</v>
      </c>
      <c r="C256" s="31" t="s">
        <v>226</v>
      </c>
      <c r="D256" s="30">
        <v>125751705</v>
      </c>
      <c r="E256" s="32">
        <v>18</v>
      </c>
      <c r="F256" s="31">
        <v>1500</v>
      </c>
      <c r="G256" s="31">
        <v>10</v>
      </c>
      <c r="I256" s="33" t="e">
        <f>IF(OR(ISBLANK(#REF!),ISBLANK(G256)),"·",#REF!*G256/F256/1000000)</f>
        <v>#REF!</v>
      </c>
      <c r="J256" s="34" t="e">
        <f>IF(ISBLANK(#REF!),"·",#REF!/D256)</f>
        <v>#REF!</v>
      </c>
      <c r="K256" s="34" t="e">
        <f>IF(#REF!="","·",#REF!/D256)</f>
        <v>#REF!</v>
      </c>
      <c r="L256" s="35"/>
      <c r="M256" s="34" t="e">
        <f>IF(ISBLANK(#REF!),"·",#REF!/D256)</f>
        <v>#REF!</v>
      </c>
      <c r="N256" s="34" t="e">
        <f>IF(ISBLANK(#REF!),"·",#REF!/#REF!)</f>
        <v>#REF!</v>
      </c>
      <c r="O256" s="36"/>
      <c r="P256" s="37"/>
      <c r="Q256" s="37"/>
      <c r="R256" s="38"/>
      <c r="S256" s="37"/>
      <c r="T256" s="40"/>
      <c r="U256" s="40"/>
      <c r="V256" s="40"/>
      <c r="W256" s="39"/>
      <c r="X256" s="40"/>
      <c r="Y256" s="40"/>
      <c r="Z256" s="40"/>
      <c r="AA256" s="39"/>
      <c r="AB256" s="41"/>
      <c r="AC256" s="41"/>
      <c r="AE256" s="33" t="str">
        <f t="shared" si="15"/>
        <v>·</v>
      </c>
      <c r="AF256" s="34" t="str">
        <f t="shared" si="16"/>
        <v>·</v>
      </c>
      <c r="AG256" s="34" t="str">
        <f t="shared" si="17"/>
        <v>·</v>
      </c>
      <c r="AH256" s="35"/>
      <c r="AI256" s="34" t="str">
        <f t="shared" si="20"/>
        <v>·</v>
      </c>
      <c r="AJ256" s="34" t="str">
        <f t="shared" si="19"/>
        <v>·</v>
      </c>
      <c r="BA256" s="42" t="e">
        <f>(Q256/P256) - (#REF!/#REF!)</f>
        <v>#DIV/0!</v>
      </c>
      <c r="BB256" s="42"/>
      <c r="BD256" s="44"/>
      <c r="BE256" s="44"/>
      <c r="BF256" s="44"/>
      <c r="BG256" s="43"/>
      <c r="BI256" s="44"/>
      <c r="BJ256" s="44"/>
      <c r="BK256" s="44"/>
      <c r="BL256" s="43"/>
      <c r="BN256" s="44"/>
      <c r="BO256" s="44"/>
      <c r="BP256" s="44"/>
      <c r="BQ256" s="43"/>
      <c r="BS256" s="44"/>
      <c r="BT256" s="44"/>
      <c r="BU256" s="44"/>
      <c r="BV256" s="43"/>
    </row>
    <row r="257" spans="1:74" outlineLevel="1" x14ac:dyDescent="0.15">
      <c r="A257" s="15"/>
      <c r="B257" s="15" t="s">
        <v>384</v>
      </c>
      <c r="C257" s="16" t="s">
        <v>227</v>
      </c>
      <c r="D257" s="15">
        <v>125751705</v>
      </c>
      <c r="E257" s="17">
        <v>18</v>
      </c>
      <c r="F257" s="16">
        <v>1500</v>
      </c>
      <c r="G257" s="16">
        <v>10</v>
      </c>
      <c r="I257" s="18" t="e">
        <f>IF(OR(ISBLANK(#REF!),ISBLANK(G257)),"·",#REF!*G257/F257/1000000)</f>
        <v>#REF!</v>
      </c>
      <c r="J257" s="19" t="e">
        <f>IF(ISBLANK(#REF!),"·",#REF!/D257)</f>
        <v>#REF!</v>
      </c>
      <c r="K257" s="19" t="e">
        <f>IF(#REF!="","·",#REF!/D257)</f>
        <v>#REF!</v>
      </c>
      <c r="L257" s="20"/>
      <c r="M257" s="19" t="e">
        <f>IF(ISBLANK(#REF!),"·",#REF!/D257)</f>
        <v>#REF!</v>
      </c>
      <c r="N257" s="19" t="e">
        <f>IF(ISBLANK(#REF!),"·",#REF!/#REF!)</f>
        <v>#REF!</v>
      </c>
      <c r="O257" s="21"/>
      <c r="P257" s="22"/>
      <c r="Q257" s="22"/>
      <c r="R257" s="23"/>
      <c r="S257" s="22"/>
      <c r="T257" s="25"/>
      <c r="U257" s="25"/>
      <c r="V257" s="25"/>
      <c r="W257" s="24"/>
      <c r="X257" s="25"/>
      <c r="Y257" s="25"/>
      <c r="Z257" s="25"/>
      <c r="AA257" s="24"/>
      <c r="AB257" s="26"/>
      <c r="AC257" s="26"/>
      <c r="AE257" s="18" t="str">
        <f t="shared" si="15"/>
        <v>·</v>
      </c>
      <c r="AF257" s="19" t="str">
        <f t="shared" si="16"/>
        <v>·</v>
      </c>
      <c r="AG257" s="19" t="str">
        <f t="shared" si="17"/>
        <v>·</v>
      </c>
      <c r="AH257" s="20"/>
      <c r="AI257" s="19" t="str">
        <f t="shared" si="20"/>
        <v>·</v>
      </c>
      <c r="AJ257" s="19" t="str">
        <f t="shared" si="19"/>
        <v>·</v>
      </c>
      <c r="BA257" s="27" t="e">
        <f>(Q257/P257) - (#REF!/#REF!)</f>
        <v>#DIV/0!</v>
      </c>
      <c r="BB257" s="27"/>
      <c r="BD257" s="29"/>
      <c r="BE257" s="29"/>
      <c r="BF257" s="29"/>
      <c r="BG257" s="28"/>
      <c r="BI257" s="29"/>
      <c r="BJ257" s="29"/>
      <c r="BK257" s="29"/>
      <c r="BL257" s="28"/>
      <c r="BN257" s="29"/>
      <c r="BO257" s="29"/>
      <c r="BP257" s="29"/>
      <c r="BQ257" s="28"/>
      <c r="BS257" s="29"/>
      <c r="BT257" s="29"/>
      <c r="BU257" s="29"/>
      <c r="BV257" s="28"/>
    </row>
    <row r="258" spans="1:74" outlineLevel="1" x14ac:dyDescent="0.15">
      <c r="A258" s="30"/>
      <c r="B258" s="30" t="s">
        <v>384</v>
      </c>
      <c r="C258" s="31" t="s">
        <v>228</v>
      </c>
      <c r="D258" s="30">
        <v>125751705</v>
      </c>
      <c r="E258" s="32">
        <v>18</v>
      </c>
      <c r="F258" s="31">
        <v>1500</v>
      </c>
      <c r="G258" s="31">
        <v>10</v>
      </c>
      <c r="I258" s="33" t="e">
        <f>IF(OR(ISBLANK(#REF!),ISBLANK(G258)),"·",#REF!*G258/F258/1000000)</f>
        <v>#REF!</v>
      </c>
      <c r="J258" s="34" t="e">
        <f>IF(ISBLANK(#REF!),"·",#REF!/D258)</f>
        <v>#REF!</v>
      </c>
      <c r="K258" s="34" t="e">
        <f>IF(#REF!="","·",#REF!/D258)</f>
        <v>#REF!</v>
      </c>
      <c r="L258" s="35"/>
      <c r="M258" s="34" t="e">
        <f>IF(ISBLANK(#REF!),"·",#REF!/D258)</f>
        <v>#REF!</v>
      </c>
      <c r="N258" s="34" t="e">
        <f>IF(ISBLANK(#REF!),"·",#REF!/#REF!)</f>
        <v>#REF!</v>
      </c>
      <c r="O258" s="36"/>
      <c r="P258" s="37"/>
      <c r="Q258" s="37"/>
      <c r="R258" s="38"/>
      <c r="S258" s="37"/>
      <c r="T258" s="40"/>
      <c r="U258" s="40"/>
      <c r="V258" s="40"/>
      <c r="W258" s="39"/>
      <c r="X258" s="40"/>
      <c r="Y258" s="40"/>
      <c r="Z258" s="40"/>
      <c r="AA258" s="39"/>
      <c r="AB258" s="41"/>
      <c r="AC258" s="41"/>
      <c r="AE258" s="33" t="str">
        <f t="shared" si="15"/>
        <v>·</v>
      </c>
      <c r="AF258" s="34" t="str">
        <f t="shared" si="16"/>
        <v>·</v>
      </c>
      <c r="AG258" s="34" t="str">
        <f t="shared" si="17"/>
        <v>·</v>
      </c>
      <c r="AH258" s="35"/>
      <c r="AI258" s="34" t="str">
        <f t="shared" si="20"/>
        <v>·</v>
      </c>
      <c r="AJ258" s="34" t="str">
        <f t="shared" si="19"/>
        <v>·</v>
      </c>
      <c r="BA258" s="42" t="e">
        <f>(Q258/P258) - (#REF!/#REF!)</f>
        <v>#DIV/0!</v>
      </c>
      <c r="BB258" s="42"/>
      <c r="BD258" s="44"/>
      <c r="BE258" s="44"/>
      <c r="BF258" s="44"/>
      <c r="BG258" s="43"/>
      <c r="BI258" s="44"/>
      <c r="BJ258" s="44"/>
      <c r="BK258" s="44"/>
      <c r="BL258" s="43"/>
      <c r="BN258" s="44"/>
      <c r="BO258" s="44"/>
      <c r="BP258" s="44"/>
      <c r="BQ258" s="43"/>
      <c r="BS258" s="44"/>
      <c r="BT258" s="44"/>
      <c r="BU258" s="44"/>
      <c r="BV258" s="43"/>
    </row>
    <row r="259" spans="1:74" ht="14.25" outlineLevel="1" thickBot="1" x14ac:dyDescent="0.2">
      <c r="A259" s="15"/>
      <c r="B259" s="64" t="s">
        <v>384</v>
      </c>
      <c r="C259" s="66" t="s">
        <v>229</v>
      </c>
      <c r="D259" s="64">
        <v>125751705</v>
      </c>
      <c r="E259" s="65">
        <v>18</v>
      </c>
      <c r="F259" s="66">
        <v>1500</v>
      </c>
      <c r="G259" s="66">
        <v>10</v>
      </c>
      <c r="I259" s="68" t="e">
        <f>IF(OR(ISBLANK(#REF!),ISBLANK(G259)),"·",#REF!*G259/F259/1000000)</f>
        <v>#REF!</v>
      </c>
      <c r="J259" s="69" t="e">
        <f>IF(ISBLANK(#REF!),"·",#REF!/D259)</f>
        <v>#REF!</v>
      </c>
      <c r="K259" s="69" t="e">
        <f>IF(#REF!="","·",#REF!/D259)</f>
        <v>#REF!</v>
      </c>
      <c r="L259" s="70"/>
      <c r="M259" s="69" t="e">
        <f>IF(ISBLANK(#REF!),"·",#REF!/D259)</f>
        <v>#REF!</v>
      </c>
      <c r="N259" s="69" t="e">
        <f>IF(ISBLANK(#REF!),"·",#REF!/#REF!)</f>
        <v>#REF!</v>
      </c>
      <c r="O259" s="71"/>
      <c r="P259" s="72"/>
      <c r="Q259" s="72"/>
      <c r="R259" s="73"/>
      <c r="S259" s="72"/>
      <c r="T259" s="78"/>
      <c r="U259" s="78"/>
      <c r="V259" s="78"/>
      <c r="W259" s="77"/>
      <c r="X259" s="78"/>
      <c r="Y259" s="78"/>
      <c r="Z259" s="78"/>
      <c r="AA259" s="77"/>
      <c r="AB259" s="74"/>
      <c r="AC259" s="74"/>
      <c r="AE259" s="68" t="str">
        <f t="shared" si="15"/>
        <v>·</v>
      </c>
      <c r="AF259" s="69" t="str">
        <f t="shared" si="16"/>
        <v>·</v>
      </c>
      <c r="AG259" s="69" t="str">
        <f t="shared" si="17"/>
        <v>·</v>
      </c>
      <c r="AH259" s="70"/>
      <c r="AI259" s="69" t="str">
        <f t="shared" si="20"/>
        <v>·</v>
      </c>
      <c r="AJ259" s="69" t="str">
        <f t="shared" si="19"/>
        <v>·</v>
      </c>
      <c r="BA259" s="67" t="e">
        <f>(Q259/P259) - (#REF!/#REF!)</f>
        <v>#DIV/0!</v>
      </c>
      <c r="BB259" s="67"/>
      <c r="BD259" s="76"/>
      <c r="BE259" s="76"/>
      <c r="BF259" s="76"/>
      <c r="BG259" s="75"/>
      <c r="BI259" s="76"/>
      <c r="BJ259" s="76"/>
      <c r="BK259" s="76"/>
      <c r="BL259" s="75"/>
      <c r="BN259" s="76"/>
      <c r="BO259" s="76"/>
      <c r="BP259" s="76"/>
      <c r="BQ259" s="75"/>
      <c r="BS259" s="76"/>
      <c r="BT259" s="76"/>
      <c r="BU259" s="76"/>
      <c r="BV259" s="75"/>
    </row>
    <row r="260" spans="1:74" x14ac:dyDescent="0.15">
      <c r="A260" s="30"/>
      <c r="B260" s="30" t="s">
        <v>387</v>
      </c>
      <c r="C260" s="31" t="s">
        <v>225</v>
      </c>
      <c r="D260" s="30">
        <v>126093865</v>
      </c>
      <c r="E260" s="32">
        <v>18</v>
      </c>
      <c r="F260" s="31">
        <v>1500</v>
      </c>
      <c r="G260" s="31">
        <v>10</v>
      </c>
      <c r="I260" s="33" t="e">
        <f>IF(OR(ISBLANK(#REF!),ISBLANK(G260)),"·",#REF!*G260/F260/1000000)</f>
        <v>#REF!</v>
      </c>
      <c r="J260" s="34" t="e">
        <f>IF(ISBLANK(#REF!),"·",#REF!/D260)</f>
        <v>#REF!</v>
      </c>
      <c r="K260" s="34" t="e">
        <f>IF(#REF!="","·",#REF!/D260)</f>
        <v>#REF!</v>
      </c>
      <c r="L260" s="35"/>
      <c r="M260" s="34" t="e">
        <f>IF(ISBLANK(#REF!),"·",#REF!/D260)</f>
        <v>#REF!</v>
      </c>
      <c r="N260" s="34" t="e">
        <f>IF(ISBLANK(#REF!),"·",#REF!/#REF!)</f>
        <v>#REF!</v>
      </c>
      <c r="O260" s="36"/>
      <c r="P260" s="37"/>
      <c r="Q260" s="37"/>
      <c r="R260" s="38"/>
      <c r="S260" s="37"/>
      <c r="T260" s="40"/>
      <c r="U260" s="40"/>
      <c r="V260" s="40"/>
      <c r="W260" s="39"/>
      <c r="X260" s="40"/>
      <c r="Y260" s="40"/>
      <c r="Z260" s="40"/>
      <c r="AA260" s="39"/>
      <c r="AB260" s="41"/>
      <c r="AC260" s="41"/>
      <c r="AE260" s="33" t="str">
        <f t="shared" si="15"/>
        <v>·</v>
      </c>
      <c r="AF260" s="34" t="str">
        <f t="shared" si="16"/>
        <v>·</v>
      </c>
      <c r="AG260" s="34" t="str">
        <f t="shared" si="17"/>
        <v>·</v>
      </c>
      <c r="AH260" s="35"/>
      <c r="AI260" s="34" t="str">
        <f t="shared" si="20"/>
        <v>·</v>
      </c>
      <c r="AJ260" s="34" t="str">
        <f t="shared" si="19"/>
        <v>·</v>
      </c>
      <c r="BA260" s="42" t="e">
        <f>(Q260/P260) - (#REF!/#REF!)</f>
        <v>#DIV/0!</v>
      </c>
      <c r="BB260" s="42" t="e">
        <f t="array" ref="BB260">AVERAGE(Q260:Q264/P260:P264) - AVERAGE(#REF!/#REF!)</f>
        <v>#DIV/0!</v>
      </c>
      <c r="BD260" s="44"/>
      <c r="BE260" s="44"/>
      <c r="BF260" s="44"/>
      <c r="BG260" s="43" t="str">
        <f>_xlfn.SINGLE(IF( OR(ISBLANK(_xlfn.SINGLE(#REF!)),ISBLANK(_xlfn.SINGLE(S260:S264)), ISBLANK(_xlfn.SINGLE(#REF!)),ISBLANK(_xlfn.SINGLE(W260:W264))), "·", bdRateExtend(#REF!,#REF!, S260:S264,W260:W264)))</f>
        <v>·</v>
      </c>
      <c r="BI260" s="44"/>
      <c r="BJ260" s="44"/>
      <c r="BK260" s="44"/>
      <c r="BL260" s="43" t="str">
        <f>_xlfn.SINGLE(IF( OR(ISBLANK(_xlfn.SINGLE(#REF!)),ISBLANK(_xlfn.SINGLE(S260:S264)), ISBLANK(_xlfn.SINGLE(#REF!)),ISBLANK(_xlfn.SINGLE(AA260:AA264))), "·", bdRateExtend(#REF!,#REF!, S260:S264,AA260:AA264)))</f>
        <v>·</v>
      </c>
      <c r="BN260" s="44"/>
      <c r="BO260" s="44"/>
      <c r="BP260" s="44"/>
      <c r="BQ260" s="43" t="str">
        <f>_xlfn.SINGLE(IF( OR(ISBLANK(_xlfn.SINGLE(#REF!)),ISBLANK(_xlfn.SINGLE(P260:P264)), ISBLANK(_xlfn.SINGLE(#REF!)),ISBLANK(_xlfn.SINGLE(W260:W264))), "·", bdRateExtend(#REF!,#REF!, P260:P264,W260:W264)))</f>
        <v>·</v>
      </c>
      <c r="BS260" s="44"/>
      <c r="BT260" s="44"/>
      <c r="BU260" s="44"/>
      <c r="BV260" s="43" t="str">
        <f>_xlfn.SINGLE(IF( OR(ISBLANK(_xlfn.SINGLE(#REF!)),ISBLANK(_xlfn.SINGLE(P260:P264)), ISBLANK(_xlfn.SINGLE(#REF!)),ISBLANK(_xlfn.SINGLE(AA260:AA264))), "·", bdRateExtend(#REF!,#REF!, P260:P264,AA260:AA264)))</f>
        <v>·</v>
      </c>
    </row>
    <row r="261" spans="1:74" outlineLevel="1" x14ac:dyDescent="0.15">
      <c r="A261" s="15"/>
      <c r="B261" s="15" t="s">
        <v>387</v>
      </c>
      <c r="C261" s="16" t="s">
        <v>226</v>
      </c>
      <c r="D261" s="15">
        <v>126093865</v>
      </c>
      <c r="E261" s="17">
        <v>18</v>
      </c>
      <c r="F261" s="16">
        <v>1500</v>
      </c>
      <c r="G261" s="16">
        <v>10</v>
      </c>
      <c r="I261" s="18" t="e">
        <f>IF(OR(ISBLANK(#REF!),ISBLANK(G261)),"·",#REF!*G261/F261/1000000)</f>
        <v>#REF!</v>
      </c>
      <c r="J261" s="19" t="e">
        <f>IF(ISBLANK(#REF!),"·",#REF!/D261)</f>
        <v>#REF!</v>
      </c>
      <c r="K261" s="19" t="e">
        <f>IF(#REF!="","·",#REF!/D261)</f>
        <v>#REF!</v>
      </c>
      <c r="L261" s="20"/>
      <c r="M261" s="19" t="e">
        <f>IF(ISBLANK(#REF!),"·",#REF!/D261)</f>
        <v>#REF!</v>
      </c>
      <c r="N261" s="19" t="e">
        <f>IF(ISBLANK(#REF!),"·",#REF!/#REF!)</f>
        <v>#REF!</v>
      </c>
      <c r="O261" s="21"/>
      <c r="P261" s="22"/>
      <c r="Q261" s="22"/>
      <c r="R261" s="23"/>
      <c r="S261" s="22"/>
      <c r="T261" s="25"/>
      <c r="U261" s="25"/>
      <c r="V261" s="25"/>
      <c r="W261" s="24"/>
      <c r="X261" s="25"/>
      <c r="Y261" s="25"/>
      <c r="Z261" s="25"/>
      <c r="AA261" s="24"/>
      <c r="AB261" s="26"/>
      <c r="AC261" s="26"/>
      <c r="AE261" s="18" t="str">
        <f t="shared" ref="AE261:AE299" si="21">IF(OR(ISBLANK(P261),ISBLANK(G261)),"·",P261*G261/F261/1000000)</f>
        <v>·</v>
      </c>
      <c r="AF261" s="19" t="str">
        <f t="shared" ref="AF261:AF299" si="22">IF(ISBLANK(P261),"·",P261/D261)</f>
        <v>·</v>
      </c>
      <c r="AG261" s="19" t="str">
        <f t="shared" ref="AG261:AG299" si="23">IF(Q261="","·",Q261/D261)</f>
        <v>·</v>
      </c>
      <c r="AH261" s="20"/>
      <c r="AI261" s="19" t="str">
        <f t="shared" si="20"/>
        <v>·</v>
      </c>
      <c r="AJ261" s="19" t="str">
        <f t="shared" ref="AJ261:AJ299" si="24">IF(ISBLANK(P261),"·",P261/O261)</f>
        <v>·</v>
      </c>
      <c r="BA261" s="27" t="e">
        <f>(Q261/P261) - (#REF!/#REF!)</f>
        <v>#DIV/0!</v>
      </c>
      <c r="BB261" s="27"/>
      <c r="BD261" s="29"/>
      <c r="BE261" s="29"/>
      <c r="BF261" s="29"/>
      <c r="BG261" s="28"/>
      <c r="BI261" s="29"/>
      <c r="BJ261" s="29"/>
      <c r="BK261" s="29"/>
      <c r="BL261" s="28"/>
      <c r="BN261" s="29"/>
      <c r="BO261" s="29"/>
      <c r="BP261" s="29"/>
      <c r="BQ261" s="28"/>
      <c r="BS261" s="29"/>
      <c r="BT261" s="29"/>
      <c r="BU261" s="29"/>
      <c r="BV261" s="28"/>
    </row>
    <row r="262" spans="1:74" outlineLevel="1" x14ac:dyDescent="0.15">
      <c r="A262" s="30"/>
      <c r="B262" s="30" t="s">
        <v>387</v>
      </c>
      <c r="C262" s="31" t="s">
        <v>227</v>
      </c>
      <c r="D262" s="30">
        <v>126093865</v>
      </c>
      <c r="E262" s="32">
        <v>18</v>
      </c>
      <c r="F262" s="31">
        <v>1500</v>
      </c>
      <c r="G262" s="31">
        <v>10</v>
      </c>
      <c r="I262" s="33" t="e">
        <f>IF(OR(ISBLANK(#REF!),ISBLANK(G262)),"·",#REF!*G262/F262/1000000)</f>
        <v>#REF!</v>
      </c>
      <c r="J262" s="34" t="e">
        <f>IF(ISBLANK(#REF!),"·",#REF!/D262)</f>
        <v>#REF!</v>
      </c>
      <c r="K262" s="34" t="e">
        <f>IF(#REF!="","·",#REF!/D262)</f>
        <v>#REF!</v>
      </c>
      <c r="L262" s="35"/>
      <c r="M262" s="34" t="e">
        <f>IF(ISBLANK(#REF!),"·",#REF!/D262)</f>
        <v>#REF!</v>
      </c>
      <c r="N262" s="34" t="e">
        <f>IF(ISBLANK(#REF!),"·",#REF!/#REF!)</f>
        <v>#REF!</v>
      </c>
      <c r="O262" s="36"/>
      <c r="P262" s="37"/>
      <c r="Q262" s="37"/>
      <c r="R262" s="38"/>
      <c r="S262" s="37"/>
      <c r="T262" s="40"/>
      <c r="U262" s="40"/>
      <c r="V262" s="40"/>
      <c r="W262" s="39"/>
      <c r="X262" s="40"/>
      <c r="Y262" s="40"/>
      <c r="Z262" s="40"/>
      <c r="AA262" s="39"/>
      <c r="AB262" s="41"/>
      <c r="AC262" s="41"/>
      <c r="AE262" s="33" t="str">
        <f t="shared" si="21"/>
        <v>·</v>
      </c>
      <c r="AF262" s="34" t="str">
        <f t="shared" si="22"/>
        <v>·</v>
      </c>
      <c r="AG262" s="34" t="str">
        <f t="shared" si="23"/>
        <v>·</v>
      </c>
      <c r="AH262" s="35"/>
      <c r="AI262" s="34" t="str">
        <f t="shared" si="20"/>
        <v>·</v>
      </c>
      <c r="AJ262" s="34" t="str">
        <f t="shared" si="24"/>
        <v>·</v>
      </c>
      <c r="BA262" s="42" t="e">
        <f>(Q262/P262) - (#REF!/#REF!)</f>
        <v>#DIV/0!</v>
      </c>
      <c r="BB262" s="42"/>
      <c r="BD262" s="44"/>
      <c r="BE262" s="44"/>
      <c r="BF262" s="44"/>
      <c r="BG262" s="43"/>
      <c r="BI262" s="44"/>
      <c r="BJ262" s="44"/>
      <c r="BK262" s="44"/>
      <c r="BL262" s="43"/>
      <c r="BN262" s="44"/>
      <c r="BO262" s="44"/>
      <c r="BP262" s="44"/>
      <c r="BQ262" s="43"/>
      <c r="BS262" s="44"/>
      <c r="BT262" s="44"/>
      <c r="BU262" s="44"/>
      <c r="BV262" s="43"/>
    </row>
    <row r="263" spans="1:74" outlineLevel="1" x14ac:dyDescent="0.15">
      <c r="A263" s="15"/>
      <c r="B263" s="15" t="s">
        <v>387</v>
      </c>
      <c r="C263" s="16" t="s">
        <v>228</v>
      </c>
      <c r="D263" s="15">
        <v>126093865</v>
      </c>
      <c r="E263" s="17">
        <v>18</v>
      </c>
      <c r="F263" s="16">
        <v>1500</v>
      </c>
      <c r="G263" s="16">
        <v>10</v>
      </c>
      <c r="I263" s="18" t="e">
        <f>IF(OR(ISBLANK(#REF!),ISBLANK(G263)),"·",#REF!*G263/F263/1000000)</f>
        <v>#REF!</v>
      </c>
      <c r="J263" s="19" t="e">
        <f>IF(ISBLANK(#REF!),"·",#REF!/D263)</f>
        <v>#REF!</v>
      </c>
      <c r="K263" s="19" t="e">
        <f>IF(#REF!="","·",#REF!/D263)</f>
        <v>#REF!</v>
      </c>
      <c r="L263" s="20"/>
      <c r="M263" s="19" t="e">
        <f>IF(ISBLANK(#REF!),"·",#REF!/D263)</f>
        <v>#REF!</v>
      </c>
      <c r="N263" s="19" t="e">
        <f>IF(ISBLANK(#REF!),"·",#REF!/#REF!)</f>
        <v>#REF!</v>
      </c>
      <c r="O263" s="21"/>
      <c r="P263" s="22"/>
      <c r="Q263" s="22"/>
      <c r="R263" s="23"/>
      <c r="S263" s="22"/>
      <c r="T263" s="25"/>
      <c r="U263" s="25"/>
      <c r="V263" s="25"/>
      <c r="W263" s="24"/>
      <c r="X263" s="25"/>
      <c r="Y263" s="25"/>
      <c r="Z263" s="25"/>
      <c r="AA263" s="24"/>
      <c r="AB263" s="26"/>
      <c r="AC263" s="26"/>
      <c r="AE263" s="18" t="str">
        <f t="shared" si="21"/>
        <v>·</v>
      </c>
      <c r="AF263" s="19" t="str">
        <f t="shared" si="22"/>
        <v>·</v>
      </c>
      <c r="AG263" s="19" t="str">
        <f t="shared" si="23"/>
        <v>·</v>
      </c>
      <c r="AH263" s="20"/>
      <c r="AI263" s="19" t="str">
        <f t="shared" si="20"/>
        <v>·</v>
      </c>
      <c r="AJ263" s="19" t="str">
        <f t="shared" si="24"/>
        <v>·</v>
      </c>
      <c r="BA263" s="27" t="e">
        <f>(Q263/P263) - (#REF!/#REF!)</f>
        <v>#DIV/0!</v>
      </c>
      <c r="BB263" s="27"/>
      <c r="BD263" s="29"/>
      <c r="BE263" s="29"/>
      <c r="BF263" s="29"/>
      <c r="BG263" s="28"/>
      <c r="BI263" s="29"/>
      <c r="BJ263" s="29"/>
      <c r="BK263" s="29"/>
      <c r="BL263" s="28"/>
      <c r="BN263" s="29"/>
      <c r="BO263" s="29"/>
      <c r="BP263" s="29"/>
      <c r="BQ263" s="28"/>
      <c r="BS263" s="29"/>
      <c r="BT263" s="29"/>
      <c r="BU263" s="29"/>
      <c r="BV263" s="28"/>
    </row>
    <row r="264" spans="1:74" ht="14.25" outlineLevel="1" thickBot="1" x14ac:dyDescent="0.2">
      <c r="A264" s="30"/>
      <c r="B264" s="45" t="s">
        <v>387</v>
      </c>
      <c r="C264" s="46" t="s">
        <v>229</v>
      </c>
      <c r="D264" s="45">
        <v>126093865</v>
      </c>
      <c r="E264" s="47">
        <v>18</v>
      </c>
      <c r="F264" s="46">
        <v>1500</v>
      </c>
      <c r="G264" s="46">
        <v>10</v>
      </c>
      <c r="I264" s="48" t="e">
        <f>IF(OR(ISBLANK(#REF!),ISBLANK(G264)),"·",#REF!*G264/F264/1000000)</f>
        <v>#REF!</v>
      </c>
      <c r="J264" s="49" t="e">
        <f>IF(ISBLANK(#REF!),"·",#REF!/D264)</f>
        <v>#REF!</v>
      </c>
      <c r="K264" s="49" t="e">
        <f>IF(#REF!="","·",#REF!/D264)</f>
        <v>#REF!</v>
      </c>
      <c r="L264" s="50"/>
      <c r="M264" s="49" t="e">
        <f>IF(ISBLANK(#REF!),"·",#REF!/D264)</f>
        <v>#REF!</v>
      </c>
      <c r="N264" s="49" t="e">
        <f>IF(ISBLANK(#REF!),"·",#REF!/#REF!)</f>
        <v>#REF!</v>
      </c>
      <c r="O264" s="51"/>
      <c r="P264" s="52"/>
      <c r="Q264" s="52"/>
      <c r="R264" s="53"/>
      <c r="S264" s="52"/>
      <c r="T264" s="55"/>
      <c r="U264" s="55"/>
      <c r="V264" s="55"/>
      <c r="W264" s="54"/>
      <c r="X264" s="55"/>
      <c r="Y264" s="55"/>
      <c r="Z264" s="55"/>
      <c r="AA264" s="54"/>
      <c r="AB264" s="56"/>
      <c r="AC264" s="56"/>
      <c r="AE264" s="48" t="str">
        <f t="shared" si="21"/>
        <v>·</v>
      </c>
      <c r="AF264" s="49" t="str">
        <f t="shared" si="22"/>
        <v>·</v>
      </c>
      <c r="AG264" s="49" t="str">
        <f t="shared" si="23"/>
        <v>·</v>
      </c>
      <c r="AH264" s="50"/>
      <c r="AI264" s="49" t="str">
        <f t="shared" si="20"/>
        <v>·</v>
      </c>
      <c r="AJ264" s="49" t="str">
        <f t="shared" si="24"/>
        <v>·</v>
      </c>
      <c r="BA264" s="57" t="e">
        <f>(Q264/P264) - (#REF!/#REF!)</f>
        <v>#DIV/0!</v>
      </c>
      <c r="BB264" s="57"/>
      <c r="BD264" s="59"/>
      <c r="BE264" s="59"/>
      <c r="BF264" s="59"/>
      <c r="BG264" s="58"/>
      <c r="BI264" s="59"/>
      <c r="BJ264" s="59"/>
      <c r="BK264" s="59"/>
      <c r="BL264" s="58"/>
      <c r="BN264" s="59"/>
      <c r="BO264" s="59"/>
      <c r="BP264" s="59"/>
      <c r="BQ264" s="58"/>
      <c r="BS264" s="59"/>
      <c r="BT264" s="59"/>
      <c r="BU264" s="59"/>
      <c r="BV264" s="58"/>
    </row>
    <row r="265" spans="1:74" x14ac:dyDescent="0.15">
      <c r="A265" s="15"/>
      <c r="B265" s="15" t="s">
        <v>390</v>
      </c>
      <c r="C265" s="16" t="s">
        <v>225</v>
      </c>
      <c r="D265" s="15">
        <v>2233793</v>
      </c>
      <c r="E265" s="17">
        <v>18</v>
      </c>
      <c r="F265" s="16">
        <v>74</v>
      </c>
      <c r="G265" s="16">
        <v>5</v>
      </c>
      <c r="I265" s="18" t="e">
        <f>IF(OR(ISBLANK(#REF!),ISBLANK(G265)),"·",#REF!*G265/F265/1000000)</f>
        <v>#REF!</v>
      </c>
      <c r="J265" s="19" t="e">
        <f>IF(ISBLANK(#REF!),"·",#REF!/D265)</f>
        <v>#REF!</v>
      </c>
      <c r="K265" s="19" t="e">
        <f>IF(#REF!="","·",#REF!/D265)</f>
        <v>#REF!</v>
      </c>
      <c r="L265" s="20"/>
      <c r="M265" s="19" t="e">
        <f>IF(ISBLANK(#REF!),"·",#REF!/D265)</f>
        <v>#REF!</v>
      </c>
      <c r="N265" s="19" t="e">
        <f>IF(ISBLANK(#REF!),"·",#REF!/#REF!)</f>
        <v>#REF!</v>
      </c>
      <c r="O265" s="21"/>
      <c r="P265" s="22"/>
      <c r="Q265" s="22"/>
      <c r="R265" s="23"/>
      <c r="S265" s="22"/>
      <c r="T265" s="25"/>
      <c r="U265" s="25"/>
      <c r="V265" s="25"/>
      <c r="W265" s="24"/>
      <c r="X265" s="25"/>
      <c r="Y265" s="25"/>
      <c r="Z265" s="25"/>
      <c r="AA265" s="24"/>
      <c r="AB265" s="26"/>
      <c r="AC265" s="26"/>
      <c r="AE265" s="18" t="str">
        <f t="shared" si="21"/>
        <v>·</v>
      </c>
      <c r="AF265" s="19" t="str">
        <f t="shared" si="22"/>
        <v>·</v>
      </c>
      <c r="AG265" s="19" t="str">
        <f t="shared" si="23"/>
        <v>·</v>
      </c>
      <c r="AH265" s="20"/>
      <c r="AI265" s="19" t="str">
        <f t="shared" si="20"/>
        <v>·</v>
      </c>
      <c r="AJ265" s="19" t="str">
        <f t="shared" si="24"/>
        <v>·</v>
      </c>
      <c r="BA265" s="27" t="e">
        <f>(Q265/P265) - (#REF!/#REF!)</f>
        <v>#DIV/0!</v>
      </c>
      <c r="BB265" s="27" t="e">
        <f t="array" ref="BB265">AVERAGE(Q265:Q269/P265:P269) - AVERAGE(#REF!/#REF!)</f>
        <v>#DIV/0!</v>
      </c>
      <c r="BD265" s="29"/>
      <c r="BE265" s="29"/>
      <c r="BF265" s="29"/>
      <c r="BG265" s="28" t="str">
        <f>_xlfn.SINGLE(IF( OR(ISBLANK(_xlfn.SINGLE(#REF!)),ISBLANK(_xlfn.SINGLE(S265:S269)), ISBLANK(_xlfn.SINGLE(#REF!)),ISBLANK(_xlfn.SINGLE(W265:W269))), "·", bdRateExtend(#REF!,#REF!, S265:S269,W265:W269)))</f>
        <v>·</v>
      </c>
      <c r="BI265" s="29"/>
      <c r="BJ265" s="29"/>
      <c r="BK265" s="29"/>
      <c r="BL265" s="28" t="str">
        <f>_xlfn.SINGLE(IF( OR(ISBLANK(_xlfn.SINGLE(#REF!)),ISBLANK(_xlfn.SINGLE(S265:S269)), ISBLANK(_xlfn.SINGLE(#REF!)),ISBLANK(_xlfn.SINGLE(AA265:AA269))), "·", bdRateExtend(#REF!,#REF!, S265:S269,AA265:AA269)))</f>
        <v>·</v>
      </c>
      <c r="BN265" s="29"/>
      <c r="BO265" s="29"/>
      <c r="BP265" s="29"/>
      <c r="BQ265" s="28" t="str">
        <f>_xlfn.SINGLE(IF( OR(ISBLANK(_xlfn.SINGLE(#REF!)),ISBLANK(_xlfn.SINGLE(P265:P269)), ISBLANK(_xlfn.SINGLE(#REF!)),ISBLANK(_xlfn.SINGLE(W265:W269))), "·", bdRateExtend(#REF!,#REF!, P265:P269,W265:W269)))</f>
        <v>·</v>
      </c>
      <c r="BS265" s="29"/>
      <c r="BT265" s="29"/>
      <c r="BU265" s="29"/>
      <c r="BV265" s="28" t="str">
        <f>_xlfn.SINGLE(IF( OR(ISBLANK(_xlfn.SINGLE(#REF!)),ISBLANK(_xlfn.SINGLE(P265:P269)), ISBLANK(_xlfn.SINGLE(#REF!)),ISBLANK(_xlfn.SINGLE(AA265:AA269))), "·", bdRateExtend(#REF!,#REF!, P265:P269,AA265:AA269)))</f>
        <v>·</v>
      </c>
    </row>
    <row r="266" spans="1:74" outlineLevel="1" x14ac:dyDescent="0.15">
      <c r="A266" s="30"/>
      <c r="B266" s="30" t="s">
        <v>390</v>
      </c>
      <c r="C266" s="31" t="s">
        <v>226</v>
      </c>
      <c r="D266" s="30">
        <v>2233793</v>
      </c>
      <c r="E266" s="32">
        <v>18</v>
      </c>
      <c r="F266" s="31">
        <v>74</v>
      </c>
      <c r="G266" s="31">
        <v>5</v>
      </c>
      <c r="I266" s="33" t="e">
        <f>IF(OR(ISBLANK(#REF!),ISBLANK(G266)),"·",#REF!*G266/F266/1000000)</f>
        <v>#REF!</v>
      </c>
      <c r="J266" s="34" t="e">
        <f>IF(ISBLANK(#REF!),"·",#REF!/D266)</f>
        <v>#REF!</v>
      </c>
      <c r="K266" s="34" t="e">
        <f>IF(#REF!="","·",#REF!/D266)</f>
        <v>#REF!</v>
      </c>
      <c r="L266" s="35"/>
      <c r="M266" s="34" t="e">
        <f>IF(ISBLANK(#REF!),"·",#REF!/D266)</f>
        <v>#REF!</v>
      </c>
      <c r="N266" s="34" t="e">
        <f>IF(ISBLANK(#REF!),"·",#REF!/#REF!)</f>
        <v>#REF!</v>
      </c>
      <c r="O266" s="36"/>
      <c r="P266" s="37"/>
      <c r="Q266" s="37"/>
      <c r="R266" s="38"/>
      <c r="S266" s="37"/>
      <c r="T266" s="40"/>
      <c r="U266" s="40"/>
      <c r="V266" s="40"/>
      <c r="W266" s="39"/>
      <c r="X266" s="40"/>
      <c r="Y266" s="40"/>
      <c r="Z266" s="40"/>
      <c r="AA266" s="39"/>
      <c r="AB266" s="41"/>
      <c r="AC266" s="41"/>
      <c r="AE266" s="33" t="str">
        <f t="shared" si="21"/>
        <v>·</v>
      </c>
      <c r="AF266" s="34" t="str">
        <f t="shared" si="22"/>
        <v>·</v>
      </c>
      <c r="AG266" s="34" t="str">
        <f t="shared" si="23"/>
        <v>·</v>
      </c>
      <c r="AH266" s="35"/>
      <c r="AI266" s="34" t="str">
        <f t="shared" si="20"/>
        <v>·</v>
      </c>
      <c r="AJ266" s="34" t="str">
        <f t="shared" si="24"/>
        <v>·</v>
      </c>
      <c r="BA266" s="42" t="e">
        <f>(Q266/P266) - (#REF!/#REF!)</f>
        <v>#DIV/0!</v>
      </c>
      <c r="BB266" s="42"/>
      <c r="BD266" s="44"/>
      <c r="BE266" s="44"/>
      <c r="BF266" s="44"/>
      <c r="BG266" s="43"/>
      <c r="BI266" s="44"/>
      <c r="BJ266" s="44"/>
      <c r="BK266" s="44"/>
      <c r="BL266" s="43"/>
      <c r="BN266" s="44"/>
      <c r="BO266" s="44"/>
      <c r="BP266" s="44"/>
      <c r="BQ266" s="43"/>
      <c r="BS266" s="44"/>
      <c r="BT266" s="44"/>
      <c r="BU266" s="44"/>
      <c r="BV266" s="43"/>
    </row>
    <row r="267" spans="1:74" outlineLevel="1" x14ac:dyDescent="0.15">
      <c r="A267" s="15"/>
      <c r="B267" s="15" t="s">
        <v>390</v>
      </c>
      <c r="C267" s="16" t="s">
        <v>227</v>
      </c>
      <c r="D267" s="15">
        <v>2233793</v>
      </c>
      <c r="E267" s="17">
        <v>18</v>
      </c>
      <c r="F267" s="16">
        <v>74</v>
      </c>
      <c r="G267" s="16">
        <v>5</v>
      </c>
      <c r="I267" s="18" t="e">
        <f>IF(OR(ISBLANK(#REF!),ISBLANK(G267)),"·",#REF!*G267/F267/1000000)</f>
        <v>#REF!</v>
      </c>
      <c r="J267" s="19" t="e">
        <f>IF(ISBLANK(#REF!),"·",#REF!/D267)</f>
        <v>#REF!</v>
      </c>
      <c r="K267" s="19" t="e">
        <f>IF(#REF!="","·",#REF!/D267)</f>
        <v>#REF!</v>
      </c>
      <c r="L267" s="20"/>
      <c r="M267" s="19" t="e">
        <f>IF(ISBLANK(#REF!),"·",#REF!/D267)</f>
        <v>#REF!</v>
      </c>
      <c r="N267" s="19" t="e">
        <f>IF(ISBLANK(#REF!),"·",#REF!/#REF!)</f>
        <v>#REF!</v>
      </c>
      <c r="O267" s="21"/>
      <c r="P267" s="22"/>
      <c r="Q267" s="22"/>
      <c r="R267" s="23"/>
      <c r="S267" s="22"/>
      <c r="T267" s="25"/>
      <c r="U267" s="25"/>
      <c r="V267" s="25"/>
      <c r="W267" s="24"/>
      <c r="X267" s="25"/>
      <c r="Y267" s="25"/>
      <c r="Z267" s="25"/>
      <c r="AA267" s="24"/>
      <c r="AB267" s="26"/>
      <c r="AC267" s="26"/>
      <c r="AE267" s="18" t="str">
        <f t="shared" si="21"/>
        <v>·</v>
      </c>
      <c r="AF267" s="19" t="str">
        <f t="shared" si="22"/>
        <v>·</v>
      </c>
      <c r="AG267" s="19" t="str">
        <f t="shared" si="23"/>
        <v>·</v>
      </c>
      <c r="AH267" s="20"/>
      <c r="AI267" s="19" t="str">
        <f t="shared" ref="AI267:AI299" si="25">IF(ISBLANK(Q267),"·",S267/D267)</f>
        <v>·</v>
      </c>
      <c r="AJ267" s="19" t="str">
        <f t="shared" si="24"/>
        <v>·</v>
      </c>
      <c r="BA267" s="27" t="e">
        <f>(Q267/P267) - (#REF!/#REF!)</f>
        <v>#DIV/0!</v>
      </c>
      <c r="BB267" s="27"/>
      <c r="BD267" s="29"/>
      <c r="BE267" s="29"/>
      <c r="BF267" s="29"/>
      <c r="BG267" s="28"/>
      <c r="BI267" s="29"/>
      <c r="BJ267" s="29"/>
      <c r="BK267" s="29"/>
      <c r="BL267" s="28"/>
      <c r="BN267" s="29"/>
      <c r="BO267" s="29"/>
      <c r="BP267" s="29"/>
      <c r="BQ267" s="28"/>
      <c r="BS267" s="29"/>
      <c r="BT267" s="29"/>
      <c r="BU267" s="29"/>
      <c r="BV267" s="28"/>
    </row>
    <row r="268" spans="1:74" outlineLevel="1" x14ac:dyDescent="0.15">
      <c r="A268" s="30"/>
      <c r="B268" s="30" t="s">
        <v>390</v>
      </c>
      <c r="C268" s="31" t="s">
        <v>228</v>
      </c>
      <c r="D268" s="30">
        <v>2233793</v>
      </c>
      <c r="E268" s="32">
        <v>18</v>
      </c>
      <c r="F268" s="31">
        <v>74</v>
      </c>
      <c r="G268" s="31">
        <v>5</v>
      </c>
      <c r="I268" s="33" t="e">
        <f>IF(OR(ISBLANK(#REF!),ISBLANK(G268)),"·",#REF!*G268/F268/1000000)</f>
        <v>#REF!</v>
      </c>
      <c r="J268" s="34" t="e">
        <f>IF(ISBLANK(#REF!),"·",#REF!/D268)</f>
        <v>#REF!</v>
      </c>
      <c r="K268" s="34" t="e">
        <f>IF(#REF!="","·",#REF!/D268)</f>
        <v>#REF!</v>
      </c>
      <c r="L268" s="35"/>
      <c r="M268" s="34" t="e">
        <f>IF(ISBLANK(#REF!),"·",#REF!/D268)</f>
        <v>#REF!</v>
      </c>
      <c r="N268" s="34" t="e">
        <f>IF(ISBLANK(#REF!),"·",#REF!/#REF!)</f>
        <v>#REF!</v>
      </c>
      <c r="O268" s="36"/>
      <c r="P268" s="37"/>
      <c r="Q268" s="37"/>
      <c r="R268" s="38"/>
      <c r="S268" s="37"/>
      <c r="T268" s="40"/>
      <c r="U268" s="40"/>
      <c r="V268" s="40"/>
      <c r="W268" s="39"/>
      <c r="X268" s="40"/>
      <c r="Y268" s="40"/>
      <c r="Z268" s="40"/>
      <c r="AA268" s="39"/>
      <c r="AB268" s="41"/>
      <c r="AC268" s="41"/>
      <c r="AE268" s="33" t="str">
        <f t="shared" si="21"/>
        <v>·</v>
      </c>
      <c r="AF268" s="34" t="str">
        <f t="shared" si="22"/>
        <v>·</v>
      </c>
      <c r="AG268" s="34" t="str">
        <f t="shared" si="23"/>
        <v>·</v>
      </c>
      <c r="AH268" s="35"/>
      <c r="AI268" s="34" t="str">
        <f t="shared" si="25"/>
        <v>·</v>
      </c>
      <c r="AJ268" s="34" t="str">
        <f t="shared" si="24"/>
        <v>·</v>
      </c>
      <c r="BA268" s="42" t="e">
        <f>(Q268/P268) - (#REF!/#REF!)</f>
        <v>#DIV/0!</v>
      </c>
      <c r="BB268" s="42"/>
      <c r="BD268" s="44"/>
      <c r="BE268" s="44"/>
      <c r="BF268" s="44"/>
      <c r="BG268" s="43"/>
      <c r="BI268" s="44"/>
      <c r="BJ268" s="44"/>
      <c r="BK268" s="44"/>
      <c r="BL268" s="43"/>
      <c r="BN268" s="44"/>
      <c r="BO268" s="44"/>
      <c r="BP268" s="44"/>
      <c r="BQ268" s="43"/>
      <c r="BS268" s="44"/>
      <c r="BT268" s="44"/>
      <c r="BU268" s="44"/>
      <c r="BV268" s="43"/>
    </row>
    <row r="269" spans="1:74" ht="14.25" outlineLevel="1" thickBot="1" x14ac:dyDescent="0.2">
      <c r="A269" s="15"/>
      <c r="B269" s="64" t="s">
        <v>390</v>
      </c>
      <c r="C269" s="66" t="s">
        <v>229</v>
      </c>
      <c r="D269" s="64">
        <v>2233793</v>
      </c>
      <c r="E269" s="65">
        <v>18</v>
      </c>
      <c r="F269" s="66">
        <v>74</v>
      </c>
      <c r="G269" s="66">
        <v>5</v>
      </c>
      <c r="I269" s="68" t="e">
        <f>IF(OR(ISBLANK(#REF!),ISBLANK(G269)),"·",#REF!*G269/F269/1000000)</f>
        <v>#REF!</v>
      </c>
      <c r="J269" s="69" t="e">
        <f>IF(ISBLANK(#REF!),"·",#REF!/D269)</f>
        <v>#REF!</v>
      </c>
      <c r="K269" s="69" t="e">
        <f>IF(#REF!="","·",#REF!/D269)</f>
        <v>#REF!</v>
      </c>
      <c r="L269" s="70"/>
      <c r="M269" s="69" t="e">
        <f>IF(ISBLANK(#REF!),"·",#REF!/D269)</f>
        <v>#REF!</v>
      </c>
      <c r="N269" s="69" t="e">
        <f>IF(ISBLANK(#REF!),"·",#REF!/#REF!)</f>
        <v>#REF!</v>
      </c>
      <c r="O269" s="71"/>
      <c r="P269" s="72"/>
      <c r="Q269" s="72"/>
      <c r="R269" s="73"/>
      <c r="S269" s="72"/>
      <c r="T269" s="78"/>
      <c r="U269" s="78"/>
      <c r="V269" s="78"/>
      <c r="W269" s="77"/>
      <c r="X269" s="78"/>
      <c r="Y269" s="78"/>
      <c r="Z269" s="78"/>
      <c r="AA269" s="77"/>
      <c r="AB269" s="74"/>
      <c r="AC269" s="74"/>
      <c r="AE269" s="68" t="str">
        <f t="shared" si="21"/>
        <v>·</v>
      </c>
      <c r="AF269" s="69" t="str">
        <f t="shared" si="22"/>
        <v>·</v>
      </c>
      <c r="AG269" s="69" t="str">
        <f t="shared" si="23"/>
        <v>·</v>
      </c>
      <c r="AH269" s="70"/>
      <c r="AI269" s="69" t="str">
        <f t="shared" si="25"/>
        <v>·</v>
      </c>
      <c r="AJ269" s="69" t="str">
        <f t="shared" si="24"/>
        <v>·</v>
      </c>
      <c r="BA269" s="67" t="e">
        <f>(Q269/P269) - (#REF!/#REF!)</f>
        <v>#DIV/0!</v>
      </c>
      <c r="BB269" s="67"/>
      <c r="BD269" s="76"/>
      <c r="BE269" s="76"/>
      <c r="BF269" s="76"/>
      <c r="BG269" s="75"/>
      <c r="BI269" s="76"/>
      <c r="BJ269" s="76"/>
      <c r="BK269" s="76"/>
      <c r="BL269" s="75"/>
      <c r="BN269" s="76"/>
      <c r="BO269" s="76"/>
      <c r="BP269" s="76"/>
      <c r="BQ269" s="75"/>
      <c r="BS269" s="76"/>
      <c r="BT269" s="76"/>
      <c r="BU269" s="76"/>
      <c r="BV269" s="75"/>
    </row>
    <row r="270" spans="1:74" x14ac:dyDescent="0.15">
      <c r="A270" s="30"/>
      <c r="B270" s="30" t="s">
        <v>393</v>
      </c>
      <c r="C270" s="31" t="s">
        <v>225</v>
      </c>
      <c r="D270" s="30">
        <v>2016190</v>
      </c>
      <c r="E270" s="32">
        <v>18</v>
      </c>
      <c r="F270" s="31">
        <v>74</v>
      </c>
      <c r="G270" s="31">
        <v>5</v>
      </c>
      <c r="I270" s="33" t="e">
        <f>IF(OR(ISBLANK(#REF!),ISBLANK(G270)),"·",#REF!*G270/F270/1000000)</f>
        <v>#REF!</v>
      </c>
      <c r="J270" s="34" t="e">
        <f>IF(ISBLANK(#REF!),"·",#REF!/D270)</f>
        <v>#REF!</v>
      </c>
      <c r="K270" s="34" t="e">
        <f>IF(#REF!="","·",#REF!/D270)</f>
        <v>#REF!</v>
      </c>
      <c r="L270" s="35"/>
      <c r="M270" s="34" t="e">
        <f>IF(ISBLANK(#REF!),"·",#REF!/D270)</f>
        <v>#REF!</v>
      </c>
      <c r="N270" s="34" t="e">
        <f>IF(ISBLANK(#REF!),"·",#REF!/#REF!)</f>
        <v>#REF!</v>
      </c>
      <c r="O270" s="36"/>
      <c r="P270" s="37"/>
      <c r="Q270" s="37"/>
      <c r="R270" s="38"/>
      <c r="S270" s="37"/>
      <c r="T270" s="40"/>
      <c r="U270" s="40"/>
      <c r="V270" s="40"/>
      <c r="W270" s="39"/>
      <c r="X270" s="40"/>
      <c r="Y270" s="40"/>
      <c r="Z270" s="40"/>
      <c r="AA270" s="39"/>
      <c r="AB270" s="41"/>
      <c r="AC270" s="41"/>
      <c r="AE270" s="33" t="str">
        <f t="shared" si="21"/>
        <v>·</v>
      </c>
      <c r="AF270" s="34" t="str">
        <f t="shared" si="22"/>
        <v>·</v>
      </c>
      <c r="AG270" s="34" t="str">
        <f t="shared" si="23"/>
        <v>·</v>
      </c>
      <c r="AH270" s="35"/>
      <c r="AI270" s="34" t="str">
        <f t="shared" si="25"/>
        <v>·</v>
      </c>
      <c r="AJ270" s="34" t="str">
        <f t="shared" si="24"/>
        <v>·</v>
      </c>
      <c r="BA270" s="42" t="e">
        <f>(Q270/P270) - (#REF!/#REF!)</f>
        <v>#DIV/0!</v>
      </c>
      <c r="BB270" s="42" t="e">
        <f t="array" ref="BB270">AVERAGE(Q270:Q274/P270:P274) - AVERAGE(#REF!/#REF!)</f>
        <v>#DIV/0!</v>
      </c>
      <c r="BD270" s="44"/>
      <c r="BE270" s="44"/>
      <c r="BF270" s="44"/>
      <c r="BG270" s="43" t="str">
        <f>_xlfn.SINGLE(IF( OR(ISBLANK(_xlfn.SINGLE(#REF!)),ISBLANK(_xlfn.SINGLE(S270:S274)), ISBLANK(_xlfn.SINGLE(#REF!)),ISBLANK(_xlfn.SINGLE(W270:W274))), "·", bdRateExtend(#REF!,#REF!, S270:S274,W270:W274)))</f>
        <v>·</v>
      </c>
      <c r="BI270" s="44"/>
      <c r="BJ270" s="44"/>
      <c r="BK270" s="44"/>
      <c r="BL270" s="43" t="str">
        <f>_xlfn.SINGLE(IF( OR(ISBLANK(_xlfn.SINGLE(#REF!)),ISBLANK(_xlfn.SINGLE(S270:S274)), ISBLANK(_xlfn.SINGLE(#REF!)),ISBLANK(_xlfn.SINGLE(AA270:AA274))), "·", bdRateExtend(#REF!,#REF!, S270:S274,AA270:AA274)))</f>
        <v>·</v>
      </c>
      <c r="BN270" s="44"/>
      <c r="BO270" s="44"/>
      <c r="BP270" s="44"/>
      <c r="BQ270" s="43" t="str">
        <f>_xlfn.SINGLE(IF( OR(ISBLANK(_xlfn.SINGLE(#REF!)),ISBLANK(_xlfn.SINGLE(P270:P274)), ISBLANK(_xlfn.SINGLE(#REF!)),ISBLANK(_xlfn.SINGLE(W270:W274))), "·", bdRateExtend(#REF!,#REF!, P270:P274,W270:W274)))</f>
        <v>·</v>
      </c>
      <c r="BS270" s="44"/>
      <c r="BT270" s="44"/>
      <c r="BU270" s="44"/>
      <c r="BV270" s="43" t="str">
        <f>_xlfn.SINGLE(IF( OR(ISBLANK(_xlfn.SINGLE(#REF!)),ISBLANK(_xlfn.SINGLE(P270:P274)), ISBLANK(_xlfn.SINGLE(#REF!)),ISBLANK(_xlfn.SINGLE(AA270:AA274))), "·", bdRateExtend(#REF!,#REF!, P270:P274,AA270:AA274)))</f>
        <v>·</v>
      </c>
    </row>
    <row r="271" spans="1:74" outlineLevel="1" x14ac:dyDescent="0.15">
      <c r="A271" s="15"/>
      <c r="B271" s="15" t="s">
        <v>393</v>
      </c>
      <c r="C271" s="16" t="s">
        <v>226</v>
      </c>
      <c r="D271" s="15">
        <v>2016190</v>
      </c>
      <c r="E271" s="17">
        <v>18</v>
      </c>
      <c r="F271" s="16">
        <v>74</v>
      </c>
      <c r="G271" s="16">
        <v>5</v>
      </c>
      <c r="I271" s="18" t="e">
        <f>IF(OR(ISBLANK(#REF!),ISBLANK(G271)),"·",#REF!*G271/F271/1000000)</f>
        <v>#REF!</v>
      </c>
      <c r="J271" s="19" t="e">
        <f>IF(ISBLANK(#REF!),"·",#REF!/D271)</f>
        <v>#REF!</v>
      </c>
      <c r="K271" s="19" t="e">
        <f>IF(#REF!="","·",#REF!/D271)</f>
        <v>#REF!</v>
      </c>
      <c r="L271" s="20"/>
      <c r="M271" s="19" t="e">
        <f>IF(ISBLANK(#REF!),"·",#REF!/D271)</f>
        <v>#REF!</v>
      </c>
      <c r="N271" s="19" t="e">
        <f>IF(ISBLANK(#REF!),"·",#REF!/#REF!)</f>
        <v>#REF!</v>
      </c>
      <c r="O271" s="21"/>
      <c r="P271" s="22"/>
      <c r="Q271" s="22"/>
      <c r="R271" s="23"/>
      <c r="S271" s="22"/>
      <c r="T271" s="25"/>
      <c r="U271" s="25"/>
      <c r="V271" s="25"/>
      <c r="W271" s="24"/>
      <c r="X271" s="25"/>
      <c r="Y271" s="25"/>
      <c r="Z271" s="25"/>
      <c r="AA271" s="24"/>
      <c r="AB271" s="26"/>
      <c r="AC271" s="26"/>
      <c r="AE271" s="18" t="str">
        <f t="shared" si="21"/>
        <v>·</v>
      </c>
      <c r="AF271" s="19" t="str">
        <f t="shared" si="22"/>
        <v>·</v>
      </c>
      <c r="AG271" s="19" t="str">
        <f t="shared" si="23"/>
        <v>·</v>
      </c>
      <c r="AH271" s="20"/>
      <c r="AI271" s="19" t="str">
        <f t="shared" si="25"/>
        <v>·</v>
      </c>
      <c r="AJ271" s="19" t="str">
        <f t="shared" si="24"/>
        <v>·</v>
      </c>
      <c r="BA271" s="27" t="e">
        <f>(Q271/P271) - (#REF!/#REF!)</f>
        <v>#DIV/0!</v>
      </c>
      <c r="BB271" s="27"/>
      <c r="BD271" s="29"/>
      <c r="BE271" s="29"/>
      <c r="BF271" s="29"/>
      <c r="BG271" s="28"/>
      <c r="BI271" s="29"/>
      <c r="BJ271" s="29"/>
      <c r="BK271" s="29"/>
      <c r="BL271" s="28"/>
      <c r="BN271" s="29"/>
      <c r="BO271" s="29"/>
      <c r="BP271" s="29"/>
      <c r="BQ271" s="28"/>
      <c r="BS271" s="29"/>
      <c r="BT271" s="29"/>
      <c r="BU271" s="29"/>
      <c r="BV271" s="28"/>
    </row>
    <row r="272" spans="1:74" outlineLevel="1" x14ac:dyDescent="0.15">
      <c r="A272" s="30"/>
      <c r="B272" s="30" t="s">
        <v>393</v>
      </c>
      <c r="C272" s="31" t="s">
        <v>227</v>
      </c>
      <c r="D272" s="30">
        <v>2016190</v>
      </c>
      <c r="E272" s="32">
        <v>18</v>
      </c>
      <c r="F272" s="31">
        <v>74</v>
      </c>
      <c r="G272" s="31">
        <v>5</v>
      </c>
      <c r="I272" s="33" t="e">
        <f>IF(OR(ISBLANK(#REF!),ISBLANK(G272)),"·",#REF!*G272/F272/1000000)</f>
        <v>#REF!</v>
      </c>
      <c r="J272" s="34" t="e">
        <f>IF(ISBLANK(#REF!),"·",#REF!/D272)</f>
        <v>#REF!</v>
      </c>
      <c r="K272" s="34" t="e">
        <f>IF(#REF!="","·",#REF!/D272)</f>
        <v>#REF!</v>
      </c>
      <c r="L272" s="35"/>
      <c r="M272" s="34" t="e">
        <f>IF(ISBLANK(#REF!),"·",#REF!/D272)</f>
        <v>#REF!</v>
      </c>
      <c r="N272" s="34" t="e">
        <f>IF(ISBLANK(#REF!),"·",#REF!/#REF!)</f>
        <v>#REF!</v>
      </c>
      <c r="O272" s="36"/>
      <c r="P272" s="37"/>
      <c r="Q272" s="37"/>
      <c r="R272" s="38"/>
      <c r="S272" s="37"/>
      <c r="T272" s="40"/>
      <c r="U272" s="40"/>
      <c r="V272" s="40"/>
      <c r="W272" s="39"/>
      <c r="X272" s="40"/>
      <c r="Y272" s="40"/>
      <c r="Z272" s="40"/>
      <c r="AA272" s="39"/>
      <c r="AB272" s="41"/>
      <c r="AC272" s="41"/>
      <c r="AE272" s="33" t="str">
        <f t="shared" si="21"/>
        <v>·</v>
      </c>
      <c r="AF272" s="34" t="str">
        <f t="shared" si="22"/>
        <v>·</v>
      </c>
      <c r="AG272" s="34" t="str">
        <f t="shared" si="23"/>
        <v>·</v>
      </c>
      <c r="AH272" s="35"/>
      <c r="AI272" s="34" t="str">
        <f t="shared" si="25"/>
        <v>·</v>
      </c>
      <c r="AJ272" s="34" t="str">
        <f t="shared" si="24"/>
        <v>·</v>
      </c>
      <c r="BA272" s="42" t="e">
        <f>(Q272/P272) - (#REF!/#REF!)</f>
        <v>#DIV/0!</v>
      </c>
      <c r="BB272" s="42"/>
      <c r="BD272" s="44"/>
      <c r="BE272" s="44"/>
      <c r="BF272" s="44"/>
      <c r="BG272" s="43"/>
      <c r="BI272" s="44"/>
      <c r="BJ272" s="44"/>
      <c r="BK272" s="44"/>
      <c r="BL272" s="43"/>
      <c r="BN272" s="44"/>
      <c r="BO272" s="44"/>
      <c r="BP272" s="44"/>
      <c r="BQ272" s="43"/>
      <c r="BS272" s="44"/>
      <c r="BT272" s="44"/>
      <c r="BU272" s="44"/>
      <c r="BV272" s="43"/>
    </row>
    <row r="273" spans="1:74" outlineLevel="1" x14ac:dyDescent="0.15">
      <c r="A273" s="15"/>
      <c r="B273" s="15" t="s">
        <v>393</v>
      </c>
      <c r="C273" s="16" t="s">
        <v>228</v>
      </c>
      <c r="D273" s="15">
        <v>2016190</v>
      </c>
      <c r="E273" s="17">
        <v>18</v>
      </c>
      <c r="F273" s="16">
        <v>74</v>
      </c>
      <c r="G273" s="16">
        <v>5</v>
      </c>
      <c r="I273" s="18" t="e">
        <f>IF(OR(ISBLANK(#REF!),ISBLANK(G273)),"·",#REF!*G273/F273/1000000)</f>
        <v>#REF!</v>
      </c>
      <c r="J273" s="19" t="e">
        <f>IF(ISBLANK(#REF!),"·",#REF!/D273)</f>
        <v>#REF!</v>
      </c>
      <c r="K273" s="19" t="e">
        <f>IF(#REF!="","·",#REF!/D273)</f>
        <v>#REF!</v>
      </c>
      <c r="L273" s="20"/>
      <c r="M273" s="19" t="e">
        <f>IF(ISBLANK(#REF!),"·",#REF!/D273)</f>
        <v>#REF!</v>
      </c>
      <c r="N273" s="19" t="e">
        <f>IF(ISBLANK(#REF!),"·",#REF!/#REF!)</f>
        <v>#REF!</v>
      </c>
      <c r="O273" s="21"/>
      <c r="P273" s="22"/>
      <c r="Q273" s="22"/>
      <c r="R273" s="23"/>
      <c r="S273" s="22"/>
      <c r="T273" s="25"/>
      <c r="U273" s="25"/>
      <c r="V273" s="25"/>
      <c r="W273" s="24"/>
      <c r="X273" s="25"/>
      <c r="Y273" s="25"/>
      <c r="Z273" s="25"/>
      <c r="AA273" s="24"/>
      <c r="AB273" s="26"/>
      <c r="AC273" s="26"/>
      <c r="AE273" s="18" t="str">
        <f t="shared" si="21"/>
        <v>·</v>
      </c>
      <c r="AF273" s="19" t="str">
        <f t="shared" si="22"/>
        <v>·</v>
      </c>
      <c r="AG273" s="19" t="str">
        <f t="shared" si="23"/>
        <v>·</v>
      </c>
      <c r="AH273" s="20"/>
      <c r="AI273" s="19" t="str">
        <f t="shared" si="25"/>
        <v>·</v>
      </c>
      <c r="AJ273" s="19" t="str">
        <f t="shared" si="24"/>
        <v>·</v>
      </c>
      <c r="BA273" s="27" t="e">
        <f>(Q273/P273) - (#REF!/#REF!)</f>
        <v>#DIV/0!</v>
      </c>
      <c r="BB273" s="27"/>
      <c r="BD273" s="29"/>
      <c r="BE273" s="29"/>
      <c r="BF273" s="29"/>
      <c r="BG273" s="28"/>
      <c r="BI273" s="29"/>
      <c r="BJ273" s="29"/>
      <c r="BK273" s="29"/>
      <c r="BL273" s="28"/>
      <c r="BN273" s="29"/>
      <c r="BO273" s="29"/>
      <c r="BP273" s="29"/>
      <c r="BQ273" s="28"/>
      <c r="BS273" s="29"/>
      <c r="BT273" s="29"/>
      <c r="BU273" s="29"/>
      <c r="BV273" s="28"/>
    </row>
    <row r="274" spans="1:74" ht="14.25" outlineLevel="1" thickBot="1" x14ac:dyDescent="0.2">
      <c r="A274" s="30"/>
      <c r="B274" s="45" t="s">
        <v>393</v>
      </c>
      <c r="C274" s="46" t="s">
        <v>229</v>
      </c>
      <c r="D274" s="45">
        <v>2016190</v>
      </c>
      <c r="E274" s="47">
        <v>18</v>
      </c>
      <c r="F274" s="46">
        <v>74</v>
      </c>
      <c r="G274" s="46">
        <v>5</v>
      </c>
      <c r="I274" s="48" t="e">
        <f>IF(OR(ISBLANK(#REF!),ISBLANK(G274)),"·",#REF!*G274/F274/1000000)</f>
        <v>#REF!</v>
      </c>
      <c r="J274" s="49" t="e">
        <f>IF(ISBLANK(#REF!),"·",#REF!/D274)</f>
        <v>#REF!</v>
      </c>
      <c r="K274" s="49" t="e">
        <f>IF(#REF!="","·",#REF!/D274)</f>
        <v>#REF!</v>
      </c>
      <c r="L274" s="50"/>
      <c r="M274" s="49" t="e">
        <f>IF(ISBLANK(#REF!),"·",#REF!/D274)</f>
        <v>#REF!</v>
      </c>
      <c r="N274" s="49" t="e">
        <f>IF(ISBLANK(#REF!),"·",#REF!/#REF!)</f>
        <v>#REF!</v>
      </c>
      <c r="O274" s="51"/>
      <c r="P274" s="52"/>
      <c r="Q274" s="52"/>
      <c r="R274" s="53"/>
      <c r="S274" s="52"/>
      <c r="T274" s="55"/>
      <c r="U274" s="55"/>
      <c r="V274" s="55"/>
      <c r="W274" s="54"/>
      <c r="X274" s="55"/>
      <c r="Y274" s="55"/>
      <c r="Z274" s="55"/>
      <c r="AA274" s="54"/>
      <c r="AB274" s="56"/>
      <c r="AC274" s="56"/>
      <c r="AE274" s="48" t="str">
        <f t="shared" si="21"/>
        <v>·</v>
      </c>
      <c r="AF274" s="49" t="str">
        <f t="shared" si="22"/>
        <v>·</v>
      </c>
      <c r="AG274" s="49" t="str">
        <f t="shared" si="23"/>
        <v>·</v>
      </c>
      <c r="AH274" s="50"/>
      <c r="AI274" s="49" t="str">
        <f t="shared" si="25"/>
        <v>·</v>
      </c>
      <c r="AJ274" s="49" t="str">
        <f t="shared" si="24"/>
        <v>·</v>
      </c>
      <c r="BA274" s="57" t="e">
        <f>(Q274/P274) - (#REF!/#REF!)</f>
        <v>#DIV/0!</v>
      </c>
      <c r="BB274" s="57"/>
      <c r="BD274" s="59"/>
      <c r="BE274" s="59"/>
      <c r="BF274" s="59"/>
      <c r="BG274" s="58"/>
      <c r="BI274" s="59"/>
      <c r="BJ274" s="59"/>
      <c r="BK274" s="59"/>
      <c r="BL274" s="58"/>
      <c r="BN274" s="59"/>
      <c r="BO274" s="59"/>
      <c r="BP274" s="59"/>
      <c r="BQ274" s="58"/>
      <c r="BS274" s="59"/>
      <c r="BT274" s="59"/>
      <c r="BU274" s="59"/>
      <c r="BV274" s="58"/>
    </row>
    <row r="275" spans="1:74" x14ac:dyDescent="0.15">
      <c r="A275" s="15"/>
      <c r="B275" s="15" t="s">
        <v>396</v>
      </c>
      <c r="C275" s="16" t="s">
        <v>225</v>
      </c>
      <c r="D275" s="15">
        <v>14430189</v>
      </c>
      <c r="E275" s="17">
        <v>18</v>
      </c>
      <c r="F275" s="16">
        <v>500</v>
      </c>
      <c r="G275" s="16">
        <v>5</v>
      </c>
      <c r="I275" s="18" t="e">
        <f>IF(OR(ISBLANK(#REF!),ISBLANK(G275)),"·",#REF!*G275/F275/1000000)</f>
        <v>#REF!</v>
      </c>
      <c r="J275" s="19" t="e">
        <f>IF(ISBLANK(#REF!),"·",#REF!/D275)</f>
        <v>#REF!</v>
      </c>
      <c r="K275" s="19" t="e">
        <f>IF(#REF!="","·",#REF!/D275)</f>
        <v>#REF!</v>
      </c>
      <c r="L275" s="20"/>
      <c r="M275" s="19" t="e">
        <f>IF(ISBLANK(#REF!),"·",#REF!/D275)</f>
        <v>#REF!</v>
      </c>
      <c r="N275" s="19" t="e">
        <f>IF(ISBLANK(#REF!),"·",#REF!/#REF!)</f>
        <v>#REF!</v>
      </c>
      <c r="O275" s="21"/>
      <c r="P275" s="22"/>
      <c r="Q275" s="22"/>
      <c r="R275" s="23"/>
      <c r="S275" s="22"/>
      <c r="T275" s="25"/>
      <c r="U275" s="25"/>
      <c r="V275" s="25"/>
      <c r="W275" s="24"/>
      <c r="X275" s="25"/>
      <c r="Y275" s="25"/>
      <c r="Z275" s="25"/>
      <c r="AA275" s="24"/>
      <c r="AB275" s="26"/>
      <c r="AC275" s="26"/>
      <c r="AE275" s="18" t="str">
        <f t="shared" si="21"/>
        <v>·</v>
      </c>
      <c r="AF275" s="19" t="str">
        <f t="shared" si="22"/>
        <v>·</v>
      </c>
      <c r="AG275" s="19" t="str">
        <f t="shared" si="23"/>
        <v>·</v>
      </c>
      <c r="AH275" s="20"/>
      <c r="AI275" s="19" t="str">
        <f t="shared" si="25"/>
        <v>·</v>
      </c>
      <c r="AJ275" s="19" t="str">
        <f t="shared" si="24"/>
        <v>·</v>
      </c>
      <c r="BA275" s="27" t="e">
        <f>(Q275/P275) - (#REF!/#REF!)</f>
        <v>#DIV/0!</v>
      </c>
      <c r="BB275" s="27" t="e">
        <f t="array" ref="BB275">AVERAGE(Q275:Q279/P275:P279) - AVERAGE(#REF!/#REF!)</f>
        <v>#DIV/0!</v>
      </c>
      <c r="BD275" s="29"/>
      <c r="BE275" s="29"/>
      <c r="BF275" s="29"/>
      <c r="BG275" s="28" t="str">
        <f>_xlfn.SINGLE(IF( OR(ISBLANK(_xlfn.SINGLE(#REF!)),ISBLANK(_xlfn.SINGLE(S275:S279)), ISBLANK(_xlfn.SINGLE(#REF!)),ISBLANK(_xlfn.SINGLE(W275:W279))), "·", bdRateExtend(#REF!,#REF!, S275:S279,W275:W279)))</f>
        <v>·</v>
      </c>
      <c r="BI275" s="29"/>
      <c r="BJ275" s="29"/>
      <c r="BK275" s="29"/>
      <c r="BL275" s="28" t="str">
        <f>_xlfn.SINGLE(IF( OR(ISBLANK(_xlfn.SINGLE(#REF!)),ISBLANK(_xlfn.SINGLE(S275:S279)), ISBLANK(_xlfn.SINGLE(#REF!)),ISBLANK(_xlfn.SINGLE(AA275:AA279))), "·", bdRateExtend(#REF!,#REF!, S275:S279,AA275:AA279)))</f>
        <v>·</v>
      </c>
      <c r="BN275" s="29"/>
      <c r="BO275" s="29"/>
      <c r="BP275" s="29"/>
      <c r="BQ275" s="28" t="str">
        <f>_xlfn.SINGLE(IF( OR(ISBLANK(_xlfn.SINGLE(#REF!)),ISBLANK(_xlfn.SINGLE(P275:P279)), ISBLANK(_xlfn.SINGLE(#REF!)),ISBLANK(_xlfn.SINGLE(W275:W279))), "·", bdRateExtend(#REF!,#REF!, P275:P279,W275:W279)))</f>
        <v>·</v>
      </c>
      <c r="BS275" s="29"/>
      <c r="BT275" s="29"/>
      <c r="BU275" s="29"/>
      <c r="BV275" s="28" t="str">
        <f>_xlfn.SINGLE(IF( OR(ISBLANK(_xlfn.SINGLE(#REF!)),ISBLANK(_xlfn.SINGLE(P275:P279)), ISBLANK(_xlfn.SINGLE(#REF!)),ISBLANK(_xlfn.SINGLE(AA275:AA279))), "·", bdRateExtend(#REF!,#REF!, P275:P279,AA275:AA279)))</f>
        <v>·</v>
      </c>
    </row>
    <row r="276" spans="1:74" outlineLevel="1" x14ac:dyDescent="0.15">
      <c r="A276" s="30"/>
      <c r="B276" s="30" t="s">
        <v>396</v>
      </c>
      <c r="C276" s="31" t="s">
        <v>226</v>
      </c>
      <c r="D276" s="30">
        <v>14430189</v>
      </c>
      <c r="E276" s="32">
        <v>18</v>
      </c>
      <c r="F276" s="31">
        <v>500</v>
      </c>
      <c r="G276" s="31">
        <v>5</v>
      </c>
      <c r="I276" s="33" t="e">
        <f>IF(OR(ISBLANK(#REF!),ISBLANK(G276)),"·",#REF!*G276/F276/1000000)</f>
        <v>#REF!</v>
      </c>
      <c r="J276" s="34" t="e">
        <f>IF(ISBLANK(#REF!),"·",#REF!/D276)</f>
        <v>#REF!</v>
      </c>
      <c r="K276" s="34" t="e">
        <f>IF(#REF!="","·",#REF!/D276)</f>
        <v>#REF!</v>
      </c>
      <c r="L276" s="35"/>
      <c r="M276" s="34" t="e">
        <f>IF(ISBLANK(#REF!),"·",#REF!/D276)</f>
        <v>#REF!</v>
      </c>
      <c r="N276" s="34" t="e">
        <f>IF(ISBLANK(#REF!),"·",#REF!/#REF!)</f>
        <v>#REF!</v>
      </c>
      <c r="O276" s="36"/>
      <c r="P276" s="37"/>
      <c r="Q276" s="37"/>
      <c r="R276" s="38"/>
      <c r="S276" s="37"/>
      <c r="T276" s="40"/>
      <c r="U276" s="40"/>
      <c r="V276" s="40"/>
      <c r="W276" s="39"/>
      <c r="X276" s="40"/>
      <c r="Y276" s="40"/>
      <c r="Z276" s="40"/>
      <c r="AA276" s="39"/>
      <c r="AB276" s="41"/>
      <c r="AC276" s="41"/>
      <c r="AE276" s="33" t="str">
        <f t="shared" si="21"/>
        <v>·</v>
      </c>
      <c r="AF276" s="34" t="str">
        <f t="shared" si="22"/>
        <v>·</v>
      </c>
      <c r="AG276" s="34" t="str">
        <f t="shared" si="23"/>
        <v>·</v>
      </c>
      <c r="AH276" s="35"/>
      <c r="AI276" s="34" t="str">
        <f t="shared" si="25"/>
        <v>·</v>
      </c>
      <c r="AJ276" s="34" t="str">
        <f t="shared" si="24"/>
        <v>·</v>
      </c>
      <c r="BA276" s="42" t="e">
        <f>(Q276/P276) - (#REF!/#REF!)</f>
        <v>#DIV/0!</v>
      </c>
      <c r="BB276" s="42"/>
      <c r="BD276" s="44"/>
      <c r="BE276" s="44"/>
      <c r="BF276" s="44"/>
      <c r="BG276" s="43"/>
      <c r="BI276" s="44"/>
      <c r="BJ276" s="44"/>
      <c r="BK276" s="44"/>
      <c r="BL276" s="43"/>
      <c r="BN276" s="44"/>
      <c r="BO276" s="44"/>
      <c r="BP276" s="44"/>
      <c r="BQ276" s="43"/>
      <c r="BS276" s="44"/>
      <c r="BT276" s="44"/>
      <c r="BU276" s="44"/>
      <c r="BV276" s="43"/>
    </row>
    <row r="277" spans="1:74" outlineLevel="1" x14ac:dyDescent="0.15">
      <c r="A277" s="15"/>
      <c r="B277" s="15" t="s">
        <v>396</v>
      </c>
      <c r="C277" s="16" t="s">
        <v>227</v>
      </c>
      <c r="D277" s="15">
        <v>14430189</v>
      </c>
      <c r="E277" s="17">
        <v>18</v>
      </c>
      <c r="F277" s="16">
        <v>500</v>
      </c>
      <c r="G277" s="16">
        <v>5</v>
      </c>
      <c r="I277" s="18" t="e">
        <f>IF(OR(ISBLANK(#REF!),ISBLANK(G277)),"·",#REF!*G277/F277/1000000)</f>
        <v>#REF!</v>
      </c>
      <c r="J277" s="19" t="e">
        <f>IF(ISBLANK(#REF!),"·",#REF!/D277)</f>
        <v>#REF!</v>
      </c>
      <c r="K277" s="19" t="e">
        <f>IF(#REF!="","·",#REF!/D277)</f>
        <v>#REF!</v>
      </c>
      <c r="L277" s="20"/>
      <c r="M277" s="19" t="e">
        <f>IF(ISBLANK(#REF!),"·",#REF!/D277)</f>
        <v>#REF!</v>
      </c>
      <c r="N277" s="19" t="e">
        <f>IF(ISBLANK(#REF!),"·",#REF!/#REF!)</f>
        <v>#REF!</v>
      </c>
      <c r="O277" s="21"/>
      <c r="P277" s="22"/>
      <c r="Q277" s="22"/>
      <c r="R277" s="23"/>
      <c r="S277" s="22"/>
      <c r="T277" s="25"/>
      <c r="U277" s="25"/>
      <c r="V277" s="25"/>
      <c r="W277" s="24"/>
      <c r="X277" s="25"/>
      <c r="Y277" s="25"/>
      <c r="Z277" s="25"/>
      <c r="AA277" s="24"/>
      <c r="AB277" s="26"/>
      <c r="AC277" s="26"/>
      <c r="AE277" s="18" t="str">
        <f t="shared" si="21"/>
        <v>·</v>
      </c>
      <c r="AF277" s="19" t="str">
        <f t="shared" si="22"/>
        <v>·</v>
      </c>
      <c r="AG277" s="19" t="str">
        <f t="shared" si="23"/>
        <v>·</v>
      </c>
      <c r="AH277" s="20"/>
      <c r="AI277" s="19" t="str">
        <f t="shared" si="25"/>
        <v>·</v>
      </c>
      <c r="AJ277" s="19" t="str">
        <f t="shared" si="24"/>
        <v>·</v>
      </c>
      <c r="BA277" s="27" t="e">
        <f>(Q277/P277) - (#REF!/#REF!)</f>
        <v>#DIV/0!</v>
      </c>
      <c r="BB277" s="27"/>
      <c r="BD277" s="29"/>
      <c r="BE277" s="29"/>
      <c r="BF277" s="29"/>
      <c r="BG277" s="28"/>
      <c r="BI277" s="29"/>
      <c r="BJ277" s="29"/>
      <c r="BK277" s="29"/>
      <c r="BL277" s="28"/>
      <c r="BN277" s="29"/>
      <c r="BO277" s="29"/>
      <c r="BP277" s="29"/>
      <c r="BQ277" s="28"/>
      <c r="BS277" s="29"/>
      <c r="BT277" s="29"/>
      <c r="BU277" s="29"/>
      <c r="BV277" s="28"/>
    </row>
    <row r="278" spans="1:74" outlineLevel="1" x14ac:dyDescent="0.15">
      <c r="A278" s="30"/>
      <c r="B278" s="30" t="s">
        <v>396</v>
      </c>
      <c r="C278" s="31" t="s">
        <v>228</v>
      </c>
      <c r="D278" s="30">
        <v>14430189</v>
      </c>
      <c r="E278" s="32">
        <v>18</v>
      </c>
      <c r="F278" s="31">
        <v>500</v>
      </c>
      <c r="G278" s="31">
        <v>5</v>
      </c>
      <c r="I278" s="33" t="e">
        <f>IF(OR(ISBLANK(#REF!),ISBLANK(G278)),"·",#REF!*G278/F278/1000000)</f>
        <v>#REF!</v>
      </c>
      <c r="J278" s="34" t="e">
        <f>IF(ISBLANK(#REF!),"·",#REF!/D278)</f>
        <v>#REF!</v>
      </c>
      <c r="K278" s="34" t="e">
        <f>IF(#REF!="","·",#REF!/D278)</f>
        <v>#REF!</v>
      </c>
      <c r="L278" s="35"/>
      <c r="M278" s="34" t="e">
        <f>IF(ISBLANK(#REF!),"·",#REF!/D278)</f>
        <v>#REF!</v>
      </c>
      <c r="N278" s="34" t="e">
        <f>IF(ISBLANK(#REF!),"·",#REF!/#REF!)</f>
        <v>#REF!</v>
      </c>
      <c r="O278" s="36"/>
      <c r="P278" s="37"/>
      <c r="Q278" s="37"/>
      <c r="R278" s="38"/>
      <c r="S278" s="37"/>
      <c r="T278" s="40"/>
      <c r="U278" s="40"/>
      <c r="V278" s="40"/>
      <c r="W278" s="39"/>
      <c r="X278" s="40"/>
      <c r="Y278" s="40"/>
      <c r="Z278" s="40"/>
      <c r="AA278" s="39"/>
      <c r="AB278" s="41"/>
      <c r="AC278" s="41"/>
      <c r="AE278" s="33" t="str">
        <f t="shared" si="21"/>
        <v>·</v>
      </c>
      <c r="AF278" s="34" t="str">
        <f t="shared" si="22"/>
        <v>·</v>
      </c>
      <c r="AG278" s="34" t="str">
        <f t="shared" si="23"/>
        <v>·</v>
      </c>
      <c r="AH278" s="35"/>
      <c r="AI278" s="34" t="str">
        <f t="shared" si="25"/>
        <v>·</v>
      </c>
      <c r="AJ278" s="34" t="str">
        <f t="shared" si="24"/>
        <v>·</v>
      </c>
      <c r="BA278" s="42" t="e">
        <f>(Q278/P278) - (#REF!/#REF!)</f>
        <v>#DIV/0!</v>
      </c>
      <c r="BB278" s="42"/>
      <c r="BD278" s="44"/>
      <c r="BE278" s="44"/>
      <c r="BF278" s="44"/>
      <c r="BG278" s="43"/>
      <c r="BI278" s="44"/>
      <c r="BJ278" s="44"/>
      <c r="BK278" s="44"/>
      <c r="BL278" s="43"/>
      <c r="BN278" s="44"/>
      <c r="BO278" s="44"/>
      <c r="BP278" s="44"/>
      <c r="BQ278" s="43"/>
      <c r="BS278" s="44"/>
      <c r="BT278" s="44"/>
      <c r="BU278" s="44"/>
      <c r="BV278" s="43"/>
    </row>
    <row r="279" spans="1:74" ht="14.25" outlineLevel="1" thickBot="1" x14ac:dyDescent="0.2">
      <c r="A279" s="15"/>
      <c r="B279" s="64" t="s">
        <v>396</v>
      </c>
      <c r="C279" s="66" t="s">
        <v>229</v>
      </c>
      <c r="D279" s="64">
        <v>14430189</v>
      </c>
      <c r="E279" s="65">
        <v>18</v>
      </c>
      <c r="F279" s="66">
        <v>500</v>
      </c>
      <c r="G279" s="66">
        <v>5</v>
      </c>
      <c r="I279" s="68" t="e">
        <f>IF(OR(ISBLANK(#REF!),ISBLANK(G279)),"·",#REF!*G279/F279/1000000)</f>
        <v>#REF!</v>
      </c>
      <c r="J279" s="69" t="e">
        <f>IF(ISBLANK(#REF!),"·",#REF!/D279)</f>
        <v>#REF!</v>
      </c>
      <c r="K279" s="69" t="e">
        <f>IF(#REF!="","·",#REF!/D279)</f>
        <v>#REF!</v>
      </c>
      <c r="L279" s="70"/>
      <c r="M279" s="69" t="e">
        <f>IF(ISBLANK(#REF!),"·",#REF!/D279)</f>
        <v>#REF!</v>
      </c>
      <c r="N279" s="69" t="e">
        <f>IF(ISBLANK(#REF!),"·",#REF!/#REF!)</f>
        <v>#REF!</v>
      </c>
      <c r="O279" s="71"/>
      <c r="P279" s="72"/>
      <c r="Q279" s="72"/>
      <c r="R279" s="73"/>
      <c r="S279" s="72"/>
      <c r="T279" s="78"/>
      <c r="U279" s="78"/>
      <c r="V279" s="78"/>
      <c r="W279" s="77"/>
      <c r="X279" s="78"/>
      <c r="Y279" s="78"/>
      <c r="Z279" s="78"/>
      <c r="AA279" s="77"/>
      <c r="AB279" s="74"/>
      <c r="AC279" s="74"/>
      <c r="AE279" s="68" t="str">
        <f t="shared" si="21"/>
        <v>·</v>
      </c>
      <c r="AF279" s="69" t="str">
        <f t="shared" si="22"/>
        <v>·</v>
      </c>
      <c r="AG279" s="69" t="str">
        <f t="shared" si="23"/>
        <v>·</v>
      </c>
      <c r="AH279" s="70"/>
      <c r="AI279" s="69" t="str">
        <f t="shared" si="25"/>
        <v>·</v>
      </c>
      <c r="AJ279" s="69" t="str">
        <f t="shared" si="24"/>
        <v>·</v>
      </c>
      <c r="BA279" s="67" t="e">
        <f>(Q279/P279) - (#REF!/#REF!)</f>
        <v>#DIV/0!</v>
      </c>
      <c r="BB279" s="67"/>
      <c r="BD279" s="76"/>
      <c r="BE279" s="76"/>
      <c r="BF279" s="76"/>
      <c r="BG279" s="75"/>
      <c r="BI279" s="76"/>
      <c r="BJ279" s="76"/>
      <c r="BK279" s="76"/>
      <c r="BL279" s="75"/>
      <c r="BN279" s="76"/>
      <c r="BO279" s="76"/>
      <c r="BP279" s="76"/>
      <c r="BQ279" s="75"/>
      <c r="BS279" s="76"/>
      <c r="BT279" s="76"/>
      <c r="BU279" s="76"/>
      <c r="BV279" s="75"/>
    </row>
    <row r="280" spans="1:74" x14ac:dyDescent="0.15">
      <c r="A280" s="30"/>
      <c r="B280" s="30" t="s">
        <v>399</v>
      </c>
      <c r="C280" s="31" t="s">
        <v>225</v>
      </c>
      <c r="D280" s="30">
        <v>8167066</v>
      </c>
      <c r="E280" s="32">
        <v>18</v>
      </c>
      <c r="F280" s="31">
        <v>300</v>
      </c>
      <c r="G280" s="31">
        <v>5</v>
      </c>
      <c r="I280" s="33" t="e">
        <f>IF(OR(ISBLANK(#REF!),ISBLANK(G280)),"·",#REF!*G280/F280/1000000)</f>
        <v>#REF!</v>
      </c>
      <c r="J280" s="34" t="e">
        <f>IF(ISBLANK(#REF!),"·",#REF!/D280)</f>
        <v>#REF!</v>
      </c>
      <c r="K280" s="34" t="e">
        <f>IF(#REF!="","·",#REF!/D280)</f>
        <v>#REF!</v>
      </c>
      <c r="L280" s="35"/>
      <c r="M280" s="34" t="e">
        <f>IF(ISBLANK(#REF!),"·",#REF!/D280)</f>
        <v>#REF!</v>
      </c>
      <c r="N280" s="34" t="e">
        <f>IF(ISBLANK(#REF!),"·",#REF!/#REF!)</f>
        <v>#REF!</v>
      </c>
      <c r="O280" s="36"/>
      <c r="P280" s="37"/>
      <c r="Q280" s="37"/>
      <c r="R280" s="38"/>
      <c r="S280" s="37"/>
      <c r="T280" s="40"/>
      <c r="U280" s="40"/>
      <c r="V280" s="40"/>
      <c r="W280" s="39"/>
      <c r="X280" s="40"/>
      <c r="Y280" s="40"/>
      <c r="Z280" s="40"/>
      <c r="AA280" s="39"/>
      <c r="AB280" s="41"/>
      <c r="AC280" s="41"/>
      <c r="AE280" s="33" t="str">
        <f t="shared" si="21"/>
        <v>·</v>
      </c>
      <c r="AF280" s="34" t="str">
        <f t="shared" si="22"/>
        <v>·</v>
      </c>
      <c r="AG280" s="34" t="str">
        <f t="shared" si="23"/>
        <v>·</v>
      </c>
      <c r="AH280" s="35"/>
      <c r="AI280" s="34" t="str">
        <f t="shared" si="25"/>
        <v>·</v>
      </c>
      <c r="AJ280" s="34" t="str">
        <f t="shared" si="24"/>
        <v>·</v>
      </c>
      <c r="BA280" s="42" t="e">
        <f>(Q280/P280) - (#REF!/#REF!)</f>
        <v>#DIV/0!</v>
      </c>
      <c r="BB280" s="42" t="e">
        <f t="array" ref="BB280">AVERAGE(Q280:Q284/P280:P284) - AVERAGE(#REF!/#REF!)</f>
        <v>#DIV/0!</v>
      </c>
      <c r="BD280" s="44"/>
      <c r="BE280" s="44"/>
      <c r="BF280" s="44"/>
      <c r="BG280" s="43" t="str">
        <f>_xlfn.SINGLE(IF( OR(ISBLANK(_xlfn.SINGLE(#REF!)),ISBLANK(_xlfn.SINGLE(S280:S284)), ISBLANK(_xlfn.SINGLE(#REF!)),ISBLANK(_xlfn.SINGLE(W280:W284))), "·", bdRateExtend(#REF!,#REF!, S280:S284,W280:W284)))</f>
        <v>·</v>
      </c>
      <c r="BI280" s="44"/>
      <c r="BJ280" s="44"/>
      <c r="BK280" s="44"/>
      <c r="BL280" s="43" t="str">
        <f>_xlfn.SINGLE(IF( OR(ISBLANK(_xlfn.SINGLE(#REF!)),ISBLANK(_xlfn.SINGLE(S280:S284)), ISBLANK(_xlfn.SINGLE(#REF!)),ISBLANK(_xlfn.SINGLE(AA280:AA284))), "·", bdRateExtend(#REF!,#REF!, S280:S284,AA280:AA284)))</f>
        <v>·</v>
      </c>
      <c r="BN280" s="44"/>
      <c r="BO280" s="44"/>
      <c r="BP280" s="44"/>
      <c r="BQ280" s="43" t="str">
        <f>_xlfn.SINGLE(IF( OR(ISBLANK(_xlfn.SINGLE(#REF!)),ISBLANK(_xlfn.SINGLE(P280:P284)), ISBLANK(_xlfn.SINGLE(#REF!)),ISBLANK(_xlfn.SINGLE(W280:W284))), "·", bdRateExtend(#REF!,#REF!, P280:P284,W280:W284)))</f>
        <v>·</v>
      </c>
      <c r="BS280" s="44"/>
      <c r="BT280" s="44"/>
      <c r="BU280" s="44"/>
      <c r="BV280" s="43" t="str">
        <f>_xlfn.SINGLE(IF( OR(ISBLANK(_xlfn.SINGLE(#REF!)),ISBLANK(_xlfn.SINGLE(P280:P284)), ISBLANK(_xlfn.SINGLE(#REF!)),ISBLANK(_xlfn.SINGLE(AA280:AA284))), "·", bdRateExtend(#REF!,#REF!, P280:P284,AA280:AA284)))</f>
        <v>·</v>
      </c>
    </row>
    <row r="281" spans="1:74" outlineLevel="1" x14ac:dyDescent="0.15">
      <c r="A281" s="15"/>
      <c r="B281" s="15" t="s">
        <v>399</v>
      </c>
      <c r="C281" s="16" t="s">
        <v>226</v>
      </c>
      <c r="D281" s="15">
        <v>8167066</v>
      </c>
      <c r="E281" s="17">
        <v>18</v>
      </c>
      <c r="F281" s="16">
        <v>300</v>
      </c>
      <c r="G281" s="16">
        <v>5</v>
      </c>
      <c r="I281" s="18" t="e">
        <f>IF(OR(ISBLANK(#REF!),ISBLANK(G281)),"·",#REF!*G281/F281/1000000)</f>
        <v>#REF!</v>
      </c>
      <c r="J281" s="19" t="e">
        <f>IF(ISBLANK(#REF!),"·",#REF!/D281)</f>
        <v>#REF!</v>
      </c>
      <c r="K281" s="19" t="e">
        <f>IF(#REF!="","·",#REF!/D281)</f>
        <v>#REF!</v>
      </c>
      <c r="L281" s="20"/>
      <c r="M281" s="19" t="e">
        <f>IF(ISBLANK(#REF!),"·",#REF!/D281)</f>
        <v>#REF!</v>
      </c>
      <c r="N281" s="19" t="e">
        <f>IF(ISBLANK(#REF!),"·",#REF!/#REF!)</f>
        <v>#REF!</v>
      </c>
      <c r="O281" s="21"/>
      <c r="P281" s="22"/>
      <c r="Q281" s="22"/>
      <c r="R281" s="23"/>
      <c r="S281" s="22"/>
      <c r="T281" s="25"/>
      <c r="U281" s="25"/>
      <c r="V281" s="25"/>
      <c r="W281" s="24"/>
      <c r="X281" s="25"/>
      <c r="Y281" s="25"/>
      <c r="Z281" s="25"/>
      <c r="AA281" s="24"/>
      <c r="AB281" s="26"/>
      <c r="AC281" s="26"/>
      <c r="AE281" s="18" t="str">
        <f t="shared" si="21"/>
        <v>·</v>
      </c>
      <c r="AF281" s="19" t="str">
        <f t="shared" si="22"/>
        <v>·</v>
      </c>
      <c r="AG281" s="19" t="str">
        <f t="shared" si="23"/>
        <v>·</v>
      </c>
      <c r="AH281" s="20"/>
      <c r="AI281" s="19" t="str">
        <f t="shared" si="25"/>
        <v>·</v>
      </c>
      <c r="AJ281" s="19" t="str">
        <f t="shared" si="24"/>
        <v>·</v>
      </c>
      <c r="BA281" s="27" t="e">
        <f>(Q281/P281) - (#REF!/#REF!)</f>
        <v>#DIV/0!</v>
      </c>
      <c r="BB281" s="27"/>
      <c r="BD281" s="29"/>
      <c r="BE281" s="29"/>
      <c r="BF281" s="29"/>
      <c r="BG281" s="28"/>
      <c r="BI281" s="29"/>
      <c r="BJ281" s="29"/>
      <c r="BK281" s="29"/>
      <c r="BL281" s="28"/>
      <c r="BN281" s="29"/>
      <c r="BO281" s="29"/>
      <c r="BP281" s="29"/>
      <c r="BQ281" s="28"/>
      <c r="BS281" s="29"/>
      <c r="BT281" s="29"/>
      <c r="BU281" s="29"/>
      <c r="BV281" s="28"/>
    </row>
    <row r="282" spans="1:74" outlineLevel="1" x14ac:dyDescent="0.15">
      <c r="A282" s="30"/>
      <c r="B282" s="30" t="s">
        <v>399</v>
      </c>
      <c r="C282" s="31" t="s">
        <v>227</v>
      </c>
      <c r="D282" s="30">
        <v>8167066</v>
      </c>
      <c r="E282" s="32">
        <v>18</v>
      </c>
      <c r="F282" s="31">
        <v>300</v>
      </c>
      <c r="G282" s="31">
        <v>5</v>
      </c>
      <c r="I282" s="33" t="e">
        <f>IF(OR(ISBLANK(#REF!),ISBLANK(G282)),"·",#REF!*G282/F282/1000000)</f>
        <v>#REF!</v>
      </c>
      <c r="J282" s="34" t="e">
        <f>IF(ISBLANK(#REF!),"·",#REF!/D282)</f>
        <v>#REF!</v>
      </c>
      <c r="K282" s="34" t="e">
        <f>IF(#REF!="","·",#REF!/D282)</f>
        <v>#REF!</v>
      </c>
      <c r="L282" s="35"/>
      <c r="M282" s="34" t="e">
        <f>IF(ISBLANK(#REF!),"·",#REF!/D282)</f>
        <v>#REF!</v>
      </c>
      <c r="N282" s="34" t="e">
        <f>IF(ISBLANK(#REF!),"·",#REF!/#REF!)</f>
        <v>#REF!</v>
      </c>
      <c r="O282" s="36"/>
      <c r="P282" s="37"/>
      <c r="Q282" s="37"/>
      <c r="R282" s="38"/>
      <c r="S282" s="37"/>
      <c r="T282" s="40"/>
      <c r="U282" s="40"/>
      <c r="V282" s="40"/>
      <c r="W282" s="39"/>
      <c r="X282" s="40"/>
      <c r="Y282" s="40"/>
      <c r="Z282" s="40"/>
      <c r="AA282" s="39"/>
      <c r="AB282" s="41"/>
      <c r="AC282" s="41"/>
      <c r="AE282" s="33" t="str">
        <f t="shared" si="21"/>
        <v>·</v>
      </c>
      <c r="AF282" s="34" t="str">
        <f t="shared" si="22"/>
        <v>·</v>
      </c>
      <c r="AG282" s="34" t="str">
        <f t="shared" si="23"/>
        <v>·</v>
      </c>
      <c r="AH282" s="35"/>
      <c r="AI282" s="34" t="str">
        <f t="shared" si="25"/>
        <v>·</v>
      </c>
      <c r="AJ282" s="34" t="str">
        <f t="shared" si="24"/>
        <v>·</v>
      </c>
      <c r="BA282" s="42" t="e">
        <f>(Q282/P282) - (#REF!/#REF!)</f>
        <v>#DIV/0!</v>
      </c>
      <c r="BB282" s="42"/>
      <c r="BD282" s="44"/>
      <c r="BE282" s="44"/>
      <c r="BF282" s="44"/>
      <c r="BG282" s="43"/>
      <c r="BI282" s="44"/>
      <c r="BJ282" s="44"/>
      <c r="BK282" s="44"/>
      <c r="BL282" s="43"/>
      <c r="BN282" s="44"/>
      <c r="BO282" s="44"/>
      <c r="BP282" s="44"/>
      <c r="BQ282" s="43"/>
      <c r="BS282" s="44"/>
      <c r="BT282" s="44"/>
      <c r="BU282" s="44"/>
      <c r="BV282" s="43"/>
    </row>
    <row r="283" spans="1:74" outlineLevel="1" x14ac:dyDescent="0.15">
      <c r="A283" s="15"/>
      <c r="B283" s="15" t="s">
        <v>399</v>
      </c>
      <c r="C283" s="16" t="s">
        <v>228</v>
      </c>
      <c r="D283" s="15">
        <v>8167066</v>
      </c>
      <c r="E283" s="17">
        <v>18</v>
      </c>
      <c r="F283" s="16">
        <v>300</v>
      </c>
      <c r="G283" s="16">
        <v>5</v>
      </c>
      <c r="I283" s="18" t="e">
        <f>IF(OR(ISBLANK(#REF!),ISBLANK(G283)),"·",#REF!*G283/F283/1000000)</f>
        <v>#REF!</v>
      </c>
      <c r="J283" s="19" t="e">
        <f>IF(ISBLANK(#REF!),"·",#REF!/D283)</f>
        <v>#REF!</v>
      </c>
      <c r="K283" s="19" t="e">
        <f>IF(#REF!="","·",#REF!/D283)</f>
        <v>#REF!</v>
      </c>
      <c r="L283" s="20"/>
      <c r="M283" s="19" t="e">
        <f>IF(ISBLANK(#REF!),"·",#REF!/D283)</f>
        <v>#REF!</v>
      </c>
      <c r="N283" s="19" t="e">
        <f>IF(ISBLANK(#REF!),"·",#REF!/#REF!)</f>
        <v>#REF!</v>
      </c>
      <c r="O283" s="21"/>
      <c r="P283" s="22"/>
      <c r="Q283" s="22"/>
      <c r="R283" s="23"/>
      <c r="S283" s="22"/>
      <c r="T283" s="25"/>
      <c r="U283" s="25"/>
      <c r="V283" s="25"/>
      <c r="W283" s="24"/>
      <c r="X283" s="25"/>
      <c r="Y283" s="25"/>
      <c r="Z283" s="25"/>
      <c r="AA283" s="24"/>
      <c r="AB283" s="26"/>
      <c r="AC283" s="26"/>
      <c r="AE283" s="18" t="str">
        <f t="shared" si="21"/>
        <v>·</v>
      </c>
      <c r="AF283" s="19" t="str">
        <f t="shared" si="22"/>
        <v>·</v>
      </c>
      <c r="AG283" s="19" t="str">
        <f t="shared" si="23"/>
        <v>·</v>
      </c>
      <c r="AH283" s="20"/>
      <c r="AI283" s="19" t="str">
        <f t="shared" si="25"/>
        <v>·</v>
      </c>
      <c r="AJ283" s="19" t="str">
        <f t="shared" si="24"/>
        <v>·</v>
      </c>
      <c r="BA283" s="27" t="e">
        <f>(Q283/P283) - (#REF!/#REF!)</f>
        <v>#DIV/0!</v>
      </c>
      <c r="BB283" s="27"/>
      <c r="BD283" s="29"/>
      <c r="BE283" s="29"/>
      <c r="BF283" s="29"/>
      <c r="BG283" s="28"/>
      <c r="BI283" s="29"/>
      <c r="BJ283" s="29"/>
      <c r="BK283" s="29"/>
      <c r="BL283" s="28"/>
      <c r="BN283" s="29"/>
      <c r="BO283" s="29"/>
      <c r="BP283" s="29"/>
      <c r="BQ283" s="28"/>
      <c r="BS283" s="29"/>
      <c r="BT283" s="29"/>
      <c r="BU283" s="29"/>
      <c r="BV283" s="28"/>
    </row>
    <row r="284" spans="1:74" ht="14.25" outlineLevel="1" thickBot="1" x14ac:dyDescent="0.2">
      <c r="A284" s="30"/>
      <c r="B284" s="45" t="s">
        <v>399</v>
      </c>
      <c r="C284" s="46" t="s">
        <v>229</v>
      </c>
      <c r="D284" s="45">
        <v>8167066</v>
      </c>
      <c r="E284" s="47">
        <v>18</v>
      </c>
      <c r="F284" s="46">
        <v>300</v>
      </c>
      <c r="G284" s="46">
        <v>5</v>
      </c>
      <c r="I284" s="48" t="e">
        <f>IF(OR(ISBLANK(#REF!),ISBLANK(G284)),"·",#REF!*G284/F284/1000000)</f>
        <v>#REF!</v>
      </c>
      <c r="J284" s="49" t="e">
        <f>IF(ISBLANK(#REF!),"·",#REF!/D284)</f>
        <v>#REF!</v>
      </c>
      <c r="K284" s="49" t="e">
        <f>IF(#REF!="","·",#REF!/D284)</f>
        <v>#REF!</v>
      </c>
      <c r="L284" s="50"/>
      <c r="M284" s="49" t="e">
        <f>IF(ISBLANK(#REF!),"·",#REF!/D284)</f>
        <v>#REF!</v>
      </c>
      <c r="N284" s="49" t="e">
        <f>IF(ISBLANK(#REF!),"·",#REF!/#REF!)</f>
        <v>#REF!</v>
      </c>
      <c r="O284" s="51"/>
      <c r="P284" s="52"/>
      <c r="Q284" s="52"/>
      <c r="R284" s="53"/>
      <c r="S284" s="52"/>
      <c r="T284" s="55"/>
      <c r="U284" s="55"/>
      <c r="V284" s="55"/>
      <c r="W284" s="54"/>
      <c r="X284" s="55"/>
      <c r="Y284" s="55"/>
      <c r="Z284" s="55"/>
      <c r="AA284" s="54"/>
      <c r="AB284" s="56"/>
      <c r="AC284" s="56"/>
      <c r="AE284" s="48" t="str">
        <f t="shared" si="21"/>
        <v>·</v>
      </c>
      <c r="AF284" s="49" t="str">
        <f t="shared" si="22"/>
        <v>·</v>
      </c>
      <c r="AG284" s="49" t="str">
        <f t="shared" si="23"/>
        <v>·</v>
      </c>
      <c r="AH284" s="50"/>
      <c r="AI284" s="49" t="str">
        <f t="shared" si="25"/>
        <v>·</v>
      </c>
      <c r="AJ284" s="49" t="str">
        <f t="shared" si="24"/>
        <v>·</v>
      </c>
      <c r="BA284" s="57" t="e">
        <f>(Q284/P284) - (#REF!/#REF!)</f>
        <v>#DIV/0!</v>
      </c>
      <c r="BB284" s="57"/>
      <c r="BD284" s="59"/>
      <c r="BE284" s="59"/>
      <c r="BF284" s="59"/>
      <c r="BG284" s="58"/>
      <c r="BI284" s="59"/>
      <c r="BJ284" s="59"/>
      <c r="BK284" s="59"/>
      <c r="BL284" s="58"/>
      <c r="BN284" s="59"/>
      <c r="BO284" s="59"/>
      <c r="BP284" s="59"/>
      <c r="BQ284" s="58"/>
      <c r="BS284" s="59"/>
      <c r="BT284" s="59"/>
      <c r="BU284" s="59"/>
      <c r="BV284" s="58"/>
    </row>
    <row r="285" spans="1:74" x14ac:dyDescent="0.15">
      <c r="A285" s="80" t="s">
        <v>1021</v>
      </c>
      <c r="B285" s="15" t="s">
        <v>989</v>
      </c>
      <c r="C285" s="16" t="s">
        <v>225</v>
      </c>
      <c r="D285" s="15">
        <v>36264456</v>
      </c>
      <c r="E285" s="17">
        <v>16</v>
      </c>
      <c r="F285" s="16">
        <v>300</v>
      </c>
      <c r="G285" s="16">
        <v>15</v>
      </c>
      <c r="I285" s="18" t="e">
        <f>IF(OR(ISBLANK(#REF!),ISBLANK(G285)),"·",#REF!*G285/F285/1000000)</f>
        <v>#REF!</v>
      </c>
      <c r="J285" s="19" t="e">
        <f>IF(ISBLANK(#REF!),"·",#REF!/D285)</f>
        <v>#REF!</v>
      </c>
      <c r="K285" s="19" t="e">
        <f>IF(#REF!="","·",#REF!/D285)</f>
        <v>#REF!</v>
      </c>
      <c r="L285" s="20"/>
      <c r="M285" s="19" t="e">
        <f>IF(ISBLANK(#REF!),"·",#REF!/D285)</f>
        <v>#REF!</v>
      </c>
      <c r="N285" s="19" t="e">
        <f>IF(ISBLANK(#REF!),"·",#REF!/#REF!)</f>
        <v>#REF!</v>
      </c>
      <c r="O285" s="21"/>
      <c r="P285" s="22"/>
      <c r="Q285" s="22"/>
      <c r="R285" s="23"/>
      <c r="S285" s="22"/>
      <c r="T285" s="25"/>
      <c r="U285" s="25"/>
      <c r="V285" s="25"/>
      <c r="W285" s="24"/>
      <c r="X285" s="25"/>
      <c r="Y285" s="25"/>
      <c r="Z285" s="25"/>
      <c r="AA285" s="24"/>
      <c r="AB285" s="26"/>
      <c r="AC285" s="26"/>
      <c r="AE285" s="18" t="str">
        <f t="shared" si="21"/>
        <v>·</v>
      </c>
      <c r="AF285" s="19" t="str">
        <f t="shared" si="22"/>
        <v>·</v>
      </c>
      <c r="AG285" s="19" t="str">
        <f t="shared" si="23"/>
        <v>·</v>
      </c>
      <c r="AH285" s="20"/>
      <c r="AI285" s="19" t="str">
        <f t="shared" si="25"/>
        <v>·</v>
      </c>
      <c r="AJ285" s="19" t="str">
        <f t="shared" si="24"/>
        <v>·</v>
      </c>
      <c r="BA285" s="27" t="e">
        <f>(Q285/P285) - (#REF!/#REF!)</f>
        <v>#DIV/0!</v>
      </c>
      <c r="BB285" s="27" t="e">
        <f t="array" ref="BB285">AVERAGE(Q285:Q289/P285:P289) - AVERAGE(#REF!/#REF!)</f>
        <v>#DIV/0!</v>
      </c>
      <c r="BD285" s="29"/>
      <c r="BE285" s="29"/>
      <c r="BF285" s="29"/>
      <c r="BG285" s="28" t="str">
        <f>_xlfn.SINGLE(IF( OR(ISBLANK(_xlfn.SINGLE(#REF!)),ISBLANK(_xlfn.SINGLE(S285:S289)), ISBLANK(_xlfn.SINGLE(#REF!)),ISBLANK(_xlfn.SINGLE(W285:W289))), "·", bdRateExtend(#REF!,#REF!, S285:S289,W285:W289)))</f>
        <v>·</v>
      </c>
      <c r="BI285" s="29"/>
      <c r="BJ285" s="29"/>
      <c r="BK285" s="29"/>
      <c r="BL285" s="28" t="str">
        <f>_xlfn.SINGLE(IF( OR(ISBLANK(_xlfn.SINGLE(#REF!)),ISBLANK(_xlfn.SINGLE(S285:S289)), ISBLANK(_xlfn.SINGLE(#REF!)),ISBLANK(_xlfn.SINGLE(AA285:AA289))), "·", bdRateExtend(#REF!,#REF!, S285:S289,AA285:AA289)))</f>
        <v>·</v>
      </c>
      <c r="BN285" s="29"/>
      <c r="BO285" s="29"/>
      <c r="BP285" s="29"/>
      <c r="BQ285" s="28" t="str">
        <f>_xlfn.SINGLE(IF( OR(ISBLANK(_xlfn.SINGLE(#REF!)),ISBLANK(_xlfn.SINGLE(P285:P289)), ISBLANK(_xlfn.SINGLE(#REF!)),ISBLANK(_xlfn.SINGLE(W285:W289))), "·", bdRateExtend(#REF!,#REF!, P285:P289,W285:W289)))</f>
        <v>·</v>
      </c>
      <c r="BS285" s="29"/>
      <c r="BT285" s="29"/>
      <c r="BU285" s="29"/>
      <c r="BV285" s="28" t="str">
        <f>_xlfn.SINGLE(IF( OR(ISBLANK(_xlfn.SINGLE(#REF!)),ISBLANK(_xlfn.SINGLE(P285:P289)), ISBLANK(_xlfn.SINGLE(#REF!)),ISBLANK(_xlfn.SINGLE(AA285:AA289))), "·", bdRateExtend(#REF!,#REF!, P285:P289,AA285:AA289)))</f>
        <v>·</v>
      </c>
    </row>
    <row r="286" spans="1:74" outlineLevel="1" x14ac:dyDescent="0.15">
      <c r="A286" s="30"/>
      <c r="B286" s="30" t="s">
        <v>989</v>
      </c>
      <c r="C286" s="31" t="s">
        <v>226</v>
      </c>
      <c r="D286" s="30">
        <v>36264456</v>
      </c>
      <c r="E286" s="32">
        <v>16</v>
      </c>
      <c r="F286" s="31">
        <v>300</v>
      </c>
      <c r="G286" s="31">
        <v>15</v>
      </c>
      <c r="I286" s="33" t="e">
        <f>IF(OR(ISBLANK(#REF!),ISBLANK(G286)),"·",#REF!*G286/F286/1000000)</f>
        <v>#REF!</v>
      </c>
      <c r="J286" s="34" t="e">
        <f>IF(ISBLANK(#REF!),"·",#REF!/D286)</f>
        <v>#REF!</v>
      </c>
      <c r="K286" s="34" t="e">
        <f>IF(#REF!="","·",#REF!/D286)</f>
        <v>#REF!</v>
      </c>
      <c r="L286" s="35"/>
      <c r="M286" s="34" t="e">
        <f>IF(ISBLANK(#REF!),"·",#REF!/D286)</f>
        <v>#REF!</v>
      </c>
      <c r="N286" s="34" t="e">
        <f>IF(ISBLANK(#REF!),"·",#REF!/#REF!)</f>
        <v>#REF!</v>
      </c>
      <c r="O286" s="36"/>
      <c r="P286" s="37"/>
      <c r="Q286" s="37"/>
      <c r="R286" s="38"/>
      <c r="S286" s="37"/>
      <c r="T286" s="40"/>
      <c r="U286" s="40"/>
      <c r="V286" s="40"/>
      <c r="W286" s="39"/>
      <c r="X286" s="40"/>
      <c r="Y286" s="40"/>
      <c r="Z286" s="40"/>
      <c r="AA286" s="39"/>
      <c r="AB286" s="41"/>
      <c r="AC286" s="41"/>
      <c r="AE286" s="33" t="str">
        <f t="shared" si="21"/>
        <v>·</v>
      </c>
      <c r="AF286" s="34" t="str">
        <f t="shared" si="22"/>
        <v>·</v>
      </c>
      <c r="AG286" s="34" t="str">
        <f t="shared" si="23"/>
        <v>·</v>
      </c>
      <c r="AH286" s="35"/>
      <c r="AI286" s="34" t="str">
        <f t="shared" si="25"/>
        <v>·</v>
      </c>
      <c r="AJ286" s="34" t="str">
        <f t="shared" si="24"/>
        <v>·</v>
      </c>
      <c r="BA286" s="42" t="e">
        <f>(Q286/P286) - (#REF!/#REF!)</f>
        <v>#DIV/0!</v>
      </c>
      <c r="BB286" s="42"/>
      <c r="BD286" s="44"/>
      <c r="BE286" s="44"/>
      <c r="BF286" s="44"/>
      <c r="BG286" s="43"/>
      <c r="BI286" s="44"/>
      <c r="BJ286" s="44"/>
      <c r="BK286" s="44"/>
      <c r="BL286" s="43"/>
      <c r="BN286" s="44"/>
      <c r="BO286" s="44"/>
      <c r="BP286" s="44"/>
      <c r="BQ286" s="43"/>
      <c r="BS286" s="44"/>
      <c r="BT286" s="44"/>
      <c r="BU286" s="44"/>
      <c r="BV286" s="43"/>
    </row>
    <row r="287" spans="1:74" outlineLevel="1" x14ac:dyDescent="0.15">
      <c r="A287" s="15"/>
      <c r="B287" s="15" t="s">
        <v>989</v>
      </c>
      <c r="C287" s="16" t="s">
        <v>227</v>
      </c>
      <c r="D287" s="15">
        <v>36264456</v>
      </c>
      <c r="E287" s="17">
        <v>16</v>
      </c>
      <c r="F287" s="16">
        <v>300</v>
      </c>
      <c r="G287" s="16">
        <v>15</v>
      </c>
      <c r="I287" s="18" t="e">
        <f>IF(OR(ISBLANK(#REF!),ISBLANK(G287)),"·",#REF!*G287/F287/1000000)</f>
        <v>#REF!</v>
      </c>
      <c r="J287" s="19" t="e">
        <f>IF(ISBLANK(#REF!),"·",#REF!/D287)</f>
        <v>#REF!</v>
      </c>
      <c r="K287" s="19" t="e">
        <f>IF(#REF!="","·",#REF!/D287)</f>
        <v>#REF!</v>
      </c>
      <c r="L287" s="20"/>
      <c r="M287" s="19" t="e">
        <f>IF(ISBLANK(#REF!),"·",#REF!/D287)</f>
        <v>#REF!</v>
      </c>
      <c r="N287" s="19" t="e">
        <f>IF(ISBLANK(#REF!),"·",#REF!/#REF!)</f>
        <v>#REF!</v>
      </c>
      <c r="O287" s="21"/>
      <c r="P287" s="22"/>
      <c r="Q287" s="22"/>
      <c r="R287" s="23"/>
      <c r="S287" s="22"/>
      <c r="T287" s="25"/>
      <c r="U287" s="25"/>
      <c r="V287" s="25"/>
      <c r="W287" s="24"/>
      <c r="X287" s="25"/>
      <c r="Y287" s="25"/>
      <c r="Z287" s="25"/>
      <c r="AA287" s="24"/>
      <c r="AB287" s="26"/>
      <c r="AC287" s="26"/>
      <c r="AE287" s="18" t="str">
        <f t="shared" si="21"/>
        <v>·</v>
      </c>
      <c r="AF287" s="19" t="str">
        <f t="shared" si="22"/>
        <v>·</v>
      </c>
      <c r="AG287" s="19" t="str">
        <f t="shared" si="23"/>
        <v>·</v>
      </c>
      <c r="AH287" s="20"/>
      <c r="AI287" s="19" t="str">
        <f t="shared" si="25"/>
        <v>·</v>
      </c>
      <c r="AJ287" s="19" t="str">
        <f t="shared" si="24"/>
        <v>·</v>
      </c>
      <c r="BA287" s="27" t="e">
        <f>(Q287/P287) - (#REF!/#REF!)</f>
        <v>#DIV/0!</v>
      </c>
      <c r="BB287" s="27"/>
      <c r="BD287" s="29"/>
      <c r="BE287" s="29"/>
      <c r="BF287" s="29"/>
      <c r="BG287" s="28"/>
      <c r="BI287" s="29"/>
      <c r="BJ287" s="29"/>
      <c r="BK287" s="29"/>
      <c r="BL287" s="28"/>
      <c r="BN287" s="29"/>
      <c r="BO287" s="29"/>
      <c r="BP287" s="29"/>
      <c r="BQ287" s="28"/>
      <c r="BS287" s="29"/>
      <c r="BT287" s="29"/>
      <c r="BU287" s="29"/>
      <c r="BV287" s="28"/>
    </row>
    <row r="288" spans="1:74" outlineLevel="1" x14ac:dyDescent="0.15">
      <c r="A288" s="30"/>
      <c r="B288" s="30" t="s">
        <v>989</v>
      </c>
      <c r="C288" s="31" t="s">
        <v>228</v>
      </c>
      <c r="D288" s="30">
        <v>36264456</v>
      </c>
      <c r="E288" s="32">
        <v>16</v>
      </c>
      <c r="F288" s="31">
        <v>300</v>
      </c>
      <c r="G288" s="31">
        <v>15</v>
      </c>
      <c r="I288" s="33" t="e">
        <f>IF(OR(ISBLANK(#REF!),ISBLANK(G288)),"·",#REF!*G288/F288/1000000)</f>
        <v>#REF!</v>
      </c>
      <c r="J288" s="34" t="e">
        <f>IF(ISBLANK(#REF!),"·",#REF!/D288)</f>
        <v>#REF!</v>
      </c>
      <c r="K288" s="34" t="e">
        <f>IF(#REF!="","·",#REF!/D288)</f>
        <v>#REF!</v>
      </c>
      <c r="L288" s="35"/>
      <c r="M288" s="34" t="e">
        <f>IF(ISBLANK(#REF!),"·",#REF!/D288)</f>
        <v>#REF!</v>
      </c>
      <c r="N288" s="34" t="e">
        <f>IF(ISBLANK(#REF!),"·",#REF!/#REF!)</f>
        <v>#REF!</v>
      </c>
      <c r="O288" s="36"/>
      <c r="P288" s="37"/>
      <c r="Q288" s="37"/>
      <c r="R288" s="38"/>
      <c r="S288" s="37"/>
      <c r="T288" s="40"/>
      <c r="U288" s="40"/>
      <c r="V288" s="40"/>
      <c r="W288" s="39"/>
      <c r="X288" s="40"/>
      <c r="Y288" s="40"/>
      <c r="Z288" s="40"/>
      <c r="AA288" s="39"/>
      <c r="AB288" s="41"/>
      <c r="AC288" s="41"/>
      <c r="AE288" s="33" t="str">
        <f t="shared" si="21"/>
        <v>·</v>
      </c>
      <c r="AF288" s="34" t="str">
        <f t="shared" si="22"/>
        <v>·</v>
      </c>
      <c r="AG288" s="34" t="str">
        <f t="shared" si="23"/>
        <v>·</v>
      </c>
      <c r="AH288" s="35"/>
      <c r="AI288" s="34" t="str">
        <f t="shared" si="25"/>
        <v>·</v>
      </c>
      <c r="AJ288" s="34" t="str">
        <f t="shared" si="24"/>
        <v>·</v>
      </c>
      <c r="BA288" s="42" t="e">
        <f>(Q288/P288) - (#REF!/#REF!)</f>
        <v>#DIV/0!</v>
      </c>
      <c r="BB288" s="42"/>
      <c r="BD288" s="44"/>
      <c r="BE288" s="44"/>
      <c r="BF288" s="44"/>
      <c r="BG288" s="43"/>
      <c r="BI288" s="44"/>
      <c r="BJ288" s="44"/>
      <c r="BK288" s="44"/>
      <c r="BL288" s="43"/>
      <c r="BN288" s="44"/>
      <c r="BO288" s="44"/>
      <c r="BP288" s="44"/>
      <c r="BQ288" s="43"/>
      <c r="BS288" s="44"/>
      <c r="BT288" s="44"/>
      <c r="BU288" s="44"/>
      <c r="BV288" s="43"/>
    </row>
    <row r="289" spans="1:74" ht="14.25" outlineLevel="1" thickBot="1" x14ac:dyDescent="0.2">
      <c r="A289" s="15"/>
      <c r="B289" s="64" t="s">
        <v>989</v>
      </c>
      <c r="C289" s="66" t="s">
        <v>229</v>
      </c>
      <c r="D289" s="64">
        <v>36264456</v>
      </c>
      <c r="E289" s="65">
        <v>16</v>
      </c>
      <c r="F289" s="66">
        <v>300</v>
      </c>
      <c r="G289" s="66">
        <v>15</v>
      </c>
      <c r="I289" s="68" t="e">
        <f>IF(OR(ISBLANK(#REF!),ISBLANK(G289)),"·",#REF!*G289/F289/1000000)</f>
        <v>#REF!</v>
      </c>
      <c r="J289" s="69" t="e">
        <f>IF(ISBLANK(#REF!),"·",#REF!/D289)</f>
        <v>#REF!</v>
      </c>
      <c r="K289" s="69" t="e">
        <f>IF(#REF!="","·",#REF!/D289)</f>
        <v>#REF!</v>
      </c>
      <c r="L289" s="70"/>
      <c r="M289" s="69" t="e">
        <f>IF(ISBLANK(#REF!),"·",#REF!/D289)</f>
        <v>#REF!</v>
      </c>
      <c r="N289" s="69" t="e">
        <f>IF(ISBLANK(#REF!),"·",#REF!/#REF!)</f>
        <v>#REF!</v>
      </c>
      <c r="O289" s="71"/>
      <c r="P289" s="72"/>
      <c r="Q289" s="72"/>
      <c r="R289" s="73"/>
      <c r="S289" s="72"/>
      <c r="T289" s="78"/>
      <c r="U289" s="78"/>
      <c r="V289" s="78"/>
      <c r="W289" s="77"/>
      <c r="X289" s="78"/>
      <c r="Y289" s="78"/>
      <c r="Z289" s="78"/>
      <c r="AA289" s="77"/>
      <c r="AB289" s="74"/>
      <c r="AC289" s="74"/>
      <c r="AE289" s="68" t="str">
        <f t="shared" si="21"/>
        <v>·</v>
      </c>
      <c r="AF289" s="69" t="str">
        <f t="shared" si="22"/>
        <v>·</v>
      </c>
      <c r="AG289" s="69" t="str">
        <f t="shared" si="23"/>
        <v>·</v>
      </c>
      <c r="AH289" s="70"/>
      <c r="AI289" s="69" t="str">
        <f t="shared" si="25"/>
        <v>·</v>
      </c>
      <c r="AJ289" s="69" t="str">
        <f t="shared" si="24"/>
        <v>·</v>
      </c>
      <c r="BA289" s="67" t="e">
        <f>(Q289/P289) - (#REF!/#REF!)</f>
        <v>#DIV/0!</v>
      </c>
      <c r="BB289" s="67"/>
      <c r="BD289" s="76"/>
      <c r="BE289" s="76"/>
      <c r="BF289" s="76"/>
      <c r="BG289" s="75"/>
      <c r="BI289" s="76"/>
      <c r="BJ289" s="76"/>
      <c r="BK289" s="76"/>
      <c r="BL289" s="75"/>
      <c r="BN289" s="76"/>
      <c r="BO289" s="76"/>
      <c r="BP289" s="76"/>
      <c r="BQ289" s="75"/>
      <c r="BS289" s="76"/>
      <c r="BT289" s="76"/>
      <c r="BU289" s="76"/>
      <c r="BV289" s="75"/>
    </row>
    <row r="290" spans="1:74" x14ac:dyDescent="0.15">
      <c r="A290" s="30"/>
      <c r="B290" s="30" t="s">
        <v>990</v>
      </c>
      <c r="C290" s="31" t="s">
        <v>225</v>
      </c>
      <c r="D290" s="30">
        <v>32421290</v>
      </c>
      <c r="E290" s="32">
        <v>16</v>
      </c>
      <c r="F290" s="31">
        <v>300</v>
      </c>
      <c r="G290" s="31">
        <v>15</v>
      </c>
      <c r="I290" s="33" t="e">
        <f>IF(OR(ISBLANK(#REF!),ISBLANK(G290)),"·",#REF!*G290/F290/1000000)</f>
        <v>#REF!</v>
      </c>
      <c r="J290" s="34" t="e">
        <f>IF(ISBLANK(#REF!),"·",#REF!/D290)</f>
        <v>#REF!</v>
      </c>
      <c r="K290" s="34" t="e">
        <f>IF(#REF!="","·",#REF!/D290)</f>
        <v>#REF!</v>
      </c>
      <c r="L290" s="35"/>
      <c r="M290" s="34" t="e">
        <f>IF(ISBLANK(#REF!),"·",#REF!/D290)</f>
        <v>#REF!</v>
      </c>
      <c r="N290" s="34" t="e">
        <f>IF(ISBLANK(#REF!),"·",#REF!/#REF!)</f>
        <v>#REF!</v>
      </c>
      <c r="O290" s="36"/>
      <c r="P290" s="37"/>
      <c r="Q290" s="37"/>
      <c r="R290" s="38"/>
      <c r="S290" s="37"/>
      <c r="T290" s="40"/>
      <c r="U290" s="40"/>
      <c r="V290" s="40"/>
      <c r="W290" s="39"/>
      <c r="X290" s="40"/>
      <c r="Y290" s="40"/>
      <c r="Z290" s="40"/>
      <c r="AA290" s="39"/>
      <c r="AB290" s="41"/>
      <c r="AC290" s="41"/>
      <c r="AE290" s="33" t="str">
        <f t="shared" si="21"/>
        <v>·</v>
      </c>
      <c r="AF290" s="34" t="str">
        <f t="shared" si="22"/>
        <v>·</v>
      </c>
      <c r="AG290" s="34" t="str">
        <f t="shared" si="23"/>
        <v>·</v>
      </c>
      <c r="AH290" s="35"/>
      <c r="AI290" s="34" t="str">
        <f t="shared" si="25"/>
        <v>·</v>
      </c>
      <c r="AJ290" s="34" t="str">
        <f t="shared" si="24"/>
        <v>·</v>
      </c>
      <c r="BA290" s="42" t="e">
        <f>(Q290/P290) - (#REF!/#REF!)</f>
        <v>#DIV/0!</v>
      </c>
      <c r="BB290" s="42" t="e">
        <f t="array" ref="BB290">AVERAGE(Q290:Q294/P290:P294) - AVERAGE(#REF!/#REF!)</f>
        <v>#DIV/0!</v>
      </c>
      <c r="BD290" s="44"/>
      <c r="BE290" s="44"/>
      <c r="BF290" s="44"/>
      <c r="BG290" s="43" t="str">
        <f>_xlfn.SINGLE(IF( OR(ISBLANK(_xlfn.SINGLE(#REF!)),ISBLANK(_xlfn.SINGLE(S290:S294)), ISBLANK(_xlfn.SINGLE(#REF!)),ISBLANK(_xlfn.SINGLE(W290:W294))), "·", bdRateExtend(#REF!,#REF!, S290:S294,W290:W294)))</f>
        <v>·</v>
      </c>
      <c r="BI290" s="44"/>
      <c r="BJ290" s="44"/>
      <c r="BK290" s="44"/>
      <c r="BL290" s="43" t="str">
        <f>_xlfn.SINGLE(IF( OR(ISBLANK(_xlfn.SINGLE(#REF!)),ISBLANK(_xlfn.SINGLE(S290:S294)), ISBLANK(_xlfn.SINGLE(#REF!)),ISBLANK(_xlfn.SINGLE(AA290:AA294))), "·", bdRateExtend(#REF!,#REF!, S290:S294,AA290:AA294)))</f>
        <v>·</v>
      </c>
      <c r="BN290" s="44"/>
      <c r="BO290" s="44"/>
      <c r="BP290" s="44"/>
      <c r="BQ290" s="43" t="str">
        <f>_xlfn.SINGLE(IF( OR(ISBLANK(_xlfn.SINGLE(#REF!)),ISBLANK(_xlfn.SINGLE(P290:P294)), ISBLANK(_xlfn.SINGLE(#REF!)),ISBLANK(_xlfn.SINGLE(W290:W294))), "·", bdRateExtend(#REF!,#REF!, P290:P294,W290:W294)))</f>
        <v>·</v>
      </c>
      <c r="BS290" s="44"/>
      <c r="BT290" s="44"/>
      <c r="BU290" s="44"/>
      <c r="BV290" s="43" t="str">
        <f>_xlfn.SINGLE(IF( OR(ISBLANK(_xlfn.SINGLE(#REF!)),ISBLANK(_xlfn.SINGLE(P290:P294)), ISBLANK(_xlfn.SINGLE(#REF!)),ISBLANK(_xlfn.SINGLE(AA290:AA294))), "·", bdRateExtend(#REF!,#REF!, P290:P294,AA290:AA294)))</f>
        <v>·</v>
      </c>
    </row>
    <row r="291" spans="1:74" outlineLevel="1" x14ac:dyDescent="0.15">
      <c r="A291" s="15"/>
      <c r="B291" s="15" t="s">
        <v>990</v>
      </c>
      <c r="C291" s="16" t="s">
        <v>226</v>
      </c>
      <c r="D291" s="15">
        <v>32421290</v>
      </c>
      <c r="E291" s="17">
        <v>16</v>
      </c>
      <c r="F291" s="16">
        <v>300</v>
      </c>
      <c r="G291" s="16">
        <v>15</v>
      </c>
      <c r="I291" s="18" t="e">
        <f>IF(OR(ISBLANK(#REF!),ISBLANK(G291)),"·",#REF!*G291/F291/1000000)</f>
        <v>#REF!</v>
      </c>
      <c r="J291" s="19" t="e">
        <f>IF(ISBLANK(#REF!),"·",#REF!/D291)</f>
        <v>#REF!</v>
      </c>
      <c r="K291" s="19" t="e">
        <f>IF(#REF!="","·",#REF!/D291)</f>
        <v>#REF!</v>
      </c>
      <c r="L291" s="20"/>
      <c r="M291" s="19" t="e">
        <f>IF(ISBLANK(#REF!),"·",#REF!/D291)</f>
        <v>#REF!</v>
      </c>
      <c r="N291" s="19" t="e">
        <f>IF(ISBLANK(#REF!),"·",#REF!/#REF!)</f>
        <v>#REF!</v>
      </c>
      <c r="O291" s="21"/>
      <c r="P291" s="22"/>
      <c r="Q291" s="22"/>
      <c r="R291" s="23"/>
      <c r="S291" s="22"/>
      <c r="T291" s="25"/>
      <c r="U291" s="25"/>
      <c r="V291" s="25"/>
      <c r="W291" s="24"/>
      <c r="X291" s="25"/>
      <c r="Y291" s="25"/>
      <c r="Z291" s="25"/>
      <c r="AA291" s="24"/>
      <c r="AB291" s="26"/>
      <c r="AC291" s="26"/>
      <c r="AE291" s="18" t="str">
        <f t="shared" si="21"/>
        <v>·</v>
      </c>
      <c r="AF291" s="19" t="str">
        <f t="shared" si="22"/>
        <v>·</v>
      </c>
      <c r="AG291" s="19" t="str">
        <f t="shared" si="23"/>
        <v>·</v>
      </c>
      <c r="AH291" s="20"/>
      <c r="AI291" s="19" t="str">
        <f t="shared" si="25"/>
        <v>·</v>
      </c>
      <c r="AJ291" s="19" t="str">
        <f t="shared" si="24"/>
        <v>·</v>
      </c>
      <c r="BA291" s="27" t="e">
        <f>(Q291/P291) - (#REF!/#REF!)</f>
        <v>#DIV/0!</v>
      </c>
      <c r="BB291" s="27"/>
      <c r="BD291" s="29"/>
      <c r="BE291" s="29"/>
      <c r="BF291" s="29"/>
      <c r="BG291" s="28"/>
      <c r="BI291" s="29"/>
      <c r="BJ291" s="29"/>
      <c r="BK291" s="29"/>
      <c r="BL291" s="28"/>
      <c r="BN291" s="29"/>
      <c r="BO291" s="29"/>
      <c r="BP291" s="29"/>
      <c r="BQ291" s="28"/>
      <c r="BS291" s="29"/>
      <c r="BT291" s="29"/>
      <c r="BU291" s="29"/>
      <c r="BV291" s="28"/>
    </row>
    <row r="292" spans="1:74" outlineLevel="1" x14ac:dyDescent="0.15">
      <c r="A292" s="30"/>
      <c r="B292" s="30" t="s">
        <v>990</v>
      </c>
      <c r="C292" s="31" t="s">
        <v>227</v>
      </c>
      <c r="D292" s="30">
        <v>32421290</v>
      </c>
      <c r="E292" s="32">
        <v>16</v>
      </c>
      <c r="F292" s="31">
        <v>300</v>
      </c>
      <c r="G292" s="31">
        <v>15</v>
      </c>
      <c r="I292" s="33" t="e">
        <f>IF(OR(ISBLANK(#REF!),ISBLANK(G292)),"·",#REF!*G292/F292/1000000)</f>
        <v>#REF!</v>
      </c>
      <c r="J292" s="34" t="e">
        <f>IF(ISBLANK(#REF!),"·",#REF!/D292)</f>
        <v>#REF!</v>
      </c>
      <c r="K292" s="34" t="e">
        <f>IF(#REF!="","·",#REF!/D292)</f>
        <v>#REF!</v>
      </c>
      <c r="L292" s="35"/>
      <c r="M292" s="34" t="e">
        <f>IF(ISBLANK(#REF!),"·",#REF!/D292)</f>
        <v>#REF!</v>
      </c>
      <c r="N292" s="34" t="e">
        <f>IF(ISBLANK(#REF!),"·",#REF!/#REF!)</f>
        <v>#REF!</v>
      </c>
      <c r="O292" s="36"/>
      <c r="P292" s="37"/>
      <c r="Q292" s="37"/>
      <c r="R292" s="38"/>
      <c r="S292" s="37"/>
      <c r="T292" s="40"/>
      <c r="U292" s="40"/>
      <c r="V292" s="40"/>
      <c r="W292" s="39"/>
      <c r="X292" s="40"/>
      <c r="Y292" s="40"/>
      <c r="Z292" s="40"/>
      <c r="AA292" s="39"/>
      <c r="AB292" s="41"/>
      <c r="AC292" s="41"/>
      <c r="AE292" s="33" t="str">
        <f t="shared" si="21"/>
        <v>·</v>
      </c>
      <c r="AF292" s="34" t="str">
        <f t="shared" si="22"/>
        <v>·</v>
      </c>
      <c r="AG292" s="34" t="str">
        <f t="shared" si="23"/>
        <v>·</v>
      </c>
      <c r="AH292" s="35"/>
      <c r="AI292" s="34" t="str">
        <f t="shared" si="25"/>
        <v>·</v>
      </c>
      <c r="AJ292" s="34" t="str">
        <f t="shared" si="24"/>
        <v>·</v>
      </c>
      <c r="BA292" s="42" t="e">
        <f>(Q292/P292) - (#REF!/#REF!)</f>
        <v>#DIV/0!</v>
      </c>
      <c r="BB292" s="42"/>
      <c r="BD292" s="44"/>
      <c r="BE292" s="44"/>
      <c r="BF292" s="44"/>
      <c r="BG292" s="43"/>
      <c r="BI292" s="44"/>
      <c r="BJ292" s="44"/>
      <c r="BK292" s="44"/>
      <c r="BL292" s="43"/>
      <c r="BN292" s="44"/>
      <c r="BO292" s="44"/>
      <c r="BP292" s="44"/>
      <c r="BQ292" s="43"/>
      <c r="BS292" s="44"/>
      <c r="BT292" s="44"/>
      <c r="BU292" s="44"/>
      <c r="BV292" s="43"/>
    </row>
    <row r="293" spans="1:74" outlineLevel="1" x14ac:dyDescent="0.15">
      <c r="A293" s="15"/>
      <c r="B293" s="15" t="s">
        <v>990</v>
      </c>
      <c r="C293" s="16" t="s">
        <v>228</v>
      </c>
      <c r="D293" s="15">
        <v>32421290</v>
      </c>
      <c r="E293" s="17">
        <v>16</v>
      </c>
      <c r="F293" s="16">
        <v>300</v>
      </c>
      <c r="G293" s="16">
        <v>15</v>
      </c>
      <c r="I293" s="18" t="e">
        <f>IF(OR(ISBLANK(#REF!),ISBLANK(G293)),"·",#REF!*G293/F293/1000000)</f>
        <v>#REF!</v>
      </c>
      <c r="J293" s="19" t="e">
        <f>IF(ISBLANK(#REF!),"·",#REF!/D293)</f>
        <v>#REF!</v>
      </c>
      <c r="K293" s="19" t="e">
        <f>IF(#REF!="","·",#REF!/D293)</f>
        <v>#REF!</v>
      </c>
      <c r="L293" s="20"/>
      <c r="M293" s="19" t="e">
        <f>IF(ISBLANK(#REF!),"·",#REF!/D293)</f>
        <v>#REF!</v>
      </c>
      <c r="N293" s="19" t="e">
        <f>IF(ISBLANK(#REF!),"·",#REF!/#REF!)</f>
        <v>#REF!</v>
      </c>
      <c r="O293" s="21"/>
      <c r="P293" s="22"/>
      <c r="Q293" s="22"/>
      <c r="R293" s="23"/>
      <c r="S293" s="22"/>
      <c r="T293" s="25"/>
      <c r="U293" s="25"/>
      <c r="V293" s="25"/>
      <c r="W293" s="24"/>
      <c r="X293" s="25"/>
      <c r="Y293" s="25"/>
      <c r="Z293" s="25"/>
      <c r="AA293" s="24"/>
      <c r="AB293" s="26"/>
      <c r="AC293" s="26"/>
      <c r="AE293" s="18" t="str">
        <f t="shared" si="21"/>
        <v>·</v>
      </c>
      <c r="AF293" s="19" t="str">
        <f t="shared" si="22"/>
        <v>·</v>
      </c>
      <c r="AG293" s="19" t="str">
        <f t="shared" si="23"/>
        <v>·</v>
      </c>
      <c r="AH293" s="20"/>
      <c r="AI293" s="19" t="str">
        <f t="shared" si="25"/>
        <v>·</v>
      </c>
      <c r="AJ293" s="19" t="str">
        <f t="shared" si="24"/>
        <v>·</v>
      </c>
      <c r="BA293" s="27" t="e">
        <f>(Q293/P293) - (#REF!/#REF!)</f>
        <v>#DIV/0!</v>
      </c>
      <c r="BB293" s="27"/>
      <c r="BD293" s="29"/>
      <c r="BE293" s="29"/>
      <c r="BF293" s="29"/>
      <c r="BG293" s="28"/>
      <c r="BI293" s="29"/>
      <c r="BJ293" s="29"/>
      <c r="BK293" s="29"/>
      <c r="BL293" s="28"/>
      <c r="BN293" s="29"/>
      <c r="BO293" s="29"/>
      <c r="BP293" s="29"/>
      <c r="BQ293" s="28"/>
      <c r="BS293" s="29"/>
      <c r="BT293" s="29"/>
      <c r="BU293" s="29"/>
      <c r="BV293" s="28"/>
    </row>
    <row r="294" spans="1:74" ht="14.25" outlineLevel="1" thickBot="1" x14ac:dyDescent="0.2">
      <c r="A294" s="30"/>
      <c r="B294" s="45" t="s">
        <v>990</v>
      </c>
      <c r="C294" s="46" t="s">
        <v>229</v>
      </c>
      <c r="D294" s="45">
        <v>32421290</v>
      </c>
      <c r="E294" s="47">
        <v>16</v>
      </c>
      <c r="F294" s="46">
        <v>300</v>
      </c>
      <c r="G294" s="46">
        <v>15</v>
      </c>
      <c r="I294" s="48" t="e">
        <f>IF(OR(ISBLANK(#REF!),ISBLANK(G294)),"·",#REF!*G294/F294/1000000)</f>
        <v>#REF!</v>
      </c>
      <c r="J294" s="49" t="e">
        <f>IF(ISBLANK(#REF!),"·",#REF!/D294)</f>
        <v>#REF!</v>
      </c>
      <c r="K294" s="49" t="e">
        <f>IF(#REF!="","·",#REF!/D294)</f>
        <v>#REF!</v>
      </c>
      <c r="L294" s="50"/>
      <c r="M294" s="49" t="e">
        <f>IF(ISBLANK(#REF!),"·",#REF!/D294)</f>
        <v>#REF!</v>
      </c>
      <c r="N294" s="49" t="e">
        <f>IF(ISBLANK(#REF!),"·",#REF!/#REF!)</f>
        <v>#REF!</v>
      </c>
      <c r="O294" s="51"/>
      <c r="P294" s="52"/>
      <c r="Q294" s="52"/>
      <c r="R294" s="53"/>
      <c r="S294" s="52"/>
      <c r="T294" s="55"/>
      <c r="U294" s="55"/>
      <c r="V294" s="55"/>
      <c r="W294" s="54"/>
      <c r="X294" s="55"/>
      <c r="Y294" s="55"/>
      <c r="Z294" s="55"/>
      <c r="AA294" s="54"/>
      <c r="AB294" s="56"/>
      <c r="AC294" s="56"/>
      <c r="AE294" s="48" t="str">
        <f t="shared" si="21"/>
        <v>·</v>
      </c>
      <c r="AF294" s="49" t="str">
        <f t="shared" si="22"/>
        <v>·</v>
      </c>
      <c r="AG294" s="49" t="str">
        <f t="shared" si="23"/>
        <v>·</v>
      </c>
      <c r="AH294" s="50"/>
      <c r="AI294" s="49" t="str">
        <f t="shared" si="25"/>
        <v>·</v>
      </c>
      <c r="AJ294" s="49" t="str">
        <f t="shared" si="24"/>
        <v>·</v>
      </c>
      <c r="BA294" s="57" t="e">
        <f>(Q294/P294) - (#REF!/#REF!)</f>
        <v>#DIV/0!</v>
      </c>
      <c r="BB294" s="57"/>
      <c r="BD294" s="59"/>
      <c r="BE294" s="59"/>
      <c r="BF294" s="59"/>
      <c r="BG294" s="58"/>
      <c r="BI294" s="59"/>
      <c r="BJ294" s="59"/>
      <c r="BK294" s="59"/>
      <c r="BL294" s="58"/>
      <c r="BN294" s="59"/>
      <c r="BO294" s="59"/>
      <c r="BP294" s="59"/>
      <c r="BQ294" s="58"/>
      <c r="BS294" s="59"/>
      <c r="BT294" s="59"/>
      <c r="BU294" s="59"/>
      <c r="BV294" s="58"/>
    </row>
    <row r="295" spans="1:74" x14ac:dyDescent="0.15">
      <c r="A295" s="15"/>
      <c r="B295" s="15" t="s">
        <v>991</v>
      </c>
      <c r="C295" s="16" t="s">
        <v>225</v>
      </c>
      <c r="D295" s="15">
        <v>39155873</v>
      </c>
      <c r="E295" s="17">
        <v>16</v>
      </c>
      <c r="F295" s="16">
        <v>300</v>
      </c>
      <c r="G295" s="16">
        <v>15</v>
      </c>
      <c r="I295" s="18" t="e">
        <f>IF(OR(ISBLANK(#REF!),ISBLANK(G295)),"·",#REF!*G295/F295/1000000)</f>
        <v>#REF!</v>
      </c>
      <c r="J295" s="19" t="e">
        <f>IF(ISBLANK(#REF!),"·",#REF!/D295)</f>
        <v>#REF!</v>
      </c>
      <c r="K295" s="19" t="e">
        <f>IF(#REF!="","·",#REF!/D295)</f>
        <v>#REF!</v>
      </c>
      <c r="L295" s="20"/>
      <c r="M295" s="19" t="e">
        <f>IF(ISBLANK(#REF!),"·",#REF!/D295)</f>
        <v>#REF!</v>
      </c>
      <c r="N295" s="19" t="e">
        <f>IF(ISBLANK(#REF!),"·",#REF!/#REF!)</f>
        <v>#REF!</v>
      </c>
      <c r="O295" s="21"/>
      <c r="P295" s="22"/>
      <c r="Q295" s="22"/>
      <c r="R295" s="23"/>
      <c r="S295" s="22"/>
      <c r="T295" s="25"/>
      <c r="U295" s="25"/>
      <c r="V295" s="25"/>
      <c r="W295" s="24"/>
      <c r="X295" s="25"/>
      <c r="Y295" s="25"/>
      <c r="Z295" s="25"/>
      <c r="AA295" s="24"/>
      <c r="AB295" s="26"/>
      <c r="AC295" s="26"/>
      <c r="AE295" s="18" t="str">
        <f t="shared" si="21"/>
        <v>·</v>
      </c>
      <c r="AF295" s="19" t="str">
        <f t="shared" si="22"/>
        <v>·</v>
      </c>
      <c r="AG295" s="19" t="str">
        <f t="shared" si="23"/>
        <v>·</v>
      </c>
      <c r="AH295" s="20"/>
      <c r="AI295" s="19" t="str">
        <f t="shared" si="25"/>
        <v>·</v>
      </c>
      <c r="AJ295" s="19" t="str">
        <f t="shared" si="24"/>
        <v>·</v>
      </c>
      <c r="BA295" s="27" t="e">
        <f>(Q295/P295) - (#REF!/#REF!)</f>
        <v>#DIV/0!</v>
      </c>
      <c r="BB295" s="27" t="e">
        <f t="array" ref="BB295">AVERAGE(Q295:Q299/P295:P299) - AVERAGE(#REF!/#REF!)</f>
        <v>#DIV/0!</v>
      </c>
      <c r="BD295" s="29"/>
      <c r="BE295" s="29"/>
      <c r="BF295" s="29"/>
      <c r="BG295" s="28" t="str">
        <f>_xlfn.SINGLE(IF( OR(ISBLANK(_xlfn.SINGLE(#REF!)),ISBLANK(_xlfn.SINGLE(S295:S299)), ISBLANK(_xlfn.SINGLE(#REF!)),ISBLANK(_xlfn.SINGLE(W295:W299))), "·", bdRateExtend(#REF!,#REF!, S295:S299,W295:W299)))</f>
        <v>·</v>
      </c>
      <c r="BI295" s="29"/>
      <c r="BJ295" s="29"/>
      <c r="BK295" s="29"/>
      <c r="BL295" s="28" t="str">
        <f>_xlfn.SINGLE(IF( OR(ISBLANK(_xlfn.SINGLE(#REF!)),ISBLANK(_xlfn.SINGLE(S295:S299)), ISBLANK(_xlfn.SINGLE(#REF!)),ISBLANK(_xlfn.SINGLE(AA295:AA299))), "·", bdRateExtend(#REF!,#REF!, S295:S299,AA295:AA299)))</f>
        <v>·</v>
      </c>
      <c r="BN295" s="29"/>
      <c r="BO295" s="29"/>
      <c r="BP295" s="29"/>
      <c r="BQ295" s="28" t="str">
        <f>_xlfn.SINGLE(IF( OR(ISBLANK(_xlfn.SINGLE(#REF!)),ISBLANK(_xlfn.SINGLE(P295:P299)), ISBLANK(_xlfn.SINGLE(#REF!)),ISBLANK(_xlfn.SINGLE(W295:W299))), "·", bdRateExtend(#REF!,#REF!, P295:P299,W295:W299)))</f>
        <v>·</v>
      </c>
      <c r="BS295" s="29"/>
      <c r="BT295" s="29"/>
      <c r="BU295" s="29"/>
      <c r="BV295" s="28" t="str">
        <f>_xlfn.SINGLE(IF( OR(ISBLANK(_xlfn.SINGLE(#REF!)),ISBLANK(_xlfn.SINGLE(P295:P299)), ISBLANK(_xlfn.SINGLE(#REF!)),ISBLANK(_xlfn.SINGLE(AA295:AA299))), "·", bdRateExtend(#REF!,#REF!, P295:P299,AA295:AA299)))</f>
        <v>·</v>
      </c>
    </row>
    <row r="296" spans="1:74" outlineLevel="1" x14ac:dyDescent="0.15">
      <c r="A296" s="30"/>
      <c r="B296" s="30" t="s">
        <v>991</v>
      </c>
      <c r="C296" s="31" t="s">
        <v>226</v>
      </c>
      <c r="D296" s="30">
        <v>39155873</v>
      </c>
      <c r="E296" s="32">
        <v>16</v>
      </c>
      <c r="F296" s="31">
        <v>300</v>
      </c>
      <c r="G296" s="31">
        <v>15</v>
      </c>
      <c r="I296" s="33" t="e">
        <f>IF(OR(ISBLANK(#REF!),ISBLANK(G296)),"·",#REF!*G296/F296/1000000)</f>
        <v>#REF!</v>
      </c>
      <c r="J296" s="34" t="e">
        <f>IF(ISBLANK(#REF!),"·",#REF!/D296)</f>
        <v>#REF!</v>
      </c>
      <c r="K296" s="34" t="e">
        <f>IF(#REF!="","·",#REF!/D296)</f>
        <v>#REF!</v>
      </c>
      <c r="L296" s="35"/>
      <c r="M296" s="34" t="e">
        <f>IF(ISBLANK(#REF!),"·",#REF!/D296)</f>
        <v>#REF!</v>
      </c>
      <c r="N296" s="34" t="e">
        <f>IF(ISBLANK(#REF!),"·",#REF!/#REF!)</f>
        <v>#REF!</v>
      </c>
      <c r="O296" s="36"/>
      <c r="P296" s="37"/>
      <c r="Q296" s="37"/>
      <c r="R296" s="38"/>
      <c r="S296" s="37"/>
      <c r="T296" s="40"/>
      <c r="U296" s="40"/>
      <c r="V296" s="40"/>
      <c r="W296" s="39"/>
      <c r="X296" s="40"/>
      <c r="Y296" s="40"/>
      <c r="Z296" s="40"/>
      <c r="AA296" s="39"/>
      <c r="AB296" s="41"/>
      <c r="AC296" s="41"/>
      <c r="AE296" s="33" t="str">
        <f t="shared" si="21"/>
        <v>·</v>
      </c>
      <c r="AF296" s="34" t="str">
        <f t="shared" si="22"/>
        <v>·</v>
      </c>
      <c r="AG296" s="34" t="str">
        <f t="shared" si="23"/>
        <v>·</v>
      </c>
      <c r="AH296" s="35"/>
      <c r="AI296" s="34" t="str">
        <f t="shared" si="25"/>
        <v>·</v>
      </c>
      <c r="AJ296" s="34" t="str">
        <f t="shared" si="24"/>
        <v>·</v>
      </c>
      <c r="BA296" s="42" t="e">
        <f>(Q296/P296) - (#REF!/#REF!)</f>
        <v>#DIV/0!</v>
      </c>
      <c r="BB296" s="42"/>
      <c r="BD296" s="44"/>
      <c r="BE296" s="44"/>
      <c r="BF296" s="44"/>
      <c r="BG296" s="43"/>
      <c r="BI296" s="44"/>
      <c r="BJ296" s="44"/>
      <c r="BK296" s="44"/>
      <c r="BL296" s="43"/>
      <c r="BN296" s="44"/>
      <c r="BO296" s="44"/>
      <c r="BP296" s="44"/>
      <c r="BQ296" s="43"/>
      <c r="BS296" s="44"/>
      <c r="BT296" s="44"/>
      <c r="BU296" s="44"/>
      <c r="BV296" s="43"/>
    </row>
    <row r="297" spans="1:74" outlineLevel="1" x14ac:dyDescent="0.15">
      <c r="A297" s="15"/>
      <c r="B297" s="15" t="s">
        <v>991</v>
      </c>
      <c r="C297" s="16" t="s">
        <v>227</v>
      </c>
      <c r="D297" s="15">
        <v>39155873</v>
      </c>
      <c r="E297" s="17">
        <v>16</v>
      </c>
      <c r="F297" s="16">
        <v>300</v>
      </c>
      <c r="G297" s="16">
        <v>15</v>
      </c>
      <c r="I297" s="18" t="e">
        <f>IF(OR(ISBLANK(#REF!),ISBLANK(G297)),"·",#REF!*G297/F297/1000000)</f>
        <v>#REF!</v>
      </c>
      <c r="J297" s="19" t="e">
        <f>IF(ISBLANK(#REF!),"·",#REF!/D297)</f>
        <v>#REF!</v>
      </c>
      <c r="K297" s="19" t="e">
        <f>IF(#REF!="","·",#REF!/D297)</f>
        <v>#REF!</v>
      </c>
      <c r="L297" s="20"/>
      <c r="M297" s="19" t="e">
        <f>IF(ISBLANK(#REF!),"·",#REF!/D297)</f>
        <v>#REF!</v>
      </c>
      <c r="N297" s="19" t="e">
        <f>IF(ISBLANK(#REF!),"·",#REF!/#REF!)</f>
        <v>#REF!</v>
      </c>
      <c r="O297" s="21"/>
      <c r="P297" s="22"/>
      <c r="Q297" s="22"/>
      <c r="R297" s="23"/>
      <c r="S297" s="22"/>
      <c r="T297" s="25"/>
      <c r="U297" s="25"/>
      <c r="V297" s="25"/>
      <c r="W297" s="24"/>
      <c r="X297" s="25"/>
      <c r="Y297" s="25"/>
      <c r="Z297" s="25"/>
      <c r="AA297" s="24"/>
      <c r="AB297" s="26"/>
      <c r="AC297" s="26"/>
      <c r="AE297" s="18" t="str">
        <f t="shared" si="21"/>
        <v>·</v>
      </c>
      <c r="AF297" s="19" t="str">
        <f t="shared" si="22"/>
        <v>·</v>
      </c>
      <c r="AG297" s="19" t="str">
        <f t="shared" si="23"/>
        <v>·</v>
      </c>
      <c r="AH297" s="20"/>
      <c r="AI297" s="19" t="str">
        <f t="shared" si="25"/>
        <v>·</v>
      </c>
      <c r="AJ297" s="19" t="str">
        <f t="shared" si="24"/>
        <v>·</v>
      </c>
      <c r="BA297" s="27" t="e">
        <f>(Q297/P297) - (#REF!/#REF!)</f>
        <v>#DIV/0!</v>
      </c>
      <c r="BB297" s="27"/>
      <c r="BD297" s="29"/>
      <c r="BE297" s="29"/>
      <c r="BF297" s="29"/>
      <c r="BG297" s="28"/>
      <c r="BI297" s="29"/>
      <c r="BJ297" s="29"/>
      <c r="BK297" s="29"/>
      <c r="BL297" s="28"/>
      <c r="BN297" s="29"/>
      <c r="BO297" s="29"/>
      <c r="BP297" s="29"/>
      <c r="BQ297" s="28"/>
      <c r="BS297" s="29"/>
      <c r="BT297" s="29"/>
      <c r="BU297" s="29"/>
      <c r="BV297" s="28"/>
    </row>
    <row r="298" spans="1:74" outlineLevel="1" x14ac:dyDescent="0.15">
      <c r="A298" s="30"/>
      <c r="B298" s="30" t="s">
        <v>991</v>
      </c>
      <c r="C298" s="31" t="s">
        <v>228</v>
      </c>
      <c r="D298" s="30">
        <v>39155873</v>
      </c>
      <c r="E298" s="32">
        <v>16</v>
      </c>
      <c r="F298" s="31">
        <v>300</v>
      </c>
      <c r="G298" s="31">
        <v>15</v>
      </c>
      <c r="I298" s="33" t="e">
        <f>IF(OR(ISBLANK(#REF!),ISBLANK(G298)),"·",#REF!*G298/F298/1000000)</f>
        <v>#REF!</v>
      </c>
      <c r="J298" s="34" t="e">
        <f>IF(ISBLANK(#REF!),"·",#REF!/D298)</f>
        <v>#REF!</v>
      </c>
      <c r="K298" s="34" t="e">
        <f>IF(#REF!="","·",#REF!/D298)</f>
        <v>#REF!</v>
      </c>
      <c r="L298" s="35"/>
      <c r="M298" s="34" t="e">
        <f>IF(ISBLANK(#REF!),"·",#REF!/D298)</f>
        <v>#REF!</v>
      </c>
      <c r="N298" s="34" t="e">
        <f>IF(ISBLANK(#REF!),"·",#REF!/#REF!)</f>
        <v>#REF!</v>
      </c>
      <c r="O298" s="36"/>
      <c r="P298" s="37"/>
      <c r="Q298" s="37"/>
      <c r="R298" s="38"/>
      <c r="S298" s="37"/>
      <c r="T298" s="40"/>
      <c r="U298" s="40"/>
      <c r="V298" s="40"/>
      <c r="W298" s="39"/>
      <c r="X298" s="40"/>
      <c r="Y298" s="40"/>
      <c r="Z298" s="40"/>
      <c r="AA298" s="39"/>
      <c r="AB298" s="41"/>
      <c r="AC298" s="41"/>
      <c r="AE298" s="33" t="str">
        <f t="shared" si="21"/>
        <v>·</v>
      </c>
      <c r="AF298" s="34" t="str">
        <f t="shared" si="22"/>
        <v>·</v>
      </c>
      <c r="AG298" s="34" t="str">
        <f t="shared" si="23"/>
        <v>·</v>
      </c>
      <c r="AH298" s="35"/>
      <c r="AI298" s="34" t="str">
        <f t="shared" si="25"/>
        <v>·</v>
      </c>
      <c r="AJ298" s="34" t="str">
        <f t="shared" si="24"/>
        <v>·</v>
      </c>
      <c r="BA298" s="42" t="e">
        <f>(Q298/P298) - (#REF!/#REF!)</f>
        <v>#DIV/0!</v>
      </c>
      <c r="BB298" s="42"/>
      <c r="BD298" s="44"/>
      <c r="BE298" s="44"/>
      <c r="BF298" s="44"/>
      <c r="BG298" s="43"/>
      <c r="BI298" s="44"/>
      <c r="BJ298" s="44"/>
      <c r="BK298" s="44"/>
      <c r="BL298" s="43"/>
      <c r="BN298" s="44"/>
      <c r="BO298" s="44"/>
      <c r="BP298" s="44"/>
      <c r="BQ298" s="43"/>
      <c r="BS298" s="44"/>
      <c r="BT298" s="44"/>
      <c r="BU298" s="44"/>
      <c r="BV298" s="43"/>
    </row>
    <row r="299" spans="1:74" ht="14.25" outlineLevel="1" thickBot="1" x14ac:dyDescent="0.2">
      <c r="A299" s="64"/>
      <c r="B299" s="64" t="s">
        <v>991</v>
      </c>
      <c r="C299" s="66" t="s">
        <v>229</v>
      </c>
      <c r="D299" s="64">
        <v>39155873</v>
      </c>
      <c r="E299" s="65">
        <v>16</v>
      </c>
      <c r="F299" s="66">
        <v>300</v>
      </c>
      <c r="G299" s="66">
        <v>15</v>
      </c>
      <c r="I299" s="68" t="e">
        <f>IF(OR(ISBLANK(#REF!),ISBLANK(G299)),"·",#REF!*G299/F299/1000000)</f>
        <v>#REF!</v>
      </c>
      <c r="J299" s="69" t="e">
        <f>IF(ISBLANK(#REF!),"·",#REF!/D299)</f>
        <v>#REF!</v>
      </c>
      <c r="K299" s="69" t="e">
        <f>IF(#REF!="","·",#REF!/D299)</f>
        <v>#REF!</v>
      </c>
      <c r="L299" s="70"/>
      <c r="M299" s="69" t="e">
        <f>IF(ISBLANK(#REF!),"·",#REF!/D299)</f>
        <v>#REF!</v>
      </c>
      <c r="N299" s="69" t="e">
        <f>IF(ISBLANK(#REF!),"·",#REF!/#REF!)</f>
        <v>#REF!</v>
      </c>
      <c r="O299" s="71"/>
      <c r="P299" s="72"/>
      <c r="Q299" s="72"/>
      <c r="R299" s="73"/>
      <c r="S299" s="72"/>
      <c r="T299" s="78"/>
      <c r="U299" s="78"/>
      <c r="V299" s="78"/>
      <c r="W299" s="77"/>
      <c r="X299" s="78"/>
      <c r="Y299" s="78"/>
      <c r="Z299" s="78"/>
      <c r="AA299" s="77"/>
      <c r="AB299" s="74"/>
      <c r="AC299" s="74"/>
      <c r="AE299" s="68" t="str">
        <f t="shared" si="21"/>
        <v>·</v>
      </c>
      <c r="AF299" s="69" t="str">
        <f t="shared" si="22"/>
        <v>·</v>
      </c>
      <c r="AG299" s="69" t="str">
        <f t="shared" si="23"/>
        <v>·</v>
      </c>
      <c r="AH299" s="70"/>
      <c r="AI299" s="69" t="str">
        <f t="shared" si="25"/>
        <v>·</v>
      </c>
      <c r="AJ299" s="69" t="str">
        <f t="shared" si="24"/>
        <v>·</v>
      </c>
      <c r="BA299" s="67" t="e">
        <f>(Q299/P299) - (#REF!/#REF!)</f>
        <v>#DIV/0!</v>
      </c>
      <c r="BB299" s="67"/>
      <c r="BD299" s="76"/>
      <c r="BE299" s="76"/>
      <c r="BF299" s="76"/>
      <c r="BG299" s="75"/>
      <c r="BI299" s="76"/>
      <c r="BJ299" s="76"/>
      <c r="BK299" s="76"/>
      <c r="BL299" s="75"/>
      <c r="BN299" s="76"/>
      <c r="BO299" s="76"/>
      <c r="BP299" s="76"/>
      <c r="BQ299" s="75"/>
      <c r="BS299" s="76"/>
      <c r="BT299" s="76"/>
      <c r="BU299" s="76"/>
      <c r="BV299" s="75"/>
    </row>
    <row r="300" spans="1:74" x14ac:dyDescent="0.15">
      <c r="B300" s="60" t="s">
        <v>402</v>
      </c>
      <c r="J300" s="61" t="e">
        <f>AVERAGE(J5:J49)</f>
        <v>#REF!</v>
      </c>
      <c r="K300" s="61" t="e">
        <f>AVERAGE(K5:K49)</f>
        <v>#REF!</v>
      </c>
      <c r="L300" s="61" t="e">
        <f>AVERAGE(L5:L49)</f>
        <v>#REF!</v>
      </c>
      <c r="M300" s="62"/>
      <c r="AF300" s="61" t="e">
        <f>AVERAGE(AF5:AF49)</f>
        <v>#DIV/0!</v>
      </c>
      <c r="AG300" s="61" t="e">
        <f>AVERAGE(AG5:AG49)</f>
        <v>#DIV/0!</v>
      </c>
      <c r="AH300" s="61" t="e">
        <f>AVERAGE(AH5:AH49)</f>
        <v>#DIV/0!</v>
      </c>
      <c r="AI300" s="62"/>
      <c r="BB300" s="7" t="e">
        <f>AVERAGE(BB5:BB49)</f>
        <v>#DIV/0!</v>
      </c>
      <c r="BD300" s="3" t="e">
        <f>AVERAGE(BD5:BD49)</f>
        <v>#DIV/0!</v>
      </c>
      <c r="BE300" s="3" t="e">
        <f>AVERAGE(BE5:BE49)</f>
        <v>#DIV/0!</v>
      </c>
      <c r="BF300" s="3" t="e">
        <f>AVERAGE(BF5:BF49)</f>
        <v>#DIV/0!</v>
      </c>
      <c r="BG300" s="4"/>
      <c r="BI300" s="3" t="e">
        <f>AVERAGE(BI5:BI49)</f>
        <v>#DIV/0!</v>
      </c>
      <c r="BJ300" s="3" t="e">
        <f>AVERAGE(BJ5:BJ49)</f>
        <v>#DIV/0!</v>
      </c>
      <c r="BK300" s="3" t="e">
        <f>AVERAGE(BK5:BK49)</f>
        <v>#DIV/0!</v>
      </c>
      <c r="BL300" s="4"/>
      <c r="BN300" s="3" t="e">
        <f>AVERAGE(BN5:BN49)</f>
        <v>#DIV/0!</v>
      </c>
      <c r="BO300" s="3" t="e">
        <f>AVERAGE(BO5:BO49)</f>
        <v>#DIV/0!</v>
      </c>
      <c r="BP300" s="3" t="e">
        <f>AVERAGE(BP5:BP49)</f>
        <v>#DIV/0!</v>
      </c>
      <c r="BQ300" s="4"/>
      <c r="BS300" s="3" t="e">
        <f>AVERAGE(BS5:BS49)</f>
        <v>#DIV/0!</v>
      </c>
      <c r="BT300" s="3" t="e">
        <f>AVERAGE(BT5:BT49)</f>
        <v>#DIV/0!</v>
      </c>
      <c r="BU300" s="3" t="e">
        <f>AVERAGE(BU5:BU49)</f>
        <v>#DIV/0!</v>
      </c>
      <c r="BV300" s="4"/>
    </row>
    <row r="301" spans="1:74" x14ac:dyDescent="0.15">
      <c r="B301" s="60" t="s">
        <v>403</v>
      </c>
      <c r="J301" s="61" t="e">
        <f>AVERAGE(J50:J109)</f>
        <v>#REF!</v>
      </c>
      <c r="K301" s="61" t="e">
        <f>AVERAGE(K50:K109)</f>
        <v>#REF!</v>
      </c>
      <c r="L301" s="61" t="e">
        <f>AVERAGE(L50:L109)</f>
        <v>#REF!</v>
      </c>
      <c r="M301" s="62"/>
      <c r="AF301" s="61" t="e">
        <f>AVERAGE(AF50:AF109)</f>
        <v>#DIV/0!</v>
      </c>
      <c r="AG301" s="61" t="e">
        <f>AVERAGE(AG50:AG109)</f>
        <v>#DIV/0!</v>
      </c>
      <c r="AH301" s="61" t="e">
        <f>AVERAGE(AH50:AH109)</f>
        <v>#DIV/0!</v>
      </c>
      <c r="AI301" s="62"/>
      <c r="BB301" s="7" t="e">
        <f>AVERAGE(BB50:BB109)</f>
        <v>#DIV/0!</v>
      </c>
      <c r="BD301" s="3" t="e">
        <f>AVERAGE(BD50:BD109)</f>
        <v>#DIV/0!</v>
      </c>
      <c r="BE301" s="3" t="e">
        <f>AVERAGE(BE50:BE109)</f>
        <v>#DIV/0!</v>
      </c>
      <c r="BF301" s="3" t="e">
        <f>AVERAGE(BF50:BF109)</f>
        <v>#DIV/0!</v>
      </c>
      <c r="BG301" s="4"/>
      <c r="BI301" s="3" t="e">
        <f>AVERAGE(BI50:BI109)</f>
        <v>#DIV/0!</v>
      </c>
      <c r="BJ301" s="3" t="e">
        <f>AVERAGE(BJ50:BJ109)</f>
        <v>#DIV/0!</v>
      </c>
      <c r="BK301" s="3" t="e">
        <f>AVERAGE(BK50:BK109)</f>
        <v>#DIV/0!</v>
      </c>
      <c r="BL301" s="4"/>
      <c r="BN301" s="3" t="e">
        <f>AVERAGE(BN50:BN109)</f>
        <v>#DIV/0!</v>
      </c>
      <c r="BO301" s="3" t="e">
        <f>AVERAGE(BO50:BO109)</f>
        <v>#DIV/0!</v>
      </c>
      <c r="BP301" s="3" t="e">
        <f>AVERAGE(BP50:BP109)</f>
        <v>#DIV/0!</v>
      </c>
      <c r="BQ301" s="4"/>
      <c r="BS301" s="3" t="e">
        <f>AVERAGE(BS50:BS109)</f>
        <v>#DIV/0!</v>
      </c>
      <c r="BT301" s="3" t="e">
        <f>AVERAGE(BT50:BT109)</f>
        <v>#DIV/0!</v>
      </c>
      <c r="BU301" s="3" t="e">
        <f>AVERAGE(BU50:BU109)</f>
        <v>#DIV/0!</v>
      </c>
      <c r="BV301" s="4"/>
    </row>
    <row r="302" spans="1:74" x14ac:dyDescent="0.15">
      <c r="B302" s="60" t="s">
        <v>404</v>
      </c>
      <c r="J302" s="61" t="e">
        <f>AVERAGE(J110:J154)</f>
        <v>#REF!</v>
      </c>
      <c r="K302" s="61" t="e">
        <f>AVERAGE(K110:K154)</f>
        <v>#REF!</v>
      </c>
      <c r="L302" s="61" t="e">
        <f>AVERAGE(L110:L154)</f>
        <v>#REF!</v>
      </c>
      <c r="M302" s="62"/>
      <c r="AF302" s="61" t="e">
        <f>AVERAGE(AF110:AF154)</f>
        <v>#DIV/0!</v>
      </c>
      <c r="AG302" s="61" t="e">
        <f>AVERAGE(AG110:AG154)</f>
        <v>#DIV/0!</v>
      </c>
      <c r="AH302" s="61" t="e">
        <f>AVERAGE(AH110:AH154)</f>
        <v>#DIV/0!</v>
      </c>
      <c r="AI302" s="62"/>
      <c r="BB302" s="7" t="e">
        <f>AVERAGE(BB110:BB154)</f>
        <v>#DIV/0!</v>
      </c>
      <c r="BD302" s="3" t="e">
        <f>AVERAGE(BD110:BD154)</f>
        <v>#DIV/0!</v>
      </c>
      <c r="BE302" s="3" t="e">
        <f>AVERAGE(BE110:BE154)</f>
        <v>#DIV/0!</v>
      </c>
      <c r="BF302" s="3" t="e">
        <f>AVERAGE(BF110:BF154)</f>
        <v>#DIV/0!</v>
      </c>
      <c r="BG302" s="4"/>
      <c r="BI302" s="3" t="e">
        <f>AVERAGE(BI110:BI154)</f>
        <v>#DIV/0!</v>
      </c>
      <c r="BJ302" s="3" t="e">
        <f>AVERAGE(BJ110:BJ154)</f>
        <v>#DIV/0!</v>
      </c>
      <c r="BK302" s="3" t="e">
        <f>AVERAGE(BK110:BK154)</f>
        <v>#DIV/0!</v>
      </c>
      <c r="BL302" s="4"/>
      <c r="BN302" s="3" t="e">
        <f>AVERAGE(BN110:BN154)</f>
        <v>#DIV/0!</v>
      </c>
      <c r="BO302" s="3" t="e">
        <f>AVERAGE(BO110:BO154)</f>
        <v>#DIV/0!</v>
      </c>
      <c r="BP302" s="3" t="e">
        <f>AVERAGE(BP110:BP154)</f>
        <v>#DIV/0!</v>
      </c>
      <c r="BQ302" s="4"/>
      <c r="BS302" s="3" t="e">
        <f>AVERAGE(BS110:BS154)</f>
        <v>#DIV/0!</v>
      </c>
      <c r="BT302" s="3" t="e">
        <f>AVERAGE(BT110:BT154)</f>
        <v>#DIV/0!</v>
      </c>
      <c r="BU302" s="3" t="e">
        <f>AVERAGE(BU110:BU154)</f>
        <v>#DIV/0!</v>
      </c>
      <c r="BV302" s="4"/>
    </row>
    <row r="303" spans="1:74" x14ac:dyDescent="0.15">
      <c r="B303" s="60" t="s">
        <v>405</v>
      </c>
      <c r="J303" s="61" t="e">
        <f>AVERAGE(J155:J234)</f>
        <v>#REF!</v>
      </c>
      <c r="K303" s="61" t="e">
        <f>AVERAGE(K155:K234)</f>
        <v>#REF!</v>
      </c>
      <c r="L303" s="61" t="e">
        <f>AVERAGE(L155:L234)</f>
        <v>#REF!</v>
      </c>
      <c r="M303" s="62"/>
      <c r="AF303" s="61" t="e">
        <f>AVERAGE(AF155:AF234)</f>
        <v>#DIV/0!</v>
      </c>
      <c r="AG303" s="61" t="e">
        <f>AVERAGE(AG155:AG234)</f>
        <v>#DIV/0!</v>
      </c>
      <c r="AH303" s="61" t="e">
        <f>AVERAGE(AH155:AH234)</f>
        <v>#DIV/0!</v>
      </c>
      <c r="AI303" s="62"/>
      <c r="BB303" s="7" t="e">
        <f>AVERAGE(BB155:BB234)</f>
        <v>#DIV/0!</v>
      </c>
      <c r="BD303" s="3" t="e">
        <f>AVERAGE(BD155:BD234)</f>
        <v>#DIV/0!</v>
      </c>
      <c r="BE303" s="3" t="e">
        <f>AVERAGE(BE155:BE234)</f>
        <v>#DIV/0!</v>
      </c>
      <c r="BF303" s="3" t="e">
        <f>AVERAGE(BF155:BF234)</f>
        <v>#DIV/0!</v>
      </c>
      <c r="BG303" s="4"/>
      <c r="BI303" s="3" t="e">
        <f>AVERAGE(BI155:BI234)</f>
        <v>#DIV/0!</v>
      </c>
      <c r="BJ303" s="3" t="e">
        <f>AVERAGE(BJ155:BJ234)</f>
        <v>#DIV/0!</v>
      </c>
      <c r="BK303" s="3" t="e">
        <f>AVERAGE(BK155:BK234)</f>
        <v>#DIV/0!</v>
      </c>
      <c r="BL303" s="4"/>
      <c r="BN303" s="3" t="e">
        <f>AVERAGE(BN155:BN234)</f>
        <v>#DIV/0!</v>
      </c>
      <c r="BO303" s="3" t="e">
        <f>AVERAGE(BO155:BO234)</f>
        <v>#DIV/0!</v>
      </c>
      <c r="BP303" s="3" t="e">
        <f>AVERAGE(BP155:BP234)</f>
        <v>#DIV/0!</v>
      </c>
      <c r="BQ303" s="4"/>
      <c r="BS303" s="3" t="e">
        <f>AVERAGE(BS155:BS234)</f>
        <v>#DIV/0!</v>
      </c>
      <c r="BT303" s="3" t="e">
        <f>AVERAGE(BT155:BT234)</f>
        <v>#DIV/0!</v>
      </c>
      <c r="BU303" s="3" t="e">
        <f>AVERAGE(BU155:BU234)</f>
        <v>#DIV/0!</v>
      </c>
      <c r="BV303" s="4"/>
    </row>
    <row r="304" spans="1:74" x14ac:dyDescent="0.15">
      <c r="B304" s="60" t="s">
        <v>406</v>
      </c>
      <c r="J304" s="61" t="e">
        <f>AVERAGE(J235:J249)</f>
        <v>#REF!</v>
      </c>
      <c r="K304" s="61" t="e">
        <f>AVERAGE(K235:K249)</f>
        <v>#REF!</v>
      </c>
      <c r="L304" s="61" t="e">
        <f>AVERAGE(L235:L249)</f>
        <v>#REF!</v>
      </c>
      <c r="M304" s="61" t="e">
        <f>AVERAGE(M235:M249)</f>
        <v>#REF!</v>
      </c>
      <c r="AF304" s="61" t="e">
        <f>AVERAGE(AF235:AF249)</f>
        <v>#DIV/0!</v>
      </c>
      <c r="AG304" s="61" t="e">
        <f>AVERAGE(AG235:AG249)</f>
        <v>#DIV/0!</v>
      </c>
      <c r="AH304" s="61" t="e">
        <f>AVERAGE(AH235:AH249)</f>
        <v>#DIV/0!</v>
      </c>
      <c r="AI304" s="61" t="e">
        <f>AVERAGE(AI235:AI249)</f>
        <v>#DIV/0!</v>
      </c>
      <c r="BB304" s="7" t="e">
        <f>AVERAGE(BB235:BB249)</f>
        <v>#DIV/0!</v>
      </c>
      <c r="BD304" s="3" t="e">
        <f>AVERAGE(BD235:BD249)</f>
        <v>#DIV/0!</v>
      </c>
      <c r="BE304" s="3" t="e">
        <f>AVERAGE(BE235:BE249)</f>
        <v>#DIV/0!</v>
      </c>
      <c r="BF304" s="3" t="e">
        <f>AVERAGE(BF235:BF249)</f>
        <v>#DIV/0!</v>
      </c>
      <c r="BG304" s="3" t="e">
        <f>AVERAGE(BG235:BG249)</f>
        <v>#DIV/0!</v>
      </c>
      <c r="BI304" s="3" t="e">
        <f>AVERAGE(BI235:BI249)</f>
        <v>#DIV/0!</v>
      </c>
      <c r="BJ304" s="3" t="e">
        <f>AVERAGE(BJ235:BJ249)</f>
        <v>#DIV/0!</v>
      </c>
      <c r="BK304" s="3" t="e">
        <f>AVERAGE(BK235:BK249)</f>
        <v>#DIV/0!</v>
      </c>
      <c r="BL304" s="3" t="e">
        <f>AVERAGE(BL235:BL249)</f>
        <v>#DIV/0!</v>
      </c>
      <c r="BN304" s="3" t="e">
        <f>AVERAGE(BN235:BN249)</f>
        <v>#DIV/0!</v>
      </c>
      <c r="BO304" s="3" t="e">
        <f>AVERAGE(BO235:BO249)</f>
        <v>#DIV/0!</v>
      </c>
      <c r="BP304" s="3" t="e">
        <f>AVERAGE(BP235:BP249)</f>
        <v>#DIV/0!</v>
      </c>
      <c r="BQ304" s="3" t="e">
        <f>AVERAGE(BQ235:BQ249)</f>
        <v>#DIV/0!</v>
      </c>
      <c r="BS304" s="3" t="e">
        <f>AVERAGE(BS235:BS249)</f>
        <v>#DIV/0!</v>
      </c>
      <c r="BT304" s="3" t="e">
        <f>AVERAGE(BT235:BT249)</f>
        <v>#DIV/0!</v>
      </c>
      <c r="BU304" s="3" t="e">
        <f>AVERAGE(BU235:BU249)</f>
        <v>#DIV/0!</v>
      </c>
      <c r="BV304" s="3" t="e">
        <f>AVERAGE(BV235:BV249)</f>
        <v>#DIV/0!</v>
      </c>
    </row>
    <row r="305" spans="1:74" x14ac:dyDescent="0.15">
      <c r="B305" s="60" t="s">
        <v>1022</v>
      </c>
      <c r="J305" s="61" t="e">
        <f>AVERAGE(J250:J284)</f>
        <v>#REF!</v>
      </c>
      <c r="K305" s="61" t="e">
        <f>AVERAGE(K250:K284)</f>
        <v>#REF!</v>
      </c>
      <c r="L305" s="62"/>
      <c r="M305" s="61" t="e">
        <f>AVERAGE(M250:M284)</f>
        <v>#REF!</v>
      </c>
      <c r="AF305" s="61" t="e">
        <f>AVERAGE(AF250:AF284)</f>
        <v>#DIV/0!</v>
      </c>
      <c r="AG305" s="61" t="e">
        <f>AVERAGE(AG250:AG284)</f>
        <v>#DIV/0!</v>
      </c>
      <c r="AH305" s="62"/>
      <c r="AI305" s="61" t="e">
        <f>AVERAGE(AI250:AI284)</f>
        <v>#DIV/0!</v>
      </c>
      <c r="BB305" s="61" t="e">
        <f>AVERAGE(BB250:BB284)</f>
        <v>#DIV/0!</v>
      </c>
      <c r="BD305" s="4"/>
      <c r="BE305" s="4"/>
      <c r="BF305" s="4"/>
      <c r="BG305" s="61" t="e">
        <f>AVERAGE(BG250:BG284)</f>
        <v>#DIV/0!</v>
      </c>
      <c r="BI305" s="4"/>
      <c r="BJ305" s="4"/>
      <c r="BK305" s="4"/>
      <c r="BL305" s="61" t="e">
        <f>AVERAGE(BL250:BL284)</f>
        <v>#DIV/0!</v>
      </c>
      <c r="BN305" s="4"/>
      <c r="BO305" s="4"/>
      <c r="BP305" s="4"/>
      <c r="BQ305" s="61" t="e">
        <f>AVERAGE(BQ250:BQ284)</f>
        <v>#DIV/0!</v>
      </c>
      <c r="BS305" s="4"/>
      <c r="BT305" s="4"/>
      <c r="BU305" s="4"/>
      <c r="BV305" s="61" t="e">
        <f>AVERAGE(BV250:BV284)</f>
        <v>#DIV/0!</v>
      </c>
    </row>
    <row r="306" spans="1:74" ht="27" x14ac:dyDescent="0.15">
      <c r="B306" s="60" t="s">
        <v>1023</v>
      </c>
      <c r="J306" s="61" t="e">
        <f>AVERAGE(J285:J299)</f>
        <v>#REF!</v>
      </c>
      <c r="K306" s="61" t="e">
        <f>AVERAGE(K285:K299)</f>
        <v>#REF!</v>
      </c>
      <c r="L306" s="62"/>
      <c r="M306" s="61" t="e">
        <f>AVERAGE(M285:M299)</f>
        <v>#REF!</v>
      </c>
      <c r="AF306" s="61" t="e">
        <f>AVERAGE(AF285:AF299)</f>
        <v>#DIV/0!</v>
      </c>
      <c r="AG306" s="61" t="e">
        <f>AVERAGE(AG285:AG299)</f>
        <v>#DIV/0!</v>
      </c>
      <c r="AH306" s="62"/>
      <c r="AI306" s="61" t="e">
        <f>AVERAGE(AI285:AI299)</f>
        <v>#DIV/0!</v>
      </c>
      <c r="BB306" s="61" t="e">
        <f>AVERAGE(BB285:BB299)</f>
        <v>#DIV/0!</v>
      </c>
      <c r="BD306" s="4"/>
      <c r="BE306" s="4"/>
      <c r="BF306" s="4"/>
      <c r="BG306" s="61" t="e">
        <f>AVERAGE(BG285:BG299)</f>
        <v>#DIV/0!</v>
      </c>
      <c r="BI306" s="4"/>
      <c r="BJ306" s="4"/>
      <c r="BK306" s="4"/>
      <c r="BL306" s="61" t="e">
        <f>AVERAGE(BL285:BL299)</f>
        <v>#DIV/0!</v>
      </c>
      <c r="BN306" s="4"/>
      <c r="BO306" s="4"/>
      <c r="BP306" s="4"/>
      <c r="BQ306" s="61" t="e">
        <f>AVERAGE(BQ285:BQ299)</f>
        <v>#DIV/0!</v>
      </c>
      <c r="BS306" s="4"/>
      <c r="BT306" s="4"/>
      <c r="BU306" s="4"/>
      <c r="BV306" s="61" t="e">
        <f>AVERAGE(BV285:BV299)</f>
        <v>#DIV/0!</v>
      </c>
    </row>
    <row r="307" spans="1:74" x14ac:dyDescent="0.15">
      <c r="B307" s="60" t="s">
        <v>407</v>
      </c>
      <c r="J307" s="61" t="e">
        <f>AVERAGE(J5:J299)</f>
        <v>#REF!</v>
      </c>
      <c r="K307" s="61" t="e">
        <f>AVERAGE(K5:K299)</f>
        <v>#REF!</v>
      </c>
      <c r="L307" s="61" t="e">
        <f>AVERAGE(L5:L249)</f>
        <v>#REF!</v>
      </c>
      <c r="M307" s="61" t="e">
        <f>AVERAGE(M235:M299)</f>
        <v>#REF!</v>
      </c>
      <c r="AF307" s="61" t="e">
        <f>AVERAGE(AF5:AF299)</f>
        <v>#DIV/0!</v>
      </c>
      <c r="AG307" s="61" t="e">
        <f>AVERAGE(AG5:AG299)</f>
        <v>#DIV/0!</v>
      </c>
      <c r="AH307" s="61" t="e">
        <f>AVERAGE(AH5:AH249)</f>
        <v>#DIV/0!</v>
      </c>
      <c r="AI307" s="61" t="e">
        <f>AVERAGE(AI235:AI299)</f>
        <v>#DIV/0!</v>
      </c>
      <c r="BB307" s="7" t="e">
        <f>AVERAGE(BB5:BB299)</f>
        <v>#DIV/0!</v>
      </c>
      <c r="BD307" s="3" t="e">
        <f>AVERAGE(BD5:BD249)</f>
        <v>#DIV/0!</v>
      </c>
      <c r="BE307" s="3" t="e">
        <f>AVERAGE(BE5:BE249)</f>
        <v>#DIV/0!</v>
      </c>
      <c r="BF307" s="3" t="e">
        <f>AVERAGE(BF5:BF249)</f>
        <v>#DIV/0!</v>
      </c>
      <c r="BG307" s="3" t="e">
        <f>AVERAGE(BG235:BG299)</f>
        <v>#DIV/0!</v>
      </c>
      <c r="BI307" s="3" t="e">
        <f>AVERAGE(BI5:BI249)</f>
        <v>#DIV/0!</v>
      </c>
      <c r="BJ307" s="3" t="e">
        <f>AVERAGE(BJ5:BJ249)</f>
        <v>#DIV/0!</v>
      </c>
      <c r="BK307" s="3" t="e">
        <f>AVERAGE(BK5:BK249)</f>
        <v>#DIV/0!</v>
      </c>
      <c r="BL307" s="3" t="e">
        <f>AVERAGE(BL235:BL299)</f>
        <v>#DIV/0!</v>
      </c>
      <c r="BN307" s="3" t="e">
        <f>AVERAGE(BN5:BN249)</f>
        <v>#DIV/0!</v>
      </c>
      <c r="BO307" s="3" t="e">
        <f>AVERAGE(BO5:BO249)</f>
        <v>#DIV/0!</v>
      </c>
      <c r="BP307" s="3" t="e">
        <f>AVERAGE(BP5:BP249)</f>
        <v>#DIV/0!</v>
      </c>
      <c r="BQ307" s="3" t="e">
        <f>AVERAGE(BQ235:BQ299)</f>
        <v>#DIV/0!</v>
      </c>
      <c r="BS307" s="3" t="e">
        <f>AVERAGE(BS5:BS249)</f>
        <v>#DIV/0!</v>
      </c>
      <c r="BT307" s="3" t="e">
        <f>AVERAGE(BT5:BT249)</f>
        <v>#DIV/0!</v>
      </c>
      <c r="BU307" s="3" t="e">
        <f>AVERAGE(BU5:BU249)</f>
        <v>#DIV/0!</v>
      </c>
      <c r="BV307" s="3" t="e">
        <f>AVERAGE(BV235:BV299)</f>
        <v>#DIV/0!</v>
      </c>
    </row>
    <row r="308" spans="1:74" hidden="1" outlineLevel="2" x14ac:dyDescent="0.15">
      <c r="A308" s="60" t="s">
        <v>408</v>
      </c>
      <c r="B308" s="60" t="s">
        <v>409</v>
      </c>
      <c r="AB308" s="63" t="e">
        <f>SUM(#REF!,#REF!,#REF!,#REF!,#REF!,#REF!,#REF!)</f>
        <v>#REF!</v>
      </c>
      <c r="AC308" s="63" t="e">
        <f>SUM(#REF!,#REF!,#REF!,#REF!,#REF!,#REF!,#REF!)</f>
        <v>#REF!</v>
      </c>
      <c r="AX308" s="63">
        <f>SUM(AB5:AB49,AB50:AB109,AB110:AB154,AB155:AB234,AB235:AB249,AB250:AB284,AB285:AB299)</f>
        <v>0</v>
      </c>
      <c r="AY308" s="63">
        <f>SUM(AC5:AC49,AC50:AC109,AC110:AC154,AC155:AC234,AC235:AC249,AC250:AC284,AC285:AC299)</f>
        <v>0</v>
      </c>
    </row>
    <row r="309" spans="1:74" hidden="1" outlineLevel="2" x14ac:dyDescent="0.15">
      <c r="B309" s="60" t="s">
        <v>410</v>
      </c>
      <c r="AX309" s="7" t="e">
        <f>AX308/AB308</f>
        <v>#REF!</v>
      </c>
      <c r="AY309" s="7" t="e">
        <f>AY308/AC308</f>
        <v>#REF!</v>
      </c>
    </row>
    <row r="310" spans="1:74" hidden="1" outlineLevel="2" x14ac:dyDescent="0.15">
      <c r="B310" s="60" t="s">
        <v>411</v>
      </c>
      <c r="AB310" s="63" t="e">
        <f>GEOMEAN(#REF!,#REF!,#REF!,#REF!,#REF!,#REF!,#REF!)</f>
        <v>#REF!</v>
      </c>
      <c r="AC310" s="63" t="e">
        <f>GEOMEAN(#REF!,#REF!,#REF!,#REF!,#REF!,#REF!,#REF!)</f>
        <v>#REF!</v>
      </c>
      <c r="AX310" s="63" t="e">
        <f>GEOMEAN(AB5:AB49,AB50:AB109,AB110:AB154,AB155:AB234,AB235:AB249,AB250:AB284,AB285:AB299)</f>
        <v>#NUM!</v>
      </c>
      <c r="AY310" s="63" t="e">
        <f>GEOMEAN(AC5:AC49,AC50:AC109,AC110:AC154,AC155:AC234,AC235:AC249,AC250:AC284,AC285:AC299)</f>
        <v>#NUM!</v>
      </c>
    </row>
    <row r="311" spans="1:74" outlineLevel="2" collapsed="1" x14ac:dyDescent="0.15">
      <c r="B311" s="60" t="s">
        <v>412</v>
      </c>
      <c r="AX311" s="7" t="e">
        <f>AX310/AB310</f>
        <v>#NUM!</v>
      </c>
      <c r="AY311" s="7" t="e">
        <f>AY310/AC310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AF2:AI2"/>
    <mergeCell ref="AJ2:AJ3"/>
    <mergeCell ref="AK2:AK3"/>
    <mergeCell ref="O2:O3"/>
    <mergeCell ref="P2:S2"/>
    <mergeCell ref="T2:W2"/>
    <mergeCell ref="X2:AA2"/>
    <mergeCell ref="AB2:AB3"/>
    <mergeCell ref="BS2:BV2"/>
    <mergeCell ref="A1:G1"/>
    <mergeCell ref="I1:AC1"/>
    <mergeCell ref="AE1:AY1"/>
    <mergeCell ref="BA2:BA3"/>
    <mergeCell ref="BB2:BB3"/>
    <mergeCell ref="BD2:BG2"/>
    <mergeCell ref="BI2:BL2"/>
    <mergeCell ref="BN2:BQ2"/>
    <mergeCell ref="AL2:AO2"/>
    <mergeCell ref="AP2:AS2"/>
    <mergeCell ref="AT2:AW2"/>
    <mergeCell ref="AX2:AX3"/>
    <mergeCell ref="AY2:AY3"/>
    <mergeCell ref="AC2:AC3"/>
    <mergeCell ref="AE2:AE3"/>
  </mergeCells>
  <phoneticPr fontId="2" type="noConversion"/>
  <conditionalFormatting sqref="BD5:BD264 BD307 BD285:BF304 BI285:BK304 BN285:BP304 BS285:BU304">
    <cfRule type="cellIs" dxfId="63" priority="47" operator="greaterThanOrEqual">
      <formula>0.03</formula>
    </cfRule>
    <cfRule type="cellIs" dxfId="62" priority="48" operator="lessThanOrEqual">
      <formula>-0.03</formula>
    </cfRule>
  </conditionalFormatting>
  <conditionalFormatting sqref="BE5:BE264 BE307">
    <cfRule type="cellIs" dxfId="61" priority="51" operator="greaterThanOrEqual">
      <formula>0.03</formula>
    </cfRule>
    <cfRule type="cellIs" dxfId="60" priority="52" operator="lessThanOrEqual">
      <formula>-0.03</formula>
    </cfRule>
  </conditionalFormatting>
  <conditionalFormatting sqref="BF5:BF264 BF307">
    <cfRule type="cellIs" dxfId="59" priority="61" operator="greaterThanOrEqual">
      <formula>0.03</formula>
    </cfRule>
    <cfRule type="cellIs" dxfId="58" priority="62" operator="lessThanOrEqual">
      <formula>-0.03</formula>
    </cfRule>
  </conditionalFormatting>
  <conditionalFormatting sqref="BG5:BG264 BG304 BG285:BG299 BG307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BI5:BI264 BI307">
    <cfRule type="cellIs" dxfId="55" priority="69" operator="greaterThanOrEqual">
      <formula>0.03</formula>
    </cfRule>
    <cfRule type="cellIs" dxfId="54" priority="70" operator="lessThanOrEqual">
      <formula>-0.03</formula>
    </cfRule>
  </conditionalFormatting>
  <conditionalFormatting sqref="BJ5:BJ264 BJ307">
    <cfRule type="cellIs" dxfId="53" priority="55" operator="greaterThanOrEqual">
      <formula>0.03</formula>
    </cfRule>
    <cfRule type="cellIs" dxfId="52" priority="56" operator="lessThanOrEqual">
      <formula>-0.03</formula>
    </cfRule>
  </conditionalFormatting>
  <conditionalFormatting sqref="BK5:BK264 BK307">
    <cfRule type="cellIs" dxfId="51" priority="41" operator="greaterThanOrEqual">
      <formula>0.03</formula>
    </cfRule>
    <cfRule type="cellIs" dxfId="50" priority="42" operator="lessThanOrEqual">
      <formula>-0.03</formula>
    </cfRule>
  </conditionalFormatting>
  <conditionalFormatting sqref="BL5:BL264 BL304 BL285:BL299 BL307">
    <cfRule type="cellIs" dxfId="49" priority="67" operator="greaterThanOrEqual">
      <formula>0.03</formula>
    </cfRule>
    <cfRule type="cellIs" dxfId="48" priority="68" operator="lessThanOrEqual">
      <formula>-0.03</formula>
    </cfRule>
  </conditionalFormatting>
  <conditionalFormatting sqref="BN5:BN264 BN307">
    <cfRule type="cellIs" dxfId="47" priority="49" operator="greaterThanOrEqual">
      <formula>0.03</formula>
    </cfRule>
    <cfRule type="cellIs" dxfId="46" priority="50" operator="lessThanOrEqual">
      <formula>-0.03</formula>
    </cfRule>
  </conditionalFormatting>
  <conditionalFormatting sqref="BO5:BO264 BO307">
    <cfRule type="cellIs" dxfId="45" priority="43" operator="greaterThanOrEqual">
      <formula>0.03</formula>
    </cfRule>
    <cfRule type="cellIs" dxfId="44" priority="44" operator="lessThanOrEqual">
      <formula>-0.03</formula>
    </cfRule>
  </conditionalFormatting>
  <conditionalFormatting sqref="BP5:BP264 BP307">
    <cfRule type="cellIs" dxfId="43" priority="65" operator="greaterThanOrEqual">
      <formula>0.03</formula>
    </cfRule>
    <cfRule type="cellIs" dxfId="42" priority="66" operator="lessThanOrEqual">
      <formula>-0.03</formula>
    </cfRule>
  </conditionalFormatting>
  <conditionalFormatting sqref="BQ5:BQ264 BQ304 BQ285:BQ299 BQ307">
    <cfRule type="cellIs" dxfId="41" priority="71" operator="greaterThanOrEqual">
      <formula>0.03</formula>
    </cfRule>
    <cfRule type="cellIs" dxfId="40" priority="72" operator="lessThanOrEqual">
      <formula>-0.03</formula>
    </cfRule>
  </conditionalFormatting>
  <conditionalFormatting sqref="BS5:BS264 BS307">
    <cfRule type="cellIs" dxfId="39" priority="63" operator="greaterThanOrEqual">
      <formula>0.03</formula>
    </cfRule>
    <cfRule type="cellIs" dxfId="38" priority="64" operator="lessThanOrEqual">
      <formula>-0.03</formula>
    </cfRule>
  </conditionalFormatting>
  <conditionalFormatting sqref="BT5:BT264 BT307">
    <cfRule type="cellIs" dxfId="37" priority="57" operator="greaterThanOrEqual">
      <formula>0.03</formula>
    </cfRule>
    <cfRule type="cellIs" dxfId="36" priority="58" operator="lessThanOrEqual">
      <formula>-0.03</formula>
    </cfRule>
  </conditionalFormatting>
  <conditionalFormatting sqref="BU5:BU264 BU307">
    <cfRule type="cellIs" dxfId="35" priority="59" operator="greaterThanOrEqual">
      <formula>0.03</formula>
    </cfRule>
    <cfRule type="cellIs" dxfId="34" priority="60" operator="lessThanOrEqual">
      <formula>-0.03</formula>
    </cfRule>
  </conditionalFormatting>
  <conditionalFormatting sqref="BV5:BV264 BV304 BV285:BV299 BV307">
    <cfRule type="cellIs" dxfId="33" priority="53" operator="greaterThanOrEqual">
      <formula>0.03</formula>
    </cfRule>
    <cfRule type="cellIs" dxfId="32" priority="54" operator="lessThanOrEqual">
      <formula>-0.03</formula>
    </cfRule>
  </conditionalFormatting>
  <conditionalFormatting sqref="BD265:BD284">
    <cfRule type="cellIs" dxfId="31" priority="15" operator="greaterThanOrEqual">
      <formula>0.03</formula>
    </cfRule>
    <cfRule type="cellIs" dxfId="30" priority="16" operator="lessThanOrEqual">
      <formula>-0.03</formula>
    </cfRule>
  </conditionalFormatting>
  <conditionalFormatting sqref="BE265:BE284">
    <cfRule type="cellIs" dxfId="29" priority="19" operator="greaterThanOrEqual">
      <formula>0.03</formula>
    </cfRule>
    <cfRule type="cellIs" dxfId="28" priority="20" operator="lessThanOrEqual">
      <formula>-0.03</formula>
    </cfRule>
  </conditionalFormatting>
  <conditionalFormatting sqref="BF265:BF284">
    <cfRule type="cellIs" dxfId="27" priority="29" operator="greaterThanOrEqual">
      <formula>0.03</formula>
    </cfRule>
    <cfRule type="cellIs" dxfId="26" priority="30" operator="lessThanOrEqual">
      <formula>-0.03</formula>
    </cfRule>
  </conditionalFormatting>
  <conditionalFormatting sqref="BG265:BG284">
    <cfRule type="cellIs" dxfId="25" priority="13" operator="greaterThanOrEqual">
      <formula>0.03</formula>
    </cfRule>
    <cfRule type="cellIs" dxfId="24" priority="14" operator="lessThanOrEqual">
      <formula>-0.03</formula>
    </cfRule>
  </conditionalFormatting>
  <conditionalFormatting sqref="BI265:BI284">
    <cfRule type="cellIs" dxfId="23" priority="37" operator="greaterThanOrEqual">
      <formula>0.03</formula>
    </cfRule>
    <cfRule type="cellIs" dxfId="22" priority="38" operator="lessThanOrEqual">
      <formula>-0.03</formula>
    </cfRule>
  </conditionalFormatting>
  <conditionalFormatting sqref="BJ265:BJ284">
    <cfRule type="cellIs" dxfId="21" priority="23" operator="greaterThanOrEqual">
      <formula>0.03</formula>
    </cfRule>
    <cfRule type="cellIs" dxfId="20" priority="24" operator="lessThanOrEqual">
      <formula>-0.03</formula>
    </cfRule>
  </conditionalFormatting>
  <conditionalFormatting sqref="BK265:BK284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L265:BL284">
    <cfRule type="cellIs" dxfId="17" priority="35" operator="greaterThanOrEqual">
      <formula>0.03</formula>
    </cfRule>
    <cfRule type="cellIs" dxfId="16" priority="36" operator="lessThanOrEqual">
      <formula>-0.03</formula>
    </cfRule>
  </conditionalFormatting>
  <conditionalFormatting sqref="BN265:BN284">
    <cfRule type="cellIs" dxfId="15" priority="17" operator="greaterThanOrEqual">
      <formula>0.03</formula>
    </cfRule>
    <cfRule type="cellIs" dxfId="14" priority="18" operator="lessThanOrEqual">
      <formula>-0.03</formula>
    </cfRule>
  </conditionalFormatting>
  <conditionalFormatting sqref="BO265:BO284">
    <cfRule type="cellIs" dxfId="13" priority="11" operator="greaterThanOrEqual">
      <formula>0.03</formula>
    </cfRule>
    <cfRule type="cellIs" dxfId="12" priority="12" operator="lessThanOrEqual">
      <formula>-0.03</formula>
    </cfRule>
  </conditionalFormatting>
  <conditionalFormatting sqref="BP265:BP284">
    <cfRule type="cellIs" dxfId="11" priority="33" operator="greaterThanOrEqual">
      <formula>0.03</formula>
    </cfRule>
    <cfRule type="cellIs" dxfId="10" priority="34" operator="lessThanOrEqual">
      <formula>-0.03</formula>
    </cfRule>
  </conditionalFormatting>
  <conditionalFormatting sqref="BQ265:BQ284">
    <cfRule type="cellIs" dxfId="9" priority="39" operator="greaterThanOrEqual">
      <formula>0.03</formula>
    </cfRule>
    <cfRule type="cellIs" dxfId="8" priority="40" operator="lessThanOrEqual">
      <formula>-0.03</formula>
    </cfRule>
  </conditionalFormatting>
  <conditionalFormatting sqref="BS265:BS284">
    <cfRule type="cellIs" dxfId="7" priority="31" operator="greaterThanOrEqual">
      <formula>0.03</formula>
    </cfRule>
    <cfRule type="cellIs" dxfId="6" priority="32" operator="lessThanOrEqual">
      <formula>-0.03</formula>
    </cfRule>
  </conditionalFormatting>
  <conditionalFormatting sqref="BT265:BT284">
    <cfRule type="cellIs" dxfId="5" priority="25" operator="greaterThanOrEqual">
      <formula>0.03</formula>
    </cfRule>
    <cfRule type="cellIs" dxfId="4" priority="26" operator="lessThanOrEqual">
      <formula>-0.03</formula>
    </cfRule>
  </conditionalFormatting>
  <conditionalFormatting sqref="BU265:BU284">
    <cfRule type="cellIs" dxfId="3" priority="27" operator="greaterThanOrEqual">
      <formula>0.03</formula>
    </cfRule>
    <cfRule type="cellIs" dxfId="2" priority="28" operator="lessThanOrEqual">
      <formula>-0.03</formula>
    </cfRule>
  </conditionalFormatting>
  <conditionalFormatting sqref="BV265:BV284">
    <cfRule type="cellIs" dxfId="1" priority="21" operator="greaterThanOrEqual">
      <formula>0.03</formula>
    </cfRule>
    <cfRule type="cellIs" dxfId="0" priority="22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B87C-520A-4164-A2B0-91DFB95F336A}">
  <dimension ref="A1:W985"/>
  <sheetViews>
    <sheetView topLeftCell="A673" workbookViewId="0">
      <selection activeCell="O710" sqref="O710"/>
    </sheetView>
  </sheetViews>
  <sheetFormatPr defaultRowHeight="13.5" x14ac:dyDescent="0.15"/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1036</v>
      </c>
      <c r="C710" t="s">
        <v>1034</v>
      </c>
      <c r="D710">
        <v>0</v>
      </c>
      <c r="E710">
        <v>2563236</v>
      </c>
      <c r="F710">
        <v>199800</v>
      </c>
      <c r="G710">
        <v>23760</v>
      </c>
      <c r="H710">
        <v>175168</v>
      </c>
      <c r="I710">
        <v>0</v>
      </c>
      <c r="J710">
        <v>64.553656099999998</v>
      </c>
      <c r="K710">
        <v>65.319606100000001</v>
      </c>
      <c r="L710">
        <v>34.790245400000003</v>
      </c>
      <c r="M710">
        <v>43.437626000000002</v>
      </c>
      <c r="N710">
        <v>47.371685100000001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1036</v>
      </c>
      <c r="C711" t="s">
        <v>1034</v>
      </c>
      <c r="D711">
        <v>1</v>
      </c>
      <c r="E711">
        <v>2382752</v>
      </c>
      <c r="F711">
        <v>427648</v>
      </c>
      <c r="G711">
        <v>70464</v>
      </c>
      <c r="H711">
        <v>356312</v>
      </c>
      <c r="I711">
        <v>0</v>
      </c>
      <c r="J711">
        <v>69.936707900000002</v>
      </c>
      <c r="K711">
        <v>73.158202200000005</v>
      </c>
      <c r="L711">
        <v>37.735960300000002</v>
      </c>
      <c r="M711">
        <v>44.508201200000002</v>
      </c>
      <c r="N711">
        <v>48.904133700000003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1036</v>
      </c>
      <c r="C712" t="s">
        <v>1034</v>
      </c>
      <c r="D712">
        <v>2</v>
      </c>
      <c r="E712">
        <v>2485496</v>
      </c>
      <c r="F712">
        <v>1041704</v>
      </c>
      <c r="G712">
        <v>227232</v>
      </c>
      <c r="H712">
        <v>813600</v>
      </c>
      <c r="I712">
        <v>0</v>
      </c>
      <c r="J712">
        <v>74.791387799999995</v>
      </c>
      <c r="K712">
        <v>78.582488400000003</v>
      </c>
      <c r="L712">
        <v>40.521192200000002</v>
      </c>
      <c r="M712">
        <v>45.850154600000003</v>
      </c>
      <c r="N712">
        <v>50.257373700000002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1036</v>
      </c>
      <c r="C713" t="s">
        <v>1034</v>
      </c>
      <c r="D713">
        <v>3</v>
      </c>
      <c r="E713">
        <v>2779047</v>
      </c>
      <c r="F713">
        <v>2770600</v>
      </c>
      <c r="G713">
        <v>748664</v>
      </c>
      <c r="H713">
        <v>2021064</v>
      </c>
      <c r="I713">
        <v>0</v>
      </c>
      <c r="J713">
        <v>76.971451099999996</v>
      </c>
      <c r="K713">
        <v>80.705232499999994</v>
      </c>
      <c r="L713">
        <v>42.679003199999997</v>
      </c>
      <c r="M713">
        <v>47.377607300000001</v>
      </c>
      <c r="N713">
        <v>51.429876899999996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1036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1036</v>
      </c>
      <c r="C716" t="s">
        <v>1034</v>
      </c>
      <c r="D716">
        <v>0</v>
      </c>
      <c r="E716">
        <v>2364784</v>
      </c>
      <c r="F716">
        <v>225456</v>
      </c>
      <c r="G716">
        <v>20824</v>
      </c>
      <c r="H716">
        <v>203920</v>
      </c>
      <c r="I716">
        <v>0</v>
      </c>
      <c r="J716">
        <v>64.555706900000004</v>
      </c>
      <c r="K716">
        <v>65.065640099999996</v>
      </c>
      <c r="L716">
        <v>33.843715799999998</v>
      </c>
      <c r="M716">
        <v>44.341728199999999</v>
      </c>
      <c r="N716">
        <v>47.281325199999998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1036</v>
      </c>
      <c r="C717" t="s">
        <v>1034</v>
      </c>
      <c r="D717">
        <v>1</v>
      </c>
      <c r="E717">
        <v>2174186</v>
      </c>
      <c r="F717">
        <v>449632</v>
      </c>
      <c r="G717">
        <v>60720</v>
      </c>
      <c r="H717">
        <v>388200</v>
      </c>
      <c r="I717">
        <v>0</v>
      </c>
      <c r="J717">
        <v>69.728556600000005</v>
      </c>
      <c r="K717">
        <v>73.036275599999996</v>
      </c>
      <c r="L717">
        <v>37.385169099999999</v>
      </c>
      <c r="M717">
        <v>45.310824599999997</v>
      </c>
      <c r="N717">
        <v>48.909912900000002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1036</v>
      </c>
      <c r="C718" t="s">
        <v>1034</v>
      </c>
      <c r="D718">
        <v>2</v>
      </c>
      <c r="E718">
        <v>2260665</v>
      </c>
      <c r="F718">
        <v>1045840</v>
      </c>
      <c r="G718">
        <v>201008</v>
      </c>
      <c r="H718">
        <v>844120</v>
      </c>
      <c r="I718">
        <v>0</v>
      </c>
      <c r="J718">
        <v>74.804639100000003</v>
      </c>
      <c r="K718">
        <v>78.233147500000001</v>
      </c>
      <c r="L718">
        <v>40.0596301</v>
      </c>
      <c r="M718">
        <v>46.676316200000002</v>
      </c>
      <c r="N718">
        <v>50.330515900000002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1036</v>
      </c>
      <c r="C719" t="s">
        <v>1034</v>
      </c>
      <c r="D719">
        <v>3</v>
      </c>
      <c r="E719">
        <v>2476221</v>
      </c>
      <c r="F719">
        <v>2642848</v>
      </c>
      <c r="G719">
        <v>663544</v>
      </c>
      <c r="H719">
        <v>1978592</v>
      </c>
      <c r="I719">
        <v>0</v>
      </c>
      <c r="J719">
        <v>77.082859900000003</v>
      </c>
      <c r="K719">
        <v>80.631966199999994</v>
      </c>
      <c r="L719">
        <v>42.1826589</v>
      </c>
      <c r="M719">
        <v>48.136291</v>
      </c>
      <c r="N719">
        <v>51.477159399999998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1036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1036</v>
      </c>
      <c r="C722" t="s">
        <v>1034</v>
      </c>
      <c r="D722">
        <v>0</v>
      </c>
      <c r="E722">
        <v>3535590</v>
      </c>
      <c r="F722">
        <v>409104</v>
      </c>
      <c r="G722">
        <v>27320</v>
      </c>
      <c r="H722">
        <v>380936</v>
      </c>
      <c r="I722">
        <v>0</v>
      </c>
      <c r="J722">
        <v>60.379426000000002</v>
      </c>
      <c r="K722">
        <v>64.650964700000003</v>
      </c>
      <c r="L722">
        <v>29.535403800000001</v>
      </c>
      <c r="M722">
        <v>43.374026000000001</v>
      </c>
      <c r="N722">
        <v>45.400588599999999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1036</v>
      </c>
      <c r="C723" t="s">
        <v>1034</v>
      </c>
      <c r="D723">
        <v>1</v>
      </c>
      <c r="E723">
        <v>3453778</v>
      </c>
      <c r="F723">
        <v>1150224</v>
      </c>
      <c r="G723">
        <v>90008</v>
      </c>
      <c r="H723">
        <v>1059368</v>
      </c>
      <c r="I723">
        <v>0</v>
      </c>
      <c r="J723">
        <v>67.356421699999999</v>
      </c>
      <c r="K723">
        <v>71.762189100000001</v>
      </c>
      <c r="L723">
        <v>31.792114900000001</v>
      </c>
      <c r="M723">
        <v>44.454557399999999</v>
      </c>
      <c r="N723">
        <v>46.4640366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1036</v>
      </c>
      <c r="C724" t="s">
        <v>1034</v>
      </c>
      <c r="D724">
        <v>2</v>
      </c>
      <c r="E724">
        <v>3708857</v>
      </c>
      <c r="F724">
        <v>3278112</v>
      </c>
      <c r="G724">
        <v>344728</v>
      </c>
      <c r="H724">
        <v>2932536</v>
      </c>
      <c r="I724">
        <v>0</v>
      </c>
      <c r="J724">
        <v>73.415104400000004</v>
      </c>
      <c r="K724">
        <v>76.776845199999997</v>
      </c>
      <c r="L724">
        <v>34.365067500000002</v>
      </c>
      <c r="M724">
        <v>45.785981399999997</v>
      </c>
      <c r="N724">
        <v>47.7218649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1036</v>
      </c>
      <c r="C725" t="s">
        <v>1034</v>
      </c>
      <c r="D725">
        <v>3</v>
      </c>
      <c r="E725">
        <v>3933927</v>
      </c>
      <c r="F725">
        <v>8278944</v>
      </c>
      <c r="G725">
        <v>1259904</v>
      </c>
      <c r="H725">
        <v>7018192</v>
      </c>
      <c r="I725">
        <v>0</v>
      </c>
      <c r="J725">
        <v>76.425477099999995</v>
      </c>
      <c r="K725">
        <v>79.631892100000002</v>
      </c>
      <c r="L725">
        <v>37.217605800000001</v>
      </c>
      <c r="M725">
        <v>47.176478899999999</v>
      </c>
      <c r="N725">
        <v>48.9591736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1036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1036</v>
      </c>
      <c r="C728" t="s">
        <v>1034</v>
      </c>
      <c r="D728">
        <v>0</v>
      </c>
      <c r="E728">
        <v>798456</v>
      </c>
      <c r="F728">
        <v>294448</v>
      </c>
      <c r="G728">
        <v>6208</v>
      </c>
      <c r="H728">
        <v>287768</v>
      </c>
      <c r="I728">
        <v>0</v>
      </c>
      <c r="J728">
        <v>55.6445571</v>
      </c>
      <c r="K728">
        <v>56.0637027</v>
      </c>
      <c r="L728">
        <v>26.7981373</v>
      </c>
      <c r="M728">
        <v>34.000317799999998</v>
      </c>
      <c r="N728">
        <v>32.8485412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1036</v>
      </c>
      <c r="C729" t="s">
        <v>1034</v>
      </c>
      <c r="D729">
        <v>1</v>
      </c>
      <c r="E729">
        <v>785696</v>
      </c>
      <c r="F729">
        <v>662656</v>
      </c>
      <c r="G729">
        <v>21592</v>
      </c>
      <c r="H729">
        <v>640592</v>
      </c>
      <c r="I729">
        <v>0</v>
      </c>
      <c r="J729">
        <v>62.669087300000001</v>
      </c>
      <c r="K729">
        <v>63.466967099999998</v>
      </c>
      <c r="L729">
        <v>30.485050399999999</v>
      </c>
      <c r="M729">
        <v>37.4759429</v>
      </c>
      <c r="N729">
        <v>36.707352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1036</v>
      </c>
      <c r="C730" t="s">
        <v>1034</v>
      </c>
      <c r="D730">
        <v>2</v>
      </c>
      <c r="E730">
        <v>794760</v>
      </c>
      <c r="F730">
        <v>1387632</v>
      </c>
      <c r="G730">
        <v>77744</v>
      </c>
      <c r="H730">
        <v>1309416</v>
      </c>
      <c r="I730">
        <v>0</v>
      </c>
      <c r="J730">
        <v>68.604806499999995</v>
      </c>
      <c r="K730">
        <v>70.4588593</v>
      </c>
      <c r="L730">
        <v>33.853155200000003</v>
      </c>
      <c r="M730">
        <v>40.667763399999998</v>
      </c>
      <c r="N730">
        <v>40.165178099999999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1036</v>
      </c>
      <c r="C731" t="s">
        <v>1034</v>
      </c>
      <c r="D731">
        <v>3</v>
      </c>
      <c r="E731">
        <v>848252</v>
      </c>
      <c r="F731">
        <v>2782328</v>
      </c>
      <c r="G731">
        <v>253144</v>
      </c>
      <c r="H731">
        <v>2528712</v>
      </c>
      <c r="I731">
        <v>0</v>
      </c>
      <c r="J731">
        <v>71.029979699999998</v>
      </c>
      <c r="K731">
        <v>73.9660966</v>
      </c>
      <c r="L731">
        <v>36.811397800000002</v>
      </c>
      <c r="M731">
        <v>43.479074900000001</v>
      </c>
      <c r="N731">
        <v>43.0528738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1036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1036</v>
      </c>
      <c r="C734" t="s">
        <v>1034</v>
      </c>
      <c r="D734">
        <v>0</v>
      </c>
      <c r="E734">
        <v>747178</v>
      </c>
      <c r="F734">
        <v>68936</v>
      </c>
      <c r="G734">
        <v>5952</v>
      </c>
      <c r="H734">
        <v>62520</v>
      </c>
      <c r="I734">
        <v>0</v>
      </c>
      <c r="J734">
        <v>55.289748799999998</v>
      </c>
      <c r="K734">
        <v>57.733209899999999</v>
      </c>
      <c r="L734">
        <v>32.599505000000001</v>
      </c>
      <c r="M734">
        <v>46.2341354</v>
      </c>
      <c r="N734">
        <v>44.105499399999999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1036</v>
      </c>
      <c r="C735" t="s">
        <v>1034</v>
      </c>
      <c r="D735">
        <v>1</v>
      </c>
      <c r="E735">
        <v>713413</v>
      </c>
      <c r="F735">
        <v>162816</v>
      </c>
      <c r="G735">
        <v>19384</v>
      </c>
      <c r="H735">
        <v>142968</v>
      </c>
      <c r="I735">
        <v>0</v>
      </c>
      <c r="J735">
        <v>63.177750000000003</v>
      </c>
      <c r="K735">
        <v>65.228434300000004</v>
      </c>
      <c r="L735">
        <v>36.175703400000003</v>
      </c>
      <c r="M735">
        <v>48.8027005</v>
      </c>
      <c r="N735">
        <v>48.1290792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1036</v>
      </c>
      <c r="C736" t="s">
        <v>1034</v>
      </c>
      <c r="D736">
        <v>2</v>
      </c>
      <c r="E736">
        <v>735219</v>
      </c>
      <c r="F736">
        <v>375408</v>
      </c>
      <c r="G736">
        <v>67688</v>
      </c>
      <c r="H736">
        <v>307256</v>
      </c>
      <c r="I736">
        <v>0</v>
      </c>
      <c r="J736">
        <v>68.458337499999999</v>
      </c>
      <c r="K736">
        <v>71.271203799999995</v>
      </c>
      <c r="L736">
        <v>39.643152299999997</v>
      </c>
      <c r="M736">
        <v>50.714545800000003</v>
      </c>
      <c r="N736">
        <v>50.910931400000003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1036</v>
      </c>
      <c r="C737" t="s">
        <v>1034</v>
      </c>
      <c r="D737">
        <v>3</v>
      </c>
      <c r="E737">
        <v>791608</v>
      </c>
      <c r="F737">
        <v>884088</v>
      </c>
      <c r="G737">
        <v>227688</v>
      </c>
      <c r="H737">
        <v>655936</v>
      </c>
      <c r="I737">
        <v>0</v>
      </c>
      <c r="J737">
        <v>71.086933299999998</v>
      </c>
      <c r="K737">
        <v>74.126947000000001</v>
      </c>
      <c r="L737">
        <v>42.695852299999999</v>
      </c>
      <c r="M737">
        <v>52.3646277</v>
      </c>
      <c r="N737">
        <v>52.647758500000002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1036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1036</v>
      </c>
      <c r="C740" t="s">
        <v>1034</v>
      </c>
      <c r="D740">
        <v>0</v>
      </c>
      <c r="E740">
        <v>747027</v>
      </c>
      <c r="F740">
        <v>121488</v>
      </c>
      <c r="G740">
        <v>5744</v>
      </c>
      <c r="H740">
        <v>115272</v>
      </c>
      <c r="I740">
        <v>0</v>
      </c>
      <c r="J740">
        <v>55.7712225</v>
      </c>
      <c r="K740">
        <v>57.162020499999997</v>
      </c>
      <c r="L740">
        <v>26.795787000000001</v>
      </c>
      <c r="M740">
        <v>35.035798399999997</v>
      </c>
      <c r="N740">
        <v>32.844049400000003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1036</v>
      </c>
      <c r="C741" t="s">
        <v>1034</v>
      </c>
      <c r="D741">
        <v>1</v>
      </c>
      <c r="E741">
        <v>726789</v>
      </c>
      <c r="F741">
        <v>278672</v>
      </c>
      <c r="G741">
        <v>18808</v>
      </c>
      <c r="H741">
        <v>259392</v>
      </c>
      <c r="I741">
        <v>0</v>
      </c>
      <c r="J741">
        <v>62.500404699999997</v>
      </c>
      <c r="K741">
        <v>64.232491400000001</v>
      </c>
      <c r="L741">
        <v>30.780349999999999</v>
      </c>
      <c r="M741">
        <v>39.6030053</v>
      </c>
      <c r="N741">
        <v>37.610724500000003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1036</v>
      </c>
      <c r="C742" t="s">
        <v>1034</v>
      </c>
      <c r="D742">
        <v>2</v>
      </c>
      <c r="E742">
        <v>767793</v>
      </c>
      <c r="F742">
        <v>602192</v>
      </c>
      <c r="G742">
        <v>66696</v>
      </c>
      <c r="H742">
        <v>535024</v>
      </c>
      <c r="I742">
        <v>0</v>
      </c>
      <c r="J742">
        <v>67.685976199999999</v>
      </c>
      <c r="K742">
        <v>71.006012600000005</v>
      </c>
      <c r="L742">
        <v>34.346772700000002</v>
      </c>
      <c r="M742">
        <v>44.233868299999997</v>
      </c>
      <c r="N742">
        <v>42.232109800000003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1036</v>
      </c>
      <c r="C743" t="s">
        <v>1034</v>
      </c>
      <c r="D743">
        <v>3</v>
      </c>
      <c r="E743">
        <v>867716</v>
      </c>
      <c r="F743">
        <v>1349736</v>
      </c>
      <c r="G743">
        <v>231056</v>
      </c>
      <c r="H743">
        <v>1118208</v>
      </c>
      <c r="I743">
        <v>0</v>
      </c>
      <c r="J743">
        <v>70.039026800000002</v>
      </c>
      <c r="K743">
        <v>73.995464799999993</v>
      </c>
      <c r="L743">
        <v>37.253299400000003</v>
      </c>
      <c r="M743">
        <v>47.057956799999999</v>
      </c>
      <c r="N743">
        <v>45.524034999999998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1036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1036</v>
      </c>
      <c r="C746" t="s">
        <v>1034</v>
      </c>
      <c r="D746">
        <v>0</v>
      </c>
      <c r="E746">
        <v>681762</v>
      </c>
      <c r="F746">
        <v>138784</v>
      </c>
      <c r="G746">
        <v>5768</v>
      </c>
      <c r="H746">
        <v>132544</v>
      </c>
      <c r="I746">
        <v>0</v>
      </c>
      <c r="J746">
        <v>54.167279200000003</v>
      </c>
      <c r="K746">
        <v>55.859701999999999</v>
      </c>
      <c r="L746">
        <v>31.553394300000001</v>
      </c>
      <c r="M746">
        <v>40.5724935</v>
      </c>
      <c r="N746">
        <v>32.304532199999997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1036</v>
      </c>
      <c r="C747" t="s">
        <v>1034</v>
      </c>
      <c r="D747">
        <v>1</v>
      </c>
      <c r="E747">
        <v>674829</v>
      </c>
      <c r="F747">
        <v>296000</v>
      </c>
      <c r="G747">
        <v>19896</v>
      </c>
      <c r="H747">
        <v>275632</v>
      </c>
      <c r="I747">
        <v>0</v>
      </c>
      <c r="J747">
        <v>61.528513199999999</v>
      </c>
      <c r="K747">
        <v>63.620031500000003</v>
      </c>
      <c r="L747">
        <v>35.379899000000002</v>
      </c>
      <c r="M747">
        <v>42.554760799999997</v>
      </c>
      <c r="N747">
        <v>36.776284199999999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1036</v>
      </c>
      <c r="C748" t="s">
        <v>1034</v>
      </c>
      <c r="D748">
        <v>2</v>
      </c>
      <c r="E748">
        <v>697070</v>
      </c>
      <c r="F748">
        <v>662760</v>
      </c>
      <c r="G748">
        <v>71240</v>
      </c>
      <c r="H748">
        <v>591048</v>
      </c>
      <c r="I748">
        <v>0</v>
      </c>
      <c r="J748">
        <v>67.916162999999997</v>
      </c>
      <c r="K748">
        <v>70.312938099999997</v>
      </c>
      <c r="L748">
        <v>38.7375057</v>
      </c>
      <c r="M748">
        <v>44.513086800000004</v>
      </c>
      <c r="N748">
        <v>40.145134800000001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1036</v>
      </c>
      <c r="C749" t="s">
        <v>1034</v>
      </c>
      <c r="D749">
        <v>3</v>
      </c>
      <c r="E749">
        <v>754191</v>
      </c>
      <c r="F749">
        <v>1489264</v>
      </c>
      <c r="G749">
        <v>236752</v>
      </c>
      <c r="H749">
        <v>1252040</v>
      </c>
      <c r="I749">
        <v>0</v>
      </c>
      <c r="J749">
        <v>70.785361600000002</v>
      </c>
      <c r="K749">
        <v>73.698572999999996</v>
      </c>
      <c r="L749">
        <v>41.678620299999999</v>
      </c>
      <c r="M749">
        <v>46.442138</v>
      </c>
      <c r="N749">
        <v>43.231618400000002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1036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1036</v>
      </c>
      <c r="C752" t="s">
        <v>1034</v>
      </c>
      <c r="D752">
        <v>0</v>
      </c>
      <c r="E752">
        <v>1027927</v>
      </c>
      <c r="F752">
        <v>158392</v>
      </c>
      <c r="G752">
        <v>8168</v>
      </c>
      <c r="H752">
        <v>149760</v>
      </c>
      <c r="I752">
        <v>0</v>
      </c>
      <c r="J752">
        <v>55.215634399999999</v>
      </c>
      <c r="K752">
        <v>56.773492599999997</v>
      </c>
      <c r="L752">
        <v>29.475559000000001</v>
      </c>
      <c r="M752">
        <v>46.016092899999997</v>
      </c>
      <c r="N752">
        <v>46.652529700000002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1036</v>
      </c>
      <c r="C753" t="s">
        <v>1034</v>
      </c>
      <c r="D753">
        <v>1</v>
      </c>
      <c r="E753">
        <v>978818</v>
      </c>
      <c r="F753">
        <v>348928</v>
      </c>
      <c r="G753">
        <v>27568</v>
      </c>
      <c r="H753">
        <v>320896</v>
      </c>
      <c r="I753">
        <v>0</v>
      </c>
      <c r="J753">
        <v>63.325067900000001</v>
      </c>
      <c r="K753">
        <v>64.334055399999997</v>
      </c>
      <c r="L753">
        <v>33.670369600000001</v>
      </c>
      <c r="M753">
        <v>47.9928746</v>
      </c>
      <c r="N753">
        <v>48.834334499999997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1036</v>
      </c>
      <c r="C754" t="s">
        <v>1034</v>
      </c>
      <c r="D754">
        <v>2</v>
      </c>
      <c r="E754">
        <v>998787</v>
      </c>
      <c r="F754">
        <v>766528</v>
      </c>
      <c r="G754">
        <v>99800</v>
      </c>
      <c r="H754">
        <v>666264</v>
      </c>
      <c r="I754">
        <v>0</v>
      </c>
      <c r="J754">
        <v>68.544061400000004</v>
      </c>
      <c r="K754">
        <v>71.031361399999994</v>
      </c>
      <c r="L754">
        <v>37.240308400000004</v>
      </c>
      <c r="M754">
        <v>49.947840399999997</v>
      </c>
      <c r="N754">
        <v>50.896070199999997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1036</v>
      </c>
      <c r="C755" t="s">
        <v>1034</v>
      </c>
      <c r="D755">
        <v>3</v>
      </c>
      <c r="E755">
        <v>1073619</v>
      </c>
      <c r="F755">
        <v>1697280</v>
      </c>
      <c r="G755">
        <v>321568</v>
      </c>
      <c r="H755">
        <v>1375248</v>
      </c>
      <c r="I755">
        <v>0</v>
      </c>
      <c r="J755">
        <v>71.013650200000001</v>
      </c>
      <c r="K755">
        <v>74.127468199999996</v>
      </c>
      <c r="L755">
        <v>40.4482608</v>
      </c>
      <c r="M755">
        <v>51.750993000000001</v>
      </c>
      <c r="N755">
        <v>52.664097300000002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1036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1036</v>
      </c>
      <c r="C758" t="s">
        <v>1034</v>
      </c>
      <c r="D758">
        <v>0</v>
      </c>
      <c r="E758">
        <v>931494</v>
      </c>
      <c r="F758">
        <v>240880</v>
      </c>
      <c r="G758">
        <v>7144</v>
      </c>
      <c r="H758">
        <v>233256</v>
      </c>
      <c r="I758">
        <v>0</v>
      </c>
      <c r="J758">
        <v>61.373746500000003</v>
      </c>
      <c r="K758">
        <v>62.324563300000001</v>
      </c>
      <c r="L758">
        <v>28.066241300000002</v>
      </c>
      <c r="M758">
        <v>36.188588299999999</v>
      </c>
      <c r="N758">
        <v>36.4777968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1036</v>
      </c>
      <c r="C759" t="s">
        <v>1034</v>
      </c>
      <c r="D759">
        <v>1</v>
      </c>
      <c r="E759">
        <v>891561</v>
      </c>
      <c r="F759">
        <v>537656</v>
      </c>
      <c r="G759">
        <v>24496</v>
      </c>
      <c r="H759">
        <v>512680</v>
      </c>
      <c r="I759">
        <v>0</v>
      </c>
      <c r="J759">
        <v>68.096070800000007</v>
      </c>
      <c r="K759">
        <v>70.033604499999996</v>
      </c>
      <c r="L759">
        <v>31.3491997</v>
      </c>
      <c r="M759">
        <v>39.5357524</v>
      </c>
      <c r="N759">
        <v>39.917327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1036</v>
      </c>
      <c r="C760" t="s">
        <v>1034</v>
      </c>
      <c r="D760">
        <v>2</v>
      </c>
      <c r="E760">
        <v>922379</v>
      </c>
      <c r="F760">
        <v>1135320</v>
      </c>
      <c r="G760">
        <v>88488</v>
      </c>
      <c r="H760">
        <v>1046352</v>
      </c>
      <c r="I760">
        <v>0</v>
      </c>
      <c r="J760">
        <v>73.398408799999999</v>
      </c>
      <c r="K760">
        <v>75.143603499999998</v>
      </c>
      <c r="L760">
        <v>34.122563300000003</v>
      </c>
      <c r="M760">
        <v>42.632732300000001</v>
      </c>
      <c r="N760">
        <v>43.060254299999997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1036</v>
      </c>
      <c r="C761" t="s">
        <v>1034</v>
      </c>
      <c r="D761">
        <v>3</v>
      </c>
      <c r="E761">
        <v>987612</v>
      </c>
      <c r="F761">
        <v>2257856</v>
      </c>
      <c r="G761">
        <v>289240</v>
      </c>
      <c r="H761">
        <v>1968136</v>
      </c>
      <c r="I761">
        <v>0</v>
      </c>
      <c r="J761">
        <v>74.497849799999997</v>
      </c>
      <c r="K761">
        <v>77.029704199999998</v>
      </c>
      <c r="L761">
        <v>35.669468899999998</v>
      </c>
      <c r="M761">
        <v>45.043956100000003</v>
      </c>
      <c r="N761">
        <v>45.484278400000001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1036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1036</v>
      </c>
      <c r="C764" t="s">
        <v>1034</v>
      </c>
      <c r="D764">
        <v>0</v>
      </c>
      <c r="E764">
        <v>2312958</v>
      </c>
      <c r="F764">
        <v>153536</v>
      </c>
      <c r="G764">
        <v>28608</v>
      </c>
      <c r="H764">
        <v>124240</v>
      </c>
      <c r="I764">
        <v>0</v>
      </c>
      <c r="J764">
        <v>64.278808400000003</v>
      </c>
      <c r="K764">
        <v>64.676648499999999</v>
      </c>
      <c r="L764">
        <v>36.019256800000001</v>
      </c>
      <c r="M764">
        <v>47.741418199999998</v>
      </c>
      <c r="N764">
        <v>47.9572833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1036</v>
      </c>
      <c r="C765" t="s">
        <v>1034</v>
      </c>
      <c r="D765">
        <v>1</v>
      </c>
      <c r="E765">
        <v>3455491</v>
      </c>
      <c r="F765">
        <v>446392</v>
      </c>
      <c r="G765">
        <v>87512</v>
      </c>
      <c r="H765">
        <v>358192</v>
      </c>
      <c r="I765">
        <v>0</v>
      </c>
      <c r="J765">
        <v>70.303257599999995</v>
      </c>
      <c r="K765">
        <v>71.453574099999997</v>
      </c>
      <c r="L765">
        <v>39.913090199999999</v>
      </c>
      <c r="M765">
        <v>49.731895000000002</v>
      </c>
      <c r="N765">
        <v>50.382775799999997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1036</v>
      </c>
      <c r="C766" t="s">
        <v>1034</v>
      </c>
      <c r="D766">
        <v>2</v>
      </c>
      <c r="E766">
        <v>2963885</v>
      </c>
      <c r="F766">
        <v>954888</v>
      </c>
      <c r="G766">
        <v>283320</v>
      </c>
      <c r="H766">
        <v>670880</v>
      </c>
      <c r="I766">
        <v>0</v>
      </c>
      <c r="J766">
        <v>73.091376800000006</v>
      </c>
      <c r="K766">
        <v>75.492138199999999</v>
      </c>
      <c r="L766">
        <v>41.3500856</v>
      </c>
      <c r="M766">
        <v>50.572659299999998</v>
      </c>
      <c r="N766">
        <v>51.179583999999998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1036</v>
      </c>
      <c r="C767" t="s">
        <v>1034</v>
      </c>
      <c r="D767">
        <v>3</v>
      </c>
      <c r="E767">
        <v>2830389</v>
      </c>
      <c r="F767">
        <v>2462216</v>
      </c>
      <c r="G767">
        <v>942488</v>
      </c>
      <c r="H767">
        <v>1519040</v>
      </c>
      <c r="I767">
        <v>0</v>
      </c>
      <c r="J767">
        <v>73.359102899999996</v>
      </c>
      <c r="K767">
        <v>76.659602100000001</v>
      </c>
      <c r="L767">
        <v>43.4601994</v>
      </c>
      <c r="M767">
        <v>51.7579463</v>
      </c>
      <c r="N767">
        <v>52.449586099999998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1036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1036</v>
      </c>
      <c r="C770" t="s">
        <v>1034</v>
      </c>
      <c r="D770">
        <v>0</v>
      </c>
      <c r="E770">
        <v>1174432</v>
      </c>
      <c r="F770">
        <v>536288</v>
      </c>
      <c r="G770">
        <v>33552</v>
      </c>
      <c r="H770">
        <v>502168</v>
      </c>
      <c r="I770">
        <v>0</v>
      </c>
      <c r="J770">
        <v>58.671061399999999</v>
      </c>
      <c r="K770">
        <v>61.544482799999997</v>
      </c>
      <c r="L770">
        <v>23.867347500000001</v>
      </c>
      <c r="M770">
        <v>39.185873000000001</v>
      </c>
      <c r="N770">
        <v>38.049138999999997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1036</v>
      </c>
      <c r="C771" t="s">
        <v>1034</v>
      </c>
      <c r="D771">
        <v>1</v>
      </c>
      <c r="E771">
        <v>1277992</v>
      </c>
      <c r="F771">
        <v>1214392</v>
      </c>
      <c r="G771">
        <v>131024</v>
      </c>
      <c r="H771">
        <v>1082800</v>
      </c>
      <c r="I771">
        <v>0</v>
      </c>
      <c r="J771">
        <v>64.071536100000003</v>
      </c>
      <c r="K771">
        <v>67.809738100000004</v>
      </c>
      <c r="L771">
        <v>26.829464000000002</v>
      </c>
      <c r="M771">
        <v>41.205956399999998</v>
      </c>
      <c r="N771">
        <v>39.565194599999998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1036</v>
      </c>
      <c r="C772" t="s">
        <v>1034</v>
      </c>
      <c r="D772">
        <v>2</v>
      </c>
      <c r="E772">
        <v>1615639</v>
      </c>
      <c r="F772">
        <v>2938296</v>
      </c>
      <c r="G772">
        <v>562672</v>
      </c>
      <c r="H772">
        <v>2375056</v>
      </c>
      <c r="I772">
        <v>0</v>
      </c>
      <c r="J772">
        <v>68.140869600000002</v>
      </c>
      <c r="K772">
        <v>71.694531100000006</v>
      </c>
      <c r="L772">
        <v>29.4791749</v>
      </c>
      <c r="M772">
        <v>43.491862099999999</v>
      </c>
      <c r="N772">
        <v>41.182215999999997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1036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1036</v>
      </c>
      <c r="C776" t="s">
        <v>1034</v>
      </c>
      <c r="D776">
        <v>0</v>
      </c>
      <c r="E776">
        <v>7574241</v>
      </c>
      <c r="F776">
        <v>1844448</v>
      </c>
      <c r="G776">
        <v>83104</v>
      </c>
      <c r="H776">
        <v>1760216</v>
      </c>
      <c r="I776">
        <v>0</v>
      </c>
      <c r="J776">
        <v>63.9047907</v>
      </c>
      <c r="K776">
        <v>70.585697199999998</v>
      </c>
      <c r="L776">
        <v>24.642481799999999</v>
      </c>
      <c r="M776">
        <v>39.984562599999997</v>
      </c>
      <c r="N776">
        <v>41.498080899999998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1036</v>
      </c>
      <c r="C777" t="s">
        <v>1034</v>
      </c>
      <c r="D777">
        <v>1</v>
      </c>
      <c r="E777">
        <v>7173802</v>
      </c>
      <c r="F777">
        <v>4405584</v>
      </c>
      <c r="G777">
        <v>300928</v>
      </c>
      <c r="H777">
        <v>4103528</v>
      </c>
      <c r="I777">
        <v>0</v>
      </c>
      <c r="J777">
        <v>69.551420500000006</v>
      </c>
      <c r="K777">
        <v>75.8867288</v>
      </c>
      <c r="L777">
        <v>26.759840499999999</v>
      </c>
      <c r="M777">
        <v>41.457326100000003</v>
      </c>
      <c r="N777">
        <v>42.761830400000001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1036</v>
      </c>
      <c r="C778" t="s">
        <v>1034</v>
      </c>
      <c r="D778">
        <v>2</v>
      </c>
      <c r="E778">
        <v>6951442</v>
      </c>
      <c r="F778">
        <v>9975336</v>
      </c>
      <c r="G778">
        <v>1357176</v>
      </c>
      <c r="H778">
        <v>8617032</v>
      </c>
      <c r="I778">
        <v>0</v>
      </c>
      <c r="J778">
        <v>75.282660300000003</v>
      </c>
      <c r="K778">
        <v>78.806474300000005</v>
      </c>
      <c r="L778">
        <v>28.6606989</v>
      </c>
      <c r="M778">
        <v>43.021274499999997</v>
      </c>
      <c r="N778">
        <v>44.0958483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1036</v>
      </c>
      <c r="C779" t="s">
        <v>1034</v>
      </c>
      <c r="D779">
        <v>3</v>
      </c>
      <c r="E779">
        <v>8051705</v>
      </c>
      <c r="F779">
        <v>24071656</v>
      </c>
      <c r="G779">
        <v>5648840</v>
      </c>
      <c r="H779">
        <v>18421688</v>
      </c>
      <c r="I779">
        <v>0</v>
      </c>
      <c r="J779">
        <v>77.465557200000006</v>
      </c>
      <c r="K779">
        <v>80.776850100000004</v>
      </c>
      <c r="L779">
        <v>30.211941100000001</v>
      </c>
      <c r="M779">
        <v>44.992494600000001</v>
      </c>
      <c r="N779">
        <v>45.782500200000001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1036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1036</v>
      </c>
      <c r="C782" t="s">
        <v>1034</v>
      </c>
      <c r="D782">
        <v>0</v>
      </c>
      <c r="E782">
        <v>10482103</v>
      </c>
      <c r="F782">
        <v>1229640</v>
      </c>
      <c r="G782">
        <v>102912</v>
      </c>
      <c r="H782">
        <v>1125040</v>
      </c>
      <c r="I782">
        <v>0</v>
      </c>
      <c r="J782">
        <v>68.032191900000001</v>
      </c>
      <c r="K782">
        <v>71.018393599999996</v>
      </c>
      <c r="L782">
        <v>30.0055643</v>
      </c>
      <c r="M782">
        <v>43.271360999999999</v>
      </c>
      <c r="N782">
        <v>45.289890700000001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1036</v>
      </c>
      <c r="C783" t="s">
        <v>1034</v>
      </c>
      <c r="D783">
        <v>1</v>
      </c>
      <c r="E783">
        <v>11075623</v>
      </c>
      <c r="F783">
        <v>3531560</v>
      </c>
      <c r="G783">
        <v>345352</v>
      </c>
      <c r="H783">
        <v>3184520</v>
      </c>
      <c r="I783">
        <v>0</v>
      </c>
      <c r="J783">
        <v>74.053016499999998</v>
      </c>
      <c r="K783">
        <v>76.914632699999999</v>
      </c>
      <c r="L783">
        <v>31.824050499999998</v>
      </c>
      <c r="M783">
        <v>44.327533299999999</v>
      </c>
      <c r="N783">
        <v>46.303200500000003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1036</v>
      </c>
      <c r="C784" t="s">
        <v>1034</v>
      </c>
      <c r="D784">
        <v>2</v>
      </c>
      <c r="E784">
        <v>11498165</v>
      </c>
      <c r="F784">
        <v>9393184</v>
      </c>
      <c r="G784">
        <v>1355216</v>
      </c>
      <c r="H784">
        <v>8036280</v>
      </c>
      <c r="I784">
        <v>0</v>
      </c>
      <c r="J784">
        <v>78.334226000000001</v>
      </c>
      <c r="K784">
        <v>80.942864999999998</v>
      </c>
      <c r="L784">
        <v>33.542759799999999</v>
      </c>
      <c r="M784">
        <v>45.415062399999997</v>
      </c>
      <c r="N784">
        <v>47.260424499999999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1036</v>
      </c>
      <c r="C785" t="s">
        <v>1034</v>
      </c>
      <c r="D785">
        <v>3</v>
      </c>
      <c r="E785">
        <v>11980374</v>
      </c>
      <c r="F785">
        <v>24487984</v>
      </c>
      <c r="G785">
        <v>5217032</v>
      </c>
      <c r="H785">
        <v>19269344</v>
      </c>
      <c r="I785">
        <v>0</v>
      </c>
      <c r="J785">
        <v>79.953439399999993</v>
      </c>
      <c r="K785">
        <v>83.018344799999994</v>
      </c>
      <c r="L785">
        <v>35.428720300000002</v>
      </c>
      <c r="M785">
        <v>46.762972699999999</v>
      </c>
      <c r="N785">
        <v>48.401048099999997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1036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1036</v>
      </c>
      <c r="C788" t="s">
        <v>1034</v>
      </c>
      <c r="D788">
        <v>0</v>
      </c>
      <c r="E788">
        <v>2963587</v>
      </c>
      <c r="F788">
        <v>370000</v>
      </c>
      <c r="G788">
        <v>57360</v>
      </c>
      <c r="H788">
        <v>311832</v>
      </c>
      <c r="I788">
        <v>0</v>
      </c>
      <c r="J788">
        <v>60.201499699999999</v>
      </c>
      <c r="K788">
        <v>64.254783799999998</v>
      </c>
      <c r="L788">
        <v>29.0429426</v>
      </c>
      <c r="M788">
        <v>44.1899351</v>
      </c>
      <c r="N788">
        <v>47.680998099999996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1036</v>
      </c>
      <c r="C789" t="s">
        <v>1034</v>
      </c>
      <c r="D789">
        <v>1</v>
      </c>
      <c r="E789">
        <v>3105464</v>
      </c>
      <c r="F789">
        <v>982376</v>
      </c>
      <c r="G789">
        <v>184144</v>
      </c>
      <c r="H789">
        <v>797424</v>
      </c>
      <c r="I789">
        <v>0</v>
      </c>
      <c r="J789">
        <v>65.771084700000003</v>
      </c>
      <c r="K789">
        <v>70.603299800000002</v>
      </c>
      <c r="L789">
        <v>30.945806900000001</v>
      </c>
      <c r="M789">
        <v>45.314624500000001</v>
      </c>
      <c r="N789">
        <v>48.305642300000002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1036</v>
      </c>
      <c r="C790" t="s">
        <v>1034</v>
      </c>
      <c r="D790">
        <v>2</v>
      </c>
      <c r="E790">
        <v>4304695</v>
      </c>
      <c r="F790">
        <v>3278688</v>
      </c>
      <c r="G790">
        <v>745736</v>
      </c>
      <c r="H790">
        <v>2532144</v>
      </c>
      <c r="I790">
        <v>0</v>
      </c>
      <c r="J790">
        <v>69.856580500000007</v>
      </c>
      <c r="K790">
        <v>72.8184495</v>
      </c>
      <c r="L790">
        <v>33.192298200000003</v>
      </c>
      <c r="M790">
        <v>46.629113699999998</v>
      </c>
      <c r="N790">
        <v>48.979435299999999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1036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1036</v>
      </c>
      <c r="C794" t="s">
        <v>1034</v>
      </c>
      <c r="D794">
        <v>0</v>
      </c>
      <c r="E794">
        <v>11536201</v>
      </c>
      <c r="F794">
        <v>2579616</v>
      </c>
      <c r="G794">
        <v>382808</v>
      </c>
      <c r="H794">
        <v>2195160</v>
      </c>
      <c r="I794">
        <v>0</v>
      </c>
      <c r="J794">
        <v>67.660789300000005</v>
      </c>
      <c r="K794">
        <v>71.061954600000007</v>
      </c>
      <c r="L794">
        <v>27.318094899999998</v>
      </c>
      <c r="M794">
        <v>40.963825800000002</v>
      </c>
      <c r="N794">
        <v>45.854730799999999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1036</v>
      </c>
      <c r="C795" t="s">
        <v>1034</v>
      </c>
      <c r="D795">
        <v>1</v>
      </c>
      <c r="E795">
        <v>12695768</v>
      </c>
      <c r="F795">
        <v>7144832</v>
      </c>
      <c r="G795">
        <v>1340320</v>
      </c>
      <c r="H795">
        <v>5802864</v>
      </c>
      <c r="I795">
        <v>0</v>
      </c>
      <c r="J795">
        <v>71.286233999999993</v>
      </c>
      <c r="K795">
        <v>75.979500999999999</v>
      </c>
      <c r="L795">
        <v>29.1969925</v>
      </c>
      <c r="M795">
        <v>42.638866</v>
      </c>
      <c r="N795">
        <v>47.248109399999997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1036</v>
      </c>
      <c r="C796" t="s">
        <v>1034</v>
      </c>
      <c r="D796">
        <v>2</v>
      </c>
      <c r="E796">
        <v>14559808</v>
      </c>
      <c r="F796">
        <v>19493648</v>
      </c>
      <c r="G796">
        <v>5440928</v>
      </c>
      <c r="H796">
        <v>14051152</v>
      </c>
      <c r="I796">
        <v>0</v>
      </c>
      <c r="J796">
        <v>73.348554699999994</v>
      </c>
      <c r="K796">
        <v>78.352076499999995</v>
      </c>
      <c r="L796">
        <v>31.167316799999998</v>
      </c>
      <c r="M796">
        <v>44.526657800000002</v>
      </c>
      <c r="N796">
        <v>48.641390199999996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1036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1036</v>
      </c>
      <c r="C800" t="s">
        <v>1034</v>
      </c>
      <c r="D800">
        <v>0</v>
      </c>
      <c r="E800">
        <v>2927225</v>
      </c>
      <c r="F800">
        <v>547160</v>
      </c>
      <c r="G800">
        <v>46784</v>
      </c>
      <c r="H800">
        <v>499568</v>
      </c>
      <c r="I800">
        <v>0</v>
      </c>
      <c r="J800">
        <v>61.520561899999997</v>
      </c>
      <c r="K800">
        <v>65.029272800000001</v>
      </c>
      <c r="L800">
        <v>26.797142300000001</v>
      </c>
      <c r="M800">
        <v>39.693118900000002</v>
      </c>
      <c r="N800">
        <v>41.879156100000003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1036</v>
      </c>
      <c r="C801" t="s">
        <v>1034</v>
      </c>
      <c r="D801">
        <v>1</v>
      </c>
      <c r="E801">
        <v>3393181</v>
      </c>
      <c r="F801">
        <v>1503200</v>
      </c>
      <c r="G801">
        <v>170488</v>
      </c>
      <c r="H801">
        <v>1331904</v>
      </c>
      <c r="I801">
        <v>0</v>
      </c>
      <c r="J801">
        <v>66.8257124</v>
      </c>
      <c r="K801">
        <v>69.786220400000005</v>
      </c>
      <c r="L801">
        <v>28.8563659</v>
      </c>
      <c r="M801">
        <v>41.115688499999997</v>
      </c>
      <c r="N801">
        <v>42.795342099999999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1036</v>
      </c>
      <c r="C802" t="s">
        <v>1034</v>
      </c>
      <c r="D802">
        <v>2</v>
      </c>
      <c r="E802">
        <v>3770449</v>
      </c>
      <c r="F802">
        <v>4057376</v>
      </c>
      <c r="G802">
        <v>791768</v>
      </c>
      <c r="H802">
        <v>3264800</v>
      </c>
      <c r="I802">
        <v>0</v>
      </c>
      <c r="J802">
        <v>69.440650500000004</v>
      </c>
      <c r="K802">
        <v>72.322246100000001</v>
      </c>
      <c r="L802">
        <v>30.279538500000001</v>
      </c>
      <c r="M802">
        <v>42.493795400000003</v>
      </c>
      <c r="N802">
        <v>43.828138600000003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1036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1036</v>
      </c>
      <c r="C806" t="s">
        <v>1034</v>
      </c>
      <c r="D806">
        <v>0</v>
      </c>
      <c r="E806">
        <v>12688739</v>
      </c>
      <c r="F806">
        <v>3826200</v>
      </c>
      <c r="G806">
        <v>81944</v>
      </c>
      <c r="H806">
        <v>3742048</v>
      </c>
      <c r="I806">
        <v>0</v>
      </c>
      <c r="J806">
        <v>67.580679799999999</v>
      </c>
      <c r="K806">
        <v>73.013187099999996</v>
      </c>
      <c r="L806">
        <v>24.184531700000001</v>
      </c>
      <c r="M806">
        <v>38.075597899999998</v>
      </c>
      <c r="N806">
        <v>39.530766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1036</v>
      </c>
      <c r="C807" t="s">
        <v>1034</v>
      </c>
      <c r="D807">
        <v>1</v>
      </c>
      <c r="E807">
        <v>12860160</v>
      </c>
      <c r="F807">
        <v>9829536</v>
      </c>
      <c r="G807">
        <v>255760</v>
      </c>
      <c r="H807">
        <v>9571568</v>
      </c>
      <c r="I807">
        <v>0</v>
      </c>
      <c r="J807">
        <v>73.007039700000007</v>
      </c>
      <c r="K807">
        <v>77.687377100000006</v>
      </c>
      <c r="L807">
        <v>25.572150100000002</v>
      </c>
      <c r="M807">
        <v>39.311967600000003</v>
      </c>
      <c r="N807">
        <v>41.045491800000001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1036</v>
      </c>
      <c r="C808" t="s">
        <v>1034</v>
      </c>
      <c r="D808">
        <v>2</v>
      </c>
      <c r="E808">
        <v>14351574</v>
      </c>
      <c r="F808">
        <v>24376576</v>
      </c>
      <c r="G808">
        <v>1131056</v>
      </c>
      <c r="H808">
        <v>23243312</v>
      </c>
      <c r="I808">
        <v>0</v>
      </c>
      <c r="J808">
        <v>78.432446799999994</v>
      </c>
      <c r="K808">
        <v>80.752092300000001</v>
      </c>
      <c r="L808">
        <v>26.7278959</v>
      </c>
      <c r="M808">
        <v>40.786067600000003</v>
      </c>
      <c r="N808">
        <v>42.641950799999996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1036</v>
      </c>
      <c r="C809" t="s">
        <v>1034</v>
      </c>
      <c r="D809">
        <v>3</v>
      </c>
      <c r="E809">
        <v>15194448</v>
      </c>
      <c r="F809">
        <v>50102128</v>
      </c>
      <c r="G809">
        <v>4820528</v>
      </c>
      <c r="H809">
        <v>45279552</v>
      </c>
      <c r="I809">
        <v>0</v>
      </c>
      <c r="J809">
        <v>81.001439000000005</v>
      </c>
      <c r="K809">
        <v>82.862738699999994</v>
      </c>
      <c r="L809">
        <v>27.548968800000001</v>
      </c>
      <c r="M809">
        <v>42.276691</v>
      </c>
      <c r="N809">
        <v>44.154522399999998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1036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1036</v>
      </c>
      <c r="C812" t="s">
        <v>1034</v>
      </c>
      <c r="D812">
        <v>0</v>
      </c>
      <c r="E812">
        <v>2758010</v>
      </c>
      <c r="F812">
        <v>658200</v>
      </c>
      <c r="G812">
        <v>27984</v>
      </c>
      <c r="H812">
        <v>629528</v>
      </c>
      <c r="I812">
        <v>0</v>
      </c>
      <c r="J812">
        <v>61.951214399999998</v>
      </c>
      <c r="K812">
        <v>62.310441500000003</v>
      </c>
      <c r="L812">
        <v>29.579787</v>
      </c>
      <c r="M812">
        <v>36.826510599999999</v>
      </c>
      <c r="N812">
        <v>36.003875299999997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1036</v>
      </c>
      <c r="C813" t="s">
        <v>1034</v>
      </c>
      <c r="D813">
        <v>1</v>
      </c>
      <c r="E813">
        <v>2585432</v>
      </c>
      <c r="F813">
        <v>1343120</v>
      </c>
      <c r="G813">
        <v>86624</v>
      </c>
      <c r="H813">
        <v>1255808</v>
      </c>
      <c r="I813">
        <v>0</v>
      </c>
      <c r="J813">
        <v>69.060725300000001</v>
      </c>
      <c r="K813">
        <v>70.044272399999997</v>
      </c>
      <c r="L813">
        <v>32.603467299999998</v>
      </c>
      <c r="M813">
        <v>39.920025799999998</v>
      </c>
      <c r="N813">
        <v>39.281654000000003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1036</v>
      </c>
      <c r="C814" t="s">
        <v>1034</v>
      </c>
      <c r="D814">
        <v>2</v>
      </c>
      <c r="E814">
        <v>2659085</v>
      </c>
      <c r="F814">
        <v>2848024</v>
      </c>
      <c r="G814">
        <v>281960</v>
      </c>
      <c r="H814">
        <v>2565376</v>
      </c>
      <c r="I814">
        <v>0</v>
      </c>
      <c r="J814">
        <v>72.868675400000001</v>
      </c>
      <c r="K814">
        <v>75.248630800000001</v>
      </c>
      <c r="L814">
        <v>35.052347599999997</v>
      </c>
      <c r="M814">
        <v>42.3085606</v>
      </c>
      <c r="N814">
        <v>41.801931500000002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1036</v>
      </c>
      <c r="C815" t="s">
        <v>1034</v>
      </c>
      <c r="D815">
        <v>3</v>
      </c>
      <c r="E815">
        <v>2930053</v>
      </c>
      <c r="F815">
        <v>6243080</v>
      </c>
      <c r="G815">
        <v>942760</v>
      </c>
      <c r="H815">
        <v>5299632</v>
      </c>
      <c r="I815">
        <v>0</v>
      </c>
      <c r="J815">
        <v>73.7931521</v>
      </c>
      <c r="K815">
        <v>76.696902199999997</v>
      </c>
      <c r="L815">
        <v>37.261239099999997</v>
      </c>
      <c r="M815">
        <v>45.228672000000003</v>
      </c>
      <c r="N815">
        <v>44.528796100000001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1036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1036</v>
      </c>
      <c r="C818" t="s">
        <v>1034</v>
      </c>
      <c r="D818">
        <v>0</v>
      </c>
      <c r="E818">
        <v>3230899</v>
      </c>
      <c r="F818">
        <v>194960</v>
      </c>
      <c r="G818">
        <v>26840</v>
      </c>
      <c r="H818">
        <v>167352</v>
      </c>
      <c r="I818">
        <v>0</v>
      </c>
      <c r="J818">
        <v>63.970507900000001</v>
      </c>
      <c r="K818">
        <v>64.396385100000003</v>
      </c>
      <c r="L818">
        <v>37.1720769</v>
      </c>
      <c r="M818">
        <v>49.3938755</v>
      </c>
      <c r="N818">
        <v>49.143748700000003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1036</v>
      </c>
      <c r="C819" t="s">
        <v>1034</v>
      </c>
      <c r="D819">
        <v>1</v>
      </c>
      <c r="E819">
        <v>3030944</v>
      </c>
      <c r="F819">
        <v>408568</v>
      </c>
      <c r="G819">
        <v>79864</v>
      </c>
      <c r="H819">
        <v>327936</v>
      </c>
      <c r="I819">
        <v>0</v>
      </c>
      <c r="J819">
        <v>69.989888800000003</v>
      </c>
      <c r="K819">
        <v>71.135042100000007</v>
      </c>
      <c r="L819">
        <v>40.6139309</v>
      </c>
      <c r="M819">
        <v>51.256939000000003</v>
      </c>
      <c r="N819">
        <v>51.517822799999998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1036</v>
      </c>
      <c r="C820" t="s">
        <v>1034</v>
      </c>
      <c r="D820">
        <v>2</v>
      </c>
      <c r="E820">
        <v>3110731</v>
      </c>
      <c r="F820">
        <v>923816</v>
      </c>
      <c r="G820">
        <v>263680</v>
      </c>
      <c r="H820">
        <v>659368</v>
      </c>
      <c r="I820">
        <v>0</v>
      </c>
      <c r="J820">
        <v>73.096271900000005</v>
      </c>
      <c r="K820">
        <v>75.3220204</v>
      </c>
      <c r="L820">
        <v>43.5045742</v>
      </c>
      <c r="M820">
        <v>52.793887599999998</v>
      </c>
      <c r="N820">
        <v>53.148534599999998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1036</v>
      </c>
      <c r="C821" t="s">
        <v>1034</v>
      </c>
      <c r="D821">
        <v>3</v>
      </c>
      <c r="E821">
        <v>3241773</v>
      </c>
      <c r="F821">
        <v>2211904</v>
      </c>
      <c r="G821">
        <v>878744</v>
      </c>
      <c r="H821">
        <v>1332392</v>
      </c>
      <c r="I821">
        <v>0</v>
      </c>
      <c r="J821">
        <v>73.989896599999994</v>
      </c>
      <c r="K821">
        <v>76.767352799999998</v>
      </c>
      <c r="L821">
        <v>45.428597000000003</v>
      </c>
      <c r="M821">
        <v>53.979332999999997</v>
      </c>
      <c r="N821">
        <v>54.268466599999996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1036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1036</v>
      </c>
      <c r="C824" t="s">
        <v>1034</v>
      </c>
      <c r="D824">
        <v>0</v>
      </c>
      <c r="E824">
        <v>1574469</v>
      </c>
      <c r="F824">
        <v>237464</v>
      </c>
      <c r="G824">
        <v>24928</v>
      </c>
      <c r="H824">
        <v>211928</v>
      </c>
      <c r="I824">
        <v>0</v>
      </c>
      <c r="J824">
        <v>62.553283299999997</v>
      </c>
      <c r="K824">
        <v>63.156785900000003</v>
      </c>
      <c r="L824">
        <v>34.435272400000002</v>
      </c>
      <c r="M824">
        <v>41.820692899999997</v>
      </c>
      <c r="N824">
        <v>35.564013000000003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1036</v>
      </c>
      <c r="C825" t="s">
        <v>1034</v>
      </c>
      <c r="D825">
        <v>1</v>
      </c>
      <c r="E825">
        <v>2271762</v>
      </c>
      <c r="F825">
        <v>601952</v>
      </c>
      <c r="G825">
        <v>83056</v>
      </c>
      <c r="H825">
        <v>518208</v>
      </c>
      <c r="I825">
        <v>0</v>
      </c>
      <c r="J825">
        <v>68.995265700000004</v>
      </c>
      <c r="K825">
        <v>70.052807999999999</v>
      </c>
      <c r="L825">
        <v>37.909945100000002</v>
      </c>
      <c r="M825">
        <v>43.699945200000002</v>
      </c>
      <c r="N825">
        <v>39.133360400000001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1036</v>
      </c>
      <c r="C826" t="s">
        <v>1034</v>
      </c>
      <c r="D826">
        <v>2</v>
      </c>
      <c r="E826">
        <v>1851945</v>
      </c>
      <c r="F826">
        <v>1244088</v>
      </c>
      <c r="G826">
        <v>277136</v>
      </c>
      <c r="H826">
        <v>966264</v>
      </c>
      <c r="I826">
        <v>0</v>
      </c>
      <c r="J826">
        <v>71.8925141</v>
      </c>
      <c r="K826">
        <v>74.966686499999994</v>
      </c>
      <c r="L826">
        <v>39.440839500000003</v>
      </c>
      <c r="M826">
        <v>45.146953000000003</v>
      </c>
      <c r="N826">
        <v>40.929452599999998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1036</v>
      </c>
      <c r="C827" t="s">
        <v>1034</v>
      </c>
      <c r="D827">
        <v>3</v>
      </c>
      <c r="E827">
        <v>2253858</v>
      </c>
      <c r="F827">
        <v>3336800</v>
      </c>
      <c r="G827">
        <v>918592</v>
      </c>
      <c r="H827">
        <v>2417520</v>
      </c>
      <c r="I827">
        <v>0</v>
      </c>
      <c r="J827">
        <v>73.097823000000005</v>
      </c>
      <c r="K827">
        <v>76.559704100000005</v>
      </c>
      <c r="L827">
        <v>42.248355099999998</v>
      </c>
      <c r="M827">
        <v>47.519627499999999</v>
      </c>
      <c r="N827">
        <v>44.157107600000003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1036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1036</v>
      </c>
      <c r="C830" t="s">
        <v>1034</v>
      </c>
      <c r="D830">
        <v>0</v>
      </c>
      <c r="E830">
        <v>3007270</v>
      </c>
      <c r="F830">
        <v>346096</v>
      </c>
      <c r="G830">
        <v>37584</v>
      </c>
      <c r="H830">
        <v>307664</v>
      </c>
      <c r="I830">
        <v>0</v>
      </c>
      <c r="J830">
        <v>63.204963900000003</v>
      </c>
      <c r="K830">
        <v>63.576480599999996</v>
      </c>
      <c r="L830">
        <v>32.623355099999998</v>
      </c>
      <c r="M830">
        <v>46.960884399999998</v>
      </c>
      <c r="N830">
        <v>47.880350399999998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1036</v>
      </c>
      <c r="C831" t="s">
        <v>1034</v>
      </c>
      <c r="D831">
        <v>1</v>
      </c>
      <c r="E831">
        <v>2859739</v>
      </c>
      <c r="F831">
        <v>717840</v>
      </c>
      <c r="G831">
        <v>116448</v>
      </c>
      <c r="H831">
        <v>600544</v>
      </c>
      <c r="I831">
        <v>0</v>
      </c>
      <c r="J831">
        <v>69.811497500000002</v>
      </c>
      <c r="K831">
        <v>70.903347800000006</v>
      </c>
      <c r="L831">
        <v>35.844616000000002</v>
      </c>
      <c r="M831">
        <v>48.653735500000003</v>
      </c>
      <c r="N831">
        <v>49.7097245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1036</v>
      </c>
      <c r="C832" t="s">
        <v>1034</v>
      </c>
      <c r="D832">
        <v>2</v>
      </c>
      <c r="E832">
        <v>3034912</v>
      </c>
      <c r="F832">
        <v>1628136</v>
      </c>
      <c r="G832">
        <v>376896</v>
      </c>
      <c r="H832">
        <v>1250392</v>
      </c>
      <c r="I832">
        <v>0</v>
      </c>
      <c r="J832">
        <v>72.529009599999995</v>
      </c>
      <c r="K832">
        <v>75.440055299999997</v>
      </c>
      <c r="L832">
        <v>38.324859099999998</v>
      </c>
      <c r="M832">
        <v>50.456641900000001</v>
      </c>
      <c r="N832">
        <v>51.531248400000003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1036</v>
      </c>
      <c r="C833" t="s">
        <v>1034</v>
      </c>
      <c r="D833">
        <v>3</v>
      </c>
      <c r="E833">
        <v>3503125</v>
      </c>
      <c r="F833">
        <v>4077904</v>
      </c>
      <c r="G833">
        <v>1225792</v>
      </c>
      <c r="H833">
        <v>2851264</v>
      </c>
      <c r="I833">
        <v>0</v>
      </c>
      <c r="J833">
        <v>73.493193000000005</v>
      </c>
      <c r="K833">
        <v>76.741933399999994</v>
      </c>
      <c r="L833">
        <v>41.353199199999999</v>
      </c>
      <c r="M833">
        <v>52.331560199999998</v>
      </c>
      <c r="N833">
        <v>53.324112700000001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1036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1036</v>
      </c>
      <c r="C836" t="s">
        <v>1034</v>
      </c>
      <c r="D836">
        <v>0</v>
      </c>
      <c r="E836">
        <v>502000</v>
      </c>
      <c r="F836">
        <v>272504</v>
      </c>
      <c r="G836">
        <v>5552</v>
      </c>
      <c r="H836">
        <v>266464</v>
      </c>
      <c r="I836">
        <v>0</v>
      </c>
      <c r="J836">
        <v>46.070187799999999</v>
      </c>
      <c r="K836">
        <v>52.713215599999998</v>
      </c>
      <c r="L836">
        <v>18.971162100000001</v>
      </c>
      <c r="M836">
        <v>36.2978314</v>
      </c>
      <c r="N836">
        <v>35.985011399999998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1036</v>
      </c>
      <c r="C837" t="s">
        <v>1034</v>
      </c>
      <c r="D837">
        <v>1</v>
      </c>
      <c r="E837">
        <v>532998</v>
      </c>
      <c r="F837">
        <v>682208</v>
      </c>
      <c r="G837">
        <v>21280</v>
      </c>
      <c r="H837">
        <v>660440</v>
      </c>
      <c r="I837">
        <v>0</v>
      </c>
      <c r="J837">
        <v>51.536340099999997</v>
      </c>
      <c r="K837">
        <v>58.353620100000001</v>
      </c>
      <c r="L837">
        <v>19.935082099999999</v>
      </c>
      <c r="M837">
        <v>36.902400999999998</v>
      </c>
      <c r="N837">
        <v>36.648898699999997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1036</v>
      </c>
      <c r="C838" t="s">
        <v>1034</v>
      </c>
      <c r="D838">
        <v>2</v>
      </c>
      <c r="E838">
        <v>748322</v>
      </c>
      <c r="F838">
        <v>1869808</v>
      </c>
      <c r="G838">
        <v>101520</v>
      </c>
      <c r="H838">
        <v>1767800</v>
      </c>
      <c r="I838">
        <v>0</v>
      </c>
      <c r="J838">
        <v>58.046529100000001</v>
      </c>
      <c r="K838">
        <v>61.9193061</v>
      </c>
      <c r="L838">
        <v>20.846323099999999</v>
      </c>
      <c r="M838">
        <v>37.699932400000002</v>
      </c>
      <c r="N838">
        <v>37.493515899999998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1036</v>
      </c>
      <c r="C839" t="s">
        <v>1034</v>
      </c>
      <c r="D839">
        <v>3</v>
      </c>
      <c r="E839">
        <v>989794</v>
      </c>
      <c r="F839">
        <v>4294288</v>
      </c>
      <c r="G839">
        <v>446048</v>
      </c>
      <c r="H839">
        <v>3847752</v>
      </c>
      <c r="I839">
        <v>0</v>
      </c>
      <c r="J839">
        <v>59.622191800000003</v>
      </c>
      <c r="K839">
        <v>63.776589899999998</v>
      </c>
      <c r="L839">
        <v>21.564827300000001</v>
      </c>
      <c r="M839">
        <v>38.540918099999999</v>
      </c>
      <c r="N839">
        <v>38.370111999999999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1036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1036</v>
      </c>
      <c r="C842" t="s">
        <v>1034</v>
      </c>
      <c r="D842">
        <v>0</v>
      </c>
      <c r="E842">
        <v>586374</v>
      </c>
      <c r="F842">
        <v>58696</v>
      </c>
      <c r="G842">
        <v>5144</v>
      </c>
      <c r="H842">
        <v>53064</v>
      </c>
      <c r="I842">
        <v>0</v>
      </c>
      <c r="J842">
        <v>51.546671099999998</v>
      </c>
      <c r="K842">
        <v>53.888002200000003</v>
      </c>
      <c r="L842">
        <v>29.4289761</v>
      </c>
      <c r="M842">
        <v>41.059656699999998</v>
      </c>
      <c r="N842">
        <v>42.299963499999997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1036</v>
      </c>
      <c r="C843" t="s">
        <v>1034</v>
      </c>
      <c r="D843">
        <v>1</v>
      </c>
      <c r="E843">
        <v>577691</v>
      </c>
      <c r="F843">
        <v>138496</v>
      </c>
      <c r="G843">
        <v>16368</v>
      </c>
      <c r="H843">
        <v>121640</v>
      </c>
      <c r="I843">
        <v>0</v>
      </c>
      <c r="J843">
        <v>56.839413700000001</v>
      </c>
      <c r="K843">
        <v>59.153519600000003</v>
      </c>
      <c r="L843">
        <v>31.879320400000001</v>
      </c>
      <c r="M843">
        <v>42.522696199999999</v>
      </c>
      <c r="N843">
        <v>43.716571799999997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1036</v>
      </c>
      <c r="C844" t="s">
        <v>1034</v>
      </c>
      <c r="D844">
        <v>2</v>
      </c>
      <c r="E844">
        <v>700828</v>
      </c>
      <c r="F844">
        <v>373600</v>
      </c>
      <c r="G844">
        <v>69456</v>
      </c>
      <c r="H844">
        <v>303656</v>
      </c>
      <c r="I844">
        <v>0</v>
      </c>
      <c r="J844">
        <v>58.269922899999997</v>
      </c>
      <c r="K844">
        <v>61.257719299999998</v>
      </c>
      <c r="L844">
        <v>33.282410900000002</v>
      </c>
      <c r="M844">
        <v>44.992847900000001</v>
      </c>
      <c r="N844">
        <v>45.872855399999999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1036</v>
      </c>
      <c r="C845" t="s">
        <v>1034</v>
      </c>
      <c r="D845">
        <v>3</v>
      </c>
      <c r="E845">
        <v>906516</v>
      </c>
      <c r="F845">
        <v>1018264</v>
      </c>
      <c r="G845">
        <v>297888</v>
      </c>
      <c r="H845">
        <v>719888</v>
      </c>
      <c r="I845">
        <v>0</v>
      </c>
      <c r="J845">
        <v>58.527166000000001</v>
      </c>
      <c r="K845">
        <v>61.445379699999997</v>
      </c>
      <c r="L845">
        <v>34.1053456</v>
      </c>
      <c r="M845">
        <v>46.165797499999996</v>
      </c>
      <c r="N845">
        <v>47.244917700000002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1036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1036</v>
      </c>
      <c r="C848" t="s">
        <v>1034</v>
      </c>
      <c r="D848">
        <v>0</v>
      </c>
      <c r="E848">
        <v>409679</v>
      </c>
      <c r="F848">
        <v>385376</v>
      </c>
      <c r="G848">
        <v>3192</v>
      </c>
      <c r="H848">
        <v>381688</v>
      </c>
      <c r="I848">
        <v>0</v>
      </c>
      <c r="J848">
        <v>50.357228999999997</v>
      </c>
      <c r="K848">
        <v>55.418549800000001</v>
      </c>
      <c r="L848">
        <v>15.815561000000001</v>
      </c>
      <c r="M848">
        <v>35.604710300000001</v>
      </c>
      <c r="N848">
        <v>32.719214200000003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1036</v>
      </c>
      <c r="C849" t="s">
        <v>1034</v>
      </c>
      <c r="D849">
        <v>1</v>
      </c>
      <c r="E849">
        <v>497555</v>
      </c>
      <c r="F849">
        <v>991808</v>
      </c>
      <c r="G849">
        <v>14080</v>
      </c>
      <c r="H849">
        <v>977232</v>
      </c>
      <c r="I849">
        <v>0</v>
      </c>
      <c r="J849">
        <v>55.099859100000003</v>
      </c>
      <c r="K849">
        <v>59.152903500000001</v>
      </c>
      <c r="L849">
        <v>16.417108200000001</v>
      </c>
      <c r="M849">
        <v>36.1525228</v>
      </c>
      <c r="N849">
        <v>33.342087900000003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1036</v>
      </c>
      <c r="C850" t="s">
        <v>1034</v>
      </c>
      <c r="D850">
        <v>2</v>
      </c>
      <c r="E850">
        <v>693201</v>
      </c>
      <c r="F850">
        <v>2414280</v>
      </c>
      <c r="G850">
        <v>72264</v>
      </c>
      <c r="H850">
        <v>2341520</v>
      </c>
      <c r="I850">
        <v>0</v>
      </c>
      <c r="J850">
        <v>58.075631100000003</v>
      </c>
      <c r="K850">
        <v>61.283169200000003</v>
      </c>
      <c r="L850">
        <v>16.914513500000002</v>
      </c>
      <c r="M850">
        <v>36.831583000000002</v>
      </c>
      <c r="N850">
        <v>34.124459399999999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1036</v>
      </c>
      <c r="C851" t="s">
        <v>1034</v>
      </c>
      <c r="D851">
        <v>3</v>
      </c>
      <c r="E851">
        <v>895481</v>
      </c>
      <c r="F851">
        <v>5055512</v>
      </c>
      <c r="G851">
        <v>329296</v>
      </c>
      <c r="H851">
        <v>4725720</v>
      </c>
      <c r="I851">
        <v>0</v>
      </c>
      <c r="J851">
        <v>60.468224999999997</v>
      </c>
      <c r="K851">
        <v>64.084509499999996</v>
      </c>
      <c r="L851">
        <v>17.6145128</v>
      </c>
      <c r="M851">
        <v>37.927201099999998</v>
      </c>
      <c r="N851">
        <v>35.366345600000002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1036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1036</v>
      </c>
      <c r="C854" t="s">
        <v>1034</v>
      </c>
      <c r="D854">
        <v>0</v>
      </c>
      <c r="E854">
        <v>479206</v>
      </c>
      <c r="F854">
        <v>290640</v>
      </c>
      <c r="G854">
        <v>10088</v>
      </c>
      <c r="H854">
        <v>280064</v>
      </c>
      <c r="I854">
        <v>0</v>
      </c>
      <c r="J854">
        <v>52.196788900000001</v>
      </c>
      <c r="K854">
        <v>56.682779699999998</v>
      </c>
      <c r="L854">
        <v>19.7902767</v>
      </c>
      <c r="M854">
        <v>31.782693999999999</v>
      </c>
      <c r="N854">
        <v>34.126221600000001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1036</v>
      </c>
      <c r="C855" t="s">
        <v>1034</v>
      </c>
      <c r="D855">
        <v>1</v>
      </c>
      <c r="E855">
        <v>584221</v>
      </c>
      <c r="F855">
        <v>811920</v>
      </c>
      <c r="G855">
        <v>40632</v>
      </c>
      <c r="H855">
        <v>770800</v>
      </c>
      <c r="I855">
        <v>0</v>
      </c>
      <c r="J855">
        <v>58.261846300000002</v>
      </c>
      <c r="K855">
        <v>61.798276600000001</v>
      </c>
      <c r="L855">
        <v>21.842087500000002</v>
      </c>
      <c r="M855">
        <v>33.820788499999999</v>
      </c>
      <c r="N855">
        <v>35.6208873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1036</v>
      </c>
      <c r="C856" t="s">
        <v>1034</v>
      </c>
      <c r="D856">
        <v>2</v>
      </c>
      <c r="E856">
        <v>960151</v>
      </c>
      <c r="F856">
        <v>2564304</v>
      </c>
      <c r="G856">
        <v>201696</v>
      </c>
      <c r="H856">
        <v>2362120</v>
      </c>
      <c r="I856">
        <v>0</v>
      </c>
      <c r="J856">
        <v>62.916471399999999</v>
      </c>
      <c r="K856">
        <v>65.801755400000005</v>
      </c>
      <c r="L856">
        <v>24.423820500000001</v>
      </c>
      <c r="M856">
        <v>36.480883499999997</v>
      </c>
      <c r="N856">
        <v>38.151461699999999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1036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1036</v>
      </c>
      <c r="C860" t="s">
        <v>1034</v>
      </c>
      <c r="D860">
        <v>0</v>
      </c>
      <c r="E860">
        <v>20103797</v>
      </c>
      <c r="F860">
        <v>7366760</v>
      </c>
      <c r="G860">
        <v>156144</v>
      </c>
      <c r="H860">
        <v>7208040</v>
      </c>
      <c r="I860">
        <v>0</v>
      </c>
      <c r="J860">
        <v>64.925865900000005</v>
      </c>
      <c r="K860">
        <v>67.087963400000007</v>
      </c>
      <c r="L860">
        <v>22.623304600000001</v>
      </c>
      <c r="M860">
        <v>36.196348200000003</v>
      </c>
      <c r="N860">
        <v>39.380895000000002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1036</v>
      </c>
      <c r="C861" t="s">
        <v>1034</v>
      </c>
      <c r="D861">
        <v>1</v>
      </c>
      <c r="E861">
        <v>17532956</v>
      </c>
      <c r="F861">
        <v>13020832</v>
      </c>
      <c r="G861">
        <v>498344</v>
      </c>
      <c r="H861">
        <v>12520152</v>
      </c>
      <c r="I861">
        <v>0</v>
      </c>
      <c r="J861">
        <v>71.361110100000005</v>
      </c>
      <c r="K861">
        <v>73.949040100000005</v>
      </c>
      <c r="L861">
        <v>24.8200997</v>
      </c>
      <c r="M861">
        <v>38.267773900000002</v>
      </c>
      <c r="N861">
        <v>41.256419299999997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1036</v>
      </c>
      <c r="C862" t="s">
        <v>1034</v>
      </c>
      <c r="D862">
        <v>2</v>
      </c>
      <c r="E862">
        <v>16641487</v>
      </c>
      <c r="F862">
        <v>24528080</v>
      </c>
      <c r="G862">
        <v>1682368</v>
      </c>
      <c r="H862">
        <v>22843456</v>
      </c>
      <c r="I862">
        <v>0</v>
      </c>
      <c r="J862">
        <v>77.161113599999993</v>
      </c>
      <c r="K862">
        <v>79.303161900000006</v>
      </c>
      <c r="L862">
        <v>27.038200199999999</v>
      </c>
      <c r="M862">
        <v>40.756136499999997</v>
      </c>
      <c r="N862">
        <v>43.408375999999997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1036</v>
      </c>
      <c r="C863" t="s">
        <v>1034</v>
      </c>
      <c r="D863">
        <v>3</v>
      </c>
      <c r="E863">
        <v>17602106</v>
      </c>
      <c r="F863">
        <v>47428920</v>
      </c>
      <c r="G863">
        <v>5521376</v>
      </c>
      <c r="H863">
        <v>41905208</v>
      </c>
      <c r="I863">
        <v>0</v>
      </c>
      <c r="J863">
        <v>80.546323900000004</v>
      </c>
      <c r="K863">
        <v>84.281968800000001</v>
      </c>
      <c r="L863">
        <v>28.630378499999999</v>
      </c>
      <c r="M863">
        <v>43.209655599999998</v>
      </c>
      <c r="N863">
        <v>45.405478299999999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1036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1036</v>
      </c>
      <c r="C866" t="s">
        <v>1034</v>
      </c>
      <c r="D866">
        <v>0</v>
      </c>
      <c r="E866">
        <v>18749745</v>
      </c>
      <c r="F866">
        <v>7191440</v>
      </c>
      <c r="G866">
        <v>202776</v>
      </c>
      <c r="H866">
        <v>6985848</v>
      </c>
      <c r="I866">
        <v>0</v>
      </c>
      <c r="J866">
        <v>65.336080699999997</v>
      </c>
      <c r="K866">
        <v>66.964672899999997</v>
      </c>
      <c r="L866">
        <v>22.8790637</v>
      </c>
      <c r="M866">
        <v>35.572394600000003</v>
      </c>
      <c r="N866">
        <v>37.067648499999997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1036</v>
      </c>
      <c r="C867" t="s">
        <v>1034</v>
      </c>
      <c r="D867">
        <v>1</v>
      </c>
      <c r="E867">
        <v>17972512</v>
      </c>
      <c r="F867">
        <v>13821472</v>
      </c>
      <c r="G867">
        <v>628720</v>
      </c>
      <c r="H867">
        <v>13189936</v>
      </c>
      <c r="I867">
        <v>0</v>
      </c>
      <c r="J867">
        <v>71.507615599999994</v>
      </c>
      <c r="K867">
        <v>74.038822100000004</v>
      </c>
      <c r="L867">
        <v>24.971029300000001</v>
      </c>
      <c r="M867">
        <v>37.767752700000003</v>
      </c>
      <c r="N867">
        <v>39.2838098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1036</v>
      </c>
      <c r="C868" t="s">
        <v>1034</v>
      </c>
      <c r="D868">
        <v>2</v>
      </c>
      <c r="E868">
        <v>18658018</v>
      </c>
      <c r="F868">
        <v>28196328</v>
      </c>
      <c r="G868">
        <v>2199168</v>
      </c>
      <c r="H868">
        <v>25994344</v>
      </c>
      <c r="I868">
        <v>0</v>
      </c>
      <c r="J868">
        <v>76.711945900000003</v>
      </c>
      <c r="K868">
        <v>79.501562800000002</v>
      </c>
      <c r="L868">
        <v>27.129438</v>
      </c>
      <c r="M868">
        <v>40.217372599999997</v>
      </c>
      <c r="N868">
        <v>41.687148000000001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1036</v>
      </c>
      <c r="C869" t="s">
        <v>1034</v>
      </c>
      <c r="D869">
        <v>3</v>
      </c>
      <c r="E869">
        <v>23205468</v>
      </c>
      <c r="F869">
        <v>62540624</v>
      </c>
      <c r="G869">
        <v>7401128</v>
      </c>
      <c r="H869">
        <v>55136680</v>
      </c>
      <c r="I869">
        <v>0</v>
      </c>
      <c r="J869">
        <v>80.135772700000004</v>
      </c>
      <c r="K869">
        <v>84.514688500000005</v>
      </c>
      <c r="L869">
        <v>28.903765199999999</v>
      </c>
      <c r="M869">
        <v>42.846692599999997</v>
      </c>
      <c r="N869">
        <v>44.160412399999998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1036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1036</v>
      </c>
      <c r="C872" t="s">
        <v>1034</v>
      </c>
      <c r="D872">
        <v>0</v>
      </c>
      <c r="E872">
        <v>180502</v>
      </c>
      <c r="F872">
        <v>97584</v>
      </c>
      <c r="G872">
        <v>1752</v>
      </c>
      <c r="H872">
        <v>95344</v>
      </c>
      <c r="I872">
        <v>0</v>
      </c>
      <c r="J872">
        <v>46.952732900000001</v>
      </c>
      <c r="K872">
        <v>50.1928348</v>
      </c>
      <c r="L872">
        <v>21.299338299999999</v>
      </c>
      <c r="M872">
        <v>30.453025400000001</v>
      </c>
      <c r="N872">
        <v>33.063444799999999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1036</v>
      </c>
      <c r="C873" t="s">
        <v>1034</v>
      </c>
      <c r="D873">
        <v>1</v>
      </c>
      <c r="E873">
        <v>188050</v>
      </c>
      <c r="F873">
        <v>236328</v>
      </c>
      <c r="G873">
        <v>6272</v>
      </c>
      <c r="H873">
        <v>229568</v>
      </c>
      <c r="I873">
        <v>0</v>
      </c>
      <c r="J873">
        <v>55.3890916</v>
      </c>
      <c r="K873">
        <v>57.8094094</v>
      </c>
      <c r="L873">
        <v>23.930499099999999</v>
      </c>
      <c r="M873">
        <v>33.305243900000001</v>
      </c>
      <c r="N873">
        <v>35.300695900000001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1036</v>
      </c>
      <c r="C874" t="s">
        <v>1034</v>
      </c>
      <c r="D874">
        <v>2</v>
      </c>
      <c r="E874">
        <v>221578</v>
      </c>
      <c r="F874">
        <v>547968</v>
      </c>
      <c r="G874">
        <v>25304</v>
      </c>
      <c r="H874">
        <v>522176</v>
      </c>
      <c r="I874">
        <v>0</v>
      </c>
      <c r="J874">
        <v>60.194295099999998</v>
      </c>
      <c r="K874">
        <v>62.679119100000001</v>
      </c>
      <c r="L874">
        <v>25.850894400000001</v>
      </c>
      <c r="M874">
        <v>35.575331800000001</v>
      </c>
      <c r="N874">
        <v>37.235965800000002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1036</v>
      </c>
      <c r="C875" t="s">
        <v>1034</v>
      </c>
      <c r="D875">
        <v>3</v>
      </c>
      <c r="E875">
        <v>279290</v>
      </c>
      <c r="F875">
        <v>1229536</v>
      </c>
      <c r="G875">
        <v>103896</v>
      </c>
      <c r="H875">
        <v>1125152</v>
      </c>
      <c r="I875">
        <v>0</v>
      </c>
      <c r="J875">
        <v>61.732668099999998</v>
      </c>
      <c r="K875">
        <v>64.405444000000003</v>
      </c>
      <c r="L875">
        <v>27.2651425</v>
      </c>
      <c r="M875">
        <v>37.548842499999999</v>
      </c>
      <c r="N875">
        <v>39.185758800000002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1036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1036</v>
      </c>
      <c r="C878" t="s">
        <v>1034</v>
      </c>
      <c r="D878">
        <v>0</v>
      </c>
      <c r="E878">
        <v>17413699</v>
      </c>
      <c r="F878">
        <v>3644320</v>
      </c>
      <c r="G878">
        <v>266704</v>
      </c>
      <c r="H878">
        <v>3375128</v>
      </c>
      <c r="I878">
        <v>0</v>
      </c>
      <c r="J878">
        <v>67.247053699999995</v>
      </c>
      <c r="K878">
        <v>70.906901700000006</v>
      </c>
      <c r="L878">
        <v>28.0270321</v>
      </c>
      <c r="M878">
        <v>40.348984000000002</v>
      </c>
      <c r="N878">
        <v>38.6634818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1036</v>
      </c>
      <c r="C879" t="s">
        <v>1034</v>
      </c>
      <c r="D879">
        <v>1</v>
      </c>
      <c r="E879">
        <v>15043054</v>
      </c>
      <c r="F879">
        <v>7269320</v>
      </c>
      <c r="G879">
        <v>775272</v>
      </c>
      <c r="H879">
        <v>6491560</v>
      </c>
      <c r="I879">
        <v>0</v>
      </c>
      <c r="J879">
        <v>72.218742899999995</v>
      </c>
      <c r="K879">
        <v>76.5990793</v>
      </c>
      <c r="L879">
        <v>30.297435199999999</v>
      </c>
      <c r="M879">
        <v>43.067089000000003</v>
      </c>
      <c r="N879">
        <v>41.1601888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1036</v>
      </c>
      <c r="C880" t="s">
        <v>1034</v>
      </c>
      <c r="D880">
        <v>2</v>
      </c>
      <c r="E880">
        <v>16974088</v>
      </c>
      <c r="F880">
        <v>17218472</v>
      </c>
      <c r="G880">
        <v>3139784</v>
      </c>
      <c r="H880">
        <v>14076120</v>
      </c>
      <c r="I880">
        <v>0</v>
      </c>
      <c r="J880">
        <v>76.594478499999994</v>
      </c>
      <c r="K880">
        <v>80.964476000000005</v>
      </c>
      <c r="L880">
        <v>32.471508900000003</v>
      </c>
      <c r="M880">
        <v>45.653900999999998</v>
      </c>
      <c r="N880">
        <v>43.560192700000002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1036</v>
      </c>
      <c r="C881" t="s">
        <v>1034</v>
      </c>
      <c r="D881">
        <v>3</v>
      </c>
      <c r="E881">
        <v>20460326</v>
      </c>
      <c r="F881">
        <v>43001024</v>
      </c>
      <c r="G881">
        <v>11471008</v>
      </c>
      <c r="H881">
        <v>31527528</v>
      </c>
      <c r="I881">
        <v>0</v>
      </c>
      <c r="J881">
        <v>79.276860299999996</v>
      </c>
      <c r="K881">
        <v>84.051683600000004</v>
      </c>
      <c r="L881">
        <v>34.620379499999999</v>
      </c>
      <c r="M881">
        <v>48.353176900000001</v>
      </c>
      <c r="N881">
        <v>46.495781700000002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1036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1036</v>
      </c>
      <c r="C884" t="s">
        <v>1034</v>
      </c>
      <c r="D884">
        <v>0</v>
      </c>
      <c r="E884">
        <v>1615993</v>
      </c>
      <c r="F884">
        <v>774968</v>
      </c>
      <c r="G884">
        <v>75200</v>
      </c>
      <c r="H884">
        <v>699200</v>
      </c>
      <c r="I884">
        <v>0</v>
      </c>
      <c r="J884">
        <v>60.264397799999998</v>
      </c>
      <c r="K884">
        <v>61.162666999999999</v>
      </c>
      <c r="L884">
        <v>26.085386499999998</v>
      </c>
      <c r="M884">
        <v>37.463026900000003</v>
      </c>
      <c r="N884">
        <v>36.459782400000002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1036</v>
      </c>
      <c r="C885" t="s">
        <v>1034</v>
      </c>
      <c r="D885">
        <v>1</v>
      </c>
      <c r="E885">
        <v>1646961</v>
      </c>
      <c r="F885">
        <v>1559312</v>
      </c>
      <c r="G885">
        <v>292464</v>
      </c>
      <c r="H885">
        <v>1266280</v>
      </c>
      <c r="I885">
        <v>0</v>
      </c>
      <c r="J885">
        <v>65.1920231</v>
      </c>
      <c r="K885">
        <v>68.421084500000006</v>
      </c>
      <c r="L885">
        <v>27.885792500000001</v>
      </c>
      <c r="M885">
        <v>39.927069400000001</v>
      </c>
      <c r="N885">
        <v>38.865876499999999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1036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1036</v>
      </c>
      <c r="C890" t="s">
        <v>1034</v>
      </c>
      <c r="D890">
        <v>0</v>
      </c>
      <c r="E890">
        <v>502997</v>
      </c>
      <c r="F890">
        <v>273808</v>
      </c>
      <c r="G890">
        <v>5560</v>
      </c>
      <c r="H890">
        <v>267744</v>
      </c>
      <c r="I890">
        <v>0</v>
      </c>
      <c r="J890">
        <v>46.175350600000002</v>
      </c>
      <c r="K890">
        <v>52.802708899999999</v>
      </c>
      <c r="L890">
        <v>18.967981200000001</v>
      </c>
      <c r="M890">
        <v>36.289912899999997</v>
      </c>
      <c r="N890">
        <v>35.9060883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1036</v>
      </c>
      <c r="C891" t="s">
        <v>1034</v>
      </c>
      <c r="D891">
        <v>1</v>
      </c>
      <c r="E891">
        <v>533210</v>
      </c>
      <c r="F891">
        <v>684008</v>
      </c>
      <c r="G891">
        <v>21320</v>
      </c>
      <c r="H891">
        <v>662184</v>
      </c>
      <c r="I891">
        <v>0</v>
      </c>
      <c r="J891">
        <v>51.570795199999999</v>
      </c>
      <c r="K891">
        <v>58.444485299999997</v>
      </c>
      <c r="L891">
        <v>19.951727399999999</v>
      </c>
      <c r="M891">
        <v>36.9042283</v>
      </c>
      <c r="N891">
        <v>36.641093900000001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1036</v>
      </c>
      <c r="C892" t="s">
        <v>1034</v>
      </c>
      <c r="D892">
        <v>2</v>
      </c>
      <c r="E892">
        <v>748920</v>
      </c>
      <c r="F892">
        <v>1874168</v>
      </c>
      <c r="G892">
        <v>101760</v>
      </c>
      <c r="H892">
        <v>1771904</v>
      </c>
      <c r="I892">
        <v>0</v>
      </c>
      <c r="J892">
        <v>58.0573525</v>
      </c>
      <c r="K892">
        <v>61.929893900000003</v>
      </c>
      <c r="L892">
        <v>20.798464599999999</v>
      </c>
      <c r="M892">
        <v>37.640374000000001</v>
      </c>
      <c r="N892">
        <v>37.442039000000001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1036</v>
      </c>
      <c r="C893" t="s">
        <v>1034</v>
      </c>
      <c r="D893">
        <v>3</v>
      </c>
      <c r="E893">
        <v>990178</v>
      </c>
      <c r="F893">
        <v>4314424</v>
      </c>
      <c r="G893">
        <v>445984</v>
      </c>
      <c r="H893">
        <v>3867936</v>
      </c>
      <c r="I893">
        <v>0</v>
      </c>
      <c r="J893">
        <v>59.6374773</v>
      </c>
      <c r="K893">
        <v>63.799919299999999</v>
      </c>
      <c r="L893">
        <v>21.532245100000001</v>
      </c>
      <c r="M893">
        <v>38.500613600000001</v>
      </c>
      <c r="N893">
        <v>38.319229800000002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1036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1036</v>
      </c>
      <c r="C896" t="s">
        <v>1034</v>
      </c>
      <c r="D896">
        <v>0</v>
      </c>
      <c r="E896">
        <v>587470</v>
      </c>
      <c r="F896">
        <v>58640</v>
      </c>
      <c r="G896">
        <v>5144</v>
      </c>
      <c r="H896">
        <v>52992</v>
      </c>
      <c r="I896">
        <v>0</v>
      </c>
      <c r="J896">
        <v>51.559840899999998</v>
      </c>
      <c r="K896">
        <v>53.870537599999999</v>
      </c>
      <c r="L896">
        <v>29.4923775</v>
      </c>
      <c r="M896">
        <v>41.080950600000001</v>
      </c>
      <c r="N896">
        <v>42.286986300000002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1036</v>
      </c>
      <c r="C897" t="s">
        <v>1034</v>
      </c>
      <c r="D897">
        <v>1</v>
      </c>
      <c r="E897">
        <v>579099</v>
      </c>
      <c r="F897">
        <v>139312</v>
      </c>
      <c r="G897">
        <v>16360</v>
      </c>
      <c r="H897">
        <v>122448</v>
      </c>
      <c r="I897">
        <v>0</v>
      </c>
      <c r="J897">
        <v>56.909023699999999</v>
      </c>
      <c r="K897">
        <v>59.142528499999997</v>
      </c>
      <c r="L897">
        <v>32.027972699999999</v>
      </c>
      <c r="M897">
        <v>42.511076600000003</v>
      </c>
      <c r="N897">
        <v>43.678761199999997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1036</v>
      </c>
      <c r="C898" t="s">
        <v>1034</v>
      </c>
      <c r="D898">
        <v>2</v>
      </c>
      <c r="E898">
        <v>701346</v>
      </c>
      <c r="F898">
        <v>375832</v>
      </c>
      <c r="G898">
        <v>69512</v>
      </c>
      <c r="H898">
        <v>305816</v>
      </c>
      <c r="I898">
        <v>0</v>
      </c>
      <c r="J898">
        <v>58.282253799999999</v>
      </c>
      <c r="K898">
        <v>61.267094100000001</v>
      </c>
      <c r="L898">
        <v>33.298914400000001</v>
      </c>
      <c r="M898">
        <v>45.045393799999999</v>
      </c>
      <c r="N898">
        <v>45.896089600000003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1036</v>
      </c>
      <c r="C899" t="s">
        <v>1034</v>
      </c>
      <c r="D899">
        <v>3</v>
      </c>
      <c r="E899">
        <v>907354</v>
      </c>
      <c r="F899">
        <v>1026232</v>
      </c>
      <c r="G899">
        <v>298184</v>
      </c>
      <c r="H899">
        <v>727544</v>
      </c>
      <c r="I899">
        <v>0</v>
      </c>
      <c r="J899">
        <v>58.552582299999997</v>
      </c>
      <c r="K899">
        <v>61.472007499999997</v>
      </c>
      <c r="L899">
        <v>34.118910499999998</v>
      </c>
      <c r="M899">
        <v>46.1799131</v>
      </c>
      <c r="N899">
        <v>47.256917899999998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1036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1036</v>
      </c>
      <c r="C902" t="s">
        <v>1034</v>
      </c>
      <c r="D902">
        <v>0</v>
      </c>
      <c r="E902">
        <v>1173039</v>
      </c>
      <c r="F902">
        <v>539712</v>
      </c>
      <c r="G902">
        <v>33448</v>
      </c>
      <c r="H902">
        <v>505680</v>
      </c>
      <c r="I902">
        <v>0</v>
      </c>
      <c r="J902">
        <v>58.678854800000003</v>
      </c>
      <c r="K902">
        <v>61.502268899999997</v>
      </c>
      <c r="L902">
        <v>23.736287099999998</v>
      </c>
      <c r="M902">
        <v>39.157933900000003</v>
      </c>
      <c r="N902">
        <v>38.001157999999997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1036</v>
      </c>
      <c r="C903" t="s">
        <v>1034</v>
      </c>
      <c r="D903">
        <v>1</v>
      </c>
      <c r="E903">
        <v>1275864</v>
      </c>
      <c r="F903">
        <v>1215312</v>
      </c>
      <c r="G903">
        <v>131128</v>
      </c>
      <c r="H903">
        <v>1083600</v>
      </c>
      <c r="I903">
        <v>0</v>
      </c>
      <c r="J903">
        <v>64.116185400000006</v>
      </c>
      <c r="K903">
        <v>67.757212499999994</v>
      </c>
      <c r="L903">
        <v>26.664901199999999</v>
      </c>
      <c r="M903">
        <v>41.137549900000003</v>
      </c>
      <c r="N903">
        <v>39.505125399999997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1036</v>
      </c>
      <c r="C904" t="s">
        <v>1034</v>
      </c>
      <c r="D904">
        <v>2</v>
      </c>
      <c r="E904">
        <v>1611808</v>
      </c>
      <c r="F904">
        <v>2951600</v>
      </c>
      <c r="G904">
        <v>563656</v>
      </c>
      <c r="H904">
        <v>2387360</v>
      </c>
      <c r="I904">
        <v>0</v>
      </c>
      <c r="J904">
        <v>68.331003999999993</v>
      </c>
      <c r="K904">
        <v>71.807965600000003</v>
      </c>
      <c r="L904">
        <v>29.563324000000001</v>
      </c>
      <c r="M904">
        <v>43.3925737</v>
      </c>
      <c r="N904">
        <v>41.1248784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1036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1036</v>
      </c>
      <c r="C908" t="s">
        <v>1034</v>
      </c>
      <c r="D908">
        <v>0</v>
      </c>
      <c r="E908">
        <v>7564171</v>
      </c>
      <c r="F908">
        <v>1849424</v>
      </c>
      <c r="G908">
        <v>83072</v>
      </c>
      <c r="H908">
        <v>1765208</v>
      </c>
      <c r="I908">
        <v>0</v>
      </c>
      <c r="J908">
        <v>63.885455</v>
      </c>
      <c r="K908">
        <v>70.563334299999994</v>
      </c>
      <c r="L908">
        <v>24.591689200000001</v>
      </c>
      <c r="M908">
        <v>39.928803600000002</v>
      </c>
      <c r="N908">
        <v>41.4497079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1036</v>
      </c>
      <c r="C909" t="s">
        <v>1034</v>
      </c>
      <c r="D909">
        <v>1</v>
      </c>
      <c r="E909">
        <v>7173648</v>
      </c>
      <c r="F909">
        <v>4418544</v>
      </c>
      <c r="G909">
        <v>301064</v>
      </c>
      <c r="H909">
        <v>4116336</v>
      </c>
      <c r="I909">
        <v>0</v>
      </c>
      <c r="J909">
        <v>69.570697300000006</v>
      </c>
      <c r="K909">
        <v>75.933896799999999</v>
      </c>
      <c r="L909">
        <v>26.742004999999999</v>
      </c>
      <c r="M909">
        <v>41.431004700000003</v>
      </c>
      <c r="N909">
        <v>42.732928000000001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1036</v>
      </c>
      <c r="C910" t="s">
        <v>1034</v>
      </c>
      <c r="D910">
        <v>2</v>
      </c>
      <c r="E910">
        <v>6950432</v>
      </c>
      <c r="F910">
        <v>10030536</v>
      </c>
      <c r="G910">
        <v>1358568</v>
      </c>
      <c r="H910">
        <v>8670824</v>
      </c>
      <c r="I910">
        <v>0</v>
      </c>
      <c r="J910">
        <v>75.388840000000002</v>
      </c>
      <c r="K910">
        <v>78.850034800000003</v>
      </c>
      <c r="L910">
        <v>28.6308896</v>
      </c>
      <c r="M910">
        <v>42.955584399999999</v>
      </c>
      <c r="N910">
        <v>44.032986600000001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1036</v>
      </c>
      <c r="C911" t="s">
        <v>1034</v>
      </c>
      <c r="D911">
        <v>3</v>
      </c>
      <c r="E911">
        <v>8050302</v>
      </c>
      <c r="F911">
        <v>24253224</v>
      </c>
      <c r="G911">
        <v>5649416</v>
      </c>
      <c r="H911">
        <v>18602664</v>
      </c>
      <c r="I911">
        <v>0</v>
      </c>
      <c r="J911">
        <v>77.587080499999999</v>
      </c>
      <c r="K911">
        <v>80.922107100000005</v>
      </c>
      <c r="L911">
        <v>30.229390200000001</v>
      </c>
      <c r="M911">
        <v>44.9173884</v>
      </c>
      <c r="N911">
        <v>45.713619299999998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1036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1036</v>
      </c>
      <c r="C914" t="s">
        <v>1034</v>
      </c>
      <c r="D914">
        <v>0</v>
      </c>
      <c r="E914">
        <v>10480723</v>
      </c>
      <c r="F914">
        <v>1235512</v>
      </c>
      <c r="G914">
        <v>102792</v>
      </c>
      <c r="H914">
        <v>1131016</v>
      </c>
      <c r="I914">
        <v>0</v>
      </c>
      <c r="J914">
        <v>68.088440500000004</v>
      </c>
      <c r="K914">
        <v>70.939423599999998</v>
      </c>
      <c r="L914">
        <v>29.971435</v>
      </c>
      <c r="M914">
        <v>43.259165400000001</v>
      </c>
      <c r="N914">
        <v>45.292563000000001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1036</v>
      </c>
      <c r="C915" t="s">
        <v>1034</v>
      </c>
      <c r="D915">
        <v>1</v>
      </c>
      <c r="E915">
        <v>11073192</v>
      </c>
      <c r="F915">
        <v>3545608</v>
      </c>
      <c r="G915">
        <v>345936</v>
      </c>
      <c r="H915">
        <v>3197968</v>
      </c>
      <c r="I915">
        <v>0</v>
      </c>
      <c r="J915">
        <v>74.167904199999995</v>
      </c>
      <c r="K915">
        <v>76.876211600000005</v>
      </c>
      <c r="L915">
        <v>31.753859299999998</v>
      </c>
      <c r="M915">
        <v>44.298358100000002</v>
      </c>
      <c r="N915">
        <v>46.280815199999999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1036</v>
      </c>
      <c r="C916" t="s">
        <v>1034</v>
      </c>
      <c r="D916">
        <v>2</v>
      </c>
      <c r="E916">
        <v>11500698</v>
      </c>
      <c r="F916">
        <v>9462936</v>
      </c>
      <c r="G916">
        <v>1357088</v>
      </c>
      <c r="H916">
        <v>8104144</v>
      </c>
      <c r="I916">
        <v>0</v>
      </c>
      <c r="J916">
        <v>78.595939200000004</v>
      </c>
      <c r="K916">
        <v>81.030003899999997</v>
      </c>
      <c r="L916">
        <v>33.472934899999998</v>
      </c>
      <c r="M916">
        <v>45.362426900000003</v>
      </c>
      <c r="N916">
        <v>47.218045400000001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1036</v>
      </c>
      <c r="C917" t="s">
        <v>1034</v>
      </c>
      <c r="D917">
        <v>3</v>
      </c>
      <c r="E917">
        <v>11978556</v>
      </c>
      <c r="F917">
        <v>24731424</v>
      </c>
      <c r="G917">
        <v>5219896</v>
      </c>
      <c r="H917">
        <v>19509904</v>
      </c>
      <c r="I917">
        <v>0</v>
      </c>
      <c r="J917">
        <v>80.267802099999997</v>
      </c>
      <c r="K917">
        <v>83.192602100000002</v>
      </c>
      <c r="L917">
        <v>35.5011905</v>
      </c>
      <c r="M917">
        <v>46.666112200000001</v>
      </c>
      <c r="N917">
        <v>48.305872800000003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1036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1036</v>
      </c>
      <c r="C920" t="s">
        <v>1034</v>
      </c>
      <c r="D920">
        <v>0</v>
      </c>
      <c r="E920">
        <v>2968366</v>
      </c>
      <c r="F920">
        <v>372472</v>
      </c>
      <c r="G920">
        <v>57248</v>
      </c>
      <c r="H920">
        <v>314400</v>
      </c>
      <c r="I920">
        <v>0</v>
      </c>
      <c r="J920">
        <v>60.2619057</v>
      </c>
      <c r="K920">
        <v>64.108186200000006</v>
      </c>
      <c r="L920">
        <v>28.978580699999998</v>
      </c>
      <c r="M920">
        <v>44.155289400000001</v>
      </c>
      <c r="N920">
        <v>47.641252199999997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1036</v>
      </c>
      <c r="C921" t="s">
        <v>1034</v>
      </c>
      <c r="D921">
        <v>1</v>
      </c>
      <c r="E921">
        <v>3111846</v>
      </c>
      <c r="F921">
        <v>994792</v>
      </c>
      <c r="G921">
        <v>184344</v>
      </c>
      <c r="H921">
        <v>809624</v>
      </c>
      <c r="I921">
        <v>0</v>
      </c>
      <c r="J921">
        <v>66.021077399999996</v>
      </c>
      <c r="K921">
        <v>70.589765600000007</v>
      </c>
      <c r="L921">
        <v>30.910881100000001</v>
      </c>
      <c r="M921">
        <v>45.259458299999999</v>
      </c>
      <c r="N921">
        <v>48.262508699999998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1036</v>
      </c>
      <c r="C922" t="s">
        <v>1034</v>
      </c>
      <c r="D922">
        <v>2</v>
      </c>
      <c r="E922">
        <v>4307870</v>
      </c>
      <c r="F922">
        <v>3332456</v>
      </c>
      <c r="G922">
        <v>746376</v>
      </c>
      <c r="H922">
        <v>2585256</v>
      </c>
      <c r="I922">
        <v>0</v>
      </c>
      <c r="J922">
        <v>70.0934065</v>
      </c>
      <c r="K922">
        <v>72.997808000000006</v>
      </c>
      <c r="L922">
        <v>33.519638200000003</v>
      </c>
      <c r="M922">
        <v>46.543294000000003</v>
      </c>
      <c r="N922">
        <v>48.911313800000002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1036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1036</v>
      </c>
      <c r="C926" t="s">
        <v>1034</v>
      </c>
      <c r="D926">
        <v>0</v>
      </c>
      <c r="E926">
        <v>11467452</v>
      </c>
      <c r="F926">
        <v>2601976</v>
      </c>
      <c r="G926">
        <v>382536</v>
      </c>
      <c r="H926">
        <v>2217736</v>
      </c>
      <c r="I926">
        <v>0</v>
      </c>
      <c r="J926">
        <v>67.644423399999994</v>
      </c>
      <c r="K926">
        <v>70.735707500000004</v>
      </c>
      <c r="L926">
        <v>27.2045593</v>
      </c>
      <c r="M926">
        <v>40.931046899999998</v>
      </c>
      <c r="N926">
        <v>45.832644199999997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1036</v>
      </c>
      <c r="C927" t="s">
        <v>1034</v>
      </c>
      <c r="D927">
        <v>1</v>
      </c>
      <c r="E927">
        <v>12715572</v>
      </c>
      <c r="F927">
        <v>7222912</v>
      </c>
      <c r="G927">
        <v>1340760</v>
      </c>
      <c r="H927">
        <v>5880448</v>
      </c>
      <c r="I927">
        <v>0</v>
      </c>
      <c r="J927">
        <v>71.407872699999999</v>
      </c>
      <c r="K927">
        <v>75.626333700000004</v>
      </c>
      <c r="L927">
        <v>29.1180421</v>
      </c>
      <c r="M927">
        <v>42.604534100000002</v>
      </c>
      <c r="N927">
        <v>47.208353000000002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1036</v>
      </c>
      <c r="C928" t="s">
        <v>1034</v>
      </c>
      <c r="D928">
        <v>2</v>
      </c>
      <c r="E928">
        <v>14569572</v>
      </c>
      <c r="F928">
        <v>19651440</v>
      </c>
      <c r="G928">
        <v>5438792</v>
      </c>
      <c r="H928">
        <v>14211024</v>
      </c>
      <c r="I928">
        <v>0</v>
      </c>
      <c r="J928">
        <v>73.446510599999996</v>
      </c>
      <c r="K928">
        <v>78.018283400000001</v>
      </c>
      <c r="L928">
        <v>30.802921000000001</v>
      </c>
      <c r="M928">
        <v>44.456542300000002</v>
      </c>
      <c r="N928">
        <v>48.579431200000002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1036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1036</v>
      </c>
      <c r="C932" t="s">
        <v>1034</v>
      </c>
      <c r="D932">
        <v>0</v>
      </c>
      <c r="E932">
        <v>2932810</v>
      </c>
      <c r="F932">
        <v>553672</v>
      </c>
      <c r="G932">
        <v>46800</v>
      </c>
      <c r="H932">
        <v>506048</v>
      </c>
      <c r="I932">
        <v>0</v>
      </c>
      <c r="J932">
        <v>61.587062500000002</v>
      </c>
      <c r="K932">
        <v>65.001511399999998</v>
      </c>
      <c r="L932">
        <v>26.644951800000001</v>
      </c>
      <c r="M932">
        <v>39.651298799999999</v>
      </c>
      <c r="N932">
        <v>41.839002800000003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1036</v>
      </c>
      <c r="C933" t="s">
        <v>1034</v>
      </c>
      <c r="D933">
        <v>1</v>
      </c>
      <c r="E933">
        <v>3389616</v>
      </c>
      <c r="F933">
        <v>1517544</v>
      </c>
      <c r="G933">
        <v>170368</v>
      </c>
      <c r="H933">
        <v>1346352</v>
      </c>
      <c r="I933">
        <v>0</v>
      </c>
      <c r="J933">
        <v>67.040953500000001</v>
      </c>
      <c r="K933">
        <v>69.787085200000007</v>
      </c>
      <c r="L933">
        <v>28.680955600000001</v>
      </c>
      <c r="M933">
        <v>41.067969400000003</v>
      </c>
      <c r="N933">
        <v>42.733484799999999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1036</v>
      </c>
      <c r="C934" t="s">
        <v>1034</v>
      </c>
      <c r="D934">
        <v>2</v>
      </c>
      <c r="E934">
        <v>3771063</v>
      </c>
      <c r="F934">
        <v>3992888</v>
      </c>
      <c r="G934">
        <v>792032</v>
      </c>
      <c r="H934">
        <v>3200032</v>
      </c>
      <c r="I934">
        <v>0</v>
      </c>
      <c r="J934">
        <v>69.597974600000001</v>
      </c>
      <c r="K934">
        <v>72.418960900000002</v>
      </c>
      <c r="L934">
        <v>30.159558199999999</v>
      </c>
      <c r="M934">
        <v>42.2636167</v>
      </c>
      <c r="N934">
        <v>43.558968399999998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1036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1036</v>
      </c>
      <c r="C938" t="s">
        <v>1034</v>
      </c>
      <c r="D938">
        <v>0</v>
      </c>
      <c r="E938">
        <v>12678341</v>
      </c>
      <c r="F938">
        <v>3864360</v>
      </c>
      <c r="G938">
        <v>81616</v>
      </c>
      <c r="H938">
        <v>3780480</v>
      </c>
      <c r="I938">
        <v>0</v>
      </c>
      <c r="J938">
        <v>67.459634899999998</v>
      </c>
      <c r="K938">
        <v>72.899014300000005</v>
      </c>
      <c r="L938">
        <v>24.062855599999999</v>
      </c>
      <c r="M938">
        <v>37.995754900000001</v>
      </c>
      <c r="N938">
        <v>39.507074000000003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1036</v>
      </c>
      <c r="C939" t="s">
        <v>1034</v>
      </c>
      <c r="D939">
        <v>1</v>
      </c>
      <c r="E939">
        <v>12865226</v>
      </c>
      <c r="F939">
        <v>9897952</v>
      </c>
      <c r="G939">
        <v>255080</v>
      </c>
      <c r="H939">
        <v>9640608</v>
      </c>
      <c r="I939">
        <v>0</v>
      </c>
      <c r="J939">
        <v>72.975370600000005</v>
      </c>
      <c r="K939">
        <v>77.5680251</v>
      </c>
      <c r="L939">
        <v>25.427003800000001</v>
      </c>
      <c r="M939">
        <v>39.178709300000001</v>
      </c>
      <c r="N939">
        <v>40.981984400000002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1036</v>
      </c>
      <c r="C940" t="s">
        <v>1034</v>
      </c>
      <c r="D940">
        <v>2</v>
      </c>
      <c r="E940">
        <v>14351090</v>
      </c>
      <c r="F940">
        <v>24489552</v>
      </c>
      <c r="G940">
        <v>1130048</v>
      </c>
      <c r="H940">
        <v>23357240</v>
      </c>
      <c r="I940">
        <v>0</v>
      </c>
      <c r="J940">
        <v>78.738511299999999</v>
      </c>
      <c r="K940">
        <v>80.6285898</v>
      </c>
      <c r="L940">
        <v>26.579813699999999</v>
      </c>
      <c r="M940">
        <v>40.621411199999997</v>
      </c>
      <c r="N940">
        <v>42.518247100000004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1036</v>
      </c>
      <c r="C941" t="s">
        <v>1034</v>
      </c>
      <c r="D941">
        <v>3</v>
      </c>
      <c r="E941">
        <v>15197668</v>
      </c>
      <c r="F941">
        <v>50261544</v>
      </c>
      <c r="G941">
        <v>4821984</v>
      </c>
      <c r="H941">
        <v>45437456</v>
      </c>
      <c r="I941">
        <v>0</v>
      </c>
      <c r="J941">
        <v>81.322508999999997</v>
      </c>
      <c r="K941">
        <v>82.667553799999993</v>
      </c>
      <c r="L941">
        <v>27.430023800000001</v>
      </c>
      <c r="M941">
        <v>42.058267399999998</v>
      </c>
      <c r="N941">
        <v>43.932293600000001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1036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1036</v>
      </c>
      <c r="C944" t="s">
        <v>1034</v>
      </c>
      <c r="D944">
        <v>0</v>
      </c>
      <c r="E944">
        <v>409744</v>
      </c>
      <c r="F944">
        <v>385128</v>
      </c>
      <c r="G944">
        <v>3184</v>
      </c>
      <c r="H944">
        <v>381440</v>
      </c>
      <c r="I944">
        <v>0</v>
      </c>
      <c r="J944">
        <v>50.359291900000002</v>
      </c>
      <c r="K944">
        <v>55.305787199999997</v>
      </c>
      <c r="L944">
        <v>15.822680200000001</v>
      </c>
      <c r="M944">
        <v>35.600173900000001</v>
      </c>
      <c r="N944">
        <v>32.731882400000003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1036</v>
      </c>
      <c r="C945" t="s">
        <v>1034</v>
      </c>
      <c r="D945">
        <v>1</v>
      </c>
      <c r="E945">
        <v>498022</v>
      </c>
      <c r="F945">
        <v>993664</v>
      </c>
      <c r="G945">
        <v>14104</v>
      </c>
      <c r="H945">
        <v>979056</v>
      </c>
      <c r="I945">
        <v>0</v>
      </c>
      <c r="J945">
        <v>55.110064899999998</v>
      </c>
      <c r="K945">
        <v>59.143869100000003</v>
      </c>
      <c r="L945">
        <v>16.417068799999999</v>
      </c>
      <c r="M945">
        <v>36.142823300000003</v>
      </c>
      <c r="N945">
        <v>33.332538300000003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1036</v>
      </c>
      <c r="C946" t="s">
        <v>1034</v>
      </c>
      <c r="D946">
        <v>2</v>
      </c>
      <c r="E946">
        <v>693767</v>
      </c>
      <c r="F946">
        <v>2417104</v>
      </c>
      <c r="G946">
        <v>72288</v>
      </c>
      <c r="H946">
        <v>2344312</v>
      </c>
      <c r="I946">
        <v>0</v>
      </c>
      <c r="J946">
        <v>58.080359199999997</v>
      </c>
      <c r="K946">
        <v>61.284763699999999</v>
      </c>
      <c r="L946">
        <v>16.9029262</v>
      </c>
      <c r="M946">
        <v>36.836011900000003</v>
      </c>
      <c r="N946">
        <v>34.128959199999997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1036</v>
      </c>
      <c r="C947" t="s">
        <v>1034</v>
      </c>
      <c r="D947">
        <v>3</v>
      </c>
      <c r="E947">
        <v>895915</v>
      </c>
      <c r="F947">
        <v>5058168</v>
      </c>
      <c r="G947">
        <v>328992</v>
      </c>
      <c r="H947">
        <v>4728672</v>
      </c>
      <c r="I947">
        <v>0</v>
      </c>
      <c r="J947">
        <v>60.4728043</v>
      </c>
      <c r="K947">
        <v>64.090328</v>
      </c>
      <c r="L947">
        <v>17.628346499999999</v>
      </c>
      <c r="M947">
        <v>37.930156799999999</v>
      </c>
      <c r="N947">
        <v>35.361471299999998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1036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1036</v>
      </c>
      <c r="C950" t="s">
        <v>1034</v>
      </c>
      <c r="D950">
        <v>0</v>
      </c>
      <c r="E950">
        <v>478789</v>
      </c>
      <c r="F950">
        <v>290176</v>
      </c>
      <c r="G950">
        <v>10056</v>
      </c>
      <c r="H950">
        <v>279616</v>
      </c>
      <c r="I950">
        <v>0</v>
      </c>
      <c r="J950">
        <v>52.200437999999998</v>
      </c>
      <c r="K950">
        <v>56.662706200000002</v>
      </c>
      <c r="L950">
        <v>19.753664300000001</v>
      </c>
      <c r="M950">
        <v>31.782849299999999</v>
      </c>
      <c r="N950">
        <v>34.092556299999998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1036</v>
      </c>
      <c r="C951" t="s">
        <v>1034</v>
      </c>
      <c r="D951">
        <v>1</v>
      </c>
      <c r="E951">
        <v>583919</v>
      </c>
      <c r="F951">
        <v>814888</v>
      </c>
      <c r="G951">
        <v>40584</v>
      </c>
      <c r="H951">
        <v>773800</v>
      </c>
      <c r="I951">
        <v>0</v>
      </c>
      <c r="J951">
        <v>58.294127799999998</v>
      </c>
      <c r="K951">
        <v>61.820855000000002</v>
      </c>
      <c r="L951">
        <v>21.845218800000001</v>
      </c>
      <c r="M951">
        <v>33.7938039</v>
      </c>
      <c r="N951">
        <v>35.623391599999998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1036</v>
      </c>
      <c r="C952" t="s">
        <v>1034</v>
      </c>
      <c r="D952">
        <v>2</v>
      </c>
      <c r="E952">
        <v>960594</v>
      </c>
      <c r="F952">
        <v>2578248</v>
      </c>
      <c r="G952">
        <v>201016</v>
      </c>
      <c r="H952">
        <v>2376728</v>
      </c>
      <c r="I952">
        <v>0</v>
      </c>
      <c r="J952">
        <v>62.948207400000001</v>
      </c>
      <c r="K952">
        <v>65.826142599999997</v>
      </c>
      <c r="L952">
        <v>24.636392099999998</v>
      </c>
      <c r="M952">
        <v>36.421230899999998</v>
      </c>
      <c r="N952">
        <v>38.099004999999998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1036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1036</v>
      </c>
      <c r="C956" t="s">
        <v>1034</v>
      </c>
      <c r="D956">
        <v>0</v>
      </c>
      <c r="E956">
        <v>20107527</v>
      </c>
      <c r="F956">
        <v>7370312</v>
      </c>
      <c r="G956">
        <v>156248</v>
      </c>
      <c r="H956">
        <v>7211480</v>
      </c>
      <c r="I956">
        <v>0</v>
      </c>
      <c r="J956">
        <v>64.920308599999998</v>
      </c>
      <c r="K956">
        <v>67.0900386</v>
      </c>
      <c r="L956">
        <v>22.607756599999998</v>
      </c>
      <c r="M956">
        <v>36.187785699999999</v>
      </c>
      <c r="N956">
        <v>39.3998992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1036</v>
      </c>
      <c r="C957" t="s">
        <v>1034</v>
      </c>
      <c r="D957">
        <v>1</v>
      </c>
      <c r="E957">
        <v>17532475</v>
      </c>
      <c r="F957">
        <v>13032904</v>
      </c>
      <c r="G957">
        <v>498256</v>
      </c>
      <c r="H957">
        <v>12532304</v>
      </c>
      <c r="I957">
        <v>0</v>
      </c>
      <c r="J957">
        <v>71.376576499999999</v>
      </c>
      <c r="K957">
        <v>73.955725599999994</v>
      </c>
      <c r="L957">
        <v>24.809780700000001</v>
      </c>
      <c r="M957">
        <v>38.257306</v>
      </c>
      <c r="N957">
        <v>41.247408900000003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1036</v>
      </c>
      <c r="C958" t="s">
        <v>1034</v>
      </c>
      <c r="D958">
        <v>2</v>
      </c>
      <c r="E958">
        <v>16642182</v>
      </c>
      <c r="F958">
        <v>24540744</v>
      </c>
      <c r="G958">
        <v>1682328</v>
      </c>
      <c r="H958">
        <v>22856152</v>
      </c>
      <c r="I958">
        <v>0</v>
      </c>
      <c r="J958">
        <v>77.220964699999996</v>
      </c>
      <c r="K958">
        <v>79.367673600000003</v>
      </c>
      <c r="L958">
        <v>27.0280205</v>
      </c>
      <c r="M958">
        <v>40.726040900000001</v>
      </c>
      <c r="N958">
        <v>43.383221900000002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1036</v>
      </c>
      <c r="C959" t="s">
        <v>1034</v>
      </c>
      <c r="D959">
        <v>3</v>
      </c>
      <c r="E959">
        <v>17598332</v>
      </c>
      <c r="F959">
        <v>47466392</v>
      </c>
      <c r="G959">
        <v>5521464</v>
      </c>
      <c r="H959">
        <v>41942584</v>
      </c>
      <c r="I959">
        <v>0</v>
      </c>
      <c r="J959">
        <v>80.5656508</v>
      </c>
      <c r="K959">
        <v>84.302645900000002</v>
      </c>
      <c r="L959">
        <v>28.645343199999999</v>
      </c>
      <c r="M959">
        <v>43.173170800000001</v>
      </c>
      <c r="N959">
        <v>45.373637600000002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1036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1036</v>
      </c>
      <c r="C962" t="s">
        <v>1034</v>
      </c>
      <c r="D962">
        <v>0</v>
      </c>
      <c r="E962">
        <v>18758638</v>
      </c>
      <c r="F962">
        <v>7198760</v>
      </c>
      <c r="G962">
        <v>202880</v>
      </c>
      <c r="H962">
        <v>6993056</v>
      </c>
      <c r="I962">
        <v>0</v>
      </c>
      <c r="J962">
        <v>65.353019500000002</v>
      </c>
      <c r="K962">
        <v>66.960304100000002</v>
      </c>
      <c r="L962">
        <v>22.8704128</v>
      </c>
      <c r="M962">
        <v>35.564952099999999</v>
      </c>
      <c r="N962">
        <v>37.058894799999997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1036</v>
      </c>
      <c r="C963" t="s">
        <v>1034</v>
      </c>
      <c r="D963">
        <v>1</v>
      </c>
      <c r="E963">
        <v>17956851</v>
      </c>
      <c r="F963">
        <v>13832488</v>
      </c>
      <c r="G963">
        <v>628632</v>
      </c>
      <c r="H963">
        <v>13201032</v>
      </c>
      <c r="I963">
        <v>0</v>
      </c>
      <c r="J963">
        <v>71.512857600000004</v>
      </c>
      <c r="K963">
        <v>74.049237500000004</v>
      </c>
      <c r="L963">
        <v>24.963806999999999</v>
      </c>
      <c r="M963">
        <v>37.751501300000001</v>
      </c>
      <c r="N963">
        <v>39.2638848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1036</v>
      </c>
      <c r="C964" t="s">
        <v>1034</v>
      </c>
      <c r="D964">
        <v>2</v>
      </c>
      <c r="E964">
        <v>18660573</v>
      </c>
      <c r="F964">
        <v>28211488</v>
      </c>
      <c r="G964">
        <v>2200256</v>
      </c>
      <c r="H964">
        <v>26008408</v>
      </c>
      <c r="I964">
        <v>0</v>
      </c>
      <c r="J964">
        <v>76.778334400000006</v>
      </c>
      <c r="K964">
        <v>79.591677000000004</v>
      </c>
      <c r="L964">
        <v>27.1377259</v>
      </c>
      <c r="M964">
        <v>40.190235700000002</v>
      </c>
      <c r="N964">
        <v>41.658968899999998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1036</v>
      </c>
      <c r="C965" t="s">
        <v>1034</v>
      </c>
      <c r="D965">
        <v>3</v>
      </c>
      <c r="E965">
        <v>23218626</v>
      </c>
      <c r="F965">
        <v>62632728</v>
      </c>
      <c r="G965">
        <v>7411376</v>
      </c>
      <c r="H965">
        <v>55218528</v>
      </c>
      <c r="I965">
        <v>0</v>
      </c>
      <c r="J965">
        <v>80.154251200000004</v>
      </c>
      <c r="K965">
        <v>84.522926200000001</v>
      </c>
      <c r="L965">
        <v>28.898091000000001</v>
      </c>
      <c r="M965">
        <v>42.832931600000002</v>
      </c>
      <c r="N965">
        <v>44.148462500000001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1036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1036</v>
      </c>
      <c r="C968" t="s">
        <v>1034</v>
      </c>
      <c r="D968">
        <v>0</v>
      </c>
      <c r="E968">
        <v>179128</v>
      </c>
      <c r="F968">
        <v>96592</v>
      </c>
      <c r="G968">
        <v>1752</v>
      </c>
      <c r="H968">
        <v>94336</v>
      </c>
      <c r="I968">
        <v>0</v>
      </c>
      <c r="J968">
        <v>46.8989306</v>
      </c>
      <c r="K968">
        <v>50.293195099999998</v>
      </c>
      <c r="L968">
        <v>21.256147599999998</v>
      </c>
      <c r="M968">
        <v>30.375519000000001</v>
      </c>
      <c r="N968">
        <v>33.044681799999999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1036</v>
      </c>
      <c r="C969" t="s">
        <v>1034</v>
      </c>
      <c r="D969">
        <v>1</v>
      </c>
      <c r="E969">
        <v>189063</v>
      </c>
      <c r="F969">
        <v>237328</v>
      </c>
      <c r="G969">
        <v>6288</v>
      </c>
      <c r="H969">
        <v>230536</v>
      </c>
      <c r="I969">
        <v>0</v>
      </c>
      <c r="J969">
        <v>55.431299000000003</v>
      </c>
      <c r="K969">
        <v>57.8345713</v>
      </c>
      <c r="L969">
        <v>23.8382407</v>
      </c>
      <c r="M969">
        <v>33.2356616</v>
      </c>
      <c r="N969">
        <v>35.237461799999998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1036</v>
      </c>
      <c r="C970" t="s">
        <v>1034</v>
      </c>
      <c r="D970">
        <v>2</v>
      </c>
      <c r="E970">
        <v>221343</v>
      </c>
      <c r="F970">
        <v>549560</v>
      </c>
      <c r="G970">
        <v>25296</v>
      </c>
      <c r="H970">
        <v>523760</v>
      </c>
      <c r="I970">
        <v>0</v>
      </c>
      <c r="J970">
        <v>60.203992599999999</v>
      </c>
      <c r="K970">
        <v>62.684333700000003</v>
      </c>
      <c r="L970">
        <v>25.792725600000001</v>
      </c>
      <c r="M970">
        <v>35.446653599999998</v>
      </c>
      <c r="N970">
        <v>37.115681899999998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1036</v>
      </c>
      <c r="C971" t="s">
        <v>1034</v>
      </c>
      <c r="D971">
        <v>3</v>
      </c>
      <c r="E971">
        <v>278948</v>
      </c>
      <c r="F971">
        <v>1231072</v>
      </c>
      <c r="G971">
        <v>104120</v>
      </c>
      <c r="H971">
        <v>1126448</v>
      </c>
      <c r="I971">
        <v>0</v>
      </c>
      <c r="J971">
        <v>61.758085800000003</v>
      </c>
      <c r="K971">
        <v>64.425036000000006</v>
      </c>
      <c r="L971">
        <v>27.2713018</v>
      </c>
      <c r="M971">
        <v>37.518917700000003</v>
      </c>
      <c r="N971">
        <v>39.149858799999997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1036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1036</v>
      </c>
      <c r="C974" t="s">
        <v>1034</v>
      </c>
      <c r="D974">
        <v>0</v>
      </c>
      <c r="E974">
        <v>17420776</v>
      </c>
      <c r="F974">
        <v>3652552</v>
      </c>
      <c r="G974">
        <v>266064</v>
      </c>
      <c r="H974">
        <v>3383984</v>
      </c>
      <c r="I974">
        <v>0</v>
      </c>
      <c r="J974">
        <v>67.267676800000004</v>
      </c>
      <c r="K974">
        <v>70.884035100000006</v>
      </c>
      <c r="L974">
        <v>27.961453599999999</v>
      </c>
      <c r="M974">
        <v>40.355387499999999</v>
      </c>
      <c r="N974">
        <v>38.644401199999997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1036</v>
      </c>
      <c r="C975" t="s">
        <v>1034</v>
      </c>
      <c r="D975">
        <v>1</v>
      </c>
      <c r="E975">
        <v>15038251</v>
      </c>
      <c r="F975">
        <v>7275696</v>
      </c>
      <c r="G975">
        <v>774208</v>
      </c>
      <c r="H975">
        <v>6498984</v>
      </c>
      <c r="I975">
        <v>0</v>
      </c>
      <c r="J975">
        <v>72.223116899999994</v>
      </c>
      <c r="K975">
        <v>76.594861100000003</v>
      </c>
      <c r="L975">
        <v>30.170556099999999</v>
      </c>
      <c r="M975">
        <v>43.004929599999997</v>
      </c>
      <c r="N975">
        <v>41.093467500000003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1036</v>
      </c>
      <c r="C976" t="s">
        <v>1034</v>
      </c>
      <c r="D976">
        <v>2</v>
      </c>
      <c r="E976">
        <v>16990914</v>
      </c>
      <c r="F976">
        <v>17247936</v>
      </c>
      <c r="G976">
        <v>3141112</v>
      </c>
      <c r="H976">
        <v>14104240</v>
      </c>
      <c r="I976">
        <v>0</v>
      </c>
      <c r="J976">
        <v>76.638013400000006</v>
      </c>
      <c r="K976">
        <v>80.999489400000002</v>
      </c>
      <c r="L976">
        <v>32.282307099999997</v>
      </c>
      <c r="M976">
        <v>45.563815699999999</v>
      </c>
      <c r="N976">
        <v>43.4558325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1036</v>
      </c>
      <c r="C977" t="s">
        <v>1034</v>
      </c>
      <c r="D977">
        <v>3</v>
      </c>
      <c r="E977">
        <v>20467460</v>
      </c>
      <c r="F977">
        <v>43095616</v>
      </c>
      <c r="G977">
        <v>11469824</v>
      </c>
      <c r="H977">
        <v>31623288</v>
      </c>
      <c r="I977">
        <v>0</v>
      </c>
      <c r="J977">
        <v>79.332207100000005</v>
      </c>
      <c r="K977">
        <v>84.097035500000004</v>
      </c>
      <c r="L977">
        <v>34.352166199999999</v>
      </c>
      <c r="M977">
        <v>48.170660099999999</v>
      </c>
      <c r="N977">
        <v>46.259354000000002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1036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1036</v>
      </c>
      <c r="C980" t="s">
        <v>1034</v>
      </c>
      <c r="D980">
        <v>0</v>
      </c>
      <c r="E980">
        <v>1614223</v>
      </c>
      <c r="F980">
        <v>775544</v>
      </c>
      <c r="G980">
        <v>75072</v>
      </c>
      <c r="H980">
        <v>699888</v>
      </c>
      <c r="I980">
        <v>0</v>
      </c>
      <c r="J980">
        <v>60.251482199999998</v>
      </c>
      <c r="K980">
        <v>61.134673499999998</v>
      </c>
      <c r="L980">
        <v>26.059575899999999</v>
      </c>
      <c r="M980">
        <v>37.396989099999999</v>
      </c>
      <c r="N980">
        <v>36.434364199999997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1036</v>
      </c>
      <c r="C981" t="s">
        <v>1034</v>
      </c>
      <c r="D981">
        <v>1</v>
      </c>
      <c r="E981">
        <v>1646436</v>
      </c>
      <c r="F981">
        <v>1563480</v>
      </c>
      <c r="G981">
        <v>292768</v>
      </c>
      <c r="H981">
        <v>1270128</v>
      </c>
      <c r="I981">
        <v>0</v>
      </c>
      <c r="J981">
        <v>65.193117000000001</v>
      </c>
      <c r="K981">
        <v>68.409656499999997</v>
      </c>
      <c r="L981">
        <v>27.872446799999999</v>
      </c>
      <c r="M981">
        <v>39.9211308</v>
      </c>
      <c r="N981">
        <v>38.8232401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1036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711A0-69E9-40E6-A571-9CB593552A85}">
  <dimension ref="A1:W985"/>
  <sheetViews>
    <sheetView workbookViewId="0">
      <selection activeCell="P2" sqref="P2:Q1048576"/>
    </sheetView>
  </sheetViews>
  <sheetFormatPr defaultRowHeight="13.5" x14ac:dyDescent="0.15"/>
  <cols>
    <col min="16" max="16" width="9.125" customWidth="1"/>
  </cols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1039</v>
      </c>
      <c r="C710" t="s">
        <v>1034</v>
      </c>
      <c r="D710">
        <v>0</v>
      </c>
      <c r="E710">
        <v>2563236</v>
      </c>
      <c r="F710">
        <v>110088</v>
      </c>
      <c r="G710">
        <v>23760</v>
      </c>
      <c r="H710">
        <v>85480</v>
      </c>
      <c r="I710">
        <v>0</v>
      </c>
      <c r="J710">
        <v>64.553656099999998</v>
      </c>
      <c r="K710">
        <v>65.319606100000001</v>
      </c>
      <c r="L710">
        <v>33.206619199999999</v>
      </c>
      <c r="M710">
        <v>42.674645499999997</v>
      </c>
      <c r="N710">
        <v>45.968250699999999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1039</v>
      </c>
      <c r="C711" t="s">
        <v>1034</v>
      </c>
      <c r="D711">
        <v>1</v>
      </c>
      <c r="E711">
        <v>2382752</v>
      </c>
      <c r="F711">
        <v>250456</v>
      </c>
      <c r="G711">
        <v>70464</v>
      </c>
      <c r="H711">
        <v>179144</v>
      </c>
      <c r="I711">
        <v>0</v>
      </c>
      <c r="J711">
        <v>69.936707900000002</v>
      </c>
      <c r="K711">
        <v>73.158202200000005</v>
      </c>
      <c r="L711">
        <v>36.270892199999999</v>
      </c>
      <c r="M711">
        <v>43.556286900000003</v>
      </c>
      <c r="N711">
        <v>47.6246285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1039</v>
      </c>
      <c r="C712" t="s">
        <v>1034</v>
      </c>
      <c r="D712">
        <v>2</v>
      </c>
      <c r="E712">
        <v>2485496</v>
      </c>
      <c r="F712">
        <v>657224</v>
      </c>
      <c r="G712">
        <v>227232</v>
      </c>
      <c r="H712">
        <v>429144</v>
      </c>
      <c r="I712">
        <v>0</v>
      </c>
      <c r="J712">
        <v>74.791387799999995</v>
      </c>
      <c r="K712">
        <v>78.582488400000003</v>
      </c>
      <c r="L712">
        <v>39.363891500000001</v>
      </c>
      <c r="M712">
        <v>44.789835500000002</v>
      </c>
      <c r="N712">
        <v>49.174117099999997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1039</v>
      </c>
      <c r="C713" t="s">
        <v>1034</v>
      </c>
      <c r="D713">
        <v>3</v>
      </c>
      <c r="E713">
        <v>2779047</v>
      </c>
      <c r="F713">
        <v>1829576</v>
      </c>
      <c r="G713">
        <v>748664</v>
      </c>
      <c r="H713">
        <v>1080064</v>
      </c>
      <c r="I713">
        <v>0</v>
      </c>
      <c r="J713">
        <v>76.971451099999996</v>
      </c>
      <c r="K713">
        <v>80.705232499999994</v>
      </c>
      <c r="L713">
        <v>41.729102599999997</v>
      </c>
      <c r="M713">
        <v>46.257398500000001</v>
      </c>
      <c r="N713">
        <v>50.433714299999998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1039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1039</v>
      </c>
      <c r="C716" t="s">
        <v>1034</v>
      </c>
      <c r="D716">
        <v>0</v>
      </c>
      <c r="E716">
        <v>2364784</v>
      </c>
      <c r="F716">
        <v>120720</v>
      </c>
      <c r="G716">
        <v>20824</v>
      </c>
      <c r="H716">
        <v>99208</v>
      </c>
      <c r="I716">
        <v>0</v>
      </c>
      <c r="J716">
        <v>64.555706900000004</v>
      </c>
      <c r="K716">
        <v>65.065640099999996</v>
      </c>
      <c r="L716">
        <v>32.227706099999999</v>
      </c>
      <c r="M716">
        <v>43.4825272</v>
      </c>
      <c r="N716">
        <v>45.741549300000003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1039</v>
      </c>
      <c r="C717" t="s">
        <v>1034</v>
      </c>
      <c r="D717">
        <v>1</v>
      </c>
      <c r="E717">
        <v>2174186</v>
      </c>
      <c r="F717">
        <v>264368</v>
      </c>
      <c r="G717">
        <v>60720</v>
      </c>
      <c r="H717">
        <v>202960</v>
      </c>
      <c r="I717">
        <v>0</v>
      </c>
      <c r="J717">
        <v>69.728556600000005</v>
      </c>
      <c r="K717">
        <v>73.036275599999996</v>
      </c>
      <c r="L717">
        <v>35.846152199999999</v>
      </c>
      <c r="M717">
        <v>44.4473336</v>
      </c>
      <c r="N717">
        <v>47.590812999999997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1039</v>
      </c>
      <c r="C718" t="s">
        <v>1034</v>
      </c>
      <c r="D718">
        <v>2</v>
      </c>
      <c r="E718">
        <v>2260665</v>
      </c>
      <c r="F718">
        <v>670816</v>
      </c>
      <c r="G718">
        <v>201008</v>
      </c>
      <c r="H718">
        <v>469120</v>
      </c>
      <c r="I718">
        <v>0</v>
      </c>
      <c r="J718">
        <v>74.804639100000003</v>
      </c>
      <c r="K718">
        <v>78.233147500000001</v>
      </c>
      <c r="L718">
        <v>38.859093700000003</v>
      </c>
      <c r="M718">
        <v>45.732737999999998</v>
      </c>
      <c r="N718">
        <v>49.1174052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1039</v>
      </c>
      <c r="C719" t="s">
        <v>1034</v>
      </c>
      <c r="D719">
        <v>3</v>
      </c>
      <c r="E719">
        <v>2476221</v>
      </c>
      <c r="F719">
        <v>1757432</v>
      </c>
      <c r="G719">
        <v>663544</v>
      </c>
      <c r="H719">
        <v>1093200</v>
      </c>
      <c r="I719">
        <v>0</v>
      </c>
      <c r="J719">
        <v>77.082859900000003</v>
      </c>
      <c r="K719">
        <v>80.631966199999994</v>
      </c>
      <c r="L719">
        <v>41.2034485</v>
      </c>
      <c r="M719">
        <v>47.113899000000004</v>
      </c>
      <c r="N719">
        <v>50.457027600000004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1039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1039</v>
      </c>
      <c r="C722" t="s">
        <v>1034</v>
      </c>
      <c r="D722">
        <v>0</v>
      </c>
      <c r="E722">
        <v>3535590</v>
      </c>
      <c r="F722">
        <v>151328</v>
      </c>
      <c r="G722">
        <v>27320</v>
      </c>
      <c r="H722">
        <v>123184</v>
      </c>
      <c r="I722">
        <v>0</v>
      </c>
      <c r="J722">
        <v>60.379426000000002</v>
      </c>
      <c r="K722">
        <v>64.650964700000003</v>
      </c>
      <c r="L722">
        <v>28.5174904</v>
      </c>
      <c r="M722">
        <v>42.3791248</v>
      </c>
      <c r="N722">
        <v>44.266030200000003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1039</v>
      </c>
      <c r="C723" t="s">
        <v>1034</v>
      </c>
      <c r="D723">
        <v>1</v>
      </c>
      <c r="E723">
        <v>3453778</v>
      </c>
      <c r="F723">
        <v>501464</v>
      </c>
      <c r="G723">
        <v>90008</v>
      </c>
      <c r="H723">
        <v>410632</v>
      </c>
      <c r="I723">
        <v>0</v>
      </c>
      <c r="J723">
        <v>67.356421699999999</v>
      </c>
      <c r="K723">
        <v>71.762189100000001</v>
      </c>
      <c r="L723">
        <v>30.601611599999998</v>
      </c>
      <c r="M723">
        <v>43.483237199999998</v>
      </c>
      <c r="N723">
        <v>45.348677100000003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1039</v>
      </c>
      <c r="C724" t="s">
        <v>1034</v>
      </c>
      <c r="D724">
        <v>2</v>
      </c>
      <c r="E724">
        <v>3708857</v>
      </c>
      <c r="F724">
        <v>1951872</v>
      </c>
      <c r="G724">
        <v>344728</v>
      </c>
      <c r="H724">
        <v>1606320</v>
      </c>
      <c r="I724">
        <v>0</v>
      </c>
      <c r="J724">
        <v>73.415104400000004</v>
      </c>
      <c r="K724">
        <v>76.776845199999997</v>
      </c>
      <c r="L724">
        <v>33.409351700000002</v>
      </c>
      <c r="M724">
        <v>44.739324799999999</v>
      </c>
      <c r="N724">
        <v>46.518696300000002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1039</v>
      </c>
      <c r="C725" t="s">
        <v>1034</v>
      </c>
      <c r="D725">
        <v>3</v>
      </c>
      <c r="E725">
        <v>3933927</v>
      </c>
      <c r="F725">
        <v>6071192</v>
      </c>
      <c r="G725">
        <v>1259904</v>
      </c>
      <c r="H725">
        <v>4810464</v>
      </c>
      <c r="I725">
        <v>0</v>
      </c>
      <c r="J725">
        <v>76.425477099999995</v>
      </c>
      <c r="K725">
        <v>79.631892100000002</v>
      </c>
      <c r="L725">
        <v>36.559525600000001</v>
      </c>
      <c r="M725">
        <v>46.086562800000003</v>
      </c>
      <c r="N725">
        <v>47.698688300000001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1039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1039</v>
      </c>
      <c r="C728" t="s">
        <v>1034</v>
      </c>
      <c r="D728">
        <v>0</v>
      </c>
      <c r="E728">
        <v>798456</v>
      </c>
      <c r="F728">
        <v>150160</v>
      </c>
      <c r="G728">
        <v>6208</v>
      </c>
      <c r="H728">
        <v>143504</v>
      </c>
      <c r="I728">
        <v>0</v>
      </c>
      <c r="J728">
        <v>55.6445571</v>
      </c>
      <c r="K728">
        <v>56.0637027</v>
      </c>
      <c r="L728">
        <v>25.5643791</v>
      </c>
      <c r="M728">
        <v>32.726838299999997</v>
      </c>
      <c r="N728">
        <v>31.561361699999999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1039</v>
      </c>
      <c r="C729" t="s">
        <v>1034</v>
      </c>
      <c r="D729">
        <v>1</v>
      </c>
      <c r="E729">
        <v>785696</v>
      </c>
      <c r="F729">
        <v>405792</v>
      </c>
      <c r="G729">
        <v>21592</v>
      </c>
      <c r="H729">
        <v>383752</v>
      </c>
      <c r="I729">
        <v>0</v>
      </c>
      <c r="J729">
        <v>62.669087300000001</v>
      </c>
      <c r="K729">
        <v>63.466967099999998</v>
      </c>
      <c r="L729">
        <v>29.381278500000001</v>
      </c>
      <c r="M729">
        <v>35.896707499999998</v>
      </c>
      <c r="N729">
        <v>35.231554199999998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1039</v>
      </c>
      <c r="C730" t="s">
        <v>1034</v>
      </c>
      <c r="D730">
        <v>2</v>
      </c>
      <c r="E730">
        <v>794760</v>
      </c>
      <c r="F730">
        <v>1009520</v>
      </c>
      <c r="G730">
        <v>77744</v>
      </c>
      <c r="H730">
        <v>931328</v>
      </c>
      <c r="I730">
        <v>0</v>
      </c>
      <c r="J730">
        <v>68.604806499999995</v>
      </c>
      <c r="K730">
        <v>70.4588593</v>
      </c>
      <c r="L730">
        <v>33.200805000000003</v>
      </c>
      <c r="M730">
        <v>39.401769199999997</v>
      </c>
      <c r="N730">
        <v>38.920159699999999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1039</v>
      </c>
      <c r="C731" t="s">
        <v>1034</v>
      </c>
      <c r="D731">
        <v>3</v>
      </c>
      <c r="E731">
        <v>848252</v>
      </c>
      <c r="F731">
        <v>2166016</v>
      </c>
      <c r="G731">
        <v>253144</v>
      </c>
      <c r="H731">
        <v>1912424</v>
      </c>
      <c r="I731">
        <v>0</v>
      </c>
      <c r="J731">
        <v>71.029979699999998</v>
      </c>
      <c r="K731">
        <v>73.9660966</v>
      </c>
      <c r="L731">
        <v>36.350391500000001</v>
      </c>
      <c r="M731">
        <v>42.516891000000001</v>
      </c>
      <c r="N731">
        <v>42.031444999999998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1039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1039</v>
      </c>
      <c r="C734" t="s">
        <v>1034</v>
      </c>
      <c r="D734">
        <v>0</v>
      </c>
      <c r="E734">
        <v>747178</v>
      </c>
      <c r="F734">
        <v>31232</v>
      </c>
      <c r="G734">
        <v>5952</v>
      </c>
      <c r="H734">
        <v>24840</v>
      </c>
      <c r="I734">
        <v>0</v>
      </c>
      <c r="J734">
        <v>55.289748799999998</v>
      </c>
      <c r="K734">
        <v>57.733209899999999</v>
      </c>
      <c r="L734">
        <v>31.202408999999999</v>
      </c>
      <c r="M734">
        <v>44.705795600000002</v>
      </c>
      <c r="N734">
        <v>43.283148699999998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1039</v>
      </c>
      <c r="C735" t="s">
        <v>1034</v>
      </c>
      <c r="D735">
        <v>1</v>
      </c>
      <c r="E735">
        <v>713413</v>
      </c>
      <c r="F735">
        <v>90008</v>
      </c>
      <c r="G735">
        <v>19384</v>
      </c>
      <c r="H735">
        <v>70184</v>
      </c>
      <c r="I735">
        <v>0</v>
      </c>
      <c r="J735">
        <v>63.177750000000003</v>
      </c>
      <c r="K735">
        <v>65.228434300000004</v>
      </c>
      <c r="L735">
        <v>34.333899799999998</v>
      </c>
      <c r="M735">
        <v>47.167225000000002</v>
      </c>
      <c r="N735">
        <v>46.607648500000003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1039</v>
      </c>
      <c r="C736" t="s">
        <v>1034</v>
      </c>
      <c r="D736">
        <v>2</v>
      </c>
      <c r="E736">
        <v>735219</v>
      </c>
      <c r="F736">
        <v>252656</v>
      </c>
      <c r="G736">
        <v>67688</v>
      </c>
      <c r="H736">
        <v>184528</v>
      </c>
      <c r="I736">
        <v>0</v>
      </c>
      <c r="J736">
        <v>68.458337499999999</v>
      </c>
      <c r="K736">
        <v>71.271203799999995</v>
      </c>
      <c r="L736">
        <v>38.118692699999997</v>
      </c>
      <c r="M736">
        <v>49.045690299999997</v>
      </c>
      <c r="N736">
        <v>49.286591299999998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1039</v>
      </c>
      <c r="C737" t="s">
        <v>1034</v>
      </c>
      <c r="D737">
        <v>3</v>
      </c>
      <c r="E737">
        <v>791608</v>
      </c>
      <c r="F737">
        <v>651584</v>
      </c>
      <c r="G737">
        <v>227688</v>
      </c>
      <c r="H737">
        <v>423456</v>
      </c>
      <c r="I737">
        <v>0</v>
      </c>
      <c r="J737">
        <v>71.086933299999998</v>
      </c>
      <c r="K737">
        <v>74.126947000000001</v>
      </c>
      <c r="L737">
        <v>41.5832519</v>
      </c>
      <c r="M737">
        <v>50.7763578</v>
      </c>
      <c r="N737">
        <v>51.090319299999997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1039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1039</v>
      </c>
      <c r="C740" t="s">
        <v>1034</v>
      </c>
      <c r="D740">
        <v>0</v>
      </c>
      <c r="E740">
        <v>747027</v>
      </c>
      <c r="F740">
        <v>62224</v>
      </c>
      <c r="G740">
        <v>5744</v>
      </c>
      <c r="H740">
        <v>56032</v>
      </c>
      <c r="I740">
        <v>0</v>
      </c>
      <c r="J740">
        <v>55.7712225</v>
      </c>
      <c r="K740">
        <v>57.162020499999997</v>
      </c>
      <c r="L740">
        <v>26.0704052</v>
      </c>
      <c r="M740">
        <v>34.747233399999999</v>
      </c>
      <c r="N740">
        <v>32.313972999999997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1039</v>
      </c>
      <c r="C741" t="s">
        <v>1034</v>
      </c>
      <c r="D741">
        <v>1</v>
      </c>
      <c r="E741">
        <v>726789</v>
      </c>
      <c r="F741">
        <v>168952</v>
      </c>
      <c r="G741">
        <v>18808</v>
      </c>
      <c r="H741">
        <v>149696</v>
      </c>
      <c r="I741">
        <v>0</v>
      </c>
      <c r="J741">
        <v>62.500404699999997</v>
      </c>
      <c r="K741">
        <v>64.232491400000001</v>
      </c>
      <c r="L741">
        <v>30.320138499999999</v>
      </c>
      <c r="M741">
        <v>39.027258199999999</v>
      </c>
      <c r="N741">
        <v>37.091278299999999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1039</v>
      </c>
      <c r="C742" t="s">
        <v>1034</v>
      </c>
      <c r="D742">
        <v>2</v>
      </c>
      <c r="E742">
        <v>767793</v>
      </c>
      <c r="F742">
        <v>413464</v>
      </c>
      <c r="G742">
        <v>66696</v>
      </c>
      <c r="H742">
        <v>346320</v>
      </c>
      <c r="I742">
        <v>0</v>
      </c>
      <c r="J742">
        <v>67.685976199999999</v>
      </c>
      <c r="K742">
        <v>71.006012600000005</v>
      </c>
      <c r="L742">
        <v>33.888105799999998</v>
      </c>
      <c r="M742">
        <v>43.398568400000002</v>
      </c>
      <c r="N742">
        <v>41.647070599999999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1039</v>
      </c>
      <c r="C743" t="s">
        <v>1034</v>
      </c>
      <c r="D743">
        <v>3</v>
      </c>
      <c r="E743">
        <v>867716</v>
      </c>
      <c r="F743">
        <v>995640</v>
      </c>
      <c r="G743">
        <v>231056</v>
      </c>
      <c r="H743">
        <v>764136</v>
      </c>
      <c r="I743">
        <v>0</v>
      </c>
      <c r="J743">
        <v>70.039026800000002</v>
      </c>
      <c r="K743">
        <v>73.995464799999993</v>
      </c>
      <c r="L743">
        <v>36.864893700000003</v>
      </c>
      <c r="M743">
        <v>46.162604899999998</v>
      </c>
      <c r="N743">
        <v>44.833169400000003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1039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1039</v>
      </c>
      <c r="C746" t="s">
        <v>1034</v>
      </c>
      <c r="D746">
        <v>0</v>
      </c>
      <c r="E746">
        <v>681762</v>
      </c>
      <c r="F746">
        <v>69992</v>
      </c>
      <c r="G746">
        <v>5768</v>
      </c>
      <c r="H746">
        <v>63776</v>
      </c>
      <c r="I746">
        <v>0</v>
      </c>
      <c r="J746">
        <v>54.167279200000003</v>
      </c>
      <c r="K746">
        <v>55.859701999999999</v>
      </c>
      <c r="L746">
        <v>30.375178399999999</v>
      </c>
      <c r="M746">
        <v>39.3476122</v>
      </c>
      <c r="N746">
        <v>30.823781700000001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1039</v>
      </c>
      <c r="C747" t="s">
        <v>1034</v>
      </c>
      <c r="D747">
        <v>1</v>
      </c>
      <c r="E747">
        <v>674829</v>
      </c>
      <c r="F747">
        <v>174288</v>
      </c>
      <c r="G747">
        <v>19896</v>
      </c>
      <c r="H747">
        <v>153944</v>
      </c>
      <c r="I747">
        <v>0</v>
      </c>
      <c r="J747">
        <v>61.528513199999999</v>
      </c>
      <c r="K747">
        <v>63.620031500000003</v>
      </c>
      <c r="L747">
        <v>33.995055700000002</v>
      </c>
      <c r="M747">
        <v>41.308801199999998</v>
      </c>
      <c r="N747">
        <v>35.199165399999998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1039</v>
      </c>
      <c r="C748" t="s">
        <v>1034</v>
      </c>
      <c r="D748">
        <v>2</v>
      </c>
      <c r="E748">
        <v>697070</v>
      </c>
      <c r="F748">
        <v>443832</v>
      </c>
      <c r="G748">
        <v>71240</v>
      </c>
      <c r="H748">
        <v>372144</v>
      </c>
      <c r="I748">
        <v>0</v>
      </c>
      <c r="J748">
        <v>67.916162999999997</v>
      </c>
      <c r="K748">
        <v>70.312938099999997</v>
      </c>
      <c r="L748">
        <v>37.655261400000001</v>
      </c>
      <c r="M748">
        <v>43.198679499999997</v>
      </c>
      <c r="N748">
        <v>39.205252399999999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1039</v>
      </c>
      <c r="C749" t="s">
        <v>1034</v>
      </c>
      <c r="D749">
        <v>3</v>
      </c>
      <c r="E749">
        <v>754191</v>
      </c>
      <c r="F749">
        <v>1079840</v>
      </c>
      <c r="G749">
        <v>236752</v>
      </c>
      <c r="H749">
        <v>842640</v>
      </c>
      <c r="I749">
        <v>0</v>
      </c>
      <c r="J749">
        <v>70.785361600000002</v>
      </c>
      <c r="K749">
        <v>73.698572999999996</v>
      </c>
      <c r="L749">
        <v>40.829461100000003</v>
      </c>
      <c r="M749">
        <v>45.2463731</v>
      </c>
      <c r="N749">
        <v>42.529779099999999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1039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1039</v>
      </c>
      <c r="C752" t="s">
        <v>1034</v>
      </c>
      <c r="D752">
        <v>0</v>
      </c>
      <c r="E752">
        <v>1027927</v>
      </c>
      <c r="F752">
        <v>74920</v>
      </c>
      <c r="G752">
        <v>8168</v>
      </c>
      <c r="H752">
        <v>66312</v>
      </c>
      <c r="I752">
        <v>0</v>
      </c>
      <c r="J752">
        <v>55.215634399999999</v>
      </c>
      <c r="K752">
        <v>56.773492599999997</v>
      </c>
      <c r="L752">
        <v>28.022342399999999</v>
      </c>
      <c r="M752">
        <v>44.4311212</v>
      </c>
      <c r="N752">
        <v>44.916148900000003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1039</v>
      </c>
      <c r="C753" t="s">
        <v>1034</v>
      </c>
      <c r="D753">
        <v>1</v>
      </c>
      <c r="E753">
        <v>978818</v>
      </c>
      <c r="F753">
        <v>199432</v>
      </c>
      <c r="G753">
        <v>27568</v>
      </c>
      <c r="H753">
        <v>171424</v>
      </c>
      <c r="I753">
        <v>0</v>
      </c>
      <c r="J753">
        <v>63.325067900000001</v>
      </c>
      <c r="K753">
        <v>64.334055399999997</v>
      </c>
      <c r="L753">
        <v>31.981434199999999</v>
      </c>
      <c r="M753">
        <v>46.191587400000003</v>
      </c>
      <c r="N753">
        <v>46.8616034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1039</v>
      </c>
      <c r="C754" t="s">
        <v>1034</v>
      </c>
      <c r="D754">
        <v>2</v>
      </c>
      <c r="E754">
        <v>998787</v>
      </c>
      <c r="F754">
        <v>529224</v>
      </c>
      <c r="G754">
        <v>99800</v>
      </c>
      <c r="H754">
        <v>428984</v>
      </c>
      <c r="I754">
        <v>0</v>
      </c>
      <c r="J754">
        <v>68.544061400000004</v>
      </c>
      <c r="K754">
        <v>71.031361399999994</v>
      </c>
      <c r="L754">
        <v>36.070827600000001</v>
      </c>
      <c r="M754">
        <v>48.112387699999999</v>
      </c>
      <c r="N754">
        <v>48.786230699999997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1039</v>
      </c>
      <c r="C755" t="s">
        <v>1034</v>
      </c>
      <c r="D755">
        <v>3</v>
      </c>
      <c r="E755">
        <v>1073619</v>
      </c>
      <c r="F755">
        <v>1259176</v>
      </c>
      <c r="G755">
        <v>321568</v>
      </c>
      <c r="H755">
        <v>937168</v>
      </c>
      <c r="I755">
        <v>0</v>
      </c>
      <c r="J755">
        <v>71.013650200000001</v>
      </c>
      <c r="K755">
        <v>74.127468199999996</v>
      </c>
      <c r="L755">
        <v>39.6186474</v>
      </c>
      <c r="M755">
        <v>49.995641499999998</v>
      </c>
      <c r="N755">
        <v>50.686168600000002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1039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1039</v>
      </c>
      <c r="C758" t="s">
        <v>1034</v>
      </c>
      <c r="D758">
        <v>0</v>
      </c>
      <c r="E758">
        <v>931494</v>
      </c>
      <c r="F758">
        <v>119848</v>
      </c>
      <c r="G758">
        <v>7144</v>
      </c>
      <c r="H758">
        <v>112248</v>
      </c>
      <c r="I758">
        <v>0</v>
      </c>
      <c r="J758">
        <v>61.373746500000003</v>
      </c>
      <c r="K758">
        <v>62.324563300000001</v>
      </c>
      <c r="L758">
        <v>26.852784400000001</v>
      </c>
      <c r="M758">
        <v>34.6089883</v>
      </c>
      <c r="N758">
        <v>34.735602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1039</v>
      </c>
      <c r="C759" t="s">
        <v>1034</v>
      </c>
      <c r="D759">
        <v>1</v>
      </c>
      <c r="E759">
        <v>891561</v>
      </c>
      <c r="F759">
        <v>338800</v>
      </c>
      <c r="G759">
        <v>24496</v>
      </c>
      <c r="H759">
        <v>313848</v>
      </c>
      <c r="I759">
        <v>0</v>
      </c>
      <c r="J759">
        <v>68.096070800000007</v>
      </c>
      <c r="K759">
        <v>70.033604499999996</v>
      </c>
      <c r="L759">
        <v>30.2348924</v>
      </c>
      <c r="M759">
        <v>37.782975999999998</v>
      </c>
      <c r="N759">
        <v>37.853010500000003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1039</v>
      </c>
      <c r="C760" t="s">
        <v>1034</v>
      </c>
      <c r="D760">
        <v>2</v>
      </c>
      <c r="E760">
        <v>922379</v>
      </c>
      <c r="F760">
        <v>855600</v>
      </c>
      <c r="G760">
        <v>88488</v>
      </c>
      <c r="H760">
        <v>766656</v>
      </c>
      <c r="I760">
        <v>0</v>
      </c>
      <c r="J760">
        <v>73.398408799999999</v>
      </c>
      <c r="K760">
        <v>75.143603499999998</v>
      </c>
      <c r="L760">
        <v>33.565472900000003</v>
      </c>
      <c r="M760">
        <v>41.269367099999997</v>
      </c>
      <c r="N760">
        <v>41.354917399999998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1039</v>
      </c>
      <c r="C761" t="s">
        <v>1034</v>
      </c>
      <c r="D761">
        <v>3</v>
      </c>
      <c r="E761">
        <v>987612</v>
      </c>
      <c r="F761">
        <v>1794736</v>
      </c>
      <c r="G761">
        <v>289240</v>
      </c>
      <c r="H761">
        <v>1505040</v>
      </c>
      <c r="I761">
        <v>0</v>
      </c>
      <c r="J761">
        <v>74.497849799999997</v>
      </c>
      <c r="K761">
        <v>77.029704199999998</v>
      </c>
      <c r="L761">
        <v>35.360334899999998</v>
      </c>
      <c r="M761">
        <v>44.089222999999997</v>
      </c>
      <c r="N761">
        <v>44.235774900000003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1039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1039</v>
      </c>
      <c r="C764" t="s">
        <v>1034</v>
      </c>
      <c r="D764">
        <v>0</v>
      </c>
      <c r="E764">
        <v>2312958</v>
      </c>
      <c r="F764">
        <v>88928</v>
      </c>
      <c r="G764">
        <v>28608</v>
      </c>
      <c r="H764">
        <v>59656</v>
      </c>
      <c r="I764">
        <v>0</v>
      </c>
      <c r="J764">
        <v>64.278808400000003</v>
      </c>
      <c r="K764">
        <v>64.676648499999999</v>
      </c>
      <c r="L764">
        <v>34.424011200000002</v>
      </c>
      <c r="M764">
        <v>46.074849700000001</v>
      </c>
      <c r="N764">
        <v>46.184782499999997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1039</v>
      </c>
      <c r="C765" t="s">
        <v>1034</v>
      </c>
      <c r="D765">
        <v>1</v>
      </c>
      <c r="E765">
        <v>3455491</v>
      </c>
      <c r="F765">
        <v>257592</v>
      </c>
      <c r="G765">
        <v>87512</v>
      </c>
      <c r="H765">
        <v>169416</v>
      </c>
      <c r="I765">
        <v>0</v>
      </c>
      <c r="J765">
        <v>70.303257599999995</v>
      </c>
      <c r="K765">
        <v>71.453574099999997</v>
      </c>
      <c r="L765">
        <v>37.9453611</v>
      </c>
      <c r="M765">
        <v>48.420141000000001</v>
      </c>
      <c r="N765">
        <v>48.880134300000002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1039</v>
      </c>
      <c r="C766" t="s">
        <v>1034</v>
      </c>
      <c r="D766">
        <v>2</v>
      </c>
      <c r="E766">
        <v>2963885</v>
      </c>
      <c r="F766">
        <v>639336</v>
      </c>
      <c r="G766">
        <v>283320</v>
      </c>
      <c r="H766">
        <v>355352</v>
      </c>
      <c r="I766">
        <v>0</v>
      </c>
      <c r="J766">
        <v>73.091376800000006</v>
      </c>
      <c r="K766">
        <v>75.492138199999999</v>
      </c>
      <c r="L766">
        <v>39.876223099999997</v>
      </c>
      <c r="M766">
        <v>49.568649200000003</v>
      </c>
      <c r="N766">
        <v>50.156902500000001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1039</v>
      </c>
      <c r="C767" t="s">
        <v>1034</v>
      </c>
      <c r="D767">
        <v>3</v>
      </c>
      <c r="E767">
        <v>2830389</v>
      </c>
      <c r="F767">
        <v>1753056</v>
      </c>
      <c r="G767">
        <v>942488</v>
      </c>
      <c r="H767">
        <v>809904</v>
      </c>
      <c r="I767">
        <v>0</v>
      </c>
      <c r="J767">
        <v>73.359102899999996</v>
      </c>
      <c r="K767">
        <v>76.659602100000001</v>
      </c>
      <c r="L767">
        <v>42.071944799999997</v>
      </c>
      <c r="M767">
        <v>50.555151199999997</v>
      </c>
      <c r="N767">
        <v>51.160566099999997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1039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1039</v>
      </c>
      <c r="C770" t="s">
        <v>1034</v>
      </c>
      <c r="D770">
        <v>0</v>
      </c>
      <c r="E770">
        <v>1174432</v>
      </c>
      <c r="F770">
        <v>308120</v>
      </c>
      <c r="G770">
        <v>33552</v>
      </c>
      <c r="H770">
        <v>274024</v>
      </c>
      <c r="I770">
        <v>0</v>
      </c>
      <c r="J770">
        <v>58.671061399999999</v>
      </c>
      <c r="K770">
        <v>61.544482799999997</v>
      </c>
      <c r="L770">
        <v>22.848789100000001</v>
      </c>
      <c r="M770">
        <v>38.0890986</v>
      </c>
      <c r="N770">
        <v>37.125543499999999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1039</v>
      </c>
      <c r="C771" t="s">
        <v>1034</v>
      </c>
      <c r="D771">
        <v>1</v>
      </c>
      <c r="E771">
        <v>1277992</v>
      </c>
      <c r="F771">
        <v>848208</v>
      </c>
      <c r="G771">
        <v>131024</v>
      </c>
      <c r="H771">
        <v>716640</v>
      </c>
      <c r="I771">
        <v>0</v>
      </c>
      <c r="J771">
        <v>64.071536100000003</v>
      </c>
      <c r="K771">
        <v>67.809738100000004</v>
      </c>
      <c r="L771">
        <v>26.251206700000001</v>
      </c>
      <c r="M771">
        <v>39.752618200000001</v>
      </c>
      <c r="N771">
        <v>38.453042400000001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1039</v>
      </c>
      <c r="C772" t="s">
        <v>1034</v>
      </c>
      <c r="D772">
        <v>2</v>
      </c>
      <c r="E772">
        <v>1615639</v>
      </c>
      <c r="F772">
        <v>2330080</v>
      </c>
      <c r="G772">
        <v>562672</v>
      </c>
      <c r="H772">
        <v>1766864</v>
      </c>
      <c r="I772">
        <v>0</v>
      </c>
      <c r="J772">
        <v>68.140869600000002</v>
      </c>
      <c r="K772">
        <v>71.694531100000006</v>
      </c>
      <c r="L772">
        <v>29.198854600000001</v>
      </c>
      <c r="M772">
        <v>42.207480799999999</v>
      </c>
      <c r="N772">
        <v>40.301549000000001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1039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1039</v>
      </c>
      <c r="C776" t="s">
        <v>1034</v>
      </c>
      <c r="D776">
        <v>0</v>
      </c>
      <c r="E776">
        <v>7574241</v>
      </c>
      <c r="F776">
        <v>822416</v>
      </c>
      <c r="G776">
        <v>83104</v>
      </c>
      <c r="H776">
        <v>738208</v>
      </c>
      <c r="I776">
        <v>0</v>
      </c>
      <c r="J776">
        <v>63.9047907</v>
      </c>
      <c r="K776">
        <v>70.585697199999998</v>
      </c>
      <c r="L776">
        <v>23.848378499999999</v>
      </c>
      <c r="M776">
        <v>39.036888500000003</v>
      </c>
      <c r="N776">
        <v>40.386623100000001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1039</v>
      </c>
      <c r="C777" t="s">
        <v>1034</v>
      </c>
      <c r="D777">
        <v>1</v>
      </c>
      <c r="E777">
        <v>7173802</v>
      </c>
      <c r="F777">
        <v>2516688</v>
      </c>
      <c r="G777">
        <v>300928</v>
      </c>
      <c r="H777">
        <v>2214656</v>
      </c>
      <c r="I777">
        <v>0</v>
      </c>
      <c r="J777">
        <v>69.551420500000006</v>
      </c>
      <c r="K777">
        <v>75.8867288</v>
      </c>
      <c r="L777">
        <v>26.174687899999999</v>
      </c>
      <c r="M777">
        <v>40.621276700000003</v>
      </c>
      <c r="N777">
        <v>41.787168100000002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1039</v>
      </c>
      <c r="C778" t="s">
        <v>1034</v>
      </c>
      <c r="D778">
        <v>2</v>
      </c>
      <c r="E778">
        <v>6951442</v>
      </c>
      <c r="F778">
        <v>7458328</v>
      </c>
      <c r="G778">
        <v>1357176</v>
      </c>
      <c r="H778">
        <v>6100048</v>
      </c>
      <c r="I778">
        <v>0</v>
      </c>
      <c r="J778">
        <v>75.282660300000003</v>
      </c>
      <c r="K778">
        <v>78.806474300000005</v>
      </c>
      <c r="L778">
        <v>28.563997199999999</v>
      </c>
      <c r="M778">
        <v>42.301371699999997</v>
      </c>
      <c r="N778">
        <v>43.242584899999997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1039</v>
      </c>
      <c r="C779" t="s">
        <v>1034</v>
      </c>
      <c r="D779">
        <v>3</v>
      </c>
      <c r="E779">
        <v>8051705</v>
      </c>
      <c r="F779">
        <v>19606904</v>
      </c>
      <c r="G779">
        <v>5648840</v>
      </c>
      <c r="H779">
        <v>13956960</v>
      </c>
      <c r="I779">
        <v>0</v>
      </c>
      <c r="J779">
        <v>77.465557200000006</v>
      </c>
      <c r="K779">
        <v>80.776850100000004</v>
      </c>
      <c r="L779">
        <v>30.070159799999999</v>
      </c>
      <c r="M779">
        <v>43.854728700000003</v>
      </c>
      <c r="N779">
        <v>44.706952700000002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1039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1039</v>
      </c>
      <c r="C782" t="s">
        <v>1034</v>
      </c>
      <c r="D782">
        <v>0</v>
      </c>
      <c r="E782">
        <v>10482103</v>
      </c>
      <c r="F782">
        <v>463840</v>
      </c>
      <c r="G782">
        <v>102912</v>
      </c>
      <c r="H782">
        <v>359264</v>
      </c>
      <c r="I782">
        <v>0</v>
      </c>
      <c r="J782">
        <v>68.032191900000001</v>
      </c>
      <c r="K782">
        <v>71.018393599999996</v>
      </c>
      <c r="L782">
        <v>28.971665000000002</v>
      </c>
      <c r="M782">
        <v>42.466366299999997</v>
      </c>
      <c r="N782">
        <v>44.330679199999999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1039</v>
      </c>
      <c r="C783" t="s">
        <v>1034</v>
      </c>
      <c r="D783">
        <v>1</v>
      </c>
      <c r="E783">
        <v>11075623</v>
      </c>
      <c r="F783">
        <v>1633440</v>
      </c>
      <c r="G783">
        <v>345352</v>
      </c>
      <c r="H783">
        <v>1286424</v>
      </c>
      <c r="I783">
        <v>0</v>
      </c>
      <c r="J783">
        <v>74.053016499999998</v>
      </c>
      <c r="K783">
        <v>76.914632699999999</v>
      </c>
      <c r="L783">
        <v>30.7897173</v>
      </c>
      <c r="M783">
        <v>43.434107599999997</v>
      </c>
      <c r="N783">
        <v>45.283923799999997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1039</v>
      </c>
      <c r="C784" t="s">
        <v>1034</v>
      </c>
      <c r="D784">
        <v>2</v>
      </c>
      <c r="E784">
        <v>11498165</v>
      </c>
      <c r="F784">
        <v>5848496</v>
      </c>
      <c r="G784">
        <v>1355216</v>
      </c>
      <c r="H784">
        <v>4491616</v>
      </c>
      <c r="I784">
        <v>0</v>
      </c>
      <c r="J784">
        <v>78.334226000000001</v>
      </c>
      <c r="K784">
        <v>80.942864999999998</v>
      </c>
      <c r="L784">
        <v>32.886068999999999</v>
      </c>
      <c r="M784">
        <v>44.4760864</v>
      </c>
      <c r="N784">
        <v>46.241186599999999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1039</v>
      </c>
      <c r="C785" t="s">
        <v>1034</v>
      </c>
      <c r="D785">
        <v>3</v>
      </c>
      <c r="E785">
        <v>11980374</v>
      </c>
      <c r="F785">
        <v>17926000</v>
      </c>
      <c r="G785">
        <v>5217032</v>
      </c>
      <c r="H785">
        <v>12707384</v>
      </c>
      <c r="I785">
        <v>0</v>
      </c>
      <c r="J785">
        <v>79.953439399999993</v>
      </c>
      <c r="K785">
        <v>83.018344799999994</v>
      </c>
      <c r="L785">
        <v>34.920436299999999</v>
      </c>
      <c r="M785">
        <v>45.698978400000001</v>
      </c>
      <c r="N785">
        <v>47.285995499999999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1039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1039</v>
      </c>
      <c r="C788" t="s">
        <v>1034</v>
      </c>
      <c r="D788">
        <v>0</v>
      </c>
      <c r="E788">
        <v>2963587</v>
      </c>
      <c r="F788">
        <v>182616</v>
      </c>
      <c r="G788">
        <v>57360</v>
      </c>
      <c r="H788">
        <v>124472</v>
      </c>
      <c r="I788">
        <v>0</v>
      </c>
      <c r="J788">
        <v>60.201499699999999</v>
      </c>
      <c r="K788">
        <v>64.254783799999998</v>
      </c>
      <c r="L788">
        <v>28.187215500000001</v>
      </c>
      <c r="M788">
        <v>43.164291499999997</v>
      </c>
      <c r="N788">
        <v>46.655758599999999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1039</v>
      </c>
      <c r="C789" t="s">
        <v>1034</v>
      </c>
      <c r="D789">
        <v>1</v>
      </c>
      <c r="E789">
        <v>3105464</v>
      </c>
      <c r="F789">
        <v>577832</v>
      </c>
      <c r="G789">
        <v>184144</v>
      </c>
      <c r="H789">
        <v>392904</v>
      </c>
      <c r="I789">
        <v>0</v>
      </c>
      <c r="J789">
        <v>65.771084700000003</v>
      </c>
      <c r="K789">
        <v>70.603299800000002</v>
      </c>
      <c r="L789">
        <v>30.143104600000001</v>
      </c>
      <c r="M789">
        <v>44.291519999999998</v>
      </c>
      <c r="N789">
        <v>47.237123099999998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1039</v>
      </c>
      <c r="C790" t="s">
        <v>1034</v>
      </c>
      <c r="D790">
        <v>2</v>
      </c>
      <c r="E790">
        <v>4304695</v>
      </c>
      <c r="F790">
        <v>2199648</v>
      </c>
      <c r="G790">
        <v>745736</v>
      </c>
      <c r="H790">
        <v>1453128</v>
      </c>
      <c r="I790">
        <v>0</v>
      </c>
      <c r="J790">
        <v>69.856580500000007</v>
      </c>
      <c r="K790">
        <v>72.8184495</v>
      </c>
      <c r="L790">
        <v>32.493205000000003</v>
      </c>
      <c r="M790">
        <v>45.6620572</v>
      </c>
      <c r="N790">
        <v>48.196544299999999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1039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1039</v>
      </c>
      <c r="C794" t="s">
        <v>1034</v>
      </c>
      <c r="D794">
        <v>0</v>
      </c>
      <c r="E794">
        <v>11536201</v>
      </c>
      <c r="F794">
        <v>1215840</v>
      </c>
      <c r="G794">
        <v>382808</v>
      </c>
      <c r="H794">
        <v>831408</v>
      </c>
      <c r="I794">
        <v>0</v>
      </c>
      <c r="J794">
        <v>67.660789300000005</v>
      </c>
      <c r="K794">
        <v>71.061954600000007</v>
      </c>
      <c r="L794">
        <v>26.274219800000001</v>
      </c>
      <c r="M794">
        <v>39.718314599999999</v>
      </c>
      <c r="N794">
        <v>44.105291399999999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1039</v>
      </c>
      <c r="C795" t="s">
        <v>1034</v>
      </c>
      <c r="D795">
        <v>1</v>
      </c>
      <c r="E795">
        <v>12695768</v>
      </c>
      <c r="F795">
        <v>4515248</v>
      </c>
      <c r="G795">
        <v>1340320</v>
      </c>
      <c r="H795">
        <v>3173304</v>
      </c>
      <c r="I795">
        <v>0</v>
      </c>
      <c r="J795">
        <v>71.286233999999993</v>
      </c>
      <c r="K795">
        <v>75.979500999999999</v>
      </c>
      <c r="L795">
        <v>28.3686516</v>
      </c>
      <c r="M795">
        <v>41.289508699999999</v>
      </c>
      <c r="N795">
        <v>45.516131799999997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1039</v>
      </c>
      <c r="C796" t="s">
        <v>1034</v>
      </c>
      <c r="D796">
        <v>2</v>
      </c>
      <c r="E796">
        <v>14559808</v>
      </c>
      <c r="F796">
        <v>15384232</v>
      </c>
      <c r="G796">
        <v>5440928</v>
      </c>
      <c r="H796">
        <v>9941760</v>
      </c>
      <c r="I796">
        <v>0</v>
      </c>
      <c r="J796">
        <v>73.348554699999994</v>
      </c>
      <c r="K796">
        <v>78.352076499999995</v>
      </c>
      <c r="L796">
        <v>30.693555400000001</v>
      </c>
      <c r="M796">
        <v>43.288253400000002</v>
      </c>
      <c r="N796">
        <v>47.095767700000003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1039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1039</v>
      </c>
      <c r="C800" t="s">
        <v>1034</v>
      </c>
      <c r="D800">
        <v>0</v>
      </c>
      <c r="E800">
        <v>2927225</v>
      </c>
      <c r="F800">
        <v>266704</v>
      </c>
      <c r="G800">
        <v>46784</v>
      </c>
      <c r="H800">
        <v>219136</v>
      </c>
      <c r="I800">
        <v>0</v>
      </c>
      <c r="J800">
        <v>61.520561899999997</v>
      </c>
      <c r="K800">
        <v>65.029272800000001</v>
      </c>
      <c r="L800">
        <v>26.048649699999999</v>
      </c>
      <c r="M800">
        <v>39.060267799999998</v>
      </c>
      <c r="N800">
        <v>41.064883700000003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1039</v>
      </c>
      <c r="C801" t="s">
        <v>1034</v>
      </c>
      <c r="D801">
        <v>1</v>
      </c>
      <c r="E801">
        <v>3393181</v>
      </c>
      <c r="F801">
        <v>900504</v>
      </c>
      <c r="G801">
        <v>170488</v>
      </c>
      <c r="H801">
        <v>729232</v>
      </c>
      <c r="I801">
        <v>0</v>
      </c>
      <c r="J801">
        <v>66.8257124</v>
      </c>
      <c r="K801">
        <v>69.786220400000005</v>
      </c>
      <c r="L801">
        <v>28.3175922</v>
      </c>
      <c r="M801">
        <v>40.281699099999997</v>
      </c>
      <c r="N801">
        <v>41.864276799999999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1039</v>
      </c>
      <c r="C802" t="s">
        <v>1034</v>
      </c>
      <c r="D802">
        <v>2</v>
      </c>
      <c r="E802">
        <v>3770449</v>
      </c>
      <c r="F802">
        <v>2967528</v>
      </c>
      <c r="G802">
        <v>791768</v>
      </c>
      <c r="H802">
        <v>2174976</v>
      </c>
      <c r="I802">
        <v>0</v>
      </c>
      <c r="J802">
        <v>69.440650500000004</v>
      </c>
      <c r="K802">
        <v>72.322246100000001</v>
      </c>
      <c r="L802">
        <v>30.0337435</v>
      </c>
      <c r="M802">
        <v>41.453780299999998</v>
      </c>
      <c r="N802">
        <v>42.722261699999997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1039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1039</v>
      </c>
      <c r="C806" t="s">
        <v>1034</v>
      </c>
      <c r="D806">
        <v>0</v>
      </c>
      <c r="E806">
        <v>12688739</v>
      </c>
      <c r="F806">
        <v>1519680</v>
      </c>
      <c r="G806">
        <v>81944</v>
      </c>
      <c r="H806">
        <v>1435552</v>
      </c>
      <c r="I806">
        <v>0</v>
      </c>
      <c r="J806">
        <v>67.580679799999999</v>
      </c>
      <c r="K806">
        <v>73.013187099999996</v>
      </c>
      <c r="L806">
        <v>23.5097743</v>
      </c>
      <c r="M806">
        <v>37.414649799999999</v>
      </c>
      <c r="N806">
        <v>38.348139799999998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1039</v>
      </c>
      <c r="C807" t="s">
        <v>1034</v>
      </c>
      <c r="D807">
        <v>1</v>
      </c>
      <c r="E807">
        <v>12860160</v>
      </c>
      <c r="F807">
        <v>5404224</v>
      </c>
      <c r="G807">
        <v>255760</v>
      </c>
      <c r="H807">
        <v>5146280</v>
      </c>
      <c r="I807">
        <v>0</v>
      </c>
      <c r="J807">
        <v>73.007039700000007</v>
      </c>
      <c r="K807">
        <v>77.687377100000006</v>
      </c>
      <c r="L807">
        <v>25.125512100000002</v>
      </c>
      <c r="M807">
        <v>38.613780400000003</v>
      </c>
      <c r="N807">
        <v>39.767044900000002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1039</v>
      </c>
      <c r="C808" t="s">
        <v>1034</v>
      </c>
      <c r="D808">
        <v>2</v>
      </c>
      <c r="E808">
        <v>14351574</v>
      </c>
      <c r="F808">
        <v>16962448</v>
      </c>
      <c r="G808">
        <v>1131056</v>
      </c>
      <c r="H808">
        <v>15829208</v>
      </c>
      <c r="I808">
        <v>0</v>
      </c>
      <c r="J808">
        <v>78.432446799999994</v>
      </c>
      <c r="K808">
        <v>80.752092300000001</v>
      </c>
      <c r="L808">
        <v>26.532442499999998</v>
      </c>
      <c r="M808">
        <v>40.101162100000003</v>
      </c>
      <c r="N808">
        <v>41.467589099999998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1039</v>
      </c>
      <c r="C809" t="s">
        <v>1034</v>
      </c>
      <c r="D809">
        <v>3</v>
      </c>
      <c r="E809">
        <v>15194448</v>
      </c>
      <c r="F809">
        <v>39538720</v>
      </c>
      <c r="G809">
        <v>4820528</v>
      </c>
      <c r="H809">
        <v>34716168</v>
      </c>
      <c r="I809">
        <v>0</v>
      </c>
      <c r="J809">
        <v>81.001439000000005</v>
      </c>
      <c r="K809">
        <v>82.862738699999994</v>
      </c>
      <c r="L809">
        <v>27.467974699999999</v>
      </c>
      <c r="M809">
        <v>41.642563699999997</v>
      </c>
      <c r="N809">
        <v>43.1392034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1039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1039</v>
      </c>
      <c r="C812" t="s">
        <v>1034</v>
      </c>
      <c r="D812">
        <v>0</v>
      </c>
      <c r="E812">
        <v>2758010</v>
      </c>
      <c r="F812">
        <v>367016</v>
      </c>
      <c r="G812">
        <v>27984</v>
      </c>
      <c r="H812">
        <v>338368</v>
      </c>
      <c r="I812">
        <v>0</v>
      </c>
      <c r="J812">
        <v>61.951214399999998</v>
      </c>
      <c r="K812">
        <v>62.310441500000003</v>
      </c>
      <c r="L812">
        <v>28.241082299999999</v>
      </c>
      <c r="M812">
        <v>35.032060899999998</v>
      </c>
      <c r="N812">
        <v>34.303719899999997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1039</v>
      </c>
      <c r="C813" t="s">
        <v>1034</v>
      </c>
      <c r="D813">
        <v>1</v>
      </c>
      <c r="E813">
        <v>2585432</v>
      </c>
      <c r="F813">
        <v>852888</v>
      </c>
      <c r="G813">
        <v>86624</v>
      </c>
      <c r="H813">
        <v>765600</v>
      </c>
      <c r="I813">
        <v>0</v>
      </c>
      <c r="J813">
        <v>69.060725300000001</v>
      </c>
      <c r="K813">
        <v>70.044272399999997</v>
      </c>
      <c r="L813">
        <v>31.535787599999999</v>
      </c>
      <c r="M813">
        <v>38.116598099999997</v>
      </c>
      <c r="N813">
        <v>37.662373100000003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1039</v>
      </c>
      <c r="C814" t="s">
        <v>1034</v>
      </c>
      <c r="D814">
        <v>2</v>
      </c>
      <c r="E814">
        <v>2659085</v>
      </c>
      <c r="F814">
        <v>2024992</v>
      </c>
      <c r="G814">
        <v>281960</v>
      </c>
      <c r="H814">
        <v>1742368</v>
      </c>
      <c r="I814">
        <v>0</v>
      </c>
      <c r="J814">
        <v>72.868675400000001</v>
      </c>
      <c r="K814">
        <v>75.248630800000001</v>
      </c>
      <c r="L814">
        <v>34.511847299999999</v>
      </c>
      <c r="M814">
        <v>41.232048200000001</v>
      </c>
      <c r="N814">
        <v>40.748398799999997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1039</v>
      </c>
      <c r="C815" t="s">
        <v>1034</v>
      </c>
      <c r="D815">
        <v>3</v>
      </c>
      <c r="E815">
        <v>2930053</v>
      </c>
      <c r="F815">
        <v>4598528</v>
      </c>
      <c r="G815">
        <v>942760</v>
      </c>
      <c r="H815">
        <v>3655104</v>
      </c>
      <c r="I815">
        <v>0</v>
      </c>
      <c r="J815">
        <v>73.7931521</v>
      </c>
      <c r="K815">
        <v>76.696902199999997</v>
      </c>
      <c r="L815">
        <v>36.774010199999999</v>
      </c>
      <c r="M815">
        <v>44.001534100000001</v>
      </c>
      <c r="N815">
        <v>43.428922700000001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1039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1039</v>
      </c>
      <c r="C818" t="s">
        <v>1034</v>
      </c>
      <c r="D818">
        <v>0</v>
      </c>
      <c r="E818">
        <v>3230899</v>
      </c>
      <c r="F818">
        <v>105016</v>
      </c>
      <c r="G818">
        <v>26840</v>
      </c>
      <c r="H818">
        <v>77432</v>
      </c>
      <c r="I818">
        <v>0</v>
      </c>
      <c r="J818">
        <v>63.970507900000001</v>
      </c>
      <c r="K818">
        <v>64.396385100000003</v>
      </c>
      <c r="L818">
        <v>34.764341199999997</v>
      </c>
      <c r="M818">
        <v>47.5489028</v>
      </c>
      <c r="N818">
        <v>47.271468200000001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1039</v>
      </c>
      <c r="C819" t="s">
        <v>1034</v>
      </c>
      <c r="D819">
        <v>1</v>
      </c>
      <c r="E819">
        <v>3030944</v>
      </c>
      <c r="F819">
        <v>258856</v>
      </c>
      <c r="G819">
        <v>79864</v>
      </c>
      <c r="H819">
        <v>178248</v>
      </c>
      <c r="I819">
        <v>0</v>
      </c>
      <c r="J819">
        <v>69.989888800000003</v>
      </c>
      <c r="K819">
        <v>71.135042100000007</v>
      </c>
      <c r="L819">
        <v>38.221793099999999</v>
      </c>
      <c r="M819">
        <v>49.383747100000001</v>
      </c>
      <c r="N819">
        <v>49.592095100000002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1039</v>
      </c>
      <c r="C820" t="s">
        <v>1034</v>
      </c>
      <c r="D820">
        <v>2</v>
      </c>
      <c r="E820">
        <v>3110731</v>
      </c>
      <c r="F820">
        <v>657256</v>
      </c>
      <c r="G820">
        <v>263680</v>
      </c>
      <c r="H820">
        <v>392832</v>
      </c>
      <c r="I820">
        <v>0</v>
      </c>
      <c r="J820">
        <v>73.096271900000005</v>
      </c>
      <c r="K820">
        <v>75.3220204</v>
      </c>
      <c r="L820">
        <v>41.397977599999997</v>
      </c>
      <c r="M820">
        <v>51.137068300000003</v>
      </c>
      <c r="N820">
        <v>51.451369399999997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1039</v>
      </c>
      <c r="C821" t="s">
        <v>1034</v>
      </c>
      <c r="D821">
        <v>3</v>
      </c>
      <c r="E821">
        <v>3241773</v>
      </c>
      <c r="F821">
        <v>1670904</v>
      </c>
      <c r="G821">
        <v>878744</v>
      </c>
      <c r="H821">
        <v>791416</v>
      </c>
      <c r="I821">
        <v>0</v>
      </c>
      <c r="J821">
        <v>73.989896599999994</v>
      </c>
      <c r="K821">
        <v>76.767352799999998</v>
      </c>
      <c r="L821">
        <v>44.067083400000001</v>
      </c>
      <c r="M821">
        <v>52.596037600000002</v>
      </c>
      <c r="N821">
        <v>52.888587600000001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1039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1039</v>
      </c>
      <c r="C824" t="s">
        <v>1034</v>
      </c>
      <c r="D824">
        <v>0</v>
      </c>
      <c r="E824">
        <v>1574469</v>
      </c>
      <c r="F824">
        <v>138056</v>
      </c>
      <c r="G824">
        <v>24928</v>
      </c>
      <c r="H824">
        <v>112544</v>
      </c>
      <c r="I824">
        <v>0</v>
      </c>
      <c r="J824">
        <v>62.553283299999997</v>
      </c>
      <c r="K824">
        <v>63.156785900000003</v>
      </c>
      <c r="L824">
        <v>33.050106900000003</v>
      </c>
      <c r="M824">
        <v>40.509930400000002</v>
      </c>
      <c r="N824">
        <v>33.611184299999998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1039</v>
      </c>
      <c r="C825" t="s">
        <v>1034</v>
      </c>
      <c r="D825">
        <v>1</v>
      </c>
      <c r="E825">
        <v>2271762</v>
      </c>
      <c r="F825">
        <v>382208</v>
      </c>
      <c r="G825">
        <v>83056</v>
      </c>
      <c r="H825">
        <v>298488</v>
      </c>
      <c r="I825">
        <v>0</v>
      </c>
      <c r="J825">
        <v>68.995265700000004</v>
      </c>
      <c r="K825">
        <v>70.052807999999999</v>
      </c>
      <c r="L825">
        <v>36.430327200000001</v>
      </c>
      <c r="M825">
        <v>42.404850799999998</v>
      </c>
      <c r="N825">
        <v>37.676834999999997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1039</v>
      </c>
      <c r="C826" t="s">
        <v>1034</v>
      </c>
      <c r="D826">
        <v>2</v>
      </c>
      <c r="E826">
        <v>1851945</v>
      </c>
      <c r="F826">
        <v>906336</v>
      </c>
      <c r="G826">
        <v>277136</v>
      </c>
      <c r="H826">
        <v>628536</v>
      </c>
      <c r="I826">
        <v>0</v>
      </c>
      <c r="J826">
        <v>71.8925141</v>
      </c>
      <c r="K826">
        <v>74.966686499999994</v>
      </c>
      <c r="L826">
        <v>38.727888399999998</v>
      </c>
      <c r="M826">
        <v>43.905866799999998</v>
      </c>
      <c r="N826">
        <v>40.468226000000001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1039</v>
      </c>
      <c r="C827" t="s">
        <v>1034</v>
      </c>
      <c r="D827">
        <v>3</v>
      </c>
      <c r="E827">
        <v>2253858</v>
      </c>
      <c r="F827">
        <v>2429192</v>
      </c>
      <c r="G827">
        <v>918592</v>
      </c>
      <c r="H827">
        <v>1509936</v>
      </c>
      <c r="I827">
        <v>0</v>
      </c>
      <c r="J827">
        <v>73.097823000000005</v>
      </c>
      <c r="K827">
        <v>76.559704100000005</v>
      </c>
      <c r="L827">
        <v>41.3550817</v>
      </c>
      <c r="M827">
        <v>46.0918226</v>
      </c>
      <c r="N827">
        <v>43.351576299999998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1039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1039</v>
      </c>
      <c r="C830" t="s">
        <v>1034</v>
      </c>
      <c r="D830">
        <v>0</v>
      </c>
      <c r="E830">
        <v>3007270</v>
      </c>
      <c r="F830">
        <v>188392</v>
      </c>
      <c r="G830">
        <v>37584</v>
      </c>
      <c r="H830">
        <v>149984</v>
      </c>
      <c r="I830">
        <v>0</v>
      </c>
      <c r="J830">
        <v>63.204963900000003</v>
      </c>
      <c r="K830">
        <v>63.576480599999996</v>
      </c>
      <c r="L830">
        <v>30.7780247</v>
      </c>
      <c r="M830">
        <v>45.4485849</v>
      </c>
      <c r="N830">
        <v>46.043400900000002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1039</v>
      </c>
      <c r="C831" t="s">
        <v>1034</v>
      </c>
      <c r="D831">
        <v>1</v>
      </c>
      <c r="E831">
        <v>2859739</v>
      </c>
      <c r="F831">
        <v>466408</v>
      </c>
      <c r="G831">
        <v>116448</v>
      </c>
      <c r="H831">
        <v>349136</v>
      </c>
      <c r="I831">
        <v>0</v>
      </c>
      <c r="J831">
        <v>69.811497500000002</v>
      </c>
      <c r="K831">
        <v>70.903347800000006</v>
      </c>
      <c r="L831">
        <v>34.2211292</v>
      </c>
      <c r="M831">
        <v>46.976913000000003</v>
      </c>
      <c r="N831">
        <v>47.777142499999997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1039</v>
      </c>
      <c r="C832" t="s">
        <v>1034</v>
      </c>
      <c r="D832">
        <v>2</v>
      </c>
      <c r="E832">
        <v>3034912</v>
      </c>
      <c r="F832">
        <v>1188296</v>
      </c>
      <c r="G832">
        <v>376896</v>
      </c>
      <c r="H832">
        <v>810576</v>
      </c>
      <c r="I832">
        <v>0</v>
      </c>
      <c r="J832">
        <v>72.529009599999995</v>
      </c>
      <c r="K832">
        <v>75.440055299999997</v>
      </c>
      <c r="L832">
        <v>37.461927099999997</v>
      </c>
      <c r="M832">
        <v>48.801230699999998</v>
      </c>
      <c r="N832">
        <v>49.692536699999998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1039</v>
      </c>
      <c r="C833" t="s">
        <v>1034</v>
      </c>
      <c r="D833">
        <v>3</v>
      </c>
      <c r="E833">
        <v>3503125</v>
      </c>
      <c r="F833">
        <v>3026616</v>
      </c>
      <c r="G833">
        <v>1225792</v>
      </c>
      <c r="H833">
        <v>1800000</v>
      </c>
      <c r="I833">
        <v>0</v>
      </c>
      <c r="J833">
        <v>73.493193000000005</v>
      </c>
      <c r="K833">
        <v>76.741933399999994</v>
      </c>
      <c r="L833">
        <v>40.388772000000003</v>
      </c>
      <c r="M833">
        <v>50.670550300000002</v>
      </c>
      <c r="N833">
        <v>51.544593300000003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1039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1039</v>
      </c>
      <c r="C836" t="s">
        <v>1034</v>
      </c>
      <c r="D836">
        <v>0</v>
      </c>
      <c r="E836">
        <v>502000</v>
      </c>
      <c r="F836">
        <v>136872</v>
      </c>
      <c r="G836">
        <v>5552</v>
      </c>
      <c r="H836">
        <v>130856</v>
      </c>
      <c r="I836">
        <v>0</v>
      </c>
      <c r="J836">
        <v>46.070187799999999</v>
      </c>
      <c r="K836">
        <v>52.713215599999998</v>
      </c>
      <c r="L836">
        <v>18.6492726</v>
      </c>
      <c r="M836">
        <v>35.661831599999999</v>
      </c>
      <c r="N836">
        <v>35.493067099999998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1039</v>
      </c>
      <c r="C837" t="s">
        <v>1034</v>
      </c>
      <c r="D837">
        <v>1</v>
      </c>
      <c r="E837">
        <v>532998</v>
      </c>
      <c r="F837">
        <v>455712</v>
      </c>
      <c r="G837">
        <v>21280</v>
      </c>
      <c r="H837">
        <v>433968</v>
      </c>
      <c r="I837">
        <v>0</v>
      </c>
      <c r="J837">
        <v>51.536340099999997</v>
      </c>
      <c r="K837">
        <v>58.353620100000001</v>
      </c>
      <c r="L837">
        <v>19.7719342</v>
      </c>
      <c r="M837">
        <v>36.5429022</v>
      </c>
      <c r="N837">
        <v>36.299983400000002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1039</v>
      </c>
      <c r="C838" t="s">
        <v>1034</v>
      </c>
      <c r="D838">
        <v>2</v>
      </c>
      <c r="E838">
        <v>748322</v>
      </c>
      <c r="F838">
        <v>1494928</v>
      </c>
      <c r="G838">
        <v>101520</v>
      </c>
      <c r="H838">
        <v>1392944</v>
      </c>
      <c r="I838">
        <v>0</v>
      </c>
      <c r="J838">
        <v>58.046529100000001</v>
      </c>
      <c r="K838">
        <v>61.9193061</v>
      </c>
      <c r="L838">
        <v>20.825285999999998</v>
      </c>
      <c r="M838">
        <v>37.229344400000002</v>
      </c>
      <c r="N838">
        <v>36.992934499999997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1039</v>
      </c>
      <c r="C839" t="s">
        <v>1034</v>
      </c>
      <c r="D839">
        <v>3</v>
      </c>
      <c r="E839">
        <v>989794</v>
      </c>
      <c r="F839">
        <v>3628208</v>
      </c>
      <c r="G839">
        <v>446048</v>
      </c>
      <c r="H839">
        <v>3181696</v>
      </c>
      <c r="I839">
        <v>0</v>
      </c>
      <c r="J839">
        <v>59.622191800000003</v>
      </c>
      <c r="K839">
        <v>63.776589899999998</v>
      </c>
      <c r="L839">
        <v>21.556020499999999</v>
      </c>
      <c r="M839">
        <v>38.148183899999999</v>
      </c>
      <c r="N839">
        <v>37.917507100000002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1039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1039</v>
      </c>
      <c r="C842" t="s">
        <v>1034</v>
      </c>
      <c r="D842">
        <v>0</v>
      </c>
      <c r="E842">
        <v>586374</v>
      </c>
      <c r="F842">
        <v>28472</v>
      </c>
      <c r="G842">
        <v>5144</v>
      </c>
      <c r="H842">
        <v>22864</v>
      </c>
      <c r="I842">
        <v>0</v>
      </c>
      <c r="J842">
        <v>51.546671099999998</v>
      </c>
      <c r="K842">
        <v>53.888002200000003</v>
      </c>
      <c r="L842">
        <v>28.225167599999999</v>
      </c>
      <c r="M842">
        <v>40.141483899999997</v>
      </c>
      <c r="N842">
        <v>41.021787000000003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1039</v>
      </c>
      <c r="C843" t="s">
        <v>1034</v>
      </c>
      <c r="D843">
        <v>1</v>
      </c>
      <c r="E843">
        <v>577691</v>
      </c>
      <c r="F843">
        <v>79232</v>
      </c>
      <c r="G843">
        <v>16368</v>
      </c>
      <c r="H843">
        <v>62400</v>
      </c>
      <c r="I843">
        <v>0</v>
      </c>
      <c r="J843">
        <v>56.839413700000001</v>
      </c>
      <c r="K843">
        <v>59.153519600000003</v>
      </c>
      <c r="L843">
        <v>30.930051599999999</v>
      </c>
      <c r="M843">
        <v>41.486353700000002</v>
      </c>
      <c r="N843">
        <v>42.4633021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1039</v>
      </c>
      <c r="C844" t="s">
        <v>1034</v>
      </c>
      <c r="D844">
        <v>2</v>
      </c>
      <c r="E844">
        <v>700828</v>
      </c>
      <c r="F844">
        <v>254960</v>
      </c>
      <c r="G844">
        <v>69456</v>
      </c>
      <c r="H844">
        <v>185040</v>
      </c>
      <c r="I844">
        <v>0</v>
      </c>
      <c r="J844">
        <v>58.269922899999997</v>
      </c>
      <c r="K844">
        <v>61.257719299999998</v>
      </c>
      <c r="L844">
        <v>32.9085599</v>
      </c>
      <c r="M844">
        <v>43.825595100000001</v>
      </c>
      <c r="N844">
        <v>44.375182500000001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1039</v>
      </c>
      <c r="C845" t="s">
        <v>1034</v>
      </c>
      <c r="D845">
        <v>3</v>
      </c>
      <c r="E845">
        <v>906516</v>
      </c>
      <c r="F845">
        <v>771216</v>
      </c>
      <c r="G845">
        <v>297888</v>
      </c>
      <c r="H845">
        <v>472864</v>
      </c>
      <c r="I845">
        <v>0</v>
      </c>
      <c r="J845">
        <v>58.527166000000001</v>
      </c>
      <c r="K845">
        <v>61.445379699999997</v>
      </c>
      <c r="L845">
        <v>33.893015499999997</v>
      </c>
      <c r="M845">
        <v>45.291564200000003</v>
      </c>
      <c r="N845">
        <v>46.041190200000003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1039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1039</v>
      </c>
      <c r="C848" t="s">
        <v>1034</v>
      </c>
      <c r="D848">
        <v>0</v>
      </c>
      <c r="E848">
        <v>409679</v>
      </c>
      <c r="F848">
        <v>212856</v>
      </c>
      <c r="G848">
        <v>3192</v>
      </c>
      <c r="H848">
        <v>209192</v>
      </c>
      <c r="I848">
        <v>0</v>
      </c>
      <c r="J848">
        <v>50.357228999999997</v>
      </c>
      <c r="K848">
        <v>55.418549800000001</v>
      </c>
      <c r="L848">
        <v>15.7245857</v>
      </c>
      <c r="M848">
        <v>35.070901399999997</v>
      </c>
      <c r="N848">
        <v>32.112271200000002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1039</v>
      </c>
      <c r="C849" t="s">
        <v>1034</v>
      </c>
      <c r="D849">
        <v>1</v>
      </c>
      <c r="E849">
        <v>497555</v>
      </c>
      <c r="F849">
        <v>739312</v>
      </c>
      <c r="G849">
        <v>14080</v>
      </c>
      <c r="H849">
        <v>724760</v>
      </c>
      <c r="I849">
        <v>0</v>
      </c>
      <c r="J849">
        <v>55.099859100000003</v>
      </c>
      <c r="K849">
        <v>59.152903500000001</v>
      </c>
      <c r="L849">
        <v>16.394961200000001</v>
      </c>
      <c r="M849">
        <v>35.586485600000003</v>
      </c>
      <c r="N849">
        <v>32.837544700000002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1039</v>
      </c>
      <c r="C850" t="s">
        <v>1034</v>
      </c>
      <c r="D850">
        <v>2</v>
      </c>
      <c r="E850">
        <v>693201</v>
      </c>
      <c r="F850">
        <v>2003312</v>
      </c>
      <c r="G850">
        <v>72264</v>
      </c>
      <c r="H850">
        <v>1930576</v>
      </c>
      <c r="I850">
        <v>0</v>
      </c>
      <c r="J850">
        <v>58.075631100000003</v>
      </c>
      <c r="K850">
        <v>61.283169200000003</v>
      </c>
      <c r="L850">
        <v>16.911838299999999</v>
      </c>
      <c r="M850">
        <v>36.405222799999997</v>
      </c>
      <c r="N850">
        <v>33.8066508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1039</v>
      </c>
      <c r="C851" t="s">
        <v>1034</v>
      </c>
      <c r="D851">
        <v>3</v>
      </c>
      <c r="E851">
        <v>895481</v>
      </c>
      <c r="F851">
        <v>4344056</v>
      </c>
      <c r="G851">
        <v>329296</v>
      </c>
      <c r="H851">
        <v>4014288</v>
      </c>
      <c r="I851">
        <v>0</v>
      </c>
      <c r="J851">
        <v>60.468224999999997</v>
      </c>
      <c r="K851">
        <v>64.084509499999996</v>
      </c>
      <c r="L851">
        <v>17.6079975</v>
      </c>
      <c r="M851">
        <v>37.608032700000003</v>
      </c>
      <c r="N851">
        <v>35.120506499999998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1039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1039</v>
      </c>
      <c r="C854" t="s">
        <v>1034</v>
      </c>
      <c r="D854">
        <v>0</v>
      </c>
      <c r="E854">
        <v>479206</v>
      </c>
      <c r="F854">
        <v>152736</v>
      </c>
      <c r="G854">
        <v>10088</v>
      </c>
      <c r="H854">
        <v>142184</v>
      </c>
      <c r="I854">
        <v>0</v>
      </c>
      <c r="J854">
        <v>52.196788900000001</v>
      </c>
      <c r="K854">
        <v>56.682779699999998</v>
      </c>
      <c r="L854">
        <v>19.2699532</v>
      </c>
      <c r="M854">
        <v>31.0747447</v>
      </c>
      <c r="N854">
        <v>33.518898900000003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1039</v>
      </c>
      <c r="C855" t="s">
        <v>1034</v>
      </c>
      <c r="D855">
        <v>1</v>
      </c>
      <c r="E855">
        <v>584221</v>
      </c>
      <c r="F855">
        <v>555984</v>
      </c>
      <c r="G855">
        <v>40632</v>
      </c>
      <c r="H855">
        <v>514888</v>
      </c>
      <c r="I855">
        <v>0</v>
      </c>
      <c r="J855">
        <v>58.261846300000002</v>
      </c>
      <c r="K855">
        <v>61.798276600000001</v>
      </c>
      <c r="L855">
        <v>21.624494800000001</v>
      </c>
      <c r="M855">
        <v>33.135749799999999</v>
      </c>
      <c r="N855">
        <v>34.945938499999997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1039</v>
      </c>
      <c r="C856" t="s">
        <v>1034</v>
      </c>
      <c r="D856">
        <v>2</v>
      </c>
      <c r="E856">
        <v>960151</v>
      </c>
      <c r="F856">
        <v>1951448</v>
      </c>
      <c r="G856">
        <v>201696</v>
      </c>
      <c r="H856">
        <v>1749288</v>
      </c>
      <c r="I856">
        <v>0</v>
      </c>
      <c r="J856">
        <v>62.916471399999999</v>
      </c>
      <c r="K856">
        <v>65.801755400000005</v>
      </c>
      <c r="L856">
        <v>24.286937399999999</v>
      </c>
      <c r="M856">
        <v>35.748130699999997</v>
      </c>
      <c r="N856">
        <v>37.385680499999999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1039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1039</v>
      </c>
      <c r="C860" t="s">
        <v>1034</v>
      </c>
      <c r="D860">
        <v>0</v>
      </c>
      <c r="E860">
        <v>20103797</v>
      </c>
      <c r="F860">
        <v>3916824</v>
      </c>
      <c r="G860">
        <v>156144</v>
      </c>
      <c r="H860">
        <v>3758128</v>
      </c>
      <c r="I860">
        <v>0</v>
      </c>
      <c r="J860">
        <v>64.925865900000005</v>
      </c>
      <c r="K860">
        <v>67.087963400000007</v>
      </c>
      <c r="L860">
        <v>22.0120304</v>
      </c>
      <c r="M860">
        <v>35.414503799999999</v>
      </c>
      <c r="N860">
        <v>38.434853199999999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1039</v>
      </c>
      <c r="C861" t="s">
        <v>1034</v>
      </c>
      <c r="D861">
        <v>1</v>
      </c>
      <c r="E861">
        <v>17532956</v>
      </c>
      <c r="F861">
        <v>8475656</v>
      </c>
      <c r="G861">
        <v>498344</v>
      </c>
      <c r="H861">
        <v>7975000</v>
      </c>
      <c r="I861">
        <v>0</v>
      </c>
      <c r="J861">
        <v>71.361110100000005</v>
      </c>
      <c r="K861">
        <v>73.949040100000005</v>
      </c>
      <c r="L861">
        <v>24.554171799999999</v>
      </c>
      <c r="M861">
        <v>37.515614399999997</v>
      </c>
      <c r="N861">
        <v>40.280416799999998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1039</v>
      </c>
      <c r="C862" t="s">
        <v>1034</v>
      </c>
      <c r="D862">
        <v>2</v>
      </c>
      <c r="E862">
        <v>16641487</v>
      </c>
      <c r="F862">
        <v>18546944</v>
      </c>
      <c r="G862">
        <v>1682368</v>
      </c>
      <c r="H862">
        <v>16862344</v>
      </c>
      <c r="I862">
        <v>0</v>
      </c>
      <c r="J862">
        <v>77.161113599999993</v>
      </c>
      <c r="K862">
        <v>79.303161900000006</v>
      </c>
      <c r="L862">
        <v>26.931345199999999</v>
      </c>
      <c r="M862">
        <v>40.232241000000002</v>
      </c>
      <c r="N862">
        <v>42.6244899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1039</v>
      </c>
      <c r="C863" t="s">
        <v>1034</v>
      </c>
      <c r="D863">
        <v>3</v>
      </c>
      <c r="E863">
        <v>17602106</v>
      </c>
      <c r="F863">
        <v>37072896</v>
      </c>
      <c r="G863">
        <v>5521376</v>
      </c>
      <c r="H863">
        <v>31549208</v>
      </c>
      <c r="I863">
        <v>0</v>
      </c>
      <c r="J863">
        <v>80.546323900000004</v>
      </c>
      <c r="K863">
        <v>84.281968800000001</v>
      </c>
      <c r="L863">
        <v>28.559000000000001</v>
      </c>
      <c r="M863">
        <v>42.568083600000001</v>
      </c>
      <c r="N863">
        <v>44.645530899999997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1039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1039</v>
      </c>
      <c r="C866" t="s">
        <v>1034</v>
      </c>
      <c r="D866">
        <v>0</v>
      </c>
      <c r="E866">
        <v>18749745</v>
      </c>
      <c r="F866">
        <v>3925504</v>
      </c>
      <c r="G866">
        <v>202776</v>
      </c>
      <c r="H866">
        <v>3719936</v>
      </c>
      <c r="I866">
        <v>0</v>
      </c>
      <c r="J866">
        <v>65.336080699999997</v>
      </c>
      <c r="K866">
        <v>66.964672899999997</v>
      </c>
      <c r="L866">
        <v>22.325229100000001</v>
      </c>
      <c r="M866">
        <v>34.768139499999997</v>
      </c>
      <c r="N866">
        <v>36.233914800000001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1039</v>
      </c>
      <c r="C867" t="s">
        <v>1034</v>
      </c>
      <c r="D867">
        <v>1</v>
      </c>
      <c r="E867">
        <v>17972512</v>
      </c>
      <c r="F867">
        <v>9276160</v>
      </c>
      <c r="G867">
        <v>628720</v>
      </c>
      <c r="H867">
        <v>8644648</v>
      </c>
      <c r="I867">
        <v>0</v>
      </c>
      <c r="J867">
        <v>71.507615599999994</v>
      </c>
      <c r="K867">
        <v>74.038822100000004</v>
      </c>
      <c r="L867">
        <v>24.722241400000001</v>
      </c>
      <c r="M867">
        <v>37.092237699999998</v>
      </c>
      <c r="N867">
        <v>38.541046700000003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1039</v>
      </c>
      <c r="C868" t="s">
        <v>1034</v>
      </c>
      <c r="D868">
        <v>2</v>
      </c>
      <c r="E868">
        <v>18658018</v>
      </c>
      <c r="F868">
        <v>21329840</v>
      </c>
      <c r="G868">
        <v>2199168</v>
      </c>
      <c r="H868">
        <v>19127880</v>
      </c>
      <c r="I868">
        <v>0</v>
      </c>
      <c r="J868">
        <v>76.711945900000003</v>
      </c>
      <c r="K868">
        <v>79.501562800000002</v>
      </c>
      <c r="L868">
        <v>27.027702600000001</v>
      </c>
      <c r="M868">
        <v>39.814194999999998</v>
      </c>
      <c r="N868">
        <v>41.220239800000002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1039</v>
      </c>
      <c r="C869" t="s">
        <v>1034</v>
      </c>
      <c r="D869">
        <v>3</v>
      </c>
      <c r="E869">
        <v>23205468</v>
      </c>
      <c r="F869">
        <v>48032496</v>
      </c>
      <c r="G869">
        <v>7401128</v>
      </c>
      <c r="H869">
        <v>40628576</v>
      </c>
      <c r="I869">
        <v>0</v>
      </c>
      <c r="J869">
        <v>80.135772700000004</v>
      </c>
      <c r="K869">
        <v>84.514688500000005</v>
      </c>
      <c r="L869">
        <v>28.8223536</v>
      </c>
      <c r="M869">
        <v>42.2158406</v>
      </c>
      <c r="N869">
        <v>43.528897000000001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1039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1039</v>
      </c>
      <c r="C872" t="s">
        <v>1034</v>
      </c>
      <c r="D872">
        <v>0</v>
      </c>
      <c r="E872">
        <v>180502</v>
      </c>
      <c r="F872">
        <v>50136</v>
      </c>
      <c r="G872">
        <v>1752</v>
      </c>
      <c r="H872">
        <v>47920</v>
      </c>
      <c r="I872">
        <v>0</v>
      </c>
      <c r="J872">
        <v>46.952732900000001</v>
      </c>
      <c r="K872">
        <v>50.1928348</v>
      </c>
      <c r="L872">
        <v>20.656767899999998</v>
      </c>
      <c r="M872">
        <v>29.5377191</v>
      </c>
      <c r="N872">
        <v>32.1020726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1039</v>
      </c>
      <c r="C873" t="s">
        <v>1034</v>
      </c>
      <c r="D873">
        <v>1</v>
      </c>
      <c r="E873">
        <v>188050</v>
      </c>
      <c r="F873">
        <v>151200</v>
      </c>
      <c r="G873">
        <v>6272</v>
      </c>
      <c r="H873">
        <v>144464</v>
      </c>
      <c r="I873">
        <v>0</v>
      </c>
      <c r="J873">
        <v>55.3890916</v>
      </c>
      <c r="K873">
        <v>57.8094094</v>
      </c>
      <c r="L873">
        <v>23.536251100000001</v>
      </c>
      <c r="M873">
        <v>32.516852</v>
      </c>
      <c r="N873">
        <v>34.263508700000003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1039</v>
      </c>
      <c r="C874" t="s">
        <v>1034</v>
      </c>
      <c r="D874">
        <v>2</v>
      </c>
      <c r="E874">
        <v>221578</v>
      </c>
      <c r="F874">
        <v>420496</v>
      </c>
      <c r="G874">
        <v>25304</v>
      </c>
      <c r="H874">
        <v>394728</v>
      </c>
      <c r="I874">
        <v>0</v>
      </c>
      <c r="J874">
        <v>60.194295099999998</v>
      </c>
      <c r="K874">
        <v>62.679119100000001</v>
      </c>
      <c r="L874">
        <v>25.7198703</v>
      </c>
      <c r="M874">
        <v>35.088448900000003</v>
      </c>
      <c r="N874">
        <v>36.517071299999998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1039</v>
      </c>
      <c r="C875" t="s">
        <v>1034</v>
      </c>
      <c r="D875">
        <v>3</v>
      </c>
      <c r="E875">
        <v>279290</v>
      </c>
      <c r="F875">
        <v>1008936</v>
      </c>
      <c r="G875">
        <v>103896</v>
      </c>
      <c r="H875">
        <v>904576</v>
      </c>
      <c r="I875">
        <v>0</v>
      </c>
      <c r="J875">
        <v>61.732668099999998</v>
      </c>
      <c r="K875">
        <v>64.405444000000003</v>
      </c>
      <c r="L875">
        <v>27.225823999999999</v>
      </c>
      <c r="M875">
        <v>37.186356199999999</v>
      </c>
      <c r="N875">
        <v>38.664604099999998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1039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1039</v>
      </c>
      <c r="C878" t="s">
        <v>1034</v>
      </c>
      <c r="D878">
        <v>0</v>
      </c>
      <c r="E878">
        <v>17413699</v>
      </c>
      <c r="F878">
        <v>1929320</v>
      </c>
      <c r="G878">
        <v>266704</v>
      </c>
      <c r="H878">
        <v>1660152</v>
      </c>
      <c r="I878">
        <v>0</v>
      </c>
      <c r="J878">
        <v>67.247053699999995</v>
      </c>
      <c r="K878">
        <v>70.906901700000006</v>
      </c>
      <c r="L878">
        <v>27.1325593</v>
      </c>
      <c r="M878">
        <v>39.0182176</v>
      </c>
      <c r="N878">
        <v>37.436148099999997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1039</v>
      </c>
      <c r="C879" t="s">
        <v>1034</v>
      </c>
      <c r="D879">
        <v>1</v>
      </c>
      <c r="E879">
        <v>15043054</v>
      </c>
      <c r="F879">
        <v>4490144</v>
      </c>
      <c r="G879">
        <v>775272</v>
      </c>
      <c r="H879">
        <v>3712408</v>
      </c>
      <c r="I879">
        <v>0</v>
      </c>
      <c r="J879">
        <v>72.218742899999995</v>
      </c>
      <c r="K879">
        <v>76.5990793</v>
      </c>
      <c r="L879">
        <v>29.675697100000001</v>
      </c>
      <c r="M879">
        <v>41.787510300000001</v>
      </c>
      <c r="N879">
        <v>39.984704399999998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1039</v>
      </c>
      <c r="C880" t="s">
        <v>1034</v>
      </c>
      <c r="D880">
        <v>2</v>
      </c>
      <c r="E880">
        <v>16974088</v>
      </c>
      <c r="F880">
        <v>12487840</v>
      </c>
      <c r="G880">
        <v>3139784</v>
      </c>
      <c r="H880">
        <v>9345512</v>
      </c>
      <c r="I880">
        <v>0</v>
      </c>
      <c r="J880">
        <v>76.594478499999994</v>
      </c>
      <c r="K880">
        <v>80.964476000000005</v>
      </c>
      <c r="L880">
        <v>32.184052100000002</v>
      </c>
      <c r="M880">
        <v>44.766317200000003</v>
      </c>
      <c r="N880">
        <v>42.9199068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1039</v>
      </c>
      <c r="C881" t="s">
        <v>1034</v>
      </c>
      <c r="D881">
        <v>3</v>
      </c>
      <c r="E881">
        <v>20460326</v>
      </c>
      <c r="F881">
        <v>32857984</v>
      </c>
      <c r="G881">
        <v>11471008</v>
      </c>
      <c r="H881">
        <v>21384512</v>
      </c>
      <c r="I881">
        <v>0</v>
      </c>
      <c r="J881">
        <v>79.276860299999996</v>
      </c>
      <c r="K881">
        <v>84.051683600000004</v>
      </c>
      <c r="L881">
        <v>34.306908499999999</v>
      </c>
      <c r="M881">
        <v>47.363387799999998</v>
      </c>
      <c r="N881">
        <v>45.6515567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1039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1039</v>
      </c>
      <c r="C884" t="s">
        <v>1034</v>
      </c>
      <c r="D884">
        <v>0</v>
      </c>
      <c r="E884">
        <v>1615993</v>
      </c>
      <c r="F884">
        <v>459488</v>
      </c>
      <c r="G884">
        <v>75200</v>
      </c>
      <c r="H884">
        <v>383744</v>
      </c>
      <c r="I884">
        <v>0</v>
      </c>
      <c r="J884">
        <v>60.264397799999998</v>
      </c>
      <c r="K884">
        <v>61.162666999999999</v>
      </c>
      <c r="L884">
        <v>25.040660800000001</v>
      </c>
      <c r="M884">
        <v>36.147135300000002</v>
      </c>
      <c r="N884">
        <v>35.053662000000003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1039</v>
      </c>
      <c r="C885" t="s">
        <v>1034</v>
      </c>
      <c r="D885">
        <v>1</v>
      </c>
      <c r="E885">
        <v>1646961</v>
      </c>
      <c r="F885">
        <v>1221416</v>
      </c>
      <c r="G885">
        <v>292464</v>
      </c>
      <c r="H885">
        <v>928408</v>
      </c>
      <c r="I885">
        <v>0</v>
      </c>
      <c r="J885">
        <v>65.1920231</v>
      </c>
      <c r="K885">
        <v>68.421084500000006</v>
      </c>
      <c r="L885">
        <v>27.5533769</v>
      </c>
      <c r="M885">
        <v>38.860568299999997</v>
      </c>
      <c r="N885">
        <v>37.696316699999997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1039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1039</v>
      </c>
      <c r="C890" t="s">
        <v>1034</v>
      </c>
      <c r="D890">
        <v>0</v>
      </c>
      <c r="E890">
        <v>502997</v>
      </c>
      <c r="F890">
        <v>137480</v>
      </c>
      <c r="G890">
        <v>5560</v>
      </c>
      <c r="H890">
        <v>131440</v>
      </c>
      <c r="I890">
        <v>0</v>
      </c>
      <c r="J890">
        <v>46.175350600000002</v>
      </c>
      <c r="K890">
        <v>52.802708899999999</v>
      </c>
      <c r="L890">
        <v>18.6367358</v>
      </c>
      <c r="M890">
        <v>35.657435</v>
      </c>
      <c r="N890">
        <v>35.4534576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1039</v>
      </c>
      <c r="C891" t="s">
        <v>1034</v>
      </c>
      <c r="D891">
        <v>1</v>
      </c>
      <c r="E891">
        <v>533210</v>
      </c>
      <c r="F891">
        <v>458136</v>
      </c>
      <c r="G891">
        <v>21320</v>
      </c>
      <c r="H891">
        <v>436336</v>
      </c>
      <c r="I891">
        <v>0</v>
      </c>
      <c r="J891">
        <v>51.570795199999999</v>
      </c>
      <c r="K891">
        <v>58.444485299999997</v>
      </c>
      <c r="L891">
        <v>19.795380300000001</v>
      </c>
      <c r="M891">
        <v>36.515972900000001</v>
      </c>
      <c r="N891">
        <v>36.264542400000003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1039</v>
      </c>
      <c r="C892" t="s">
        <v>1034</v>
      </c>
      <c r="D892">
        <v>2</v>
      </c>
      <c r="E892">
        <v>748920</v>
      </c>
      <c r="F892">
        <v>1498536</v>
      </c>
      <c r="G892">
        <v>101760</v>
      </c>
      <c r="H892">
        <v>1396296</v>
      </c>
      <c r="I892">
        <v>0</v>
      </c>
      <c r="J892">
        <v>58.0573525</v>
      </c>
      <c r="K892">
        <v>61.929893900000003</v>
      </c>
      <c r="L892">
        <v>20.779879099999999</v>
      </c>
      <c r="M892">
        <v>37.182440100000001</v>
      </c>
      <c r="N892">
        <v>36.9551874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1039</v>
      </c>
      <c r="C893" t="s">
        <v>1034</v>
      </c>
      <c r="D893">
        <v>3</v>
      </c>
      <c r="E893">
        <v>990178</v>
      </c>
      <c r="F893">
        <v>3642904</v>
      </c>
      <c r="G893">
        <v>445984</v>
      </c>
      <c r="H893">
        <v>3196440</v>
      </c>
      <c r="I893">
        <v>0</v>
      </c>
      <c r="J893">
        <v>59.6374773</v>
      </c>
      <c r="K893">
        <v>63.799919299999999</v>
      </c>
      <c r="L893">
        <v>21.521552100000001</v>
      </c>
      <c r="M893">
        <v>38.105282199999998</v>
      </c>
      <c r="N893">
        <v>37.858203699999997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1039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1039</v>
      </c>
      <c r="C896" t="s">
        <v>1034</v>
      </c>
      <c r="D896">
        <v>0</v>
      </c>
      <c r="E896">
        <v>587470</v>
      </c>
      <c r="F896">
        <v>28416</v>
      </c>
      <c r="G896">
        <v>5144</v>
      </c>
      <c r="H896">
        <v>22792</v>
      </c>
      <c r="I896">
        <v>0</v>
      </c>
      <c r="J896">
        <v>51.559840899999998</v>
      </c>
      <c r="K896">
        <v>53.870537599999999</v>
      </c>
      <c r="L896">
        <v>28.324244700000001</v>
      </c>
      <c r="M896">
        <v>40.092090900000002</v>
      </c>
      <c r="N896">
        <v>41.075045000000003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1039</v>
      </c>
      <c r="C897" t="s">
        <v>1034</v>
      </c>
      <c r="D897">
        <v>1</v>
      </c>
      <c r="E897">
        <v>579099</v>
      </c>
      <c r="F897">
        <v>79960</v>
      </c>
      <c r="G897">
        <v>16360</v>
      </c>
      <c r="H897">
        <v>63120</v>
      </c>
      <c r="I897">
        <v>0</v>
      </c>
      <c r="J897">
        <v>56.909023699999999</v>
      </c>
      <c r="K897">
        <v>59.142528499999997</v>
      </c>
      <c r="L897">
        <v>31.0464208</v>
      </c>
      <c r="M897">
        <v>41.498446800000004</v>
      </c>
      <c r="N897">
        <v>42.446362299999997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1039</v>
      </c>
      <c r="C898" t="s">
        <v>1034</v>
      </c>
      <c r="D898">
        <v>2</v>
      </c>
      <c r="E898">
        <v>701346</v>
      </c>
      <c r="F898">
        <v>255424</v>
      </c>
      <c r="G898">
        <v>69512</v>
      </c>
      <c r="H898">
        <v>185432</v>
      </c>
      <c r="I898">
        <v>0</v>
      </c>
      <c r="J898">
        <v>58.282253799999999</v>
      </c>
      <c r="K898">
        <v>61.267094100000001</v>
      </c>
      <c r="L898">
        <v>32.921902799999998</v>
      </c>
      <c r="M898">
        <v>43.809116799999998</v>
      </c>
      <c r="N898">
        <v>44.356135600000002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1039</v>
      </c>
      <c r="C899" t="s">
        <v>1034</v>
      </c>
      <c r="D899">
        <v>3</v>
      </c>
      <c r="E899">
        <v>907354</v>
      </c>
      <c r="F899">
        <v>773024</v>
      </c>
      <c r="G899">
        <v>298184</v>
      </c>
      <c r="H899">
        <v>474360</v>
      </c>
      <c r="I899">
        <v>0</v>
      </c>
      <c r="J899">
        <v>58.552582299999997</v>
      </c>
      <c r="K899">
        <v>61.472007499999997</v>
      </c>
      <c r="L899">
        <v>33.912701400000003</v>
      </c>
      <c r="M899">
        <v>45.301363600000002</v>
      </c>
      <c r="N899">
        <v>46.0348063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1039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1039</v>
      </c>
      <c r="C902" t="s">
        <v>1034</v>
      </c>
      <c r="D902">
        <v>0</v>
      </c>
      <c r="E902">
        <v>1173039</v>
      </c>
      <c r="F902">
        <v>309640</v>
      </c>
      <c r="G902">
        <v>33448</v>
      </c>
      <c r="H902">
        <v>275632</v>
      </c>
      <c r="I902">
        <v>0</v>
      </c>
      <c r="J902">
        <v>58.678854800000003</v>
      </c>
      <c r="K902">
        <v>61.502268899999997</v>
      </c>
      <c r="L902">
        <v>22.755656999999999</v>
      </c>
      <c r="M902">
        <v>38.078338100000003</v>
      </c>
      <c r="N902">
        <v>37.100834999999996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1039</v>
      </c>
      <c r="C903" t="s">
        <v>1034</v>
      </c>
      <c r="D903">
        <v>1</v>
      </c>
      <c r="E903">
        <v>1275864</v>
      </c>
      <c r="F903">
        <v>852192</v>
      </c>
      <c r="G903">
        <v>131128</v>
      </c>
      <c r="H903">
        <v>720504</v>
      </c>
      <c r="I903">
        <v>0</v>
      </c>
      <c r="J903">
        <v>64.116185400000006</v>
      </c>
      <c r="K903">
        <v>67.757212499999994</v>
      </c>
      <c r="L903">
        <v>26.0882112</v>
      </c>
      <c r="M903">
        <v>39.7447497</v>
      </c>
      <c r="N903">
        <v>38.427130200000001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1039</v>
      </c>
      <c r="C904" t="s">
        <v>1034</v>
      </c>
      <c r="D904">
        <v>2</v>
      </c>
      <c r="E904">
        <v>1611808</v>
      </c>
      <c r="F904">
        <v>2340064</v>
      </c>
      <c r="G904">
        <v>563656</v>
      </c>
      <c r="H904">
        <v>1775848</v>
      </c>
      <c r="I904">
        <v>0</v>
      </c>
      <c r="J904">
        <v>68.331003999999993</v>
      </c>
      <c r="K904">
        <v>71.807965600000003</v>
      </c>
      <c r="L904">
        <v>29.237416400000001</v>
      </c>
      <c r="M904">
        <v>42.131515999999998</v>
      </c>
      <c r="N904">
        <v>40.254207600000001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1039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1039</v>
      </c>
      <c r="C908" t="s">
        <v>1034</v>
      </c>
      <c r="D908">
        <v>0</v>
      </c>
      <c r="E908">
        <v>7564171</v>
      </c>
      <c r="F908">
        <v>826776</v>
      </c>
      <c r="G908">
        <v>83072</v>
      </c>
      <c r="H908">
        <v>742584</v>
      </c>
      <c r="I908">
        <v>0</v>
      </c>
      <c r="J908">
        <v>63.885455</v>
      </c>
      <c r="K908">
        <v>70.563334299999994</v>
      </c>
      <c r="L908">
        <v>23.802108100000002</v>
      </c>
      <c r="M908">
        <v>39.028995899999998</v>
      </c>
      <c r="N908">
        <v>40.371978300000002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1039</v>
      </c>
      <c r="C909" t="s">
        <v>1034</v>
      </c>
      <c r="D909">
        <v>1</v>
      </c>
      <c r="E909">
        <v>7173648</v>
      </c>
      <c r="F909">
        <v>2532336</v>
      </c>
      <c r="G909">
        <v>301064</v>
      </c>
      <c r="H909">
        <v>2230152</v>
      </c>
      <c r="I909">
        <v>0</v>
      </c>
      <c r="J909">
        <v>69.570697300000006</v>
      </c>
      <c r="K909">
        <v>75.933896799999999</v>
      </c>
      <c r="L909">
        <v>26.1536884</v>
      </c>
      <c r="M909">
        <v>40.584500800000001</v>
      </c>
      <c r="N909">
        <v>41.771036100000003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1039</v>
      </c>
      <c r="C910" t="s">
        <v>1034</v>
      </c>
      <c r="D910">
        <v>2</v>
      </c>
      <c r="E910">
        <v>6950432</v>
      </c>
      <c r="F910">
        <v>7499712</v>
      </c>
      <c r="G910">
        <v>1358568</v>
      </c>
      <c r="H910">
        <v>6140024</v>
      </c>
      <c r="I910">
        <v>0</v>
      </c>
      <c r="J910">
        <v>75.388840000000002</v>
      </c>
      <c r="K910">
        <v>78.850034800000003</v>
      </c>
      <c r="L910">
        <v>28.5549629</v>
      </c>
      <c r="M910">
        <v>42.256046499999997</v>
      </c>
      <c r="N910">
        <v>43.190521699999998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1039</v>
      </c>
      <c r="C911" t="s">
        <v>1034</v>
      </c>
      <c r="D911">
        <v>3</v>
      </c>
      <c r="E911">
        <v>8050302</v>
      </c>
      <c r="F911">
        <v>19733552</v>
      </c>
      <c r="G911">
        <v>5649416</v>
      </c>
      <c r="H911">
        <v>14083016</v>
      </c>
      <c r="I911">
        <v>0</v>
      </c>
      <c r="J911">
        <v>77.587080499999999</v>
      </c>
      <c r="K911">
        <v>80.922107100000005</v>
      </c>
      <c r="L911">
        <v>30.0829229</v>
      </c>
      <c r="M911">
        <v>43.832329600000001</v>
      </c>
      <c r="N911">
        <v>44.667456999999999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1039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1039</v>
      </c>
      <c r="C914" t="s">
        <v>1034</v>
      </c>
      <c r="D914">
        <v>0</v>
      </c>
      <c r="E914">
        <v>10480723</v>
      </c>
      <c r="F914">
        <v>465536</v>
      </c>
      <c r="G914">
        <v>102792</v>
      </c>
      <c r="H914">
        <v>361064</v>
      </c>
      <c r="I914">
        <v>0</v>
      </c>
      <c r="J914">
        <v>68.088440500000004</v>
      </c>
      <c r="K914">
        <v>70.939423599999998</v>
      </c>
      <c r="L914">
        <v>28.966238400000002</v>
      </c>
      <c r="M914">
        <v>42.446032700000004</v>
      </c>
      <c r="N914">
        <v>44.321969899999999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1039</v>
      </c>
      <c r="C915" t="s">
        <v>1034</v>
      </c>
      <c r="D915">
        <v>1</v>
      </c>
      <c r="E915">
        <v>11073192</v>
      </c>
      <c r="F915">
        <v>1642248</v>
      </c>
      <c r="G915">
        <v>345936</v>
      </c>
      <c r="H915">
        <v>1294632</v>
      </c>
      <c r="I915">
        <v>0</v>
      </c>
      <c r="J915">
        <v>74.167904199999995</v>
      </c>
      <c r="K915">
        <v>76.876211600000005</v>
      </c>
      <c r="L915">
        <v>30.760033</v>
      </c>
      <c r="M915">
        <v>43.418811900000001</v>
      </c>
      <c r="N915">
        <v>45.271216600000002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1039</v>
      </c>
      <c r="C916" t="s">
        <v>1034</v>
      </c>
      <c r="D916">
        <v>2</v>
      </c>
      <c r="E916">
        <v>11500698</v>
      </c>
      <c r="F916">
        <v>5898128</v>
      </c>
      <c r="G916">
        <v>1357088</v>
      </c>
      <c r="H916">
        <v>4539360</v>
      </c>
      <c r="I916">
        <v>0</v>
      </c>
      <c r="J916">
        <v>78.595939200000004</v>
      </c>
      <c r="K916">
        <v>81.030003899999997</v>
      </c>
      <c r="L916">
        <v>32.837046899999997</v>
      </c>
      <c r="M916">
        <v>44.445515</v>
      </c>
      <c r="N916">
        <v>46.198992199999999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1039</v>
      </c>
      <c r="C917" t="s">
        <v>1034</v>
      </c>
      <c r="D917">
        <v>3</v>
      </c>
      <c r="E917">
        <v>11978556</v>
      </c>
      <c r="F917">
        <v>18093456</v>
      </c>
      <c r="G917">
        <v>5219896</v>
      </c>
      <c r="H917">
        <v>12871960</v>
      </c>
      <c r="I917">
        <v>0</v>
      </c>
      <c r="J917">
        <v>80.267802099999997</v>
      </c>
      <c r="K917">
        <v>83.192602100000002</v>
      </c>
      <c r="L917">
        <v>34.986443999999999</v>
      </c>
      <c r="M917">
        <v>45.641981399999999</v>
      </c>
      <c r="N917">
        <v>47.2264518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1039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1039</v>
      </c>
      <c r="C920" t="s">
        <v>1034</v>
      </c>
      <c r="D920">
        <v>0</v>
      </c>
      <c r="E920">
        <v>2968366</v>
      </c>
      <c r="F920">
        <v>183592</v>
      </c>
      <c r="G920">
        <v>57248</v>
      </c>
      <c r="H920">
        <v>125544</v>
      </c>
      <c r="I920">
        <v>0</v>
      </c>
      <c r="J920">
        <v>60.2619057</v>
      </c>
      <c r="K920">
        <v>64.108186200000006</v>
      </c>
      <c r="L920">
        <v>28.129732300000001</v>
      </c>
      <c r="M920">
        <v>43.1284037</v>
      </c>
      <c r="N920">
        <v>46.572836799999997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1039</v>
      </c>
      <c r="C921" t="s">
        <v>1034</v>
      </c>
      <c r="D921">
        <v>1</v>
      </c>
      <c r="E921">
        <v>3111846</v>
      </c>
      <c r="F921">
        <v>586240</v>
      </c>
      <c r="G921">
        <v>184344</v>
      </c>
      <c r="H921">
        <v>401096</v>
      </c>
      <c r="I921">
        <v>0</v>
      </c>
      <c r="J921">
        <v>66.021077399999996</v>
      </c>
      <c r="K921">
        <v>70.589765600000007</v>
      </c>
      <c r="L921">
        <v>30.098733800000002</v>
      </c>
      <c r="M921">
        <v>44.279817700000002</v>
      </c>
      <c r="N921">
        <v>47.231478500000001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1039</v>
      </c>
      <c r="C922" t="s">
        <v>1034</v>
      </c>
      <c r="D922">
        <v>2</v>
      </c>
      <c r="E922">
        <v>4307870</v>
      </c>
      <c r="F922">
        <v>2238600</v>
      </c>
      <c r="G922">
        <v>746376</v>
      </c>
      <c r="H922">
        <v>1491424</v>
      </c>
      <c r="I922">
        <v>0</v>
      </c>
      <c r="J922">
        <v>70.0934065</v>
      </c>
      <c r="K922">
        <v>72.997808000000006</v>
      </c>
      <c r="L922">
        <v>32.720010799999997</v>
      </c>
      <c r="M922">
        <v>45.5907506</v>
      </c>
      <c r="N922">
        <v>48.126238499999999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1039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1039</v>
      </c>
      <c r="C926" t="s">
        <v>1034</v>
      </c>
      <c r="D926">
        <v>0</v>
      </c>
      <c r="E926">
        <v>11467452</v>
      </c>
      <c r="F926">
        <v>1225128</v>
      </c>
      <c r="G926">
        <v>382536</v>
      </c>
      <c r="H926">
        <v>840912</v>
      </c>
      <c r="I926">
        <v>0</v>
      </c>
      <c r="J926">
        <v>67.644423399999994</v>
      </c>
      <c r="K926">
        <v>70.735707500000004</v>
      </c>
      <c r="L926">
        <v>26.181012200000001</v>
      </c>
      <c r="M926">
        <v>39.668319099999998</v>
      </c>
      <c r="N926">
        <v>44.117538799999998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1039</v>
      </c>
      <c r="C927" t="s">
        <v>1034</v>
      </c>
      <c r="D927">
        <v>1</v>
      </c>
      <c r="E927">
        <v>12715572</v>
      </c>
      <c r="F927">
        <v>4579128</v>
      </c>
      <c r="G927">
        <v>1340760</v>
      </c>
      <c r="H927">
        <v>3236688</v>
      </c>
      <c r="I927">
        <v>0</v>
      </c>
      <c r="J927">
        <v>71.407872699999999</v>
      </c>
      <c r="K927">
        <v>75.626333700000004</v>
      </c>
      <c r="L927">
        <v>28.281639299999998</v>
      </c>
      <c r="M927">
        <v>41.253201699999998</v>
      </c>
      <c r="N927">
        <v>45.491869600000001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1039</v>
      </c>
      <c r="C928" t="s">
        <v>1034</v>
      </c>
      <c r="D928">
        <v>2</v>
      </c>
      <c r="E928">
        <v>14569572</v>
      </c>
      <c r="F928">
        <v>15550416</v>
      </c>
      <c r="G928">
        <v>5438792</v>
      </c>
      <c r="H928">
        <v>10110024</v>
      </c>
      <c r="I928">
        <v>0</v>
      </c>
      <c r="J928">
        <v>73.446510599999996</v>
      </c>
      <c r="K928">
        <v>78.018283400000001</v>
      </c>
      <c r="L928">
        <v>30.425154500000001</v>
      </c>
      <c r="M928">
        <v>43.1786745</v>
      </c>
      <c r="N928">
        <v>47.044965900000001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1039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1039</v>
      </c>
      <c r="C932" t="s">
        <v>1034</v>
      </c>
      <c r="D932">
        <v>0</v>
      </c>
      <c r="E932">
        <v>2932810</v>
      </c>
      <c r="F932">
        <v>269176</v>
      </c>
      <c r="G932">
        <v>46800</v>
      </c>
      <c r="H932">
        <v>221576</v>
      </c>
      <c r="I932">
        <v>0</v>
      </c>
      <c r="J932">
        <v>61.587062500000002</v>
      </c>
      <c r="K932">
        <v>65.001511399999998</v>
      </c>
      <c r="L932">
        <v>25.919647300000001</v>
      </c>
      <c r="M932">
        <v>39.056271600000002</v>
      </c>
      <c r="N932">
        <v>40.992395999999999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1039</v>
      </c>
      <c r="C933" t="s">
        <v>1034</v>
      </c>
      <c r="D933">
        <v>1</v>
      </c>
      <c r="E933">
        <v>3389616</v>
      </c>
      <c r="F933">
        <v>914752</v>
      </c>
      <c r="G933">
        <v>170368</v>
      </c>
      <c r="H933">
        <v>743584</v>
      </c>
      <c r="I933">
        <v>0</v>
      </c>
      <c r="J933">
        <v>67.040953500000001</v>
      </c>
      <c r="K933">
        <v>69.787085200000007</v>
      </c>
      <c r="L933">
        <v>28.162225800000002</v>
      </c>
      <c r="M933">
        <v>40.224779900000001</v>
      </c>
      <c r="N933">
        <v>41.780496200000002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1039</v>
      </c>
      <c r="C934" t="s">
        <v>1034</v>
      </c>
      <c r="D934">
        <v>2</v>
      </c>
      <c r="E934">
        <v>3771063</v>
      </c>
      <c r="F934">
        <v>3012712</v>
      </c>
      <c r="G934">
        <v>792032</v>
      </c>
      <c r="H934">
        <v>2219880</v>
      </c>
      <c r="I934">
        <v>0</v>
      </c>
      <c r="J934">
        <v>69.597974600000001</v>
      </c>
      <c r="K934">
        <v>72.418960900000002</v>
      </c>
      <c r="L934">
        <v>29.9857926</v>
      </c>
      <c r="M934">
        <v>41.370947999999999</v>
      </c>
      <c r="N934">
        <v>42.5988708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1039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1039</v>
      </c>
      <c r="C938" t="s">
        <v>1034</v>
      </c>
      <c r="D938">
        <v>0</v>
      </c>
      <c r="E938">
        <v>12678341</v>
      </c>
      <c r="F938">
        <v>1540848</v>
      </c>
      <c r="G938">
        <v>81616</v>
      </c>
      <c r="H938">
        <v>1456992</v>
      </c>
      <c r="I938">
        <v>0</v>
      </c>
      <c r="J938">
        <v>67.459634899999998</v>
      </c>
      <c r="K938">
        <v>72.899014300000005</v>
      </c>
      <c r="L938">
        <v>23.443165400000002</v>
      </c>
      <c r="M938">
        <v>37.358382200000001</v>
      </c>
      <c r="N938">
        <v>38.3365054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1039</v>
      </c>
      <c r="C939" t="s">
        <v>1034</v>
      </c>
      <c r="D939">
        <v>1</v>
      </c>
      <c r="E939">
        <v>12865226</v>
      </c>
      <c r="F939">
        <v>5461176</v>
      </c>
      <c r="G939">
        <v>255080</v>
      </c>
      <c r="H939">
        <v>5203856</v>
      </c>
      <c r="I939">
        <v>0</v>
      </c>
      <c r="J939">
        <v>72.975370600000005</v>
      </c>
      <c r="K939">
        <v>77.5680251</v>
      </c>
      <c r="L939">
        <v>25.018633900000001</v>
      </c>
      <c r="M939">
        <v>38.519336299999999</v>
      </c>
      <c r="N939">
        <v>39.734424599999997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1039</v>
      </c>
      <c r="C940" t="s">
        <v>1034</v>
      </c>
      <c r="D940">
        <v>2</v>
      </c>
      <c r="E940">
        <v>14351090</v>
      </c>
      <c r="F940">
        <v>17081320</v>
      </c>
      <c r="G940">
        <v>1130048</v>
      </c>
      <c r="H940">
        <v>15949032</v>
      </c>
      <c r="I940">
        <v>0</v>
      </c>
      <c r="J940">
        <v>78.738511299999999</v>
      </c>
      <c r="K940">
        <v>80.6285898</v>
      </c>
      <c r="L940">
        <v>26.400218599999999</v>
      </c>
      <c r="M940">
        <v>39.970201099999997</v>
      </c>
      <c r="N940">
        <v>41.392204100000001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1039</v>
      </c>
      <c r="C941" t="s">
        <v>1034</v>
      </c>
      <c r="D941">
        <v>3</v>
      </c>
      <c r="E941">
        <v>15197668</v>
      </c>
      <c r="F941">
        <v>39675000</v>
      </c>
      <c r="G941">
        <v>4821984</v>
      </c>
      <c r="H941">
        <v>34850936</v>
      </c>
      <c r="I941">
        <v>0</v>
      </c>
      <c r="J941">
        <v>81.322508999999997</v>
      </c>
      <c r="K941">
        <v>82.667553799999993</v>
      </c>
      <c r="L941">
        <v>27.359781099999999</v>
      </c>
      <c r="M941">
        <v>41.480946199999998</v>
      </c>
      <c r="N941">
        <v>43.002332600000003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1039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1039</v>
      </c>
      <c r="C944" t="s">
        <v>1034</v>
      </c>
      <c r="D944">
        <v>0</v>
      </c>
      <c r="E944">
        <v>409744</v>
      </c>
      <c r="F944">
        <v>213656</v>
      </c>
      <c r="G944">
        <v>3184</v>
      </c>
      <c r="H944">
        <v>209992</v>
      </c>
      <c r="I944">
        <v>0</v>
      </c>
      <c r="J944">
        <v>50.359291900000002</v>
      </c>
      <c r="K944">
        <v>55.305787199999997</v>
      </c>
      <c r="L944">
        <v>15.7305302</v>
      </c>
      <c r="M944">
        <v>35.058159099999997</v>
      </c>
      <c r="N944">
        <v>32.125098000000001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1039</v>
      </c>
      <c r="C945" t="s">
        <v>1034</v>
      </c>
      <c r="D945">
        <v>1</v>
      </c>
      <c r="E945">
        <v>498022</v>
      </c>
      <c r="F945">
        <v>740640</v>
      </c>
      <c r="G945">
        <v>14104</v>
      </c>
      <c r="H945">
        <v>726056</v>
      </c>
      <c r="I945">
        <v>0</v>
      </c>
      <c r="J945">
        <v>55.110064899999998</v>
      </c>
      <c r="K945">
        <v>59.143869100000003</v>
      </c>
      <c r="L945">
        <v>16.392826400000001</v>
      </c>
      <c r="M945">
        <v>35.566255499999997</v>
      </c>
      <c r="N945">
        <v>32.818310099999998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1039</v>
      </c>
      <c r="C946" t="s">
        <v>1034</v>
      </c>
      <c r="D946">
        <v>2</v>
      </c>
      <c r="E946">
        <v>693767</v>
      </c>
      <c r="F946">
        <v>2004920</v>
      </c>
      <c r="G946">
        <v>72288</v>
      </c>
      <c r="H946">
        <v>1932152</v>
      </c>
      <c r="I946">
        <v>0</v>
      </c>
      <c r="J946">
        <v>58.080359199999997</v>
      </c>
      <c r="K946">
        <v>61.284763699999999</v>
      </c>
      <c r="L946">
        <v>16.902063600000002</v>
      </c>
      <c r="M946">
        <v>36.408613899999999</v>
      </c>
      <c r="N946">
        <v>33.801622299999998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1039</v>
      </c>
      <c r="C947" t="s">
        <v>1034</v>
      </c>
      <c r="D947">
        <v>3</v>
      </c>
      <c r="E947">
        <v>895915</v>
      </c>
      <c r="F947">
        <v>4347824</v>
      </c>
      <c r="G947">
        <v>328992</v>
      </c>
      <c r="H947">
        <v>4018352</v>
      </c>
      <c r="I947">
        <v>0</v>
      </c>
      <c r="J947">
        <v>60.4728043</v>
      </c>
      <c r="K947">
        <v>64.090328</v>
      </c>
      <c r="L947">
        <v>17.6215233</v>
      </c>
      <c r="M947">
        <v>37.610865500000003</v>
      </c>
      <c r="N947">
        <v>35.119750600000003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1039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1039</v>
      </c>
      <c r="C950" t="s">
        <v>1034</v>
      </c>
      <c r="D950">
        <v>0</v>
      </c>
      <c r="E950">
        <v>478789</v>
      </c>
      <c r="F950">
        <v>152072</v>
      </c>
      <c r="G950">
        <v>10056</v>
      </c>
      <c r="H950">
        <v>141536</v>
      </c>
      <c r="I950">
        <v>0</v>
      </c>
      <c r="J950">
        <v>52.200437999999998</v>
      </c>
      <c r="K950">
        <v>56.662706200000002</v>
      </c>
      <c r="L950">
        <v>19.2298078</v>
      </c>
      <c r="M950">
        <v>31.040065899999998</v>
      </c>
      <c r="N950">
        <v>33.512925799999998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1039</v>
      </c>
      <c r="C951" t="s">
        <v>1034</v>
      </c>
      <c r="D951">
        <v>1</v>
      </c>
      <c r="E951">
        <v>583919</v>
      </c>
      <c r="F951">
        <v>558808</v>
      </c>
      <c r="G951">
        <v>40584</v>
      </c>
      <c r="H951">
        <v>517744</v>
      </c>
      <c r="I951">
        <v>0</v>
      </c>
      <c r="J951">
        <v>58.294127799999998</v>
      </c>
      <c r="K951">
        <v>61.820855000000002</v>
      </c>
      <c r="L951">
        <v>21.628024</v>
      </c>
      <c r="M951">
        <v>33.109469300000001</v>
      </c>
      <c r="N951">
        <v>34.939733099999998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1039</v>
      </c>
      <c r="C952" t="s">
        <v>1034</v>
      </c>
      <c r="D952">
        <v>2</v>
      </c>
      <c r="E952">
        <v>960594</v>
      </c>
      <c r="F952">
        <v>1958000</v>
      </c>
      <c r="G952">
        <v>201016</v>
      </c>
      <c r="H952">
        <v>1756504</v>
      </c>
      <c r="I952">
        <v>0</v>
      </c>
      <c r="J952">
        <v>62.948207400000001</v>
      </c>
      <c r="K952">
        <v>65.826142599999997</v>
      </c>
      <c r="L952">
        <v>24.479623100000001</v>
      </c>
      <c r="M952">
        <v>35.698995699999998</v>
      </c>
      <c r="N952">
        <v>37.350443800000001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1039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1039</v>
      </c>
      <c r="C956" t="s">
        <v>1034</v>
      </c>
      <c r="D956">
        <v>0</v>
      </c>
      <c r="E956">
        <v>20107527</v>
      </c>
      <c r="F956">
        <v>3915400</v>
      </c>
      <c r="G956">
        <v>156248</v>
      </c>
      <c r="H956">
        <v>3756592</v>
      </c>
      <c r="I956">
        <v>0</v>
      </c>
      <c r="J956">
        <v>64.920308599999998</v>
      </c>
      <c r="K956">
        <v>67.0900386</v>
      </c>
      <c r="L956">
        <v>21.996480699999999</v>
      </c>
      <c r="M956">
        <v>35.410786199999997</v>
      </c>
      <c r="N956">
        <v>38.4098355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1039</v>
      </c>
      <c r="C957" t="s">
        <v>1034</v>
      </c>
      <c r="D957">
        <v>1</v>
      </c>
      <c r="E957">
        <v>17532475</v>
      </c>
      <c r="F957">
        <v>8483488</v>
      </c>
      <c r="G957">
        <v>498256</v>
      </c>
      <c r="H957">
        <v>7982912</v>
      </c>
      <c r="I957">
        <v>0</v>
      </c>
      <c r="J957">
        <v>71.376576499999999</v>
      </c>
      <c r="K957">
        <v>73.955725599999994</v>
      </c>
      <c r="L957">
        <v>24.542880799999999</v>
      </c>
      <c r="M957">
        <v>37.504543300000002</v>
      </c>
      <c r="N957">
        <v>40.268058099999998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1039</v>
      </c>
      <c r="C958" t="s">
        <v>1034</v>
      </c>
      <c r="D958">
        <v>2</v>
      </c>
      <c r="E958">
        <v>16642182</v>
      </c>
      <c r="F958">
        <v>18557344</v>
      </c>
      <c r="G958">
        <v>1682328</v>
      </c>
      <c r="H958">
        <v>16872776</v>
      </c>
      <c r="I958">
        <v>0</v>
      </c>
      <c r="J958">
        <v>77.220964699999996</v>
      </c>
      <c r="K958">
        <v>79.367673600000003</v>
      </c>
      <c r="L958">
        <v>26.919003400000001</v>
      </c>
      <c r="M958">
        <v>40.205762999999997</v>
      </c>
      <c r="N958">
        <v>42.606909000000002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1039</v>
      </c>
      <c r="C959" t="s">
        <v>1034</v>
      </c>
      <c r="D959">
        <v>3</v>
      </c>
      <c r="E959">
        <v>17598332</v>
      </c>
      <c r="F959">
        <v>37094960</v>
      </c>
      <c r="G959">
        <v>5521464</v>
      </c>
      <c r="H959">
        <v>31571176</v>
      </c>
      <c r="I959">
        <v>0</v>
      </c>
      <c r="J959">
        <v>80.5656508</v>
      </c>
      <c r="K959">
        <v>84.302645900000002</v>
      </c>
      <c r="L959">
        <v>28.5720396</v>
      </c>
      <c r="M959">
        <v>42.533124600000001</v>
      </c>
      <c r="N959">
        <v>44.622329899999997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1039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1039</v>
      </c>
      <c r="C962" t="s">
        <v>1034</v>
      </c>
      <c r="D962">
        <v>0</v>
      </c>
      <c r="E962">
        <v>18758638</v>
      </c>
      <c r="F962">
        <v>3931024</v>
      </c>
      <c r="G962">
        <v>202880</v>
      </c>
      <c r="H962">
        <v>3725344</v>
      </c>
      <c r="I962">
        <v>0</v>
      </c>
      <c r="J962">
        <v>65.353019500000002</v>
      </c>
      <c r="K962">
        <v>66.960304100000002</v>
      </c>
      <c r="L962">
        <v>22.316514099999999</v>
      </c>
      <c r="M962">
        <v>34.767052100000001</v>
      </c>
      <c r="N962">
        <v>36.228940899999998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1039</v>
      </c>
      <c r="C963" t="s">
        <v>1034</v>
      </c>
      <c r="D963">
        <v>1</v>
      </c>
      <c r="E963">
        <v>17956851</v>
      </c>
      <c r="F963">
        <v>9280128</v>
      </c>
      <c r="G963">
        <v>628632</v>
      </c>
      <c r="H963">
        <v>8648696</v>
      </c>
      <c r="I963">
        <v>0</v>
      </c>
      <c r="J963">
        <v>71.512857600000004</v>
      </c>
      <c r="K963">
        <v>74.049237500000004</v>
      </c>
      <c r="L963">
        <v>24.712095999999999</v>
      </c>
      <c r="M963">
        <v>37.078712400000001</v>
      </c>
      <c r="N963">
        <v>38.5206029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1039</v>
      </c>
      <c r="C964" t="s">
        <v>1034</v>
      </c>
      <c r="D964">
        <v>2</v>
      </c>
      <c r="E964">
        <v>18660573</v>
      </c>
      <c r="F964">
        <v>21338408</v>
      </c>
      <c r="G964">
        <v>2200256</v>
      </c>
      <c r="H964">
        <v>19135352</v>
      </c>
      <c r="I964">
        <v>0</v>
      </c>
      <c r="J964">
        <v>76.778334400000006</v>
      </c>
      <c r="K964">
        <v>79.591677000000004</v>
      </c>
      <c r="L964">
        <v>27.033839400000002</v>
      </c>
      <c r="M964">
        <v>39.787417699999999</v>
      </c>
      <c r="N964">
        <v>41.196331700000002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1039</v>
      </c>
      <c r="C965" t="s">
        <v>1034</v>
      </c>
      <c r="D965">
        <v>3</v>
      </c>
      <c r="E965">
        <v>23218626</v>
      </c>
      <c r="F965">
        <v>48110504</v>
      </c>
      <c r="G965">
        <v>7411376</v>
      </c>
      <c r="H965">
        <v>40696328</v>
      </c>
      <c r="I965">
        <v>0</v>
      </c>
      <c r="J965">
        <v>80.154251200000004</v>
      </c>
      <c r="K965">
        <v>84.522926200000001</v>
      </c>
      <c r="L965">
        <v>28.820902400000001</v>
      </c>
      <c r="M965">
        <v>42.203665200000003</v>
      </c>
      <c r="N965">
        <v>43.5179799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1039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1039</v>
      </c>
      <c r="C968" t="s">
        <v>1034</v>
      </c>
      <c r="D968">
        <v>0</v>
      </c>
      <c r="E968">
        <v>179128</v>
      </c>
      <c r="F968">
        <v>49720</v>
      </c>
      <c r="G968">
        <v>1752</v>
      </c>
      <c r="H968">
        <v>47488</v>
      </c>
      <c r="I968">
        <v>0</v>
      </c>
      <c r="J968">
        <v>46.8989306</v>
      </c>
      <c r="K968">
        <v>50.293195099999998</v>
      </c>
      <c r="L968">
        <v>20.624364199999999</v>
      </c>
      <c r="M968">
        <v>29.540520900000001</v>
      </c>
      <c r="N968">
        <v>32.144945800000002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1039</v>
      </c>
      <c r="C969" t="s">
        <v>1034</v>
      </c>
      <c r="D969">
        <v>1</v>
      </c>
      <c r="E969">
        <v>189063</v>
      </c>
      <c r="F969">
        <v>152304</v>
      </c>
      <c r="G969">
        <v>6288</v>
      </c>
      <c r="H969">
        <v>145536</v>
      </c>
      <c r="I969">
        <v>0</v>
      </c>
      <c r="J969">
        <v>55.431299000000003</v>
      </c>
      <c r="K969">
        <v>57.8345713</v>
      </c>
      <c r="L969">
        <v>23.4699566</v>
      </c>
      <c r="M969">
        <v>32.443091600000002</v>
      </c>
      <c r="N969">
        <v>34.227623700000002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1039</v>
      </c>
      <c r="C970" t="s">
        <v>1034</v>
      </c>
      <c r="D970">
        <v>2</v>
      </c>
      <c r="E970">
        <v>221343</v>
      </c>
      <c r="F970">
        <v>420144</v>
      </c>
      <c r="G970">
        <v>25296</v>
      </c>
      <c r="H970">
        <v>394368</v>
      </c>
      <c r="I970">
        <v>0</v>
      </c>
      <c r="J970">
        <v>60.203992599999999</v>
      </c>
      <c r="K970">
        <v>62.684333700000003</v>
      </c>
      <c r="L970">
        <v>25.650928400000002</v>
      </c>
      <c r="M970">
        <v>34.962989100000001</v>
      </c>
      <c r="N970">
        <v>36.452720999999997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1039</v>
      </c>
      <c r="C971" t="s">
        <v>1034</v>
      </c>
      <c r="D971">
        <v>3</v>
      </c>
      <c r="E971">
        <v>278948</v>
      </c>
      <c r="F971">
        <v>1010256</v>
      </c>
      <c r="G971">
        <v>104120</v>
      </c>
      <c r="H971">
        <v>905656</v>
      </c>
      <c r="I971">
        <v>0</v>
      </c>
      <c r="J971">
        <v>61.758085800000003</v>
      </c>
      <c r="K971">
        <v>64.425036000000006</v>
      </c>
      <c r="L971">
        <v>27.2224775</v>
      </c>
      <c r="M971">
        <v>37.170701700000002</v>
      </c>
      <c r="N971">
        <v>38.6224366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1039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1039</v>
      </c>
      <c r="C974" t="s">
        <v>1034</v>
      </c>
      <c r="D974">
        <v>0</v>
      </c>
      <c r="E974">
        <v>17420776</v>
      </c>
      <c r="F974">
        <v>1931384</v>
      </c>
      <c r="G974">
        <v>266064</v>
      </c>
      <c r="H974">
        <v>1662840</v>
      </c>
      <c r="I974">
        <v>0</v>
      </c>
      <c r="J974">
        <v>67.267676800000004</v>
      </c>
      <c r="K974">
        <v>70.884035100000006</v>
      </c>
      <c r="L974">
        <v>27.092221800000001</v>
      </c>
      <c r="M974">
        <v>38.986384600000001</v>
      </c>
      <c r="N974">
        <v>37.439812500000002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1039</v>
      </c>
      <c r="C975" t="s">
        <v>1034</v>
      </c>
      <c r="D975">
        <v>1</v>
      </c>
      <c r="E975">
        <v>15038251</v>
      </c>
      <c r="F975">
        <v>4495408</v>
      </c>
      <c r="G975">
        <v>774208</v>
      </c>
      <c r="H975">
        <v>3718720</v>
      </c>
      <c r="I975">
        <v>0</v>
      </c>
      <c r="J975">
        <v>72.223116899999994</v>
      </c>
      <c r="K975">
        <v>76.594861100000003</v>
      </c>
      <c r="L975">
        <v>29.576706300000001</v>
      </c>
      <c r="M975">
        <v>41.752726799999998</v>
      </c>
      <c r="N975">
        <v>39.938677200000001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1039</v>
      </c>
      <c r="C976" t="s">
        <v>1034</v>
      </c>
      <c r="D976">
        <v>2</v>
      </c>
      <c r="E976">
        <v>16990914</v>
      </c>
      <c r="F976">
        <v>12513416</v>
      </c>
      <c r="G976">
        <v>3141112</v>
      </c>
      <c r="H976">
        <v>9369744</v>
      </c>
      <c r="I976">
        <v>0</v>
      </c>
      <c r="J976">
        <v>76.638013400000006</v>
      </c>
      <c r="K976">
        <v>80.999489400000002</v>
      </c>
      <c r="L976">
        <v>32.016514399999998</v>
      </c>
      <c r="M976">
        <v>44.695193799999998</v>
      </c>
      <c r="N976">
        <v>42.8268512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1039</v>
      </c>
      <c r="C977" t="s">
        <v>1034</v>
      </c>
      <c r="D977">
        <v>3</v>
      </c>
      <c r="E977">
        <v>20467460</v>
      </c>
      <c r="F977">
        <v>32919696</v>
      </c>
      <c r="G977">
        <v>11469824</v>
      </c>
      <c r="H977">
        <v>21447392</v>
      </c>
      <c r="I977">
        <v>0</v>
      </c>
      <c r="J977">
        <v>79.332207100000005</v>
      </c>
      <c r="K977">
        <v>84.097035500000004</v>
      </c>
      <c r="L977">
        <v>34.065140700000001</v>
      </c>
      <c r="M977">
        <v>47.244600200000001</v>
      </c>
      <c r="N977">
        <v>45.469904800000002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1039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1039</v>
      </c>
      <c r="C980" t="s">
        <v>1034</v>
      </c>
      <c r="D980">
        <v>0</v>
      </c>
      <c r="E980">
        <v>1614223</v>
      </c>
      <c r="F980">
        <v>460168</v>
      </c>
      <c r="G980">
        <v>75072</v>
      </c>
      <c r="H980">
        <v>384536</v>
      </c>
      <c r="I980">
        <v>0</v>
      </c>
      <c r="J980">
        <v>60.251482199999998</v>
      </c>
      <c r="K980">
        <v>61.134673499999998</v>
      </c>
      <c r="L980">
        <v>25.0195936</v>
      </c>
      <c r="M980">
        <v>36.1083377</v>
      </c>
      <c r="N980">
        <v>35.021937000000001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1039</v>
      </c>
      <c r="C981" t="s">
        <v>1034</v>
      </c>
      <c r="D981">
        <v>1</v>
      </c>
      <c r="E981">
        <v>1646436</v>
      </c>
      <c r="F981">
        <v>1226000</v>
      </c>
      <c r="G981">
        <v>292768</v>
      </c>
      <c r="H981">
        <v>932672</v>
      </c>
      <c r="I981">
        <v>0</v>
      </c>
      <c r="J981">
        <v>65.193117000000001</v>
      </c>
      <c r="K981">
        <v>68.409656499999997</v>
      </c>
      <c r="L981">
        <v>27.545340800000002</v>
      </c>
      <c r="M981">
        <v>38.862092699999998</v>
      </c>
      <c r="N981">
        <v>37.684565800000001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1039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8371A9B2F58942932503DC52E58014" ma:contentTypeVersion="16" ma:contentTypeDescription="Create a new document." ma:contentTypeScope="" ma:versionID="ffde462093c9e457f5f59631d1147aeb">
  <xsd:schema xmlns:xsd="http://www.w3.org/2001/XMLSchema" xmlns:xs="http://www.w3.org/2001/XMLSchema" xmlns:p="http://schemas.microsoft.com/office/2006/metadata/properties" xmlns:ns2="c872df49-ebad-488d-a324-025e4f6ab39d" xmlns:ns3="229579ab-57a9-4bef-bc1b-2624410c5e1c" targetNamespace="http://schemas.microsoft.com/office/2006/metadata/properties" ma:root="true" ma:fieldsID="ae5974671ea7f0bc05535c1666151f7f" ns2:_="" ns3:_="">
    <xsd:import namespace="c872df49-ebad-488d-a324-025e4f6ab39d"/>
    <xsd:import namespace="229579ab-57a9-4bef-bc1b-2624410c5e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72df49-ebad-488d-a324-025e4f6ab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dbd0030-07c0-4a98-9599-2ee23b3d86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579ab-57a9-4bef-bc1b-2624410c5e1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5a11255-d231-44fb-ac06-d878e89fe159}" ma:internalName="TaxCatchAll" ma:showField="CatchAllData" ma:web="229579ab-57a9-4bef-bc1b-2624410c5e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29579ab-57a9-4bef-bc1b-2624410c5e1c" xsi:nil="true"/>
    <lcf76f155ced4ddcb4097134ff3c332f xmlns="c872df49-ebad-488d-a324-025e4f6ab39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AE1E649-CEEE-4B81-B0B5-B4AFC16202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72df49-ebad-488d-a324-025e4f6ab39d"/>
    <ds:schemaRef ds:uri="229579ab-57a9-4bef-bc1b-2624410c5e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B9A0FF4-AEFF-4044-8F17-3B086B8DF1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37C721-283F-4815-94FE-925648E92215}">
  <ds:schemaRefs>
    <ds:schemaRef ds:uri="http://schemas.microsoft.com/office/2006/metadata/properties"/>
    <ds:schemaRef ds:uri="http://schemas.microsoft.com/office/infopath/2007/PartnerControls"/>
    <ds:schemaRef ds:uri="229579ab-57a9-4bef-bc1b-2624410c5e1c"/>
    <ds:schemaRef ds:uri="c872df49-ebad-488d-a324-025e4f6ab39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Summary</vt:lpstr>
      <vt:lpstr>Graphs</vt:lpstr>
      <vt:lpstr>C1 losslG,lossyA,intra</vt:lpstr>
      <vt:lpstr>names</vt:lpstr>
      <vt:lpstr>C2 lossyG,lossyA,intra</vt:lpstr>
      <vt:lpstr>CW losslG,losslA,intra</vt:lpstr>
      <vt:lpstr>CY losslG,nearllA,intra</vt:lpstr>
      <vt:lpstr>Reference</vt:lpstr>
      <vt:lpstr>Test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>kai yao</dc:creator>
  <cp:lastModifiedBy>kai yao</cp:lastModifiedBy>
  <dcterms:created xsi:type="dcterms:W3CDTF">2020-10-16T02:04:07Z</dcterms:created>
  <dcterms:modified xsi:type="dcterms:W3CDTF">2023-03-08T12:54:35Z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ctc-mpeg127-2-gb50375c
</vt:lpwstr>
  </property>
  <property fmtid="{D5CDD505-2E9C-101B-9397-08002B2CF9AE}" pid="4" name="Generated on">
    <vt:filetime>2020-10-16T02:04:07Z</vt:filetime>
  </property>
  <property fmtid="{D5CDD505-2E9C-101B-9397-08002B2CF9AE}" pid="5" name="ContentTypeId">
    <vt:lpwstr>0x010100598371A9B2F58942932503DC52E58014</vt:lpwstr>
  </property>
  <property fmtid="{D5CDD505-2E9C-101B-9397-08002B2CF9AE}" pid="6" name="MediaServiceImageTags">
    <vt:lpwstr/>
  </property>
</Properties>
</file>