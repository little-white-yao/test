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result\"/>
    </mc:Choice>
  </mc:AlternateContent>
  <xr:revisionPtr revIDLastSave="0" documentId="13_ncr:1_{28345451-D1BB-4F25-8D66-A26DB2317D82}" xr6:coauthVersionLast="47" xr6:coauthVersionMax="47" xr10:uidLastSave="{00000000-0000-0000-0000-000000000000}"/>
  <bookViews>
    <workbookView xWindow="-120" yWindow="-120" windowWidth="38640" windowHeight="21120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65" i="5"/>
  <c r="AZ107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I221" i="5"/>
  <c r="BC101" i="5"/>
  <c r="BC263" i="5"/>
  <c r="BD113" i="5"/>
  <c r="BJ173" i="5"/>
  <c r="BD65" i="5"/>
  <c r="BG131" i="5"/>
  <c r="BJ167" i="5"/>
  <c r="BB269" i="5"/>
  <c r="BI71" i="5"/>
  <c r="BC143" i="5"/>
  <c r="BJ101" i="5"/>
  <c r="BH47" i="5"/>
  <c r="BI35" i="5"/>
  <c r="BC167" i="5"/>
  <c r="BG107" i="5"/>
  <c r="BC191" i="5"/>
  <c r="BI11" i="5"/>
  <c r="BB239" i="5"/>
  <c r="BJ89" i="5"/>
  <c r="BH77" i="5"/>
  <c r="BH137" i="5"/>
  <c r="BI173" i="5"/>
  <c r="BA269" i="5"/>
  <c r="BA227" i="5"/>
  <c r="AZ179" i="5"/>
  <c r="AZ59" i="5"/>
  <c r="BA47" i="5"/>
  <c r="BA53" i="5"/>
  <c r="BK239" i="5"/>
  <c r="BB41" i="5"/>
  <c r="BK167" i="5"/>
  <c r="BJ245" i="5"/>
  <c r="BJ23" i="5"/>
  <c r="BJ41" i="5"/>
  <c r="BK191" i="5"/>
  <c r="BB71" i="5"/>
  <c r="BD185" i="5"/>
  <c r="BI53" i="5"/>
  <c r="AZ227" i="5"/>
  <c r="BA101" i="5"/>
  <c r="BA29" i="5"/>
  <c r="BK71" i="5"/>
  <c r="BI131" i="5"/>
  <c r="BI59" i="5"/>
  <c r="BB185" i="5"/>
  <c r="BC179" i="5"/>
  <c r="BJ35" i="5"/>
  <c r="BD179" i="5"/>
  <c r="BH203" i="5"/>
  <c r="BC269" i="5"/>
  <c r="BB263" i="5"/>
  <c r="BH23" i="5"/>
  <c r="BI143" i="5"/>
  <c r="BD41" i="5"/>
  <c r="BC227" i="5"/>
  <c r="BB197" i="5"/>
  <c r="BG113" i="5"/>
  <c r="BD23" i="5"/>
  <c r="BC119" i="5"/>
  <c r="AZ221" i="5"/>
  <c r="AZ173" i="5"/>
  <c r="AZ47" i="5"/>
  <c r="BH155" i="5"/>
  <c r="BJ161" i="5"/>
  <c r="BJ209" i="5"/>
  <c r="BK275" i="5"/>
  <c r="BH197" i="5"/>
  <c r="BI107" i="5"/>
  <c r="BD47" i="5"/>
  <c r="BJ137" i="5"/>
  <c r="BG179" i="5"/>
  <c r="BJ275" i="5"/>
  <c r="BJ119" i="5"/>
  <c r="BB137" i="5"/>
  <c r="BB245" i="5"/>
  <c r="BB275" i="5"/>
  <c r="BH101" i="5"/>
  <c r="BD77" i="5"/>
  <c r="BJ197" i="5"/>
  <c r="BB191" i="5"/>
  <c r="BD11" i="5"/>
  <c r="BI227" i="5"/>
  <c r="BG35" i="5"/>
  <c r="BG53" i="5"/>
  <c r="BC59" i="5"/>
  <c r="BH179" i="5"/>
  <c r="BJ113" i="5"/>
  <c r="BK23" i="5"/>
  <c r="AZ215" i="5"/>
  <c r="BA221" i="5"/>
  <c r="BA167" i="5"/>
  <c r="BA95" i="5"/>
  <c r="BA41" i="5"/>
  <c r="BH59" i="5"/>
  <c r="AZ251" i="5"/>
  <c r="BG137" i="5"/>
  <c r="BC233" i="5"/>
  <c r="BD245" i="5"/>
  <c r="BC131" i="5"/>
  <c r="BK107" i="5"/>
  <c r="BH209" i="5"/>
  <c r="BC29" i="5"/>
  <c r="BB11" i="5"/>
  <c r="BK269" i="5"/>
  <c r="BI83" i="5"/>
  <c r="BC173" i="5"/>
  <c r="BC203" i="5"/>
  <c r="BG47" i="5"/>
  <c r="BG269" i="5"/>
  <c r="BI203" i="5"/>
  <c r="BI137" i="5"/>
  <c r="BJ59" i="5"/>
  <c r="BK65" i="5"/>
  <c r="BD221" i="5"/>
  <c r="BJ5" i="5"/>
  <c r="BJ143" i="5"/>
  <c r="BB107" i="5"/>
  <c r="BD83" i="5"/>
  <c r="BG143" i="5"/>
  <c r="BD227" i="5"/>
  <c r="BA215" i="5"/>
  <c r="AZ263" i="5"/>
  <c r="AZ161" i="5"/>
  <c r="BA89" i="5"/>
  <c r="AZ41" i="5"/>
  <c r="BA263" i="5"/>
  <c r="AZ77" i="5"/>
  <c r="BG17" i="5"/>
  <c r="AZ257" i="5"/>
  <c r="AZ119" i="5"/>
  <c r="BC71" i="5"/>
  <c r="BD263" i="5"/>
  <c r="BD125" i="5"/>
  <c r="BB143" i="5"/>
  <c r="BH251" i="5"/>
  <c r="BB227" i="5"/>
  <c r="AZ203" i="5"/>
  <c r="BD275" i="5"/>
  <c r="BI125" i="5"/>
  <c r="BG77" i="5"/>
  <c r="BI47" i="5"/>
  <c r="BI251" i="5"/>
  <c r="BK221" i="5"/>
  <c r="BJ227" i="5"/>
  <c r="BI215" i="5"/>
  <c r="BD5" i="5"/>
  <c r="BJ65" i="5"/>
  <c r="BD71" i="5"/>
  <c r="BK197" i="5"/>
  <c r="BK161" i="5"/>
  <c r="BJ155" i="5"/>
  <c r="BC185" i="5"/>
  <c r="BK11" i="5"/>
  <c r="BI275" i="5"/>
  <c r="BJ29" i="5"/>
  <c r="BC35" i="5"/>
  <c r="BD89" i="5"/>
  <c r="BB161" i="5"/>
  <c r="BB221" i="5"/>
  <c r="BC5" i="5"/>
  <c r="BJ191" i="5"/>
  <c r="BI95" i="5"/>
  <c r="BI149" i="5"/>
  <c r="BH83" i="5"/>
  <c r="BA209" i="5"/>
  <c r="BA161" i="5"/>
  <c r="BA35" i="5"/>
  <c r="BJ131" i="5"/>
  <c r="BA155" i="5"/>
  <c r="BK143" i="5"/>
  <c r="BK53" i="5"/>
  <c r="BK5" i="5"/>
  <c r="BJ47" i="5"/>
  <c r="BD251" i="5"/>
  <c r="AZ149" i="5"/>
  <c r="BG89" i="5"/>
  <c r="BG41" i="5"/>
  <c r="BC197" i="5"/>
  <c r="BA65" i="5"/>
  <c r="BG71" i="5"/>
  <c r="BD161" i="5"/>
  <c r="BH17" i="5"/>
  <c r="BK149" i="5"/>
  <c r="BH71" i="5"/>
  <c r="BG95" i="5"/>
  <c r="BC137" i="5"/>
  <c r="BD29" i="5"/>
  <c r="BB233" i="5"/>
  <c r="BG191" i="5"/>
  <c r="BI5" i="5"/>
  <c r="BC251" i="5"/>
  <c r="BB209" i="5"/>
  <c r="BI41" i="5"/>
  <c r="BC257" i="5"/>
  <c r="BH53" i="5"/>
  <c r="BB173" i="5"/>
  <c r="BB257" i="5"/>
  <c r="BK137" i="5"/>
  <c r="BK47" i="5"/>
  <c r="BC53" i="5"/>
  <c r="BA257" i="5"/>
  <c r="AZ35" i="5"/>
  <c r="BK245" i="5"/>
  <c r="BG83" i="5"/>
  <c r="BJ17" i="5"/>
  <c r="BI167" i="5"/>
  <c r="BH269" i="5"/>
  <c r="BK257" i="5"/>
  <c r="BJ221" i="5"/>
  <c r="BA59" i="5"/>
  <c r="AZ239" i="5"/>
  <c r="BK35" i="5"/>
  <c r="BD107" i="5"/>
  <c r="BC77" i="5"/>
  <c r="BH173" i="5"/>
  <c r="BK203" i="5"/>
  <c r="BJ269" i="5"/>
  <c r="BD53" i="5"/>
  <c r="BC221" i="5"/>
  <c r="BJ11" i="5"/>
  <c r="BH149" i="5"/>
  <c r="BD137" i="5"/>
  <c r="BC95" i="5"/>
  <c r="BB167" i="5"/>
  <c r="BG197" i="5"/>
  <c r="BG173" i="5"/>
  <c r="BC23" i="5"/>
  <c r="BG251" i="5"/>
  <c r="BJ107" i="5"/>
  <c r="BC47" i="5"/>
  <c r="BH275" i="5"/>
  <c r="BB53" i="5"/>
  <c r="BH185" i="5"/>
  <c r="BD155" i="5"/>
  <c r="BB29" i="5"/>
  <c r="BG11" i="5"/>
  <c r="BD149" i="5"/>
  <c r="BG275" i="5"/>
  <c r="BA251" i="5"/>
  <c r="AZ209" i="5"/>
  <c r="AZ155" i="5"/>
  <c r="AZ71" i="5"/>
  <c r="AZ29" i="5"/>
  <c r="BI209" i="5"/>
  <c r="BI191" i="5"/>
  <c r="BK251" i="5"/>
  <c r="BG233" i="5"/>
  <c r="BA143" i="5"/>
  <c r="BH221" i="5"/>
  <c r="BI197" i="5"/>
  <c r="AZ131" i="5"/>
  <c r="BG227" i="5"/>
  <c r="BA83" i="5"/>
  <c r="BA125" i="5"/>
  <c r="BI17" i="5"/>
  <c r="BG215" i="5"/>
  <c r="BG161" i="5"/>
  <c r="BI269" i="5"/>
  <c r="BB65" i="5"/>
  <c r="BC41" i="5"/>
  <c r="BD203" i="5"/>
  <c r="BH29" i="5"/>
  <c r="BG5" i="5"/>
  <c r="BI185" i="5"/>
  <c r="BK155" i="5"/>
  <c r="BC245" i="5"/>
  <c r="BJ149" i="5"/>
  <c r="BH89" i="5"/>
  <c r="BH161" i="5"/>
  <c r="BH65" i="5"/>
  <c r="BI179" i="5"/>
  <c r="BI161" i="5"/>
  <c r="BH227" i="5"/>
  <c r="BH107" i="5"/>
  <c r="BK185" i="5"/>
  <c r="BH131" i="5"/>
  <c r="BC149" i="5"/>
  <c r="BB47" i="5"/>
  <c r="BC107" i="5"/>
  <c r="BA203" i="5"/>
  <c r="BA245" i="5"/>
  <c r="AZ143" i="5"/>
  <c r="BA149" i="5"/>
  <c r="BA107" i="5"/>
  <c r="BA23" i="5"/>
  <c r="BI245" i="5"/>
  <c r="BJ179" i="5"/>
  <c r="BH11" i="5"/>
  <c r="BC11" i="5"/>
  <c r="BB89" i="5"/>
  <c r="BH143" i="5"/>
  <c r="BC209" i="5"/>
  <c r="BD131" i="5"/>
  <c r="BA197" i="5"/>
  <c r="AZ101" i="5"/>
  <c r="AZ83" i="5"/>
  <c r="BB5" i="5"/>
  <c r="BC125" i="5"/>
  <c r="BD17" i="5"/>
  <c r="BB95" i="5"/>
  <c r="BK131" i="5"/>
  <c r="AZ197" i="5"/>
  <c r="BA77" i="5"/>
  <c r="BB215" i="5"/>
  <c r="BJ71" i="5"/>
  <c r="BK101" i="5"/>
  <c r="BJ203" i="5"/>
  <c r="BD95" i="5"/>
  <c r="BA5" i="5"/>
  <c r="BA131" i="5"/>
  <c r="BC275" i="5"/>
  <c r="BC113" i="5"/>
  <c r="BG239" i="5"/>
  <c r="BD209" i="5"/>
  <c r="BD233" i="5"/>
  <c r="BH233" i="5"/>
  <c r="BD59" i="5"/>
  <c r="BG245" i="5"/>
  <c r="BK95" i="5"/>
  <c r="BB77" i="5"/>
  <c r="BJ251" i="5"/>
  <c r="BJ263" i="5"/>
  <c r="BH125" i="5"/>
  <c r="BB179" i="5"/>
  <c r="BI65" i="5"/>
  <c r="AZ245" i="5"/>
  <c r="AZ167" i="5"/>
  <c r="AZ23" i="5"/>
  <c r="BJ125" i="5"/>
  <c r="BG209" i="5"/>
  <c r="AZ191" i="5"/>
  <c r="AZ95" i="5"/>
  <c r="BA17" i="5"/>
  <c r="AZ89" i="5"/>
  <c r="BH167" i="5"/>
  <c r="BK119" i="5"/>
  <c r="BD173" i="5"/>
  <c r="BA191" i="5"/>
  <c r="BK83" i="5"/>
  <c r="BK173" i="5"/>
  <c r="BD269" i="5"/>
  <c r="BD35" i="5"/>
  <c r="BI23" i="5"/>
  <c r="BB131" i="5"/>
  <c r="BJ95" i="5"/>
  <c r="BB155" i="5"/>
  <c r="BH95" i="5"/>
  <c r="BG203" i="5"/>
  <c r="BB23" i="5"/>
  <c r="BG185" i="5"/>
  <c r="BD167" i="5"/>
  <c r="BG257" i="5"/>
  <c r="BB35" i="5"/>
  <c r="BH35" i="5"/>
  <c r="BA137" i="5"/>
  <c r="BC17" i="5"/>
  <c r="BJ185" i="5"/>
  <c r="BB83" i="5"/>
  <c r="BB149" i="5"/>
  <c r="BH215" i="5"/>
  <c r="BI119" i="5"/>
  <c r="BK125" i="5"/>
  <c r="BH119" i="5"/>
  <c r="BG65" i="5"/>
  <c r="BK179" i="5"/>
  <c r="BI233" i="5"/>
  <c r="BB251" i="5"/>
  <c r="BD119" i="5"/>
  <c r="BG29" i="5"/>
  <c r="BC215" i="5"/>
  <c r="BB17" i="5"/>
  <c r="BC65" i="5"/>
  <c r="BB101" i="5"/>
  <c r="BG263" i="5"/>
  <c r="BI155" i="5"/>
  <c r="BD143" i="5"/>
  <c r="BK29" i="5"/>
  <c r="BI101" i="5"/>
  <c r="BJ257" i="5"/>
  <c r="AZ275" i="5"/>
  <c r="BA239" i="5"/>
  <c r="BA173" i="5"/>
  <c r="BA119" i="5"/>
  <c r="AZ113" i="5"/>
  <c r="AZ5" i="5"/>
  <c r="BK233" i="5"/>
  <c r="BH41" i="5"/>
  <c r="BA275" i="5"/>
  <c r="AZ137" i="5"/>
  <c r="BA113" i="5"/>
  <c r="BK41" i="5"/>
  <c r="BJ239" i="5"/>
  <c r="AZ17" i="5"/>
  <c r="BK209" i="5"/>
  <c r="BG155" i="5"/>
  <c r="BB203" i="5"/>
  <c r="BB119" i="5"/>
  <c r="BK227" i="5"/>
  <c r="BB59" i="5"/>
  <c r="BK263" i="5"/>
  <c r="BD191" i="5"/>
  <c r="BK17" i="5"/>
  <c r="BI257" i="5"/>
  <c r="BK77" i="5"/>
  <c r="BC89" i="5"/>
  <c r="BH263" i="5"/>
  <c r="BC161" i="5"/>
  <c r="BI263" i="5"/>
  <c r="BC83" i="5"/>
  <c r="BJ83" i="5"/>
  <c r="BG23" i="5"/>
  <c r="BC155" i="5"/>
  <c r="BD239" i="5"/>
  <c r="BH257" i="5"/>
  <c r="BA185" i="5"/>
  <c r="BA71" i="5"/>
  <c r="AZ11" i="5"/>
  <c r="BJ233" i="5"/>
  <c r="BI239" i="5"/>
  <c r="BK89" i="5"/>
  <c r="BG59" i="5"/>
  <c r="BK59" i="5"/>
  <c r="BH5" i="5"/>
  <c r="BD215" i="5"/>
  <c r="BH191" i="5"/>
  <c r="BJ77" i="5"/>
  <c r="BG221" i="5"/>
  <c r="BB113" i="5"/>
  <c r="BB125" i="5"/>
  <c r="BG125" i="5"/>
  <c r="BD101" i="5"/>
  <c r="BG167" i="5"/>
  <c r="BG149" i="5"/>
  <c r="BH245" i="5"/>
  <c r="BH239" i="5"/>
  <c r="BD257" i="5"/>
  <c r="BI29" i="5"/>
  <c r="BC239" i="5"/>
  <c r="BK113" i="5"/>
  <c r="BD197" i="5"/>
  <c r="BG101" i="5"/>
  <c r="BI77" i="5"/>
  <c r="AZ269" i="5"/>
  <c r="AZ185" i="5"/>
  <c r="BA179" i="5"/>
  <c r="AZ125" i="5"/>
  <c r="AZ53" i="5"/>
  <c r="BA11" i="5"/>
  <c r="BI89" i="5"/>
  <c r="BI113" i="5"/>
  <c r="BK215" i="5"/>
  <c r="BJ215" i="5"/>
  <c r="BH113" i="5"/>
  <c r="BG119" i="5"/>
  <c r="BJ53" i="5"/>
  <c r="BA233" i="5"/>
  <c r="AZ233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<sst xmlns="http://schemas.openxmlformats.org/spreadsheetml/2006/main" count="7103" uniqueCount="1048">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</sst>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B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95" t="s">
        <v>1041</v>
      </c>
      <c r="D1" s="95"/>
      <c r="E1" s="95"/>
    </row>
    <row r="2" spans="2:6" x14ac:dyDescent="0.15">
      <c r="B2" t="s">
        <v>1</v>
      </c>
      <c r="C2" s="96" t="s">
        <v>1042</v>
      </c>
      <c r="D2" s="96"/>
      <c r="E2" s="96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100" t="e">
        <f>'C1 losslG,lossyA,intra'!AP370</f>
        <v>#NUM!</v>
      </c>
      <c r="D17" s="100"/>
      <c r="E17" s="100"/>
      <c r="F17" s="100"/>
    </row>
    <row r="18" spans="2:8" x14ac:dyDescent="0.15">
      <c r="B18" s="8" t="s">
        <v>417</v>
      </c>
      <c r="C18" s="101" t="e">
        <f>'C1 losslG,lossyA,intra'!AQ370</f>
        <v>#NUM!</v>
      </c>
      <c r="D18" s="101"/>
      <c r="E18" s="101"/>
      <c r="F18" s="101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2" t="s">
        <v>474</v>
      </c>
      <c r="H21" s="102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4.6032372789502523E-3</v>
      </c>
      <c r="H23" s="3">
        <f>'C2 lossyG,lossyA,intra'!$BA$359:$BA$359</f>
        <v>4.5568234368092864E-3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4.2663321742042919E-3</v>
      </c>
      <c r="H24" s="3">
        <f>'C2 lossyG,lossyA,intra'!$BA$360:$BA$360</f>
        <v>4.3943848968289083E-3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9.2778696410351143E-4</v>
      </c>
      <c r="H25" s="3">
        <f>'C2 lossyG,lossyA,intra'!$BA$361:$BA$361</f>
        <v>9.425565269068286E-4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8.6499291687505003E-4</v>
      </c>
      <c r="H26" s="3">
        <f>'C2 lossyG,lossyA,intra'!$BA$362:$BA$362</f>
        <v>8.8913408723820947E-4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2.4959802379986126E-3</v>
      </c>
      <c r="H30" s="6">
        <f>'C2 lossyG,lossyA,intra'!$BA$366:$BA$366</f>
        <v>2.5315909528522453E-3</v>
      </c>
    </row>
    <row r="31" spans="2:8" x14ac:dyDescent="0.15">
      <c r="B31" t="s">
        <v>416</v>
      </c>
      <c r="C31" s="100">
        <f>'C2 lossyG,lossyA,intra'!AT370</f>
        <v>0.97485240233957859</v>
      </c>
      <c r="D31" s="100"/>
      <c r="E31" s="100"/>
      <c r="F31" s="100"/>
      <c r="G31" s="100"/>
      <c r="H31" s="100"/>
    </row>
    <row r="32" spans="2:8" x14ac:dyDescent="0.15">
      <c r="B32" s="8" t="s">
        <v>417</v>
      </c>
      <c r="C32" s="101">
        <f>'C2 lossyG,lossyA,intra'!AU370</f>
        <v>0.97982435178136751</v>
      </c>
      <c r="D32" s="101"/>
      <c r="E32" s="101"/>
      <c r="F32" s="101"/>
      <c r="G32" s="101"/>
      <c r="H32" s="101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100" t="e">
        <f>'CW losslG,losslA,intra'!AI75</f>
        <v>#NUM!</v>
      </c>
      <c r="D45" s="100"/>
      <c r="E45" s="100"/>
      <c r="F45" s="100"/>
    </row>
    <row r="46" spans="2:6" x14ac:dyDescent="0.15">
      <c r="B46" s="8" t="s">
        <v>417</v>
      </c>
      <c r="C46" s="101" t="e">
        <f>'CW losslG,losslA,intra'!AJ75</f>
        <v>#NUM!</v>
      </c>
      <c r="D46" s="101"/>
      <c r="E46" s="101"/>
      <c r="F46" s="101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100" t="e">
        <f>'CY losslG,nearllA,intra'!AX311</f>
        <v>#NUM!</v>
      </c>
      <c r="D59" s="100"/>
      <c r="E59" s="100"/>
      <c r="F59" s="100"/>
    </row>
    <row r="60" spans="2:6" x14ac:dyDescent="0.15">
      <c r="B60" s="8" t="s">
        <v>417</v>
      </c>
      <c r="C60" s="101" t="e">
        <f>'CY losslG,nearllA,intra'!AY311</f>
        <v>#NUM!</v>
      </c>
      <c r="D60" s="101"/>
      <c r="E60" s="101"/>
      <c r="F60" s="101"/>
    </row>
  </sheetData>
  <mergeCells count="23">
    <mergeCell ref="C59:F59"/>
    <mergeCell ref="C60:F60"/>
    <mergeCell ref="C45:F45"/>
    <mergeCell ref="C46:F46"/>
    <mergeCell ref="B48:B50"/>
    <mergeCell ref="C48:F48"/>
    <mergeCell ref="C49:F49"/>
    <mergeCell ref="C31:H31"/>
    <mergeCell ref="C32:H32"/>
    <mergeCell ref="B34:B36"/>
    <mergeCell ref="C34:F34"/>
    <mergeCell ref="C35:F35"/>
    <mergeCell ref="C17:F17"/>
    <mergeCell ref="C18:F18"/>
    <mergeCell ref="B20:B22"/>
    <mergeCell ref="C20:H20"/>
    <mergeCell ref="C21:F21"/>
    <mergeCell ref="G21:H21"/>
    <mergeCell ref="C1:E1"/>
    <mergeCell ref="C2:E2"/>
    <mergeCell ref="B6:B8"/>
    <mergeCell ref="C6:F6"/>
    <mergeCell ref="C7:F7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7" t="s">
        <v>218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AA1" s="96" t="str">
        <f>Summary!C2</f>
        <v>v20.0-rc1-trisoup-raht+18edges+flagCtx_test</v>
      </c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</row>
    <row r="2" spans="1:56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4" t="s">
        <v>155</v>
      </c>
      <c r="Y2" s="103" t="s">
        <v>158</v>
      </c>
      <c r="AA2" s="104" t="s">
        <v>112</v>
      </c>
      <c r="AB2" s="106" t="s">
        <v>115</v>
      </c>
      <c r="AC2" s="106"/>
      <c r="AD2" s="106"/>
      <c r="AE2" s="106"/>
      <c r="AF2" s="104" t="s">
        <v>128</v>
      </c>
      <c r="AG2" s="103" t="s">
        <v>22</v>
      </c>
      <c r="AH2" s="105" t="s">
        <v>133</v>
      </c>
      <c r="AI2" s="105"/>
      <c r="AJ2" s="105"/>
      <c r="AK2" s="105"/>
      <c r="AL2" s="106" t="s">
        <v>143</v>
      </c>
      <c r="AM2" s="106"/>
      <c r="AN2" s="106"/>
      <c r="AO2" s="106"/>
      <c r="AP2" s="104" t="s">
        <v>155</v>
      </c>
      <c r="AQ2" s="103" t="s">
        <v>158</v>
      </c>
      <c r="AS2" s="104" t="s">
        <v>195</v>
      </c>
      <c r="AT2" s="103" t="s">
        <v>195</v>
      </c>
      <c r="AV2" s="105" t="s">
        <v>200</v>
      </c>
      <c r="AW2" s="105"/>
      <c r="AX2" s="105"/>
      <c r="AY2" s="105"/>
      <c r="BA2" s="106" t="s">
        <v>209</v>
      </c>
      <c r="BB2" s="106"/>
      <c r="BC2" s="106"/>
      <c r="BD2" s="106"/>
    </row>
    <row r="3" spans="1:56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4"/>
      <c r="Y3" s="103"/>
      <c r="AA3" s="104"/>
      <c r="AB3" s="11" t="s">
        <v>116</v>
      </c>
      <c r="AC3" s="11" t="s">
        <v>119</v>
      </c>
      <c r="AD3" s="11" t="s">
        <v>122</v>
      </c>
      <c r="AE3" s="11" t="s">
        <v>125</v>
      </c>
      <c r="AF3" s="104"/>
      <c r="AG3" s="103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4"/>
      <c r="AQ3" s="103"/>
      <c r="AS3" s="104"/>
      <c r="AT3" s="103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W50" activePane="bottomRight" state="frozen"/>
      <selection pane="topRight" activeCell="C1" sqref="C1"/>
      <selection pane="bottomLeft" activeCell="A5" sqref="A5"/>
      <selection pane="bottomRight" activeCell="AK62" sqref="AK62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7" t="s">
        <v>492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C1" s="96" t="str">
        <f>Summary!C2</f>
        <v>v20.0-rc1-trisoup-raht+18edges+flagCtx_test</v>
      </c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</row>
    <row r="2" spans="1:6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438</v>
      </c>
      <c r="U2" s="106"/>
      <c r="V2" s="105" t="s">
        <v>143</v>
      </c>
      <c r="W2" s="105"/>
      <c r="X2" s="105"/>
      <c r="Y2" s="105"/>
      <c r="Z2" s="103" t="s">
        <v>155</v>
      </c>
      <c r="AA2" s="104" t="s">
        <v>158</v>
      </c>
      <c r="AC2" s="103" t="s">
        <v>112</v>
      </c>
      <c r="AD2" s="105" t="s">
        <v>115</v>
      </c>
      <c r="AE2" s="105"/>
      <c r="AF2" s="105"/>
      <c r="AG2" s="105"/>
      <c r="AH2" s="103" t="s">
        <v>128</v>
      </c>
      <c r="AI2" s="104" t="s">
        <v>22</v>
      </c>
      <c r="AJ2" s="106" t="s">
        <v>133</v>
      </c>
      <c r="AK2" s="106"/>
      <c r="AL2" s="106"/>
      <c r="AM2" s="106"/>
      <c r="AN2" s="105" t="s">
        <v>438</v>
      </c>
      <c r="AO2" s="105"/>
      <c r="AP2" s="106" t="s">
        <v>143</v>
      </c>
      <c r="AQ2" s="106"/>
      <c r="AR2" s="106"/>
      <c r="AS2" s="106"/>
      <c r="AT2" s="104" t="s">
        <v>155</v>
      </c>
      <c r="AU2" s="103" t="s">
        <v>158</v>
      </c>
      <c r="AW2" s="104" t="s">
        <v>195</v>
      </c>
      <c r="AX2" s="103" t="s">
        <v>195</v>
      </c>
      <c r="AZ2" s="105" t="s">
        <v>474</v>
      </c>
      <c r="BA2" s="105"/>
      <c r="BB2" s="106" t="s">
        <v>200</v>
      </c>
      <c r="BC2" s="106"/>
      <c r="BD2" s="106"/>
      <c r="BE2" s="106"/>
      <c r="BG2" s="105" t="s">
        <v>483</v>
      </c>
      <c r="BH2" s="105"/>
      <c r="BI2" s="106" t="s">
        <v>209</v>
      </c>
      <c r="BJ2" s="106"/>
      <c r="BK2" s="106"/>
      <c r="BL2" s="106"/>
    </row>
    <row r="3" spans="1:6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3"/>
      <c r="AA3" s="104"/>
      <c r="AC3" s="103"/>
      <c r="AD3" s="12" t="s">
        <v>116</v>
      </c>
      <c r="AE3" s="12" t="s">
        <v>119</v>
      </c>
      <c r="AF3" s="12" t="s">
        <v>122</v>
      </c>
      <c r="AG3" s="12" t="s">
        <v>125</v>
      </c>
      <c r="AH3" s="103"/>
      <c r="AI3" s="104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4"/>
      <c r="AU3" s="103"/>
      <c r="AW3" s="104"/>
      <c r="AX3" s="103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7.7770948968283867E-3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22752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3.7909999999999999</v>
      </c>
      <c r="AU5" s="26">
        <v>3.2309999999999999</v>
      </c>
      <c r="AW5" s="27">
        <f t="shared" ref="AW5:AW68" si="10">(AK5/AJ5) - (Q5/P5)</f>
        <v>1.1384207873096353E-3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5.7786000857835695E-3</v>
      </c>
      <c r="BA5" s="28">
        <f>IF( OR(ISBLANK(Q5:Q10),ISBLANK(AK5:AK10), ISBLANK(U5:U10),ISBLANK(AO5:AO10)), "·", bdRateExtend( Q5:Q10,U5:U10, AK5:AK10,AO5:AO10))</f>
        <v>5.6347343117408855E-3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2.3071501281484212E-2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67496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3.98</v>
      </c>
      <c r="AU6" s="41">
        <v>3.4169999999999998</v>
      </c>
      <c r="AW6" s="42">
        <f t="shared" si="10"/>
        <v>1.6572571296513128E-3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7.3874197833269636E-2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216120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5.1360000000000001</v>
      </c>
      <c r="AU7" s="26">
        <v>4.3369999999999997</v>
      </c>
      <c r="AW7" s="27">
        <f t="shared" si="10"/>
        <v>2.494262782128609E-3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0.22795310499283203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666880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8.5419999999999998</v>
      </c>
      <c r="AU8" s="41">
        <v>7.4480000000000004</v>
      </c>
      <c r="AW8" s="42">
        <f t="shared" si="10"/>
        <v>-2.0408166844054776E-4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7.7569908182715088E-3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20112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3.387</v>
      </c>
      <c r="AU11" s="26">
        <v>3.012</v>
      </c>
      <c r="AW11" s="27">
        <f t="shared" si="10"/>
        <v>1.3906667181188825E-3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7.4757960986795435E-3</v>
      </c>
      <c r="BA11" s="28">
        <f>IF( OR(ISBLANK(Q11:Q16),ISBLANK(AK11:AK16), ISBLANK(U11:U16),ISBLANK(AO11:AO16)), "·", bdRateExtend( Q11:Q16,U11:U16, AK11:AK16,AO11:AO16))</f>
        <v>7.5427634599418703E-3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2.2743348974335439E-2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58968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3.5910000000000002</v>
      </c>
      <c r="AU12" s="41">
        <v>2.84</v>
      </c>
      <c r="AW12" s="42">
        <f t="shared" si="10"/>
        <v>1.7500165996608696E-3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7.3734610017595167E-2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191176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4.45</v>
      </c>
      <c r="AU13" s="26">
        <v>3.9180000000000001</v>
      </c>
      <c r="AW13" s="27">
        <f t="shared" si="10"/>
        <v>2.195923976848424E-3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0.22484474061983417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582968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7.3390000000000004</v>
      </c>
      <c r="AU14" s="41">
        <v>6.4180000000000001</v>
      </c>
      <c r="AW14" s="42">
        <f t="shared" si="10"/>
        <v>-5.4977443913806212E-5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>
        <f t="shared" si="7"/>
        <v>0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>
        <f t="shared" si="7"/>
        <v>0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6.5035926588383596E-3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26416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5.0720000000000001</v>
      </c>
      <c r="AU17" s="26">
        <v>3.996</v>
      </c>
      <c r="AW17" s="27">
        <f t="shared" si="10"/>
        <v>6.3294760387039295E-4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2.3601498904075591E-3</v>
      </c>
      <c r="BA17" s="28">
        <f>IF( OR(ISBLANK(Q17:Q22),ISBLANK(AK17:AK22), ISBLANK(U17:U22),ISBLANK(AO17:AO22)), "·", bdRateExtend( Q17:Q22,U17:U22, AK17:AK22,AO17:AO22))</f>
        <v>2.4705146608365869E-3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2.1616271783994851E-2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87800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5.3070000000000004</v>
      </c>
      <c r="AU18" s="41">
        <v>4.3220000000000001</v>
      </c>
      <c r="AW18" s="42">
        <f t="shared" si="10"/>
        <v>5.7756652316084955E-4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8.1367783138077007E-2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330496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7.1059999999999999</v>
      </c>
      <c r="AU19" s="26">
        <v>5.7910000000000004</v>
      </c>
      <c r="AW19" s="27">
        <f t="shared" si="10"/>
        <v>-7.9491746989290846E-5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0.27637511371316092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1122568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11.244999999999999</v>
      </c>
      <c r="AU20" s="41">
        <v>9.2899999999999991</v>
      </c>
      <c r="AW20" s="42">
        <f t="shared" si="10"/>
        <v>-7.2199511487677781E-4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>
        <f t="shared" si="7"/>
        <v>0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>
        <f t="shared" si="7"/>
        <v>0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6.937337843224557E-3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5952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1.125</v>
      </c>
      <c r="AU23" s="26">
        <v>0.96799999999999997</v>
      </c>
      <c r="AW23" s="27">
        <f t="shared" si="10"/>
        <v>6.357952195890082E-6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1.7903785635966507E-3</v>
      </c>
      <c r="BA23" s="28">
        <f>IF( OR(ISBLANK(Q23:Q28),ISBLANK(AK23:AK28), ISBLANK(U23:U28),ISBLANK(AO23:AO28)), "·", bdRateExtend( Q23:Q28,U23:U28, AK23:AK28,AO23:AO28))</f>
        <v>1.8769385410419837E-3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2.4523116300645947E-2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21040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0.999</v>
      </c>
      <c r="AW24" s="42">
        <f t="shared" si="10"/>
        <v>8.6148701695563934E-5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8.6409018539196192E-2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74136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1.5620000000000001</v>
      </c>
      <c r="AU25" s="26">
        <v>1.296</v>
      </c>
      <c r="AW25" s="27">
        <f t="shared" si="10"/>
        <v>3.0791660129103615E-4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0.25994503278684705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223024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2.577</v>
      </c>
      <c r="AU26" s="41">
        <v>2.1240000000000001</v>
      </c>
      <c r="AW26" s="42">
        <f t="shared" si="10"/>
        <v>-1.9405045973559798E-4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>
        <f t="shared" si="7"/>
        <v>0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>
        <f t="shared" si="7"/>
        <v>0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7.2024190193533963E-3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5800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0.92100000000000004</v>
      </c>
      <c r="AW29" s="27">
        <f t="shared" si="10"/>
        <v>1.5949863462574321E-3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5.7935295025006717E-3</v>
      </c>
      <c r="BA29" s="28">
        <f>IF( OR(ISBLANK(Q29:Q34),ISBLANK(AK29:AK34), ISBLANK(U29:U34),ISBLANK(AO29:AO34)), "·", bdRateExtend( Q29:Q34,U29:U34, AK29:AK34,AO29:AO34))</f>
        <v>5.7648549846993635E-3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2.3435181333316776E-2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18872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1.202</v>
      </c>
      <c r="AU30" s="41">
        <v>0.93600000000000005</v>
      </c>
      <c r="AW30" s="42">
        <f t="shared" si="10"/>
        <v>1.1872266297956735E-3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8.0458471224473319E-2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64792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1.39</v>
      </c>
      <c r="AU31" s="26">
        <v>1.1399999999999999</v>
      </c>
      <c r="AW31" s="27">
        <f t="shared" si="10"/>
        <v>1.6266991518024132E-3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0.24765393618408391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199432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2.4209999999999998</v>
      </c>
      <c r="AU32" s="41">
        <v>2.077</v>
      </c>
      <c r="AW32" s="42">
        <f t="shared" si="10"/>
        <v>-7.1292400020184221E-5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>
        <f t="shared" si="7"/>
        <v>0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>
        <f t="shared" si="7"/>
        <v>0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5.5065320137103859E-3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5512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1.1559999999999999</v>
      </c>
      <c r="AU35" s="26">
        <v>0.85899999999999999</v>
      </c>
      <c r="AW35" s="27">
        <f t="shared" si="10"/>
        <v>6.5715180760442249E-4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5.9289216161966252E-3</v>
      </c>
      <c r="BA35" s="28">
        <f>IF( OR(ISBLANK(Q35:Q40),ISBLANK(AK35:AK40), ISBLANK(U35:U40),ISBLANK(AO35:AO40)), "·", bdRateExtend( Q35:Q40,U35:U40, AK35:AK40,AO35:AO40))</f>
        <v>5.6219029615975913E-3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1.8293834222616941E-2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18312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1.202</v>
      </c>
      <c r="AU36" s="41">
        <v>0.95199999999999996</v>
      </c>
      <c r="AW36" s="42">
        <f t="shared" si="10"/>
        <v>8.8761465845348109E-4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6.3265177678565182E-2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63328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1.5620000000000001</v>
      </c>
      <c r="AU37" s="26">
        <v>1.2030000000000001</v>
      </c>
      <c r="AW37" s="27">
        <f t="shared" si="10"/>
        <v>1.8148628962064151E-4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0.20084855738251917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201048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2.8119999999999998</v>
      </c>
      <c r="AU38" s="41">
        <v>2.2330000000000001</v>
      </c>
      <c r="AW38" s="42">
        <f t="shared" si="10"/>
        <v>-6.2299510149368964E-4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>
        <f t="shared" si="7"/>
        <v>0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>
        <f t="shared" si="7"/>
        <v>0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7.3169669429886328E-3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5544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0.92100000000000004</v>
      </c>
      <c r="AU41" s="26">
        <v>0.85799999999999998</v>
      </c>
      <c r="AW41" s="27">
        <f t="shared" si="10"/>
        <v>1.2379376054193203E-4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4.8906917601811983E-3</v>
      </c>
      <c r="BA41" s="28">
        <f>IF( OR(ISBLANK(Q41:Q46),ISBLANK(AK41:AK46), ISBLANK(U41:U46),ISBLANK(AO41:AO46)), "·", bdRateExtend( Q41:Q46,U41:U46, AK41:AK46,AO41:AO46))</f>
        <v>4.8107003144879368E-3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2.5403495620246248E-2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19248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1.093</v>
      </c>
      <c r="AU42" s="41">
        <v>0.90500000000000003</v>
      </c>
      <c r="AW42" s="42">
        <f t="shared" si="10"/>
        <v>7.7361428491984352E-4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9.0010307632003017E-2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68200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1.5309999999999999</v>
      </c>
      <c r="AU43" s="26">
        <v>1.1399999999999999</v>
      </c>
      <c r="AW43" s="27">
        <f t="shared" si="10"/>
        <v>6.0189173752714376E-4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0.27985022918313668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212040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2.3109999999999999</v>
      </c>
      <c r="AU44" s="41">
        <v>1.984</v>
      </c>
      <c r="AW44" s="42">
        <f t="shared" si="10"/>
        <v>-4.003738446307914E-4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>
        <f t="shared" si="7"/>
        <v>0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>
        <f t="shared" si="7"/>
        <v>0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7.2574284426186611E-3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7904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1.577</v>
      </c>
      <c r="AU47" s="26">
        <v>1.2490000000000001</v>
      </c>
      <c r="AW47" s="27">
        <f t="shared" si="10"/>
        <v>2.8753169660195033E-4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3.8996832550670657E-3</v>
      </c>
      <c r="BA47" s="28">
        <f>IF( OR(ISBLANK(Q47:Q52),ISBLANK(AK47:AK52), ISBLANK(U47:U52),ISBLANK(AO47:AO52)), "·", bdRateExtend( Q47:Q52,U47:U52, AK47:AK52,AO47:AO52))</f>
        <v>3.8445045561428248E-3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2.4637059713100189E-2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26832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1.593</v>
      </c>
      <c r="AU48" s="41">
        <v>1.296</v>
      </c>
      <c r="AW48" s="42">
        <f t="shared" si="10"/>
        <v>6.5005974607360018E-4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8.7155251489544949E-2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94920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1.9830000000000001</v>
      </c>
      <c r="AU49" s="26">
        <v>1.671</v>
      </c>
      <c r="AW49" s="27">
        <f t="shared" si="10"/>
        <v>6.0934418036531768E-4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0.26090749074227959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284152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3.359</v>
      </c>
      <c r="AU50" s="41">
        <v>2.7959999999999998</v>
      </c>
      <c r="AW50" s="42">
        <f t="shared" si="10"/>
        <v>-2.1496294356621037E-4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>
        <f t="shared" si="7"/>
        <v>0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>
        <f t="shared" si="7"/>
        <v>0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2.2055992958950102E-3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6904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1.3109999999999999</v>
      </c>
      <c r="AU53" s="26">
        <v>1.109</v>
      </c>
      <c r="AW53" s="27">
        <f t="shared" si="10"/>
        <v>2.7533887271549012E-4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3.5113847381393892E-3</v>
      </c>
      <c r="BA53" s="28">
        <f>IF( OR(ISBLANK(Q53:Q58),ISBLANK(AK53:AK58), ISBLANK(U53:U58),ISBLANK(AO53:AO58)), "·", bdRateExtend( Q53:Q58,U53:U58, AK53:AK58,AO53:AO58))</f>
        <v>3.4444971407945335E-3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7.5956443886442309E-3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23776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1.546</v>
      </c>
      <c r="AU54" s="41">
        <v>1.155</v>
      </c>
      <c r="AW54" s="42">
        <f t="shared" si="10"/>
        <v>2.1467759805132713E-4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2.6950225463746102E-2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84360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1.796</v>
      </c>
      <c r="AU55" s="26">
        <v>1.546</v>
      </c>
      <c r="AW55" s="27">
        <f t="shared" si="10"/>
        <v>4.1170947278723613E-4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8.1182921939866745E-2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254120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3.14</v>
      </c>
      <c r="AU56" s="41">
        <v>2.4990000000000001</v>
      </c>
      <c r="AW56" s="42">
        <f t="shared" si="10"/>
        <v>-2.1514624759097489E-4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>
        <f t="shared" si="7"/>
        <v>0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>
        <f t="shared" si="7"/>
        <v>0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7.894454329052971E-3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27576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4.4820000000000002</v>
      </c>
      <c r="AU59" s="26">
        <v>2.81</v>
      </c>
      <c r="AW59" s="27">
        <f t="shared" si="10"/>
        <v>1.4351481973053359E-3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9.1140280519492745E-3</v>
      </c>
      <c r="BA59" s="28">
        <f>IF( OR(ISBLANK(Q59:Q64),ISBLANK(AK59:AK64), ISBLANK(U59:U64),ISBLANK(AO59:AO64)), "·", bdRateExtend( Q59:Q64,U59:U64, AK59:AK64,AO59:AO64))</f>
        <v>1.0349326584862206E-2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2.4294856838582513E-2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84864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4.5119999999999996</v>
      </c>
      <c r="AW60" s="42">
        <f t="shared" si="10"/>
        <v>3.3901403034654054E-3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7.7508563347299025E-2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270744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6.9969999999999999</v>
      </c>
      <c r="AU61" s="26">
        <v>4.8559999999999999</v>
      </c>
      <c r="AW61" s="27">
        <f t="shared" si="10"/>
        <v>3.4117882700043234E-3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0.24516093939884084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856368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11.605</v>
      </c>
      <c r="AU62" s="41">
        <v>7.2949999999999999</v>
      </c>
      <c r="AW62" s="42">
        <f t="shared" si="10"/>
        <v>3.2349908885595802E-2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2.0204437733579352E-2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32248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3.718</v>
      </c>
      <c r="AU65" s="26">
        <v>1.3740000000000001</v>
      </c>
      <c r="AW65" s="27">
        <f t="shared" si="10"/>
        <v>-1.3247844645181139E-6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-1.6308925274634012E-3</v>
      </c>
      <c r="BA65" s="28">
        <f>IF( OR(ISBLANK(Q65:Q70),ISBLANK(AK65:AK70), ISBLANK(U65:U70),ISBLANK(AO65:AO70)), "·", bdRateExtend( Q65:Q70,U65:U70, AK65:AK70,AO65:AO70))</f>
        <v>-1.507794757403258E-3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7.9068470664156357E-2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126200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4.2789999999999999</v>
      </c>
      <c r="AU66" s="41">
        <v>1.8260000000000001</v>
      </c>
      <c r="AW66" s="42">
        <f t="shared" si="10"/>
        <v>-3.0150785907848143E-4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0.33556608827224116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535592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7.6859999999999999</v>
      </c>
      <c r="AU67" s="26">
        <v>2.9359999999999999</v>
      </c>
      <c r="AW67" s="27">
        <f t="shared" si="10"/>
        <v>-8.3662890624136566E-4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 t="str">
        <f t="shared" si="7"/>
        <v>·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/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 t="str">
        <f t="shared" ref="AE69:AE132" si="18">IF(AK69="","·",AK69/D69)</f>
        <v>·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/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 t="str">
        <f t="shared" si="18"/>
        <v>·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/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9.0230223128286418E-3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80376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11.772</v>
      </c>
      <c r="AU71" s="26">
        <v>9.2739999999999991</v>
      </c>
      <c r="AW71" s="27">
        <f t="shared" si="21"/>
        <v>-4.5935133553137719E-6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-1.9085292785163688E-3</v>
      </c>
      <c r="BA71" s="28">
        <f>IF( OR(ISBLANK(Q71:Q76),ISBLANK(AK71:AK76), ISBLANK(U71:U76),ISBLANK(AO71:AO76)), "·", bdRateExtend( Q71:Q76,U71:U76, AK71:AK76,AO71:AO76))</f>
        <v>-1.7692011263800156E-3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3.2548260641140206E-2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289936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12.741</v>
      </c>
      <c r="AU72" s="41">
        <v>9.8829999999999991</v>
      </c>
      <c r="AW72" s="42">
        <f t="shared" si="21"/>
        <v>-2.3111316870710885E-4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0.14684077468488574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1308040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19.495999999999999</v>
      </c>
      <c r="AU73" s="26">
        <v>11.837</v>
      </c>
      <c r="AW73" s="27">
        <f t="shared" si="21"/>
        <v>-5.1522072002957442E-4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0.5991872364692834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5337488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39.473999999999997</v>
      </c>
      <c r="AU74" s="41">
        <v>20.257999999999999</v>
      </c>
      <c r="AW74" s="42">
        <f t="shared" si="21"/>
        <v>-1.2711968640380933E-3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 t="str">
        <f t="shared" si="18"/>
        <v>·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/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 t="str">
        <f t="shared" si="18"/>
        <v>·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/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5.0512294759542291E-3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99520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16.61</v>
      </c>
      <c r="AU77" s="26">
        <v>11.785</v>
      </c>
      <c r="AW77" s="27">
        <f t="shared" si="21"/>
        <v>8.5318254524205384E-4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3.421165332732734E-3</v>
      </c>
      <c r="BA77" s="28">
        <f>IF( OR(ISBLANK(Q77:Q82),ISBLANK(AK77:AK82), ISBLANK(U77:U82),ISBLANK(AO77:AO82)), "·", bdRateExtend( Q77:Q82,U77:U82, AK77:AK82,AO77:AO82))</f>
        <v>3.3121840905088185E-3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1.7099873546692963E-2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336904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18.753</v>
      </c>
      <c r="AU78" s="41">
        <v>13.737</v>
      </c>
      <c r="AW78" s="42">
        <f t="shared" si="21"/>
        <v>7.0589905106890893E-4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6.6020868602355468E-2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1300752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26.033000000000001</v>
      </c>
      <c r="AU79" s="26">
        <v>17.876999999999999</v>
      </c>
      <c r="AW79" s="27">
        <f t="shared" si="21"/>
        <v>3.7751655754370006E-4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0.23747234690414754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4678712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46.8</v>
      </c>
      <c r="AU80" s="41">
        <v>29.405999999999999</v>
      </c>
      <c r="AW80" s="42">
        <f t="shared" si="21"/>
        <v>-2.1160892736726833E-4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 t="str">
        <f t="shared" si="18"/>
        <v>·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/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 t="str">
        <f t="shared" si="18"/>
        <v>·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/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1.5115718305120479E-2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54632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6.3550000000000004</v>
      </c>
      <c r="AU83" s="26">
        <v>3.6360000000000001</v>
      </c>
      <c r="AW83" s="27">
        <f t="shared" si="21"/>
        <v>-2.9534312187889933E-4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-6.6010412646644312E-5</v>
      </c>
      <c r="BA83" s="28">
        <f>IF( OR(ISBLANK(Q83:Q88),ISBLANK(AK83:AK88), ISBLANK(U83:U88),ISBLANK(AO83:AO88)), "·", bdRateExtend( Q83:Q88,U83:U88, AK83:AK88,AO83:AO88))</f>
        <v>-1.6368653228771013E-4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4.90768350067552E-2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177376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7.4640000000000004</v>
      </c>
      <c r="AU84" s="41">
        <v>4.2309999999999999</v>
      </c>
      <c r="AW84" s="42">
        <f t="shared" si="21"/>
        <v>1.1054244950015057E-5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0.19782577358351702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714992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12.151</v>
      </c>
      <c r="AU85" s="26">
        <v>7.3860000000000001</v>
      </c>
      <c r="AW85" s="27">
        <f t="shared" si="21"/>
        <v>-6.0364089078973615E-4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 t="str">
        <f t="shared" si="18"/>
        <v>·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/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 t="str">
        <f t="shared" si="18"/>
        <v>·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/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 t="str">
        <f t="shared" si="18"/>
        <v>·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/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2.6634989307740574E-2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370320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39.234999999999999</v>
      </c>
      <c r="AU89" s="26">
        <v>14.861000000000001</v>
      </c>
      <c r="AW89" s="27">
        <f t="shared" si="21"/>
        <v>9.059971335110828E-4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3.2521998412209374E-3</v>
      </c>
      <c r="BA89" s="28">
        <f>IF( OR(ISBLANK(Q89:Q94),ISBLANK(AK89:AK94), ISBLANK(U89:U94),ISBLANK(AO89:AO94)), "·", bdRateExtend( Q89:Q94,U89:U94, AK89:AK94,AO89:AO94))</f>
        <v>3.3680680201166879E-3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9.3269644886948028E-2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1296776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48.97</v>
      </c>
      <c r="AU90" s="41">
        <v>18.503</v>
      </c>
      <c r="AW90" s="42">
        <f t="shared" si="21"/>
        <v>9.4056719437796144E-4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0.37292092158559031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5184912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94.441000000000003</v>
      </c>
      <c r="AU91" s="26">
        <v>29.126999999999999</v>
      </c>
      <c r="AW91" s="27">
        <f t="shared" si="21"/>
        <v>-8.0482268849380034E-7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 t="str">
        <f t="shared" si="18"/>
        <v>·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/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 t="str">
        <f t="shared" si="18"/>
        <v>·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/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 t="str">
        <f t="shared" si="18"/>
        <v>·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/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9.4440932653707295E-3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45792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5.9630000000000001</v>
      </c>
      <c r="AU95" s="26">
        <v>3.3079999999999998</v>
      </c>
      <c r="AW95" s="27">
        <f t="shared" si="21"/>
        <v>5.0906030613964703E-4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1.7651546251236105E-3</v>
      </c>
      <c r="BA95" s="28">
        <f>IF( OR(ISBLANK(Q95:Q100),ISBLANK(AK95:AK100), ISBLANK(U95:U100),ISBLANK(AO95:AO100)), "·", bdRateExtend( Q95:Q100,U95:U100, AK95:AK100,AO95:AO100))</f>
        <v>1.6985926553461095E-3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3.4209264459153864E-2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165872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7.9969999999999999</v>
      </c>
      <c r="AU96" s="41">
        <v>4.45</v>
      </c>
      <c r="AW96" s="42">
        <f t="shared" si="21"/>
        <v>1.4723682533301918E-4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0.15621856789746624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757464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13.244999999999999</v>
      </c>
      <c r="AU97" s="26">
        <v>6.1680000000000001</v>
      </c>
      <c r="AW97" s="27">
        <f t="shared" si="21"/>
        <v>-3.520870192449399E-4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 t="str">
        <f t="shared" si="18"/>
        <v>·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/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 t="str">
        <f t="shared" si="18"/>
        <v>·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/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 t="str">
        <f t="shared" si="18"/>
        <v>·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/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1.1169163146976485E-3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80360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16.152000000000001</v>
      </c>
      <c r="AU101" s="26">
        <v>12.384</v>
      </c>
      <c r="AW101" s="27">
        <f t="shared" si="21"/>
        <v>1.6132405288236951E-4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2.5454469670724844E-3</v>
      </c>
      <c r="BA101" s="28">
        <f>IF( OR(ISBLANK(Q101:Q106),ISBLANK(AK101:AK106), ISBLANK(U101:U106),ISBLANK(AO101:AO106)), "·", bdRateExtend( Q101:Q106,U101:U106, AK101:AK106,AO101:AO106))</f>
        <v>2.5923722113669889E-3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3.491072327781192E-3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251176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17.95</v>
      </c>
      <c r="AU102" s="41">
        <v>14.135999999999999</v>
      </c>
      <c r="AW102" s="42">
        <f t="shared" si="21"/>
        <v>1.9423010809111602E-4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1.5214635150724076E-2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1094664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24.571999999999999</v>
      </c>
      <c r="AU103" s="26">
        <v>19.699000000000002</v>
      </c>
      <c r="AW103" s="27">
        <f t="shared" si="21"/>
        <v>4.9023471277859221E-6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5.985192602878403E-2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4306232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40.625</v>
      </c>
      <c r="AU104" s="41">
        <v>33.341999999999999</v>
      </c>
      <c r="AW104" s="42">
        <f t="shared" si="21"/>
        <v>-4.7208493990939793E-4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 t="str">
        <f t="shared" si="18"/>
        <v>·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/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 t="str">
        <f t="shared" si="18"/>
        <v>·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/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8.8136061821853275E-3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27288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4.3540000000000001</v>
      </c>
      <c r="AU107" s="26">
        <v>3.2770000000000001</v>
      </c>
      <c r="AW107" s="27">
        <f t="shared" si="21"/>
        <v>6.5885246249881846E-4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9.4764910818576631E-3</v>
      </c>
      <c r="BA107" s="28">
        <f>IF( OR(ISBLANK(Q107:Q112),ISBLANK(AK107:AK112), ISBLANK(U107:U112),ISBLANK(AO107:AO112)), "·", bdRateExtend( Q107:Q112,U107:U112, AK107:AK112,AO107:AO112))</f>
        <v>9.3826405627821519E-3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2.7298665879445318E-2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84520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4.5119999999999996</v>
      </c>
      <c r="AU108" s="41">
        <v>3.2949999999999999</v>
      </c>
      <c r="AW108" s="42">
        <f t="shared" si="21"/>
        <v>1.0032784200137146E-3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8.7549521627377738E-2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271064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6.2629999999999999</v>
      </c>
      <c r="AU109" s="26">
        <v>4.2779999999999996</v>
      </c>
      <c r="AW109" s="27">
        <f t="shared" si="21"/>
        <v>1.1532936883628664E-3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0.26452445995345147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819000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10.262</v>
      </c>
      <c r="AU110" s="41">
        <v>7.34</v>
      </c>
      <c r="AW110" s="42">
        <f t="shared" si="21"/>
        <v>4.0279508672824704E-4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 t="str">
        <f t="shared" si="18"/>
        <v>·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/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 t="str">
        <f t="shared" si="18"/>
        <v>·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/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8.5401279627214527E-3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25768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4.4320000000000004</v>
      </c>
      <c r="AU113" s="26">
        <v>3.7469999999999999</v>
      </c>
      <c r="AW113" s="27">
        <f t="shared" si="21"/>
        <v>1.8314178172218198E-3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1.0126518701695675E-2</v>
      </c>
      <c r="BA113" s="28">
        <f>IF( OR(ISBLANK(Q113:Q118),ISBLANK(AK113:AK118), ISBLANK(U113:U118),ISBLANK(AO113:AO118)), "·", bdRateExtend( Q113:Q118,U113:U118, AK113:AK118,AO113:AO118))</f>
        <v>1.0015771354324743E-2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2.5816586765917041E-2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77896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4.51</v>
      </c>
      <c r="AU114" s="41">
        <v>3.8849999999999998</v>
      </c>
      <c r="AW114" s="42">
        <f t="shared" si="21"/>
        <v>3.5381516674115043E-3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8.3892638580710804E-2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253128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5.8070000000000004</v>
      </c>
      <c r="AU115" s="26">
        <v>4.9329999999999998</v>
      </c>
      <c r="AW115" s="27">
        <f t="shared" si="21"/>
        <v>3.2548687020417244E-3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0.25172564076645065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759528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9.4320000000000004</v>
      </c>
      <c r="AU116" s="41">
        <v>7.9630000000000001</v>
      </c>
      <c r="AW116" s="42">
        <f t="shared" si="21"/>
        <v>1.3262476266194811E-3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 t="str">
        <f t="shared" si="18"/>
        <v>·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/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 t="str">
        <f t="shared" si="18"/>
        <v>·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/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8.6913617320931065E-3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24080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3.4340000000000002</v>
      </c>
      <c r="AU119" s="26">
        <v>1.841</v>
      </c>
      <c r="AW119" s="27">
        <f t="shared" si="21"/>
        <v>1.0024328441599062E-3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7.656185826193207E-3</v>
      </c>
      <c r="BA119" s="28">
        <f>IF( OR(ISBLANK(Q119:Q124),ISBLANK(AK119:AK124), ISBLANK(U119:U124),ISBLANK(AO119:AO124)), "·", bdRateExtend( Q119:Q124,U119:U124, AK119:AK124,AO119:AO124))</f>
        <v>7.7123838483483809E-3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2.9134830523860279E-2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80720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4.1539999999999999</v>
      </c>
      <c r="AU120" s="41">
        <v>2.9180000000000001</v>
      </c>
      <c r="AW120" s="42">
        <f t="shared" si="21"/>
        <v>1.8926361891966059E-3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9.6173815684659492E-2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266456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5.5910000000000002</v>
      </c>
      <c r="AU121" s="26">
        <v>3.121</v>
      </c>
      <c r="AW121" s="27">
        <f t="shared" si="21"/>
        <v>2.0856912024363461E-3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0.29261591580351604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810712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9.9809999999999999</v>
      </c>
      <c r="AU122" s="41">
        <v>5.9020000000000001</v>
      </c>
      <c r="AW122" s="42">
        <f t="shared" si="21"/>
        <v>7.9949632791692649E-4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 t="str">
        <f t="shared" si="18"/>
        <v>·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/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 t="str">
        <f t="shared" si="18"/>
        <v>·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/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9.0940122756171422E-3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36392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5.2309999999999999</v>
      </c>
      <c r="AU125" s="26">
        <v>3.5110000000000001</v>
      </c>
      <c r="AW125" s="27">
        <f t="shared" si="21"/>
        <v>1.357521475917417E-3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7.4442278812323348E-3</v>
      </c>
      <c r="BA125" s="28">
        <f>IF( OR(ISBLANK(Q125:Q130),ISBLANK(AK125:AK130), ISBLANK(U125:U130),ISBLANK(AO125:AO130)), "·", bdRateExtend( Q125:Q130,U125:U130, AK125:AK130,AO125:AO130))</f>
        <v>7.7419618503618004E-3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2.834357134396567E-2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113424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5.6040000000000001</v>
      </c>
      <c r="AU126" s="41">
        <v>3.6989999999999998</v>
      </c>
      <c r="AW126" s="42">
        <f t="shared" si="21"/>
        <v>2.1053657551310945E-3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9.0340385740852638E-2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361520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7.7919999999999998</v>
      </c>
      <c r="AU127" s="26">
        <v>4.9160000000000004</v>
      </c>
      <c r="AW127" s="27">
        <f t="shared" si="21"/>
        <v>2.2277518642087046E-3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0.2677745808462989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1071568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13.571</v>
      </c>
      <c r="AU128" s="41">
        <v>9.1359999999999992</v>
      </c>
      <c r="AW128" s="42">
        <f t="shared" si="21"/>
        <v>8.2122029261372242E-4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 t="str">
        <f t="shared" si="18"/>
        <v>·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/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 t="str">
        <f t="shared" si="18"/>
        <v>·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/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3.6659454454407167E-3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5432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0.71799999999999997</v>
      </c>
      <c r="AU131" s="26">
        <v>0.57799999999999996</v>
      </c>
      <c r="AW131" s="27">
        <f t="shared" si="21"/>
        <v>1.7785564547110472E-4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-5.316658790462947E-4</v>
      </c>
      <c r="BA131" s="28">
        <f>IF( OR(ISBLANK(Q131:Q136),ISBLANK(AK131:AK136), ISBLANK(U131:U136),ISBLANK(AO131:AO136)), "·", bdRateExtend( Q131:Q136,U131:U136, AK131:AK136,AO131:AO136))</f>
        <v>-2.3487472138106202E-4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1.4021296497510369E-2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20776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0.874</v>
      </c>
      <c r="AU132" s="41">
        <v>0.749</v>
      </c>
      <c r="AW132" s="42">
        <f t="shared" si="21"/>
        <v>-4.0761193510749361E-5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6.7120815578378484E-2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99456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1.4359999999999999</v>
      </c>
      <c r="AU133" s="26">
        <v>1.218</v>
      </c>
      <c r="AW133" s="27">
        <f t="shared" ref="AW133:AW196" si="32">(AK133/AJ133) - (Q133/P133)</f>
        <v>-1.5609144484067528E-4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0.29161813158260591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432104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2.9359999999999999</v>
      </c>
      <c r="AU134" s="41">
        <v>2.4830000000000001</v>
      </c>
      <c r="AW134" s="42">
        <f t="shared" si="32"/>
        <v>-6.1061133852427507E-4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 t="str">
        <f t="shared" si="29"/>
        <v>·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/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 t="str">
        <f t="shared" si="29"/>
        <v>·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/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1.7514779011603174E-2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4776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0.81200000000000006</v>
      </c>
      <c r="AU137" s="26">
        <v>0.73399999999999999</v>
      </c>
      <c r="AW137" s="27">
        <f t="shared" si="32"/>
        <v>-3.3290937044344604E-4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3.7938854317305371E-3</v>
      </c>
      <c r="BA137" s="28">
        <f>IF( OR(ISBLANK(Q137:Q142),ISBLANK(AK137:AK142), ISBLANK(U137:U142),ISBLANK(AO137:AO142)), "·", bdRateExtend( Q137:Q142,U137:U142, AK137:AK142,AO137:AO142))</f>
        <v>4.4498187725103833E-3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5.8001202857520057E-2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15816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0.88900000000000001</v>
      </c>
      <c r="AU138" s="41">
        <v>0.73399999999999999</v>
      </c>
      <c r="AW138" s="42">
        <f t="shared" si="32"/>
        <v>1.7101686395506188E-3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0.24438544249020844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66640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1.343</v>
      </c>
      <c r="AU139" s="26">
        <v>1.171</v>
      </c>
      <c r="AW139" s="27">
        <f t="shared" si="32"/>
        <v>7.5003415321850397E-4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1.0395622772146513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283472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2.3580000000000001</v>
      </c>
      <c r="AU140" s="41">
        <v>2.0459999999999998</v>
      </c>
      <c r="AW140" s="42">
        <f t="shared" si="32"/>
        <v>-1.4670641598575895E-3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 t="str">
        <f t="shared" si="29"/>
        <v>·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/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 t="str">
        <f t="shared" si="29"/>
        <v>·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/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7.3932668735316744E-4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3096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0.45200000000000001</v>
      </c>
      <c r="AW143" s="27">
        <f t="shared" si="32"/>
        <v>7.4113367619673201E-5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3.9132391201746053E-4</v>
      </c>
      <c r="BA143" s="28">
        <f>IF( OR(ISBLANK(Q143:Q148),ISBLANK(AK143:AK148), ISBLANK(U143:U148),ISBLANK(AO143:AO148)), "·", bdRateExtend( Q143:Q148,U143:U148, AK143:AK148,AO143:AO148))</f>
        <v>-1.0113649500731459E-4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3.2801651736056553E-3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13736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0.85799999999999998</v>
      </c>
      <c r="AU144" s="41">
        <v>0.65600000000000003</v>
      </c>
      <c r="AW144" s="42">
        <f t="shared" si="32"/>
        <v>2.0847354305103538E-5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1.6994961784738444E-2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71168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1.3109999999999999</v>
      </c>
      <c r="AU145" s="26">
        <v>1.1240000000000001</v>
      </c>
      <c r="AW145" s="27">
        <f t="shared" si="32"/>
        <v>-9.7588399784589996E-5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7.5934773046288637E-2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317984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2.4990000000000001</v>
      </c>
      <c r="AU146" s="41">
        <v>2.2799999999999998</v>
      </c>
      <c r="AW146" s="42">
        <f t="shared" si="32"/>
        <v>-4.0595939778738377E-4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 t="str">
        <f t="shared" si="29"/>
        <v>·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/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 t="str">
        <f t="shared" si="29"/>
        <v>·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/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9.7271714701347295E-3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9816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1.1870000000000001</v>
      </c>
      <c r="AU149" s="26">
        <v>0.624</v>
      </c>
      <c r="AW149" s="27">
        <f t="shared" si="32"/>
        <v>-5.5846353734387288E-5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7.2920917214025494E-4</v>
      </c>
      <c r="BA149" s="28">
        <f>IF( OR(ISBLANK(Q149:Q154),ISBLANK(AK149:AK154), ISBLANK(U149:U154),ISBLANK(AO149:AO154)), "·", bdRateExtend( Q149:Q154,U149:U154, AK149:AK154,AO149:AO154))</f>
        <v>7.1406052642442042E-4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3.9083093192961875E-2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39440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1.546</v>
      </c>
      <c r="AU150" s="41">
        <v>0.79600000000000004</v>
      </c>
      <c r="AW150" s="42">
        <f t="shared" si="32"/>
        <v>1.5146591127067344E-4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0.19069061331916934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192432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3.1549999999999998</v>
      </c>
      <c r="AU151" s="26">
        <v>1.577</v>
      </c>
      <c r="AW151" s="27">
        <f t="shared" si="32"/>
        <v>-4.8414582825674624E-4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 t="str">
        <f t="shared" si="29"/>
        <v>·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/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 t="str">
        <f t="shared" si="29"/>
        <v>·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/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 t="str">
        <f t="shared" si="29"/>
        <v>·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/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3.2894478224704507E-3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154808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27.460999999999999</v>
      </c>
      <c r="AU155" s="26">
        <v>21.039000000000001</v>
      </c>
      <c r="AW155" s="27">
        <f t="shared" si="32"/>
        <v>5.9602253520571469E-5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-1.873087863551115E-3</v>
      </c>
      <c r="BA155" s="28">
        <f>IF( OR(ISBLANK(Q155:Q160),ISBLANK(AK155:AK160), ISBLANK(U155:U160),ISBLANK(AO155:AO160)), "·", bdRateExtend( Q155:Q160,U155:U160, AK155:AK160,AO155:AO160))</f>
        <v>-1.8966588676960772E-3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1.0590794671250917E-2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498424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28.434000000000001</v>
      </c>
      <c r="AU156" s="41">
        <v>20.087</v>
      </c>
      <c r="AW156" s="42">
        <f t="shared" si="32"/>
        <v>-1.5343672854661872E-4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3.4751262812831467E-2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1635464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34.418999999999997</v>
      </c>
      <c r="AU157" s="26">
        <v>22.571000000000002</v>
      </c>
      <c r="AW157" s="27">
        <f t="shared" si="32"/>
        <v>-2.203070495319509E-4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0.10290118979638818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4842736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59.621000000000002</v>
      </c>
      <c r="AU158" s="41">
        <v>38.463999999999999</v>
      </c>
      <c r="AW158" s="42">
        <f t="shared" si="32"/>
        <v>-4.2666669432495086E-4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 t="str">
        <f t="shared" si="29"/>
        <v>·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/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 t="str">
        <f t="shared" si="29"/>
        <v>·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/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4.6734497711064006E-3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202824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32.35</v>
      </c>
      <c r="AU161" s="26">
        <v>20.678000000000001</v>
      </c>
      <c r="AW161" s="27">
        <f t="shared" si="32"/>
        <v>1.3287853651094972E-5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-8.0753334353456108E-4</v>
      </c>
      <c r="BA161" s="28">
        <f>IF( OR(ISBLANK(Q161:Q166),ISBLANK(AK161:AK166), ISBLANK(U161:U166),ISBLANK(AO161:AO166)), "·", bdRateExtend( Q161:Q166,U161:U166, AK161:AK166,AO161:AO166))</f>
        <v>-8.7073868031284363E-4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1.4521187992295896E-2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630208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35.445</v>
      </c>
      <c r="AU162" s="41">
        <v>20.675999999999998</v>
      </c>
      <c r="AW162" s="42">
        <f t="shared" si="32"/>
        <v>-3.263509326373315E-5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4.9770498094849853E-2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2160000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47.243000000000002</v>
      </c>
      <c r="AU163" s="26">
        <v>26.928000000000001</v>
      </c>
      <c r="AW163" s="27">
        <f t="shared" si="32"/>
        <v>-2.1482183025463286E-4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0.1564262791547974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6788776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91.864999999999995</v>
      </c>
      <c r="AU164" s="41">
        <v>52.552</v>
      </c>
      <c r="AW164" s="42">
        <f t="shared" si="32"/>
        <v>-2.4114943764294572E-4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 t="str">
        <f t="shared" si="29"/>
        <v>·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/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 t="str">
        <f t="shared" si="29"/>
        <v>·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/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3.3782972421246447E-3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1688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0.23300000000000001</v>
      </c>
      <c r="AU167" s="26">
        <v>0.20200000000000001</v>
      </c>
      <c r="AW167" s="27">
        <f t="shared" si="32"/>
        <v>3.3581831904391096E-4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1.2482525527544031E-3</v>
      </c>
      <c r="BA167" s="28">
        <f>IF( OR(ISBLANK(Q167:Q172),ISBLANK(AK167:AK172), ISBLANK(U167:U172),ISBLANK(AO167:AO172)), "·", bdRateExtend( Q167:Q172,U167:U172, AK167:AK172,AO167:AO172))</f>
        <v>1.0644236120262995E-3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1.192811111555858E-2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5960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0.311</v>
      </c>
      <c r="AU168" s="41">
        <v>0.249</v>
      </c>
      <c r="AW168" s="42">
        <f t="shared" si="32"/>
        <v>-5.7204242878659828E-5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4.8673097706440377E-2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24320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0.437</v>
      </c>
      <c r="AU169" s="26">
        <v>0.39</v>
      </c>
      <c r="AW169" s="27">
        <f t="shared" si="32"/>
        <v>-3.343700247403214E-5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0.19931953728535404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99592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0.78</v>
      </c>
      <c r="AU170" s="41">
        <v>0.65500000000000003</v>
      </c>
      <c r="AW170" s="42">
        <f t="shared" si="32"/>
        <v>-5.0372058011992349E-4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 t="str">
        <f t="shared" si="29"/>
        <v>·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/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 t="str">
        <f t="shared" si="29"/>
        <v>·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/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4.0351720540944954E-3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257392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31.231000000000002</v>
      </c>
      <c r="AU173" s="26">
        <v>18.481000000000002</v>
      </c>
      <c r="AW173" s="27">
        <f t="shared" si="32"/>
        <v>-1.7866428210530638E-4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7.0222242614792485E-4</v>
      </c>
      <c r="BA173" s="28">
        <f>IF( OR(ISBLANK(Q173:Q178),ISBLANK(AK173:AK178), ISBLANK(U173:U178),ISBLANK(AO173:AO178)), "·", bdRateExtend( Q173:Q178,U173:U178, AK173:AK178,AO173:AO178))</f>
        <v>6.6063832732554673E-4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1.1777926512090944E-2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751280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31.79</v>
      </c>
      <c r="AU174" s="41">
        <v>17.382000000000001</v>
      </c>
      <c r="AW174" s="42">
        <f t="shared" si="32"/>
        <v>2.1495489863104789E-4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4.6864508804669483E-2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2989352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50.587000000000003</v>
      </c>
      <c r="AU175" s="26">
        <v>25.959</v>
      </c>
      <c r="AW175" s="27">
        <f t="shared" si="32"/>
        <v>1.4592737949062351E-4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0.16148438997534909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10300624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91.492999999999995</v>
      </c>
      <c r="AU176" s="41">
        <v>50.134999999999998</v>
      </c>
      <c r="AW176" s="42">
        <f t="shared" si="32"/>
        <v>-3.6952056589450999E-4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 t="str">
        <f t="shared" si="29"/>
        <v>·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/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 t="str">
        <f t="shared" si="29"/>
        <v>·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/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3.5998594619356866E-2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71824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9.8569999999999993</v>
      </c>
      <c r="AU179" s="26">
        <v>2.0609999999999999</v>
      </c>
      <c r="AW179" s="27">
        <f t="shared" si="32"/>
        <v>8.3693066187792708E-4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4.6974762682729931E-3</v>
      </c>
      <c r="BA179" s="28">
        <f>IF( OR(ISBLANK(Q179:Q184),ISBLANK(AK179:AK184), ISBLANK(U179:U184),ISBLANK(AO179:AO184)), "·", bdRateExtend( Q179:Q184,U179:U184, AK179:AK184,AO179:AO184))</f>
        <v>4.697476268272105E-3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0.14307616972627657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285464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12.497999999999999</v>
      </c>
      <c r="AU180" s="41">
        <v>2.7330000000000001</v>
      </c>
      <c r="AW180" s="42">
        <f t="shared" si="32"/>
        <v>6.5821899122564531E-4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 t="str">
        <f t="shared" si="29"/>
        <v>·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/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 t="str">
        <f t="shared" si="29"/>
        <v>·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/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 t="str">
        <f t="shared" si="29"/>
        <v>·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/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 t="str">
        <f t="shared" si="29"/>
        <v>·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/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3.56995384671674E-3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5464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0.76400000000000001</v>
      </c>
      <c r="AU185" s="26">
        <v>0.624</v>
      </c>
      <c r="AW185" s="27">
        <f t="shared" si="32"/>
        <v>1.2110896286071648E-4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-1.0254726085058286E-3</v>
      </c>
      <c r="BA185" s="28">
        <f>IF( OR(ISBLANK(Q185:Q190),ISBLANK(AK185:AK190), ISBLANK(U185:U190),ISBLANK(AO185:AO190)), "·", bdRateExtend( Q185:Q190,U185:U190, AK185:AK190,AO185:AO190))</f>
        <v>-7.3971910795711526E-4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1.3600321975339617E-2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20816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0.84299999999999997</v>
      </c>
      <c r="AU186" s="41">
        <v>0.76500000000000001</v>
      </c>
      <c r="AW186" s="42">
        <f t="shared" si="32"/>
        <v>-3.8936541987617812E-5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6.4990931376392308E-2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99472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1.421</v>
      </c>
      <c r="AU187" s="26">
        <v>1.2030000000000001</v>
      </c>
      <c r="AW187" s="27">
        <f t="shared" si="32"/>
        <v>-2.1808591257141408E-4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0.28220929442449522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431936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2.734</v>
      </c>
      <c r="AU188" s="41">
        <v>2.3109999999999999</v>
      </c>
      <c r="AW188" s="42">
        <f t="shared" si="32"/>
        <v>-6.1343300999720796E-4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 t="str">
        <f t="shared" si="29"/>
        <v>·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/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 t="str">
        <f t="shared" si="29"/>
        <v>·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/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1.7485120411897804E-2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4768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0.81200000000000006</v>
      </c>
      <c r="AU191" s="26">
        <v>0.68700000000000006</v>
      </c>
      <c r="AW191" s="27">
        <f t="shared" si="32"/>
        <v>-6.6715081825924338E-4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3.1498261948950113E-3</v>
      </c>
      <c r="BA191" s="28">
        <f>IF( OR(ISBLANK(Q191:Q196),ISBLANK(AK191:AK196), ISBLANK(U191:U196),ISBLANK(AO191:AO196)), "·", bdRateExtend( Q191:Q196,U191:U196, AK191:AK196,AO191:AO196))</f>
        <v>4.0334223727582774E-3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5.8058814253600252E-2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15832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0.89</v>
      </c>
      <c r="AU192" s="41">
        <v>0.749</v>
      </c>
      <c r="AW192" s="42">
        <f t="shared" si="32"/>
        <v>1.8572559754286566E-3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0.24443963636230284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66656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1.2809999999999999</v>
      </c>
      <c r="AU193" s="26">
        <v>1.093</v>
      </c>
      <c r="AW193" s="27">
        <f t="shared" si="32"/>
        <v>6.9694333139291853E-4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1.0402766521568527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283672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2.218</v>
      </c>
      <c r="AU194" s="41">
        <v>2.1240000000000001</v>
      </c>
      <c r="AW194" s="42">
        <f t="shared" si="32"/>
        <v>-1.734303606594767E-3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 t="str">
        <f t="shared" si="29"/>
        <v>·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/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 t="str">
        <f t="shared" si="29"/>
        <v>·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/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2.0042545493109753E-2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32128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3.544</v>
      </c>
      <c r="AU197" s="26">
        <v>1.4359999999999999</v>
      </c>
      <c r="AW197" s="27">
        <f t="shared" ref="AW197:AW260" si="43">(AK197/AJ197) - (Q197/P197)</f>
        <v>-1.5404047926793896E-4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-2.0269147306501978E-3</v>
      </c>
      <c r="BA197" s="28">
        <f>IF( OR(ISBLANK(Q197:Q202),ISBLANK(AK197:AK202), ISBLANK(U197:U202),ISBLANK(AO197:AO202)), "·", bdRateExtend( Q197:Q202,U197:U202, AK197:AK202,AO197:AO202))</f>
        <v>-1.9471553248255891E-3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7.8897560184405399E-2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126472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4.3419999999999996</v>
      </c>
      <c r="AU198" s="41">
        <v>1.7949999999999999</v>
      </c>
      <c r="AW198" s="42">
        <f t="shared" si="43"/>
        <v>-3.094179782417994E-4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0.33430526703223351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535888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8.0289999999999999</v>
      </c>
      <c r="AU199" s="26">
        <v>3.1850000000000001</v>
      </c>
      <c r="AW199" s="27">
        <f t="shared" si="43"/>
        <v>-8.8205430409302177E-4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 t="str">
        <f t="shared" si="40"/>
        <v>·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/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 t="str">
        <f t="shared" si="40"/>
        <v>·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/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 t="str">
        <f t="shared" si="40"/>
        <v>·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/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8.9957681992740499E-3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80328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11.257</v>
      </c>
      <c r="AU203" s="26">
        <v>9.0239999999999991</v>
      </c>
      <c r="AW203" s="27">
        <f t="shared" si="43"/>
        <v>-4.7101224843471012E-5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-1.883309145539136E-3</v>
      </c>
      <c r="BA203" s="28">
        <f>IF( OR(ISBLANK(Q203:Q208),ISBLANK(AK203:AK208), ISBLANK(U203:U208),ISBLANK(AO203:AO208)), "·", bdRateExtend( Q203:Q208,U203:U208, AK203:AK208,AO203:AO208))</f>
        <v>-1.7947627624884666E-3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3.2514133999407807E-2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290336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12.555</v>
      </c>
      <c r="AU204" s="41">
        <v>9.1950000000000003</v>
      </c>
      <c r="AW204" s="42">
        <f t="shared" si="43"/>
        <v>-2.2173689016595499E-4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0.14665494227469031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1309560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18.663</v>
      </c>
      <c r="AU205" s="26">
        <v>11.275</v>
      </c>
      <c r="AW205" s="27">
        <f t="shared" si="43"/>
        <v>-4.7391817261993596E-4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0.59763311223925286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5336584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37.929000000000002</v>
      </c>
      <c r="AU206" s="41">
        <v>19.29</v>
      </c>
      <c r="AW206" s="42">
        <f t="shared" si="43"/>
        <v>-1.2689146202198298E-3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 t="str">
        <f t="shared" si="40"/>
        <v>·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/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 t="str">
        <f t="shared" si="40"/>
        <v>·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/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5.04315856007232E-3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99424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</v>
      </c>
      <c r="AU209" s="26">
        <v>10.738</v>
      </c>
      <c r="AW209" s="27">
        <f t="shared" si="43"/>
        <v>8.595525373731594E-4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3.2325697283077659E-3</v>
      </c>
      <c r="BA209" s="28">
        <f>IF( OR(ISBLANK(Q209:Q214),ISBLANK(AK209:AK214), ISBLANK(U209:U214),ISBLANK(AO209:AO214)), "·", bdRateExtend( Q209:Q214,U209:U214, AK209:AK214,AO209:AO214))</f>
        <v>3.1135292094122136E-3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1.7103644202485373E-2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337192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18.298999999999999</v>
      </c>
      <c r="AU210" s="41">
        <v>13.202</v>
      </c>
      <c r="AW210" s="42">
        <f t="shared" si="43"/>
        <v>6.6789461895677693E-4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6.5992416088580724E-2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1301016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25.192</v>
      </c>
      <c r="AU211" s="26">
        <v>17.672999999999998</v>
      </c>
      <c r="AW211" s="27">
        <f t="shared" si="43"/>
        <v>2.794654933231111E-4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0.23747563294242058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4681744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45.094000000000001</v>
      </c>
      <c r="AU212" s="41">
        <v>29.097000000000001</v>
      </c>
      <c r="AW212" s="42">
        <f t="shared" si="43"/>
        <v>-2.0380749726722769E-4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 t="str">
        <f t="shared" si="40"/>
        <v>·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/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 t="str">
        <f t="shared" si="40"/>
        <v>·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/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1.5037564994091009E-2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54600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6.1829999999999998</v>
      </c>
      <c r="AU215" s="26">
        <v>3.6669999999999998</v>
      </c>
      <c r="AW215" s="27">
        <f t="shared" si="43"/>
        <v>-2.3507304616982028E-4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4.229189458615501E-4</v>
      </c>
      <c r="BA215" s="28">
        <f>IF( OR(ISBLANK(Q215:Q220),ISBLANK(AK215:AK220), ISBLANK(U215:U220),ISBLANK(AO215:AO220)), "·", bdRateExtend( Q215:Q220,U215:U220, AK215:AK220,AO215:AO220))</f>
        <v>2.2593498377254662E-4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4.8880348629144178E-2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177480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7.59</v>
      </c>
      <c r="AU216" s="41">
        <v>4.3079999999999998</v>
      </c>
      <c r="AW216" s="42">
        <f t="shared" si="43"/>
        <v>2.1078383281780688E-4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0.19718929732984072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715976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12.355</v>
      </c>
      <c r="AU217" s="26">
        <v>7.3079999999999998</v>
      </c>
      <c r="AW217" s="27">
        <f t="shared" si="43"/>
        <v>-6.0139348691601313E-4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 t="str">
        <f t="shared" si="40"/>
        <v>·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/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 t="str">
        <f t="shared" si="40"/>
        <v>·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/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 t="str">
        <f t="shared" si="40"/>
        <v>·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/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2.6425188202607083E-2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370632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37.122999999999998</v>
      </c>
      <c r="AU221" s="26">
        <v>13.422000000000001</v>
      </c>
      <c r="AW221" s="27">
        <f t="shared" si="43"/>
        <v>1.108893547823786E-3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3.4657639962305531E-3</v>
      </c>
      <c r="BA221" s="28">
        <f>IF( OR(ISBLANK(Q221:Q226),ISBLANK(AK221:AK226), ISBLANK(U221:U226),ISBLANK(AO221:AO226)), "·", bdRateExtend( Q221:Q226,U221:U226, AK221:AK226,AO221:AO226))</f>
        <v>3.5484513479977497E-3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9.2535215153829301E-2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1297872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45.783999999999999</v>
      </c>
      <c r="AU222" s="41">
        <v>17.425000000000001</v>
      </c>
      <c r="AW222" s="42">
        <f t="shared" si="43"/>
        <v>9.3119351222265001E-4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0.36966059968875725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5184752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87.641999999999996</v>
      </c>
      <c r="AU223" s="26">
        <v>27.219000000000001</v>
      </c>
      <c r="AW223" s="27">
        <f t="shared" si="43"/>
        <v>4.3973604682556733E-6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 t="str">
        <f t="shared" si="40"/>
        <v>·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/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 t="str">
        <f t="shared" si="40"/>
        <v>·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/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 t="str">
        <f t="shared" si="40"/>
        <v>·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/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9.1436304619984862E-3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45728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5.7140000000000004</v>
      </c>
      <c r="AU227" s="26">
        <v>3.0739999999999998</v>
      </c>
      <c r="AW227" s="27">
        <f t="shared" si="43"/>
        <v>1.6684293634108838E-4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1.2000550790214337E-3</v>
      </c>
      <c r="BA227" s="28">
        <f>IF( OR(ISBLANK(Q227:Q232),ISBLANK(AK227:AK232), ISBLANK(U227:U232),ISBLANK(AO227:AO232)), "·", bdRateExtend( Q227:Q232,U227:U232, AK227:AK232,AO227:AO232))</f>
        <v>1.3187438716693034E-3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3.3167255773106474E-2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165872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7.6829999999999998</v>
      </c>
      <c r="AU228" s="41">
        <v>4.1980000000000004</v>
      </c>
      <c r="AW228" s="42">
        <f t="shared" si="43"/>
        <v>1.9485540291386272E-4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0.15166013240747944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758464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12.683</v>
      </c>
      <c r="AU229" s="26">
        <v>5.9169999999999998</v>
      </c>
      <c r="AW229" s="27">
        <f t="shared" si="43"/>
        <v>-3.9678575947826866E-4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 t="str">
        <f t="shared" si="40"/>
        <v>·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/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 t="str">
        <f t="shared" si="40"/>
        <v>·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/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 t="str">
        <f t="shared" si="40"/>
        <v>·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/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1.1089804029351831E-3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80008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15.571</v>
      </c>
      <c r="AU233" s="26">
        <v>12.323</v>
      </c>
      <c r="AW233" s="27">
        <f t="shared" si="43"/>
        <v>1.1684935687613501E-4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2.2595495814956568E-3</v>
      </c>
      <c r="BA233" s="28">
        <f>IF( OR(ISBLANK(Q233:Q238),ISBLANK(AK233:AK238), ISBLANK(U233:U238),ISBLANK(AO233:AO238)), "·", bdRateExtend( Q233:Q238,U233:U238, AK233:AK238,AO233:AO238))</f>
        <v>2.2685376794058243E-3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3.4758623848021447E-3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250768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17.763999999999999</v>
      </c>
      <c r="AU234" s="41">
        <v>13.603999999999999</v>
      </c>
      <c r="AW234" s="42">
        <f t="shared" si="43"/>
        <v>1.6195757406847061E-4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1.5181088995524866E-2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1095248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23.242999999999999</v>
      </c>
      <c r="AU235" s="26">
        <v>19.154</v>
      </c>
      <c r="AW235" s="27">
        <f t="shared" si="43"/>
        <v>3.5467116447210345E-5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5.970441780129776E-2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4307408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38.393000000000001</v>
      </c>
      <c r="AU236" s="41">
        <v>31.917999999999999</v>
      </c>
      <c r="AW236" s="42">
        <f t="shared" si="43"/>
        <v>-4.6275004832772859E-4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 t="str">
        <f t="shared" si="40"/>
        <v>·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/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 t="str">
        <f t="shared" si="40"/>
        <v>·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/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7.3454517429034796E-4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3088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0.51500000000000001</v>
      </c>
      <c r="AU239" s="26">
        <v>0.45200000000000001</v>
      </c>
      <c r="AW239" s="27">
        <f t="shared" si="43"/>
        <v>7.384260767721168E-5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1.0956062701965585E-3</v>
      </c>
      <c r="BA239" s="28">
        <f>IF( OR(ISBLANK(Q239:Q244),ISBLANK(AK239:AK244), ISBLANK(U239:U244),ISBLANK(AO239:AO244)), "·", bdRateExtend( Q239:Q244,U239:U244, AK239:AK244,AO239:AO244))</f>
        <v>6.0043475207827157E-4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3.2750058159421993E-3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13768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0.70199999999999996</v>
      </c>
      <c r="AU240" s="41">
        <v>0.60899999999999999</v>
      </c>
      <c r="AW240" s="42">
        <f t="shared" si="43"/>
        <v>4.2825379488627829E-5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1.6945919111542872E-2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71240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1.2030000000000001</v>
      </c>
      <c r="AU241" s="26">
        <v>1.0149999999999999</v>
      </c>
      <c r="AW241" s="27">
        <f t="shared" si="43"/>
        <v>-8.1683743046685742E-5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7.5633414383859801E-2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317960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2.3109999999999999</v>
      </c>
      <c r="AU242" s="41">
        <v>1.9370000000000001</v>
      </c>
      <c r="AW242" s="42">
        <f t="shared" si="43"/>
        <v>-3.7703297125810109E-4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 t="str">
        <f t="shared" si="40"/>
        <v>·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/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 t="str">
        <f t="shared" si="40"/>
        <v>·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/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9.7210444185630001E-3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9824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1.125</v>
      </c>
      <c r="AU245" s="26">
        <v>0.624</v>
      </c>
      <c r="AW245" s="27">
        <f t="shared" si="43"/>
        <v>-1.0224888143783861E-5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-2.0668291474812417E-4</v>
      </c>
      <c r="BA245" s="28">
        <f>IF( OR(ISBLANK(Q245:Q250),ISBLANK(AK245:AK250), ISBLANK(U245:U250),ISBLANK(AO245:AO250)), "·", bdRateExtend( Q245:Q250,U245:U250, AK245:AK250,AO245:AO250))</f>
        <v>-2.2184816879444735E-4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3.9042500873251396E-2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39456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1.577</v>
      </c>
      <c r="AU246" s="41">
        <v>0.71799999999999997</v>
      </c>
      <c r="AW246" s="42">
        <f t="shared" si="43"/>
        <v>3.5932928671739139E-5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0.18998783879927686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192000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1.484</v>
      </c>
      <c r="AW247" s="27">
        <f t="shared" si="43"/>
        <v>-5.0577430507753318E-4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 t="str">
        <f t="shared" si="40"/>
        <v>·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/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 t="str">
        <f t="shared" si="40"/>
        <v>·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/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 t="str">
        <f t="shared" si="40"/>
        <v>·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/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3.2909766002809314E-3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154880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26.539000000000001</v>
      </c>
      <c r="AU251" s="26">
        <v>20.895</v>
      </c>
      <c r="AW251" s="27">
        <f t="shared" si="43"/>
        <v>6.1101012544695354E-5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-1.9321648404876379E-3</v>
      </c>
      <c r="BA251" s="28">
        <f>IF( OR(ISBLANK(Q251:Q256),ISBLANK(AK251:AK256), ISBLANK(U251:U256),ISBLANK(AO251:AO256)), "·", bdRateExtend( Q251:Q256,U251:U256, AK251:AK256,AO251:AO256))</f>
        <v>-1.9445099005914734E-3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1.0584671486037849E-2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498136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26.417000000000002</v>
      </c>
      <c r="AU252" s="41">
        <v>18.497</v>
      </c>
      <c r="AW252" s="42">
        <f t="shared" si="43"/>
        <v>-1.6682108807100637E-4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3.4753800825115491E-2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1635584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31.184999999999999</v>
      </c>
      <c r="AU253" s="26">
        <v>20.512</v>
      </c>
      <c r="AW253" s="27">
        <f t="shared" si="43"/>
        <v>-2.0767407339791766E-4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0.10286732710866754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4841144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55.884999999999998</v>
      </c>
      <c r="AU254" s="41">
        <v>36.575000000000003</v>
      </c>
      <c r="AW254" s="42">
        <f t="shared" si="43"/>
        <v>-4.3424457064203392E-4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 t="str">
        <f t="shared" si="40"/>
        <v>·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/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 t="str">
        <f t="shared" si="40"/>
        <v>·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/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4.6769518161933234E-3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202976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30.629000000000001</v>
      </c>
      <c r="AU257" s="26">
        <v>18.413</v>
      </c>
      <c r="AW257" s="27">
        <f t="shared" si="43"/>
        <v>1.2957228326039572E-5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-7.866359006712953E-4</v>
      </c>
      <c r="BA257" s="28">
        <f>IF( OR(ISBLANK(Q257:Q262),ISBLANK(AK257:AK262), ISBLANK(U257:U262),ISBLANK(AO257:AO262)), "·", bdRateExtend( Q257:Q262,U257:U262, AK257:AK262,AO257:AO262))</f>
        <v>-8.5202748397428252E-4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1.4513629246727942E-2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629880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32.942</v>
      </c>
      <c r="AU258" s="41">
        <v>18.427</v>
      </c>
      <c r="AW258" s="42">
        <f t="shared" si="43"/>
        <v>-2.53249648208137E-5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4.9786347478653237E-2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2160688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43.850999999999999</v>
      </c>
      <c r="AU259" s="26">
        <v>24.992999999999999</v>
      </c>
      <c r="AW259" s="27">
        <f t="shared" si="43"/>
        <v>-2.2773182253560398E-4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0.15660968183128324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6796736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80.677999999999997</v>
      </c>
      <c r="AU260" s="41">
        <v>50.052</v>
      </c>
      <c r="AW260" s="42">
        <f t="shared" si="43"/>
        <v>-2.3508299163271795E-4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 t="str">
        <f t="shared" ref="AE261:AE342" si="51">IF(AK261="","·",AK261/D261)</f>
        <v>·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/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 t="str">
        <f t="shared" si="51"/>
        <v>·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/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3.3767699035380065E-3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1688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0.249</v>
      </c>
      <c r="AU263" s="26">
        <v>0.218</v>
      </c>
      <c r="AW263" s="27">
        <f t="shared" si="54"/>
        <v>3.3876935541835018E-4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2.1642248487234728E-3</v>
      </c>
      <c r="BA263" s="28">
        <f>IF( OR(ISBLANK(Q263:Q268),ISBLANK(AK263:AK268), ISBLANK(U263:U268),ISBLANK(AO263:AO268)), "·", bdRateExtend( Q263:Q268,U263:U268, AK263:AK268,AO263:AO268))</f>
        <v>1.9435822688291804E-3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1.1890711082126726E-2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5944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0.28100000000000003</v>
      </c>
      <c r="AU264" s="41">
        <v>0.25</v>
      </c>
      <c r="AW264" s="42">
        <f t="shared" si="54"/>
        <v>-4.1180772464566306E-6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4.8875143532725464E-2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24432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0.42099999999999999</v>
      </c>
      <c r="AU265" s="26">
        <v>0.35899999999999999</v>
      </c>
      <c r="AW265" s="27">
        <f t="shared" si="54"/>
        <v>1.1298582989517636E-5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0.19972553742253235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99840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0.749</v>
      </c>
      <c r="AU266" s="41">
        <v>0.63900000000000001</v>
      </c>
      <c r="AW266" s="42">
        <f t="shared" si="54"/>
        <v>-4.8165180809246755E-4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 t="str">
        <f t="shared" si="51"/>
        <v>·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/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 t="str">
        <f t="shared" si="51"/>
        <v>·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/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4.0225075405966818E-3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256896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28.475999999999999</v>
      </c>
      <c r="AU269" s="26">
        <v>16.794</v>
      </c>
      <c r="AW269" s="27">
        <f t="shared" si="54"/>
        <v>-1.284823543600544E-4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7.3212633754282663E-4</v>
      </c>
      <c r="BA269" s="28">
        <f>IF( OR(ISBLANK(Q269:Q274),ISBLANK(AK269:AK274), ISBLANK(U269:U274),ISBLANK(AO269:AO274)), "·", bdRateExtend( Q269:Q274,U269:U274, AK269:AK274,AO269:AO274))</f>
        <v>6.9510583019205541E-4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1.1744464358611206E-2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750056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27.896999999999998</v>
      </c>
      <c r="AU270" s="41">
        <v>15.041</v>
      </c>
      <c r="AW270" s="42">
        <f t="shared" si="54"/>
        <v>2.0252966644668247E-4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4.6831547992260691E-2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2990880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43.774999999999999</v>
      </c>
      <c r="AU271" s="26">
        <v>23.35</v>
      </c>
      <c r="AW271" s="27">
        <f t="shared" si="54"/>
        <v>1.3665245709137963E-4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0.16125154449705589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10298272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81.102999999999994</v>
      </c>
      <c r="AU272" s="41">
        <v>45.570999999999998</v>
      </c>
      <c r="AW272" s="42">
        <f t="shared" si="54"/>
        <v>-3.9002752861599932E-4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 t="str">
        <f t="shared" si="51"/>
        <v>·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/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 t="str">
        <f t="shared" si="51"/>
        <v>·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/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3.5894669641558227E-2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71800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8.7330000000000005</v>
      </c>
      <c r="AU275" s="26">
        <v>1.9359999999999999</v>
      </c>
      <c r="AW275" s="27">
        <f t="shared" si="54"/>
        <v>7.8283809777673907E-4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3.9784258283281915E-3</v>
      </c>
      <c r="BA275" s="28">
        <f>IF( OR(ISBLANK(Q275:Q280),ISBLANK(AK275:AK280), ISBLANK(U275:U280),ISBLANK(AO275:AO280)), "·", bdRateExtend( Q275:Q280,U275:U280, AK275:AK280,AO275:AO280))</f>
        <v>3.9784258283273033E-3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0.14283078962774029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285704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11.531000000000001</v>
      </c>
      <c r="AU276" s="41">
        <v>2.4830000000000001</v>
      </c>
      <c r="AW276" s="42">
        <f t="shared" si="54"/>
        <v>4.2411926371477282E-4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 t="str">
        <f t="shared" si="51"/>
        <v>·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 t="str">
        <f t="shared" si="51"/>
        <v>·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 t="str">
        <f t="shared" si="51"/>
        <v>·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/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 t="str">
        <f t="shared" si="51"/>
        <v>·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/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5.5047584927984158E-2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4.6032372789502523E-3</v>
      </c>
      <c r="BA359" s="94">
        <f>AVERAGE(BA5:BA58)</f>
        <v>4.5568234368092864E-3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9.8210032674126369E-2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4.2663321742042919E-3</v>
      </c>
      <c r="BA360" s="94">
        <f>AVERAGE(BA59:BA130)</f>
        <v>4.3943848968289083E-3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9.4418179106347755E-2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9.2778696410351143E-4</v>
      </c>
      <c r="BA361" s="94">
        <f>AVERAGE(BA131:BA184)</f>
        <v>9.425565269068286E-4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9.9496944365217097E-2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8.6499291687505003E-4</v>
      </c>
      <c r="BA362" s="94">
        <f>AVERAGE(BA185:BA280)</f>
        <v>8.8913408723820947E-4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8.5670299097093727E-2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2.4959802379986126E-3</v>
      </c>
      <c r="BA366" s="3">
        <f>AVERAGE(BA5:BA358)</f>
        <v>2.5315909528522453E-3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2466.3889999999997</v>
      </c>
      <c r="AU367" s="63">
        <f>SUM(AU5:AU58,AU59:AU130,AU131:AU184,AU185:AU280,AU281:AU298,AU299:AU340,AU341:AU358)</f>
        <v>1465.9059999999995</v>
      </c>
    </row>
    <row r="368" spans="1:64" hidden="1" outlineLevel="2" x14ac:dyDescent="0.15">
      <c r="B368" s="60" t="s">
        <v>410</v>
      </c>
      <c r="AT368" s="7">
        <f>AT367/Z367</f>
        <v>0.9723089404805032</v>
      </c>
      <c r="AU368" s="7">
        <f>AU367/AA367</f>
        <v>0.96704002786520438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5.8173335090270681</v>
      </c>
      <c r="AU369" s="63">
        <f>GEOMEAN(AU5:AU58,AU59:AU130,AU131:AU184,AU185:AU280,AU281:AU298,AU299:AU358,AU341:AU358)</f>
        <v>3.8874644887776628</v>
      </c>
    </row>
    <row r="370" spans="2:47" outlineLevel="2" collapsed="1" x14ac:dyDescent="0.15">
      <c r="B370" s="60" t="s">
        <v>412</v>
      </c>
      <c r="AT370" s="7">
        <f>AT369/Z369</f>
        <v>0.97485240233957859</v>
      </c>
      <c r="AU370" s="7">
        <f>AU369/AA369</f>
        <v>0.97982435178136751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7" t="s">
        <v>661</v>
      </c>
      <c r="B1" s="107"/>
      <c r="C1" s="107"/>
      <c r="D1" s="107"/>
      <c r="E1" s="107"/>
      <c r="F1" s="107"/>
      <c r="H1" s="95" t="str">
        <f>Summary!C1</f>
        <v>v20.0-rc1-trisoup-raht+18edges</v>
      </c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W1" s="96" t="str">
        <f>Summary!C2</f>
        <v>v20.0-rc1-trisoup-raht+18edges+flagCtx_test</v>
      </c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</row>
    <row r="2" spans="1:43" ht="30" customHeight="1" x14ac:dyDescent="0.15">
      <c r="A2" s="103" t="s">
        <v>91</v>
      </c>
      <c r="B2" s="104" t="s">
        <v>94</v>
      </c>
      <c r="C2" s="103" t="s">
        <v>100</v>
      </c>
      <c r="D2" s="104" t="s">
        <v>103</v>
      </c>
      <c r="E2" s="103" t="s">
        <v>106</v>
      </c>
      <c r="F2" s="104" t="s">
        <v>109</v>
      </c>
      <c r="H2" s="103" t="s">
        <v>619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3" t="s">
        <v>155</v>
      </c>
      <c r="U2" s="104" t="s">
        <v>158</v>
      </c>
      <c r="W2" s="103" t="s">
        <v>619</v>
      </c>
      <c r="X2" s="104" t="s">
        <v>112</v>
      </c>
      <c r="Y2" s="106" t="s">
        <v>115</v>
      </c>
      <c r="Z2" s="106"/>
      <c r="AA2" s="106"/>
      <c r="AB2" s="106"/>
      <c r="AC2" s="104" t="s">
        <v>128</v>
      </c>
      <c r="AD2" s="103" t="s">
        <v>22</v>
      </c>
      <c r="AE2" s="105" t="s">
        <v>133</v>
      </c>
      <c r="AF2" s="105"/>
      <c r="AG2" s="105"/>
      <c r="AH2" s="105"/>
      <c r="AI2" s="103" t="s">
        <v>155</v>
      </c>
      <c r="AJ2" s="104" t="s">
        <v>158</v>
      </c>
      <c r="AL2" s="106" t="s">
        <v>650</v>
      </c>
      <c r="AM2" s="106"/>
      <c r="AN2" s="106"/>
      <c r="AO2" s="106"/>
      <c r="AP2" s="104" t="s">
        <v>195</v>
      </c>
      <c r="AQ2" s="103" t="s">
        <v>195</v>
      </c>
    </row>
    <row r="3" spans="1:43" ht="27.75" thickBot="1" x14ac:dyDescent="0.2">
      <c r="A3" s="103"/>
      <c r="B3" s="104"/>
      <c r="C3" s="103"/>
      <c r="D3" s="104"/>
      <c r="E3" s="103"/>
      <c r="F3" s="104"/>
      <c r="H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03"/>
      <c r="U3" s="104"/>
      <c r="W3" s="103"/>
      <c r="X3" s="104"/>
      <c r="Y3" s="11" t="s">
        <v>116</v>
      </c>
      <c r="Z3" s="11" t="s">
        <v>119</v>
      </c>
      <c r="AA3" s="11" t="s">
        <v>122</v>
      </c>
      <c r="AB3" s="11" t="s">
        <v>125</v>
      </c>
      <c r="AC3" s="104"/>
      <c r="AD3" s="103"/>
      <c r="AE3" s="12" t="s">
        <v>116</v>
      </c>
      <c r="AF3" s="12" t="s">
        <v>119</v>
      </c>
      <c r="AG3" s="12" t="s">
        <v>138</v>
      </c>
      <c r="AH3" s="12" t="s">
        <v>125</v>
      </c>
      <c r="AI3" s="103"/>
      <c r="AJ3" s="104"/>
      <c r="AL3" s="11" t="s">
        <v>116</v>
      </c>
      <c r="AM3" s="11" t="s">
        <v>119</v>
      </c>
      <c r="AN3" s="11" t="s">
        <v>138</v>
      </c>
      <c r="AO3" s="11" t="s">
        <v>125</v>
      </c>
      <c r="AP3" s="104"/>
      <c r="AQ3" s="103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  <mergeCell ref="AP2:AP3"/>
    <mergeCell ref="AQ2:AQ3"/>
    <mergeCell ref="X2:X3"/>
    <mergeCell ref="Y2:AB2"/>
    <mergeCell ref="AC2:AC3"/>
    <mergeCell ref="AD2:AD3"/>
    <mergeCell ref="AE2:AH2"/>
    <mergeCell ref="B2:B3"/>
    <mergeCell ref="C2:C3"/>
    <mergeCell ref="D2:D3"/>
    <mergeCell ref="E2:E3"/>
    <mergeCell ref="AL2:AO2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7" t="s">
        <v>868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E1" s="96" t="str">
        <f>Summary!C2</f>
        <v>v20.0-rc1-trisoup-raht+18edges+flagCtx_test</v>
      </c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</row>
    <row r="2" spans="1:7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5" t="s">
        <v>804</v>
      </c>
      <c r="Y2" s="105"/>
      <c r="Z2" s="105"/>
      <c r="AA2" s="105"/>
      <c r="AB2" s="103" t="s">
        <v>155</v>
      </c>
      <c r="AC2" s="104" t="s">
        <v>158</v>
      </c>
      <c r="AE2" s="103" t="s">
        <v>112</v>
      </c>
      <c r="AF2" s="105" t="s">
        <v>115</v>
      </c>
      <c r="AG2" s="105"/>
      <c r="AH2" s="105"/>
      <c r="AI2" s="105"/>
      <c r="AJ2" s="103" t="s">
        <v>128</v>
      </c>
      <c r="AK2" s="104" t="s">
        <v>22</v>
      </c>
      <c r="AL2" s="106" t="s">
        <v>133</v>
      </c>
      <c r="AM2" s="106"/>
      <c r="AN2" s="106"/>
      <c r="AO2" s="106"/>
      <c r="AP2" s="105" t="s">
        <v>143</v>
      </c>
      <c r="AQ2" s="105"/>
      <c r="AR2" s="105"/>
      <c r="AS2" s="105"/>
      <c r="AT2" s="106" t="s">
        <v>804</v>
      </c>
      <c r="AU2" s="106"/>
      <c r="AV2" s="106"/>
      <c r="AW2" s="106"/>
      <c r="AX2" s="104" t="s">
        <v>155</v>
      </c>
      <c r="AY2" s="103" t="s">
        <v>158</v>
      </c>
      <c r="BA2" s="104" t="s">
        <v>195</v>
      </c>
      <c r="BB2" s="103" t="s">
        <v>195</v>
      </c>
      <c r="BD2" s="105" t="s">
        <v>200</v>
      </c>
      <c r="BE2" s="105"/>
      <c r="BF2" s="105"/>
      <c r="BG2" s="105"/>
      <c r="BI2" s="106" t="s">
        <v>846</v>
      </c>
      <c r="BJ2" s="106"/>
      <c r="BK2" s="106"/>
      <c r="BL2" s="106"/>
      <c r="BN2" s="105" t="s">
        <v>209</v>
      </c>
      <c r="BO2" s="105"/>
      <c r="BP2" s="105"/>
      <c r="BQ2" s="105"/>
      <c r="BS2" s="106" t="s">
        <v>859</v>
      </c>
      <c r="BT2" s="106"/>
      <c r="BU2" s="106"/>
      <c r="BV2" s="106"/>
    </row>
    <row r="3" spans="1:7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3"/>
      <c r="AC3" s="104"/>
      <c r="AE3" s="103"/>
      <c r="AF3" s="12" t="s">
        <v>116</v>
      </c>
      <c r="AG3" s="12" t="s">
        <v>119</v>
      </c>
      <c r="AH3" s="12" t="s">
        <v>122</v>
      </c>
      <c r="AI3" s="12" t="s">
        <v>125</v>
      </c>
      <c r="AJ3" s="103"/>
      <c r="AK3" s="104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4"/>
      <c r="AY3" s="103"/>
      <c r="BA3" s="104"/>
      <c r="BB3" s="103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  <mergeCell ref="AF2:AI2"/>
    <mergeCell ref="AJ2:AJ3"/>
    <mergeCell ref="AK2:AK3"/>
    <mergeCell ref="O2:O3"/>
    <mergeCell ref="P2:S2"/>
    <mergeCell ref="T2:W2"/>
    <mergeCell ref="X2:AA2"/>
    <mergeCell ref="AB2:AB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2023-03-05T04:24:48Z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