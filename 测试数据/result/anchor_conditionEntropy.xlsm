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result\"/>
    </mc:Choice>
  </mc:AlternateContent>
  <xr:revisionPtr revIDLastSave="0" documentId="13_ncr:1_{261A1473-F80A-4886-914D-3F45270A4D00}" xr6:coauthVersionLast="47" xr6:coauthVersionMax="47" xr10:uidLastSave="{00000000-0000-0000-0000-000000000000}"/>
  <bookViews>
    <workbookView minimized="1" xWindow="9600" yWindow="0" windowWidth="28800" windowHeight="15345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107" i="5"/>
  <c r="AZ65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I71" i="5"/>
  <c r="AZ179" i="5"/>
  <c r="BA29" i="5"/>
  <c r="BG113" i="5"/>
  <c r="BJ119" i="5"/>
  <c r="AZ215" i="5"/>
  <c r="BI83" i="5"/>
  <c r="BA215" i="5"/>
  <c r="AZ203" i="5"/>
  <c r="BK11" i="5"/>
  <c r="BA155" i="5"/>
  <c r="BG95" i="5"/>
  <c r="BA257" i="5"/>
  <c r="BJ269" i="5"/>
  <c r="BH185" i="5"/>
  <c r="BH221" i="5"/>
  <c r="BK155" i="5"/>
  <c r="BA245" i="5"/>
  <c r="BB5" i="5"/>
  <c r="BG239" i="5"/>
  <c r="BJ125" i="5"/>
  <c r="BJ95" i="5"/>
  <c r="BI119" i="5"/>
  <c r="BK29" i="5"/>
  <c r="AZ17" i="5"/>
  <c r="BC83" i="5"/>
  <c r="BH191" i="5"/>
  <c r="BG101" i="5"/>
  <c r="AZ233" i="5"/>
  <c r="BC143" i="5"/>
  <c r="BK71" i="5"/>
  <c r="BD23" i="5"/>
  <c r="BB137" i="5"/>
  <c r="BA221" i="5"/>
  <c r="BC173" i="5"/>
  <c r="BD275" i="5"/>
  <c r="BI275" i="5"/>
  <c r="BC137" i="5"/>
  <c r="AZ35" i="5"/>
  <c r="BD155" i="5"/>
  <c r="BC245" i="5"/>
  <c r="AZ143" i="5"/>
  <c r="BD209" i="5"/>
  <c r="BB155" i="5"/>
  <c r="BK125" i="5"/>
  <c r="BK209" i="5"/>
  <c r="BJ77" i="5"/>
  <c r="BI77" i="5"/>
  <c r="BJ191" i="5"/>
  <c r="BJ71" i="5"/>
  <c r="AZ11" i="5"/>
  <c r="BC263" i="5"/>
  <c r="BD221" i="5"/>
  <c r="BI95" i="5"/>
  <c r="BI269" i="5"/>
  <c r="BC215" i="5"/>
  <c r="BH245" i="5"/>
  <c r="BH41" i="5"/>
  <c r="BB173" i="5"/>
  <c r="BC17" i="5"/>
  <c r="BJ215" i="5"/>
  <c r="AZ59" i="5"/>
  <c r="AZ263" i="5"/>
  <c r="BK143" i="5"/>
  <c r="BD53" i="5"/>
  <c r="BI197" i="5"/>
  <c r="BC125" i="5"/>
  <c r="BG209" i="5"/>
  <c r="BI101" i="5"/>
  <c r="BJ83" i="5"/>
  <c r="BI215" i="5"/>
  <c r="BJ251" i="5"/>
  <c r="BJ41" i="5"/>
  <c r="BC257" i="5"/>
  <c r="BK233" i="5"/>
  <c r="BB65" i="5"/>
  <c r="BH23" i="5"/>
  <c r="BH83" i="5"/>
  <c r="BH131" i="5"/>
  <c r="BA275" i="5"/>
  <c r="BJ101" i="5"/>
  <c r="BA47" i="5"/>
  <c r="BI131" i="5"/>
  <c r="BC119" i="5"/>
  <c r="BB245" i="5"/>
  <c r="BA167" i="5"/>
  <c r="BC203" i="5"/>
  <c r="AZ161" i="5"/>
  <c r="BI125" i="5"/>
  <c r="BJ29" i="5"/>
  <c r="BK53" i="5"/>
  <c r="BD29" i="5"/>
  <c r="BK245" i="5"/>
  <c r="BC221" i="5"/>
  <c r="BB29" i="5"/>
  <c r="AZ131" i="5"/>
  <c r="BJ149" i="5"/>
  <c r="BA149" i="5"/>
  <c r="BD17" i="5"/>
  <c r="BD233" i="5"/>
  <c r="AZ191" i="5"/>
  <c r="BH95" i="5"/>
  <c r="BH119" i="5"/>
  <c r="BJ257" i="5"/>
  <c r="BG155" i="5"/>
  <c r="BG23" i="5"/>
  <c r="BG221" i="5"/>
  <c r="AZ269" i="5"/>
  <c r="BB209" i="5"/>
  <c r="BK119" i="5"/>
  <c r="BK263" i="5"/>
  <c r="BI11" i="5"/>
  <c r="BJ23" i="5"/>
  <c r="BH203" i="5"/>
  <c r="AZ257" i="5"/>
  <c r="BG41" i="5"/>
  <c r="BH227" i="5"/>
  <c r="BD191" i="5"/>
  <c r="BB239" i="5"/>
  <c r="AZ119" i="5"/>
  <c r="BK101" i="5"/>
  <c r="BI113" i="5"/>
  <c r="BB263" i="5"/>
  <c r="BI149" i="5"/>
  <c r="BH125" i="5"/>
  <c r="BB71" i="5"/>
  <c r="BH47" i="5"/>
  <c r="BA53" i="5"/>
  <c r="BI59" i="5"/>
  <c r="AZ221" i="5"/>
  <c r="BB275" i="5"/>
  <c r="BA95" i="5"/>
  <c r="BG47" i="5"/>
  <c r="BA89" i="5"/>
  <c r="BG77" i="5"/>
  <c r="BC35" i="5"/>
  <c r="BK5" i="5"/>
  <c r="BB233" i="5"/>
  <c r="BG83" i="5"/>
  <c r="BJ11" i="5"/>
  <c r="BG11" i="5"/>
  <c r="BG227" i="5"/>
  <c r="BH89" i="5"/>
  <c r="BA107" i="5"/>
  <c r="BB95" i="5"/>
  <c r="BH233" i="5"/>
  <c r="AZ95" i="5"/>
  <c r="BG203" i="5"/>
  <c r="BG65" i="5"/>
  <c r="AZ275" i="5"/>
  <c r="BB203" i="5"/>
  <c r="BC155" i="5"/>
  <c r="BB113" i="5"/>
  <c r="AZ185" i="5"/>
  <c r="BI221" i="5"/>
  <c r="BD179" i="5"/>
  <c r="BG137" i="5"/>
  <c r="BJ227" i="5"/>
  <c r="BB167" i="5"/>
  <c r="BI161" i="5"/>
  <c r="BG257" i="5"/>
  <c r="BJ209" i="5"/>
  <c r="BI41" i="5"/>
  <c r="BB35" i="5"/>
  <c r="BC269" i="5"/>
  <c r="BB89" i="5"/>
  <c r="BH143" i="5"/>
  <c r="BI209" i="5"/>
  <c r="BI35" i="5"/>
  <c r="BK239" i="5"/>
  <c r="BB185" i="5"/>
  <c r="AZ173" i="5"/>
  <c r="BH101" i="5"/>
  <c r="BA41" i="5"/>
  <c r="BG269" i="5"/>
  <c r="AZ41" i="5"/>
  <c r="BI47" i="5"/>
  <c r="BD89" i="5"/>
  <c r="BJ47" i="5"/>
  <c r="BG191" i="5"/>
  <c r="BJ17" i="5"/>
  <c r="BH149" i="5"/>
  <c r="BD149" i="5"/>
  <c r="BA83" i="5"/>
  <c r="BH161" i="5"/>
  <c r="BA23" i="5"/>
  <c r="BK131" i="5"/>
  <c r="BD59" i="5"/>
  <c r="BA17" i="5"/>
  <c r="BB23" i="5"/>
  <c r="BK179" i="5"/>
  <c r="BA239" i="5"/>
  <c r="BB119" i="5"/>
  <c r="BD239" i="5"/>
  <c r="BB125" i="5"/>
  <c r="BA179" i="5"/>
  <c r="BC191" i="5"/>
  <c r="BC5" i="5"/>
  <c r="BH11" i="5"/>
  <c r="BA71" i="5"/>
  <c r="BK65" i="5"/>
  <c r="AZ155" i="5"/>
  <c r="AZ5" i="5"/>
  <c r="BK275" i="5"/>
  <c r="BC197" i="5"/>
  <c r="BJ263" i="5"/>
  <c r="BJ89" i="5"/>
  <c r="BC131" i="5"/>
  <c r="BH53" i="5"/>
  <c r="BJ203" i="5"/>
  <c r="BH239" i="5"/>
  <c r="BH77" i="5"/>
  <c r="BJ143" i="5"/>
  <c r="BD71" i="5"/>
  <c r="BG251" i="5"/>
  <c r="BD95" i="5"/>
  <c r="BK77" i="5"/>
  <c r="BC167" i="5"/>
  <c r="BB41" i="5"/>
  <c r="BC179" i="5"/>
  <c r="AZ47" i="5"/>
  <c r="BD77" i="5"/>
  <c r="BH59" i="5"/>
  <c r="BI203" i="5"/>
  <c r="BA263" i="5"/>
  <c r="BI251" i="5"/>
  <c r="BB161" i="5"/>
  <c r="BD251" i="5"/>
  <c r="BI5" i="5"/>
  <c r="BI167" i="5"/>
  <c r="BD137" i="5"/>
  <c r="BG275" i="5"/>
  <c r="BA125" i="5"/>
  <c r="BH65" i="5"/>
  <c r="BI245" i="5"/>
  <c r="AZ197" i="5"/>
  <c r="BG245" i="5"/>
  <c r="AZ89" i="5"/>
  <c r="BG185" i="5"/>
  <c r="BI233" i="5"/>
  <c r="BA173" i="5"/>
  <c r="BK227" i="5"/>
  <c r="BH257" i="5"/>
  <c r="BG125" i="5"/>
  <c r="AZ125" i="5"/>
  <c r="BJ179" i="5"/>
  <c r="BK95" i="5"/>
  <c r="BD167" i="5"/>
  <c r="BB251" i="5"/>
  <c r="BB59" i="5"/>
  <c r="BA185" i="5"/>
  <c r="BD101" i="5"/>
  <c r="BB191" i="5"/>
  <c r="BK257" i="5"/>
  <c r="BG215" i="5"/>
  <c r="BB77" i="5"/>
  <c r="BD119" i="5"/>
  <c r="BG167" i="5"/>
  <c r="BC233" i="5"/>
  <c r="BG197" i="5"/>
  <c r="BC11" i="5"/>
  <c r="BG29" i="5"/>
  <c r="BI89" i="5"/>
  <c r="BD245" i="5"/>
  <c r="BA59" i="5"/>
  <c r="BH107" i="5"/>
  <c r="BA191" i="5"/>
  <c r="BK17" i="5"/>
  <c r="BD113" i="5"/>
  <c r="BH197" i="5"/>
  <c r="BG35" i="5"/>
  <c r="BJ5" i="5"/>
  <c r="BJ65" i="5"/>
  <c r="BA65" i="5"/>
  <c r="BC23" i="5"/>
  <c r="BK185" i="5"/>
  <c r="BA137" i="5"/>
  <c r="BI257" i="5"/>
  <c r="BK215" i="5"/>
  <c r="BK35" i="5"/>
  <c r="BG107" i="5"/>
  <c r="BK167" i="5"/>
  <c r="BJ35" i="5"/>
  <c r="BH155" i="5"/>
  <c r="BJ197" i="5"/>
  <c r="AZ251" i="5"/>
  <c r="BI137" i="5"/>
  <c r="AZ77" i="5"/>
  <c r="BK221" i="5"/>
  <c r="BB221" i="5"/>
  <c r="AZ149" i="5"/>
  <c r="BC251" i="5"/>
  <c r="BH269" i="5"/>
  <c r="BC95" i="5"/>
  <c r="BA251" i="5"/>
  <c r="BI17" i="5"/>
  <c r="BI179" i="5"/>
  <c r="BA77" i="5"/>
  <c r="BH167" i="5"/>
  <c r="BA119" i="5"/>
  <c r="AZ53" i="5"/>
  <c r="BJ245" i="5"/>
  <c r="BJ161" i="5"/>
  <c r="BJ59" i="5"/>
  <c r="BG17" i="5"/>
  <c r="BG89" i="5"/>
  <c r="AZ209" i="5"/>
  <c r="BB215" i="5"/>
  <c r="AZ113" i="5"/>
  <c r="BA11" i="5"/>
  <c r="BD11" i="5"/>
  <c r="BJ221" i="5"/>
  <c r="BD173" i="5"/>
  <c r="BG149" i="5"/>
  <c r="BI227" i="5"/>
  <c r="BD5" i="5"/>
  <c r="AZ71" i="5"/>
  <c r="BH35" i="5"/>
  <c r="BJ233" i="5"/>
  <c r="BC71" i="5"/>
  <c r="AZ29" i="5"/>
  <c r="BK83" i="5"/>
  <c r="BI239" i="5"/>
  <c r="BK173" i="5"/>
  <c r="BC101" i="5"/>
  <c r="BG161" i="5"/>
  <c r="BG173" i="5"/>
  <c r="BK191" i="5"/>
  <c r="AZ239" i="5"/>
  <c r="BB17" i="5"/>
  <c r="BJ173" i="5"/>
  <c r="BG53" i="5"/>
  <c r="BK107" i="5"/>
  <c r="BD263" i="5"/>
  <c r="BG71" i="5"/>
  <c r="BC41" i="5"/>
  <c r="BB179" i="5"/>
  <c r="BK89" i="5"/>
  <c r="BD65" i="5"/>
  <c r="BH137" i="5"/>
  <c r="BD185" i="5"/>
  <c r="BI143" i="5"/>
  <c r="BD47" i="5"/>
  <c r="BC59" i="5"/>
  <c r="BH209" i="5"/>
  <c r="BB107" i="5"/>
  <c r="BD125" i="5"/>
  <c r="BK197" i="5"/>
  <c r="BA209" i="5"/>
  <c r="BD161" i="5"/>
  <c r="BB257" i="5"/>
  <c r="BD107" i="5"/>
  <c r="BJ107" i="5"/>
  <c r="BI191" i="5"/>
  <c r="BD203" i="5"/>
  <c r="BC149" i="5"/>
  <c r="BD131" i="5"/>
  <c r="BA5" i="5"/>
  <c r="BI65" i="5"/>
  <c r="BD269" i="5"/>
  <c r="BJ185" i="5"/>
  <c r="BB101" i="5"/>
  <c r="AZ137" i="5"/>
  <c r="BC89" i="5"/>
  <c r="BG59" i="5"/>
  <c r="BI29" i="5"/>
  <c r="BH113" i="5"/>
  <c r="BC227" i="5"/>
  <c r="BH251" i="5"/>
  <c r="BK149" i="5"/>
  <c r="BH275" i="5"/>
  <c r="BG5" i="5"/>
  <c r="BC275" i="5"/>
  <c r="BB149" i="5"/>
  <c r="BC161" i="5"/>
  <c r="BK113" i="5"/>
  <c r="BA227" i="5"/>
  <c r="BJ275" i="5"/>
  <c r="BK269" i="5"/>
  <c r="BC185" i="5"/>
  <c r="BH71" i="5"/>
  <c r="BB53" i="5"/>
  <c r="BA203" i="5"/>
  <c r="AZ23" i="5"/>
  <c r="BD143" i="5"/>
  <c r="BD215" i="5"/>
  <c r="BG131" i="5"/>
  <c r="BI173" i="5"/>
  <c r="BI53" i="5"/>
  <c r="BD41" i="5"/>
  <c r="BJ137" i="5"/>
  <c r="BH179" i="5"/>
  <c r="BC29" i="5"/>
  <c r="BD83" i="5"/>
  <c r="BB143" i="5"/>
  <c r="BK161" i="5"/>
  <c r="BA161" i="5"/>
  <c r="BH17" i="5"/>
  <c r="BK137" i="5"/>
  <c r="BC77" i="5"/>
  <c r="BC47" i="5"/>
  <c r="BK251" i="5"/>
  <c r="BH29" i="5"/>
  <c r="BB47" i="5"/>
  <c r="BA197" i="5"/>
  <c r="BA131" i="5"/>
  <c r="AZ245" i="5"/>
  <c r="BD35" i="5"/>
  <c r="BB83" i="5"/>
  <c r="BG263" i="5"/>
  <c r="BA113" i="5"/>
  <c r="BH263" i="5"/>
  <c r="BK59" i="5"/>
  <c r="BC239" i="5"/>
  <c r="BG119" i="5"/>
  <c r="BJ167" i="5"/>
  <c r="AZ227" i="5"/>
  <c r="BG179" i="5"/>
  <c r="BB11" i="5"/>
  <c r="BG143" i="5"/>
  <c r="BA35" i="5"/>
  <c r="BK47" i="5"/>
  <c r="BG233" i="5"/>
  <c r="AZ101" i="5"/>
  <c r="BI23" i="5"/>
  <c r="BK41" i="5"/>
  <c r="BJ53" i="5"/>
  <c r="BA101" i="5"/>
  <c r="BB197" i="5"/>
  <c r="BK23" i="5"/>
  <c r="BD227" i="5"/>
  <c r="BJ131" i="5"/>
  <c r="BK203" i="5"/>
  <c r="BI185" i="5"/>
  <c r="BC113" i="5"/>
  <c r="BH215" i="5"/>
  <c r="BI263" i="5"/>
  <c r="BA233" i="5"/>
  <c r="BC65" i="5"/>
  <c r="BA269" i="5"/>
  <c r="BJ113" i="5"/>
  <c r="BJ155" i="5"/>
  <c r="BH173" i="5"/>
  <c r="BC107" i="5"/>
  <c r="AZ167" i="5"/>
  <c r="BI155" i="5"/>
  <c r="BH5" i="5"/>
  <c r="BB269" i="5"/>
  <c r="BB227" i="5"/>
  <c r="BC53" i="5"/>
  <c r="BA143" i="5"/>
  <c r="AZ83" i="5"/>
  <c r="BB131" i="5"/>
  <c r="BJ239" i="5"/>
  <c r="BD197" i="5"/>
  <c r="BI107" i="5"/>
  <c r="BC209" i="5"/>
  <c r="BD257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<sst xmlns="http://schemas.openxmlformats.org/spreadsheetml/2006/main" count="7103" uniqueCount="1048">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</sst>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B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101" t="s">
        <v>1041</v>
      </c>
      <c r="D1" s="101"/>
      <c r="E1" s="101"/>
    </row>
    <row r="2" spans="2:6" x14ac:dyDescent="0.15">
      <c r="B2" t="s">
        <v>1</v>
      </c>
      <c r="C2" s="102" t="s">
        <v>1042</v>
      </c>
      <c r="D2" s="102"/>
      <c r="E2" s="102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95" t="e">
        <f>'C1 losslG,lossyA,intra'!AP370</f>
        <v>#NUM!</v>
      </c>
      <c r="D17" s="95"/>
      <c r="E17" s="95"/>
      <c r="F17" s="95"/>
    </row>
    <row r="18" spans="2:8" x14ac:dyDescent="0.15">
      <c r="B18" s="8" t="s">
        <v>417</v>
      </c>
      <c r="C18" s="96" t="e">
        <f>'C1 losslG,lossyA,intra'!AQ370</f>
        <v>#NUM!</v>
      </c>
      <c r="D18" s="96"/>
      <c r="E18" s="96"/>
      <c r="F18" s="96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0" t="s">
        <v>474</v>
      </c>
      <c r="H21" s="100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3.6813682897757095E-3</v>
      </c>
      <c r="H23" s="3">
        <f>'C2 lossyG,lossyA,intra'!$BA$359:$BA$359</f>
        <v>3.7141830753296321E-3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2.6523672790765562E-3</v>
      </c>
      <c r="H24" s="3">
        <f>'C2 lossyG,lossyA,intra'!$BA$360:$BA$360</f>
        <v>2.8264636797266838E-3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-3.3971444239341039E-3</v>
      </c>
      <c r="H25" s="3">
        <f>'C2 lossyG,lossyA,intra'!$BA$361:$BA$361</f>
        <v>-3.2519904265668632E-3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-5.7680915410061873E-4</v>
      </c>
      <c r="H26" s="3">
        <f>'C2 lossyG,lossyA,intra'!$BA$362:$BA$362</f>
        <v>-5.0959059373963111E-4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5.4690164512789612E-4</v>
      </c>
      <c r="H30" s="6">
        <f>'C2 lossyG,lossyA,intra'!$BA$366:$BA$366</f>
        <v>6.5051844555980497E-4</v>
      </c>
    </row>
    <row r="31" spans="2:8" x14ac:dyDescent="0.15">
      <c r="B31" t="s">
        <v>416</v>
      </c>
      <c r="C31" s="95">
        <f>'C2 lossyG,lossyA,intra'!AT370</f>
        <v>0.97485240233957859</v>
      </c>
      <c r="D31" s="95"/>
      <c r="E31" s="95"/>
      <c r="F31" s="95"/>
      <c r="G31" s="95"/>
      <c r="H31" s="95"/>
    </row>
    <row r="32" spans="2:8" x14ac:dyDescent="0.15">
      <c r="B32" s="8" t="s">
        <v>417</v>
      </c>
      <c r="C32" s="96">
        <f>'C2 lossyG,lossyA,intra'!AU370</f>
        <v>0.97982435178136751</v>
      </c>
      <c r="D32" s="96"/>
      <c r="E32" s="96"/>
      <c r="F32" s="96"/>
      <c r="G32" s="96"/>
      <c r="H32" s="96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95" t="e">
        <f>'CW losslG,losslA,intra'!AI75</f>
        <v>#NUM!</v>
      </c>
      <c r="D45" s="95"/>
      <c r="E45" s="95"/>
      <c r="F45" s="95"/>
    </row>
    <row r="46" spans="2:6" x14ac:dyDescent="0.15">
      <c r="B46" s="8" t="s">
        <v>417</v>
      </c>
      <c r="C46" s="96" t="e">
        <f>'CW losslG,losslA,intra'!AJ75</f>
        <v>#NUM!</v>
      </c>
      <c r="D46" s="96"/>
      <c r="E46" s="96"/>
      <c r="F46" s="96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95" t="e">
        <f>'CY losslG,nearllA,intra'!AX311</f>
        <v>#NUM!</v>
      </c>
      <c r="D59" s="95"/>
      <c r="E59" s="95"/>
      <c r="F59" s="95"/>
    </row>
    <row r="60" spans="2:6" x14ac:dyDescent="0.15">
      <c r="B60" s="8" t="s">
        <v>417</v>
      </c>
      <c r="C60" s="96" t="e">
        <f>'CY losslG,nearllA,intra'!AY311</f>
        <v>#NUM!</v>
      </c>
      <c r="D60" s="96"/>
      <c r="E60" s="96"/>
      <c r="F60" s="96"/>
    </row>
  </sheetData>
  <mergeCells count="23">
    <mergeCell ref="C1:E1"/>
    <mergeCell ref="C2:E2"/>
    <mergeCell ref="B6:B8"/>
    <mergeCell ref="C6:F6"/>
    <mergeCell ref="C7:F7"/>
    <mergeCell ref="C17:F17"/>
    <mergeCell ref="C18:F18"/>
    <mergeCell ref="B20:B22"/>
    <mergeCell ref="C20:H20"/>
    <mergeCell ref="C21:F21"/>
    <mergeCell ref="G21:H21"/>
    <mergeCell ref="C31:H31"/>
    <mergeCell ref="C32:H32"/>
    <mergeCell ref="B34:B36"/>
    <mergeCell ref="C34:F34"/>
    <mergeCell ref="C35:F35"/>
    <mergeCell ref="C59:F59"/>
    <mergeCell ref="C60:F60"/>
    <mergeCell ref="C45:F45"/>
    <mergeCell ref="C46:F46"/>
    <mergeCell ref="B48:B50"/>
    <mergeCell ref="C48:F48"/>
    <mergeCell ref="C49:F49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5" t="s">
        <v>218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AA1" s="102" t="str">
        <f>Summary!C2</f>
        <v>v20.0-rc1-trisoup-raht+18edges+flagCtx_test</v>
      </c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</row>
    <row r="2" spans="1:56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6" t="s">
        <v>155</v>
      </c>
      <c r="Y2" s="107" t="s">
        <v>158</v>
      </c>
      <c r="AA2" s="106" t="s">
        <v>112</v>
      </c>
      <c r="AB2" s="104" t="s">
        <v>115</v>
      </c>
      <c r="AC2" s="104"/>
      <c r="AD2" s="104"/>
      <c r="AE2" s="104"/>
      <c r="AF2" s="106" t="s">
        <v>128</v>
      </c>
      <c r="AG2" s="107" t="s">
        <v>22</v>
      </c>
      <c r="AH2" s="103" t="s">
        <v>133</v>
      </c>
      <c r="AI2" s="103"/>
      <c r="AJ2" s="103"/>
      <c r="AK2" s="103"/>
      <c r="AL2" s="104" t="s">
        <v>143</v>
      </c>
      <c r="AM2" s="104"/>
      <c r="AN2" s="104"/>
      <c r="AO2" s="104"/>
      <c r="AP2" s="106" t="s">
        <v>155</v>
      </c>
      <c r="AQ2" s="107" t="s">
        <v>158</v>
      </c>
      <c r="AS2" s="106" t="s">
        <v>195</v>
      </c>
      <c r="AT2" s="107" t="s">
        <v>195</v>
      </c>
      <c r="AV2" s="103" t="s">
        <v>200</v>
      </c>
      <c r="AW2" s="103"/>
      <c r="AX2" s="103"/>
      <c r="AY2" s="103"/>
      <c r="BA2" s="104" t="s">
        <v>209</v>
      </c>
      <c r="BB2" s="104"/>
      <c r="BC2" s="104"/>
      <c r="BD2" s="104"/>
    </row>
    <row r="3" spans="1:56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6"/>
      <c r="Y3" s="107"/>
      <c r="AA3" s="106"/>
      <c r="AB3" s="11" t="s">
        <v>116</v>
      </c>
      <c r="AC3" s="11" t="s">
        <v>119</v>
      </c>
      <c r="AD3" s="11" t="s">
        <v>122</v>
      </c>
      <c r="AE3" s="11" t="s">
        <v>125</v>
      </c>
      <c r="AF3" s="106"/>
      <c r="AG3" s="107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6"/>
      <c r="AQ3" s="107"/>
      <c r="AS3" s="106"/>
      <c r="AT3" s="107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85" zoomScaleNormal="85" workbookViewId="0">
      <pane xSplit="2" ySplit="4" topLeftCell="AD50" activePane="bottomRight" state="frozen"/>
      <selection pane="topRight" activeCell="C1" sqref="C1"/>
      <selection pane="bottomLeft" activeCell="A5" sqref="A5"/>
      <selection pane="bottomRight" activeCell="B275" sqref="B275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5" t="s">
        <v>492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C1" s="102" t="str">
        <f>Summary!C2</f>
        <v>v20.0-rc1-trisoup-raht+18edges+flagCtx_test</v>
      </c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</row>
    <row r="2" spans="1:6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438</v>
      </c>
      <c r="U2" s="104"/>
      <c r="V2" s="103" t="s">
        <v>143</v>
      </c>
      <c r="W2" s="103"/>
      <c r="X2" s="103"/>
      <c r="Y2" s="103"/>
      <c r="Z2" s="107" t="s">
        <v>155</v>
      </c>
      <c r="AA2" s="106" t="s">
        <v>158</v>
      </c>
      <c r="AC2" s="107" t="s">
        <v>112</v>
      </c>
      <c r="AD2" s="103" t="s">
        <v>115</v>
      </c>
      <c r="AE2" s="103"/>
      <c r="AF2" s="103"/>
      <c r="AG2" s="103"/>
      <c r="AH2" s="107" t="s">
        <v>128</v>
      </c>
      <c r="AI2" s="106" t="s">
        <v>22</v>
      </c>
      <c r="AJ2" s="104" t="s">
        <v>133</v>
      </c>
      <c r="AK2" s="104"/>
      <c r="AL2" s="104"/>
      <c r="AM2" s="104"/>
      <c r="AN2" s="103" t="s">
        <v>438</v>
      </c>
      <c r="AO2" s="103"/>
      <c r="AP2" s="104" t="s">
        <v>143</v>
      </c>
      <c r="AQ2" s="104"/>
      <c r="AR2" s="104"/>
      <c r="AS2" s="104"/>
      <c r="AT2" s="106" t="s">
        <v>155</v>
      </c>
      <c r="AU2" s="107" t="s">
        <v>158</v>
      </c>
      <c r="AW2" s="106" t="s">
        <v>195</v>
      </c>
      <c r="AX2" s="107" t="s">
        <v>195</v>
      </c>
      <c r="AZ2" s="103" t="s">
        <v>474</v>
      </c>
      <c r="BA2" s="103"/>
      <c r="BB2" s="104" t="s">
        <v>200</v>
      </c>
      <c r="BC2" s="104"/>
      <c r="BD2" s="104"/>
      <c r="BE2" s="104"/>
      <c r="BG2" s="103" t="s">
        <v>483</v>
      </c>
      <c r="BH2" s="103"/>
      <c r="BI2" s="104" t="s">
        <v>209</v>
      </c>
      <c r="BJ2" s="104"/>
      <c r="BK2" s="104"/>
      <c r="BL2" s="104"/>
    </row>
    <row r="3" spans="1:6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7"/>
      <c r="AA3" s="106"/>
      <c r="AC3" s="107"/>
      <c r="AD3" s="12" t="s">
        <v>116</v>
      </c>
      <c r="AE3" s="12" t="s">
        <v>119</v>
      </c>
      <c r="AF3" s="12" t="s">
        <v>122</v>
      </c>
      <c r="AG3" s="12" t="s">
        <v>125</v>
      </c>
      <c r="AH3" s="107"/>
      <c r="AI3" s="106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6"/>
      <c r="AU3" s="107"/>
      <c r="AW3" s="106"/>
      <c r="AX3" s="107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3.7217391542135846E-2</v>
      </c>
      <c r="AE5" s="19">
        <f t="shared" ref="AE5:AE68" si="7">IF(AK5="","·",AK5/D5)</f>
        <v>7.7552183992283062E-3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4.2548036530037241E-2</v>
      </c>
      <c r="AI5" s="21">
        <v>2558990</v>
      </c>
      <c r="AJ5" s="22">
        <v>108880</v>
      </c>
      <c r="AK5" s="22">
        <v>22688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3.7909999999999999</v>
      </c>
      <c r="AU5" s="26">
        <v>3.2309999999999999</v>
      </c>
      <c r="AW5" s="27">
        <f t="shared" ref="AW5:AW68" si="10">(AK5/AJ5) - (Q5/P5)</f>
        <v>5.5061770134343102E-4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4.0702646668084874E-3</v>
      </c>
      <c r="BA5" s="28">
        <f>IF( OR(ISBLANK(Q5:Q10),ISBLANK(AK5:AK10), ISBLANK(U5:U10),ISBLANK(AO5:AO10)), "·", bdRateExtend( Q5:Q10,U5:U10, AK5:AK10,AO5:AO10))</f>
        <v>3.7421901507299626E-3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-2.357077050376688E-4</v>
      </c>
      <c r="BH5" s="28">
        <f>IF( OR(ISBLANK(P5:P10),ISBLANK(AJ5:AJ10), ISBLANK(U5:U10),ISBLANK(AO5:AO10)), "·", bdRateExtend( P5:P10,U5:U10, AJ5:AJ10,AO5:AO10))</f>
        <v>-3.5116222503306371E-4</v>
      </c>
      <c r="BI5" s="28">
        <f>IF( OR(ISBLANK(P5:P10),ISBLANK(AJ5:AJ10), ISBLANK(V5:V10),ISBLANK(AP5:AP10)), "·", bdRateExtend( P5:P10,V5:V10, AJ5:AJ10,AP5:AP10))</f>
        <v>-6.8665934075062829E-5</v>
      </c>
      <c r="BJ5" s="28">
        <f>IF( OR(ISBLANK(P5:P10),ISBLANK(AJ5:AJ10), ISBLANK(W5:W10),ISBLANK(AQ5:AQ10)), "·", bdRateExtend( P5:P10,W5:W10, AJ5:AJ10,AQ5:AQ10))</f>
        <v>1.6592473992149692E-4</v>
      </c>
      <c r="BK5" s="28">
        <f>IF( OR(ISBLANK(P5:P10),ISBLANK(AJ5:AJ10), ISBLANK(X5:X10),ISBLANK(AR5:AR10)), "·", bdRateExtend( P5:P10,X5:X10, AJ5:AJ10,AR5:AR10))</f>
        <v>-7.5996627727503707E-5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8.4418669676508129E-2</v>
      </c>
      <c r="AE6" s="34">
        <f t="shared" si="7"/>
        <v>2.3019544599684021E-2</v>
      </c>
      <c r="AF6" s="34">
        <f t="shared" si="8"/>
        <v>6.1235051344823509E-2</v>
      </c>
      <c r="AG6" s="35"/>
      <c r="AH6" s="34">
        <f t="shared" si="9"/>
        <v>0.10382578214696657</v>
      </c>
      <c r="AI6" s="36">
        <v>2378677</v>
      </c>
      <c r="AJ6" s="37">
        <v>246968</v>
      </c>
      <c r="AK6" s="37">
        <v>67344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3.98</v>
      </c>
      <c r="AU6" s="41">
        <v>3.4169999999999998</v>
      </c>
      <c r="AW6" s="42">
        <f t="shared" si="10"/>
        <v>1.0417927779944325E-3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0.22040297875860448</v>
      </c>
      <c r="AE7" s="19">
        <f t="shared" si="7"/>
        <v>7.3773019031869266E-2</v>
      </c>
      <c r="AF7" s="19">
        <f t="shared" si="8"/>
        <v>0.14669012009513541</v>
      </c>
      <c r="AG7" s="20"/>
      <c r="AH7" s="19">
        <f t="shared" si="9"/>
        <v>0.25979888705739862</v>
      </c>
      <c r="AI7" s="21">
        <v>2481889</v>
      </c>
      <c r="AJ7" s="22">
        <v>644792</v>
      </c>
      <c r="AK7" s="22">
        <v>215824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5.1360000000000001</v>
      </c>
      <c r="AU7" s="26">
        <v>4.3369999999999997</v>
      </c>
      <c r="AW7" s="27">
        <f t="shared" si="10"/>
        <v>2.0352000146005023E-3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0.59784366097718211</v>
      </c>
      <c r="AE8" s="34">
        <f t="shared" si="7"/>
        <v>0.22915631236083642</v>
      </c>
      <c r="AF8" s="34">
        <f t="shared" si="8"/>
        <v>0.36918777349894755</v>
      </c>
      <c r="AG8" s="35"/>
      <c r="AH8" s="34">
        <f t="shared" si="9"/>
        <v>0.62964425639517319</v>
      </c>
      <c r="AI8" s="36">
        <v>2777759</v>
      </c>
      <c r="AJ8" s="37">
        <v>1749000</v>
      </c>
      <c r="AK8" s="37">
        <v>670400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8.5419999999999998</v>
      </c>
      <c r="AU8" s="41">
        <v>7.4480000000000004</v>
      </c>
      <c r="AW8" s="42">
        <f t="shared" si="10"/>
        <v>1.8084969479116308E-3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>
        <f t="shared" si="7"/>
        <v>0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>
        <v>0</v>
      </c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>
        <f t="shared" si="7"/>
        <v>0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>
        <v>0</v>
      </c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4.6224136614369721E-2</v>
      </c>
      <c r="AE11" s="19">
        <f t="shared" si="7"/>
        <v>7.7045370219665701E-3</v>
      </c>
      <c r="AF11" s="19">
        <f t="shared" si="8"/>
        <v>3.8263501645737857E-2</v>
      </c>
      <c r="AG11" s="20"/>
      <c r="AH11" s="19">
        <f t="shared" si="9"/>
        <v>5.07493971158956E-2</v>
      </c>
      <c r="AI11" s="21">
        <v>2361565</v>
      </c>
      <c r="AJ11" s="22">
        <v>119848</v>
      </c>
      <c r="AK11" s="22">
        <v>19976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3.387</v>
      </c>
      <c r="AU11" s="26">
        <v>3.012</v>
      </c>
      <c r="AW11" s="27">
        <f t="shared" si="10"/>
        <v>2.5589600855344119E-4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3.7143289272743019E-3</v>
      </c>
      <c r="BA11" s="28">
        <f>IF( OR(ISBLANK(Q11:Q16),ISBLANK(AK11:AK16), ISBLANK(U11:U16),ISBLANK(AO11:AO16)), "·", bdRateExtend( Q11:Q16,U11:U16, AK11:AK16,AO11:AO16))</f>
        <v>3.1984200547852115E-3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6.1881652583251068E-5</v>
      </c>
      <c r="BH11" s="28">
        <f>IF( OR(ISBLANK(P11:P16),ISBLANK(AJ11:AJ16), ISBLANK(U11:U16),ISBLANK(AO11:AO16)), "·", bdRateExtend( P11:P16,U11:U16, AJ11:AJ16,AO11:AO16))</f>
        <v>2.2100072798236781E-5</v>
      </c>
      <c r="BI11" s="28">
        <f>IF( OR(ISBLANK(P11:P16),ISBLANK(AJ11:AJ16), ISBLANK(V11:V16),ISBLANK(AP11:AP16)), "·", bdRateExtend( P11:P16,V11:V16, AJ11:AJ16,AP11:AP16))</f>
        <v>1.0474636283186456E-4</v>
      </c>
      <c r="BJ11" s="28">
        <f>IF( OR(ISBLANK(P11:P16),ISBLANK(AJ11:AJ16), ISBLANK(W11:W16),ISBLANK(AQ11:AQ16)), "·", bdRateExtend( P11:P16,W11:W16, AJ11:AJ16,AQ11:AQ16))</f>
        <v>1.9869925767390662E-4</v>
      </c>
      <c r="BK11" s="28">
        <f>IF( OR(ISBLANK(P11:P16),ISBLANK(AJ11:AJ16), ISBLANK(X11:X16),ISBLANK(AR11:AR16)), "·", bdRateExtend( P11:P16,X11:X16, AJ11:AJ16,AR11:AR16))</f>
        <v>1.191399751931943E-4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0.1010969785841949</v>
      </c>
      <c r="AE12" s="34">
        <f t="shared" si="7"/>
        <v>2.2613757242287941E-2</v>
      </c>
      <c r="AF12" s="34">
        <f t="shared" si="8"/>
        <v>7.8279577191546601E-2</v>
      </c>
      <c r="AG12" s="35"/>
      <c r="AH12" s="34">
        <f t="shared" si="9"/>
        <v>0.12075267261800013</v>
      </c>
      <c r="AI12" s="36">
        <v>2170718</v>
      </c>
      <c r="AJ12" s="37">
        <v>262120</v>
      </c>
      <c r="AK12" s="37">
        <v>58632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3.5910000000000002</v>
      </c>
      <c r="AU12" s="41">
        <v>2.84</v>
      </c>
      <c r="AW12" s="42">
        <f t="shared" si="10"/>
        <v>4.6816096102206273E-4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0.25444410932296807</v>
      </c>
      <c r="AE13" s="19">
        <f t="shared" si="7"/>
        <v>7.3694498291009033E-2</v>
      </c>
      <c r="AF13" s="19">
        <f t="shared" si="8"/>
        <v>0.18093474207774116</v>
      </c>
      <c r="AG13" s="20"/>
      <c r="AH13" s="19">
        <f t="shared" si="9"/>
        <v>0.2922103894251617</v>
      </c>
      <c r="AI13" s="21">
        <v>2257661</v>
      </c>
      <c r="AJ13" s="22">
        <v>659712</v>
      </c>
      <c r="AK13" s="22">
        <v>191072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4.45</v>
      </c>
      <c r="AU13" s="26">
        <v>3.9180000000000001</v>
      </c>
      <c r="AW13" s="27">
        <f t="shared" si="10"/>
        <v>2.0382794289244832E-3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0.64704534707828498</v>
      </c>
      <c r="AE14" s="34">
        <f t="shared" si="7"/>
        <v>0.22617459863203584</v>
      </c>
      <c r="AF14" s="34">
        <f t="shared" si="8"/>
        <v>0.42163595676881527</v>
      </c>
      <c r="AG14" s="35"/>
      <c r="AH14" s="34">
        <f t="shared" si="9"/>
        <v>0.67777798427113189</v>
      </c>
      <c r="AI14" s="36">
        <v>2475194</v>
      </c>
      <c r="AJ14" s="37">
        <v>1677632</v>
      </c>
      <c r="AK14" s="37">
        <v>586416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7.3390000000000004</v>
      </c>
      <c r="AU14" s="41">
        <v>6.4180000000000001</v>
      </c>
      <c r="AW14" s="42">
        <f t="shared" si="10"/>
        <v>2.0003004716242501E-3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 t="str">
        <f t="shared" si="6"/>
        <v>·</v>
      </c>
      <c r="AE15" s="19">
        <f t="shared" si="7"/>
        <v>0</v>
      </c>
      <c r="AF15" s="19" t="str">
        <f t="shared" si="8"/>
        <v>·</v>
      </c>
      <c r="AG15" s="20"/>
      <c r="AH15" s="19" t="str">
        <f t="shared" si="9"/>
        <v>·</v>
      </c>
      <c r="AI15" s="21"/>
      <c r="AJ15" s="22"/>
      <c r="AK15" s="22">
        <v>0</v>
      </c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 t="str">
        <f t="shared" si="6"/>
        <v>·</v>
      </c>
      <c r="AE16" s="49">
        <f t="shared" si="7"/>
        <v>0</v>
      </c>
      <c r="AF16" s="49" t="str">
        <f t="shared" si="8"/>
        <v>·</v>
      </c>
      <c r="AG16" s="50"/>
      <c r="AH16" s="49" t="str">
        <f t="shared" si="9"/>
        <v>·</v>
      </c>
      <c r="AI16" s="51"/>
      <c r="AJ16" s="52"/>
      <c r="AK16" s="52">
        <v>0</v>
      </c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3.7030298479351909E-2</v>
      </c>
      <c r="AE17" s="19">
        <f t="shared" si="7"/>
        <v>6.474048779406931E-3</v>
      </c>
      <c r="AF17" s="19">
        <f t="shared" si="8"/>
        <v>3.0327777032341931E-2</v>
      </c>
      <c r="AG17" s="20"/>
      <c r="AH17" s="19">
        <f t="shared" si="9"/>
        <v>4.2582297804297183E-2</v>
      </c>
      <c r="AI17" s="21">
        <v>3532172</v>
      </c>
      <c r="AJ17" s="22">
        <v>150408</v>
      </c>
      <c r="AK17" s="22">
        <v>26296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5.0720000000000001</v>
      </c>
      <c r="AU17" s="26">
        <v>3.996</v>
      </c>
      <c r="AW17" s="27">
        <f t="shared" si="10"/>
        <v>-1.6488229879435545E-4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2.728833854002799E-3</v>
      </c>
      <c r="BA17" s="28">
        <f>IF( OR(ISBLANK(Q17:Q22),ISBLANK(AK17:AK22), ISBLANK(U17:U22),ISBLANK(AO17:AO22)), "·", bdRateExtend( Q17:Q22,U17:U22, AK17:AK22,AO17:AO22))</f>
        <v>2.6392284144454159E-3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4.6435786880993923E-4</v>
      </c>
      <c r="BH17" s="28">
        <f>IF( OR(ISBLANK(P17:P22),ISBLANK(AJ17:AJ22), ISBLANK(U17:U22),ISBLANK(AO17:AO22)), "·", bdRateExtend( P17:P22,U17:U22, AJ17:AJ22,AO17:AO22))</f>
        <v>4.7379258940183355E-4</v>
      </c>
      <c r="BI17" s="28">
        <f>IF( OR(ISBLANK(P17:P22),ISBLANK(AJ17:AJ22), ISBLANK(V17:V22),ISBLANK(AP17:AP22)), "·", bdRateExtend( P17:P22,V17:V22, AJ17:AJ22,AP17:AP22))</f>
        <v>3.7984444438721177E-4</v>
      </c>
      <c r="BJ17" s="28">
        <f>IF( OR(ISBLANK(P17:P22),ISBLANK(AJ17:AJ22), ISBLANK(W17:W22),ISBLANK(AQ17:AQ22)), "·", bdRateExtend( P17:P22,W17:W22, AJ17:AJ22,AQ17:AQ22))</f>
        <v>3.9478713767060469E-4</v>
      </c>
      <c r="BK17" s="28">
        <f>IF( OR(ISBLANK(P17:P22),ISBLANK(AJ17:AJ22), ISBLANK(X17:X22),ISBLANK(AR17:AR22)), "·", bdRateExtend( P17:P22,X17:X22, AJ17:AJ22,AR17:AR22))</f>
        <v>4.0314006588948459E-4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0.12290056884277856</v>
      </c>
      <c r="AE18" s="34">
        <f t="shared" si="7"/>
        <v>2.159066708848761E-2</v>
      </c>
      <c r="AF18" s="34">
        <f t="shared" si="8"/>
        <v>0.10109718582238465</v>
      </c>
      <c r="AG18" s="35"/>
      <c r="AH18" s="34">
        <f t="shared" si="9"/>
        <v>0.14470079905571939</v>
      </c>
      <c r="AI18" s="36">
        <v>3449822</v>
      </c>
      <c r="AJ18" s="37">
        <v>499192</v>
      </c>
      <c r="AK18" s="37">
        <v>87696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5.3070000000000004</v>
      </c>
      <c r="AU18" s="41">
        <v>4.3220000000000001</v>
      </c>
      <c r="AW18" s="42">
        <f t="shared" si="10"/>
        <v>3.6922985109880124E-4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0.47719077098446361</v>
      </c>
      <c r="AE19" s="19">
        <f t="shared" si="7"/>
        <v>8.17006441796711E-2</v>
      </c>
      <c r="AF19" s="19">
        <f t="shared" si="8"/>
        <v>0.39547437006909575</v>
      </c>
      <c r="AG19" s="20"/>
      <c r="AH19" s="19">
        <f t="shared" si="9"/>
        <v>0.52315323775008415</v>
      </c>
      <c r="AI19" s="21">
        <v>3704903</v>
      </c>
      <c r="AJ19" s="22">
        <v>1938232</v>
      </c>
      <c r="AK19" s="22">
        <v>331848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7.1059999999999999</v>
      </c>
      <c r="AU19" s="26">
        <v>5.7910000000000004</v>
      </c>
      <c r="AW19" s="27">
        <f t="shared" si="10"/>
        <v>6.1805116840990548E-4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1.4621837112282745</v>
      </c>
      <c r="AE20" s="34">
        <f t="shared" si="7"/>
        <v>0.27919950858680548</v>
      </c>
      <c r="AF20" s="34">
        <f t="shared" si="8"/>
        <v>1.1843314035435422</v>
      </c>
      <c r="AG20" s="35"/>
      <c r="AH20" s="34">
        <f t="shared" si="9"/>
        <v>1.5101903607705565</v>
      </c>
      <c r="AI20" s="36">
        <v>3932638</v>
      </c>
      <c r="AJ20" s="37">
        <v>5939032</v>
      </c>
      <c r="AK20" s="37">
        <v>1134040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11.244999999999999</v>
      </c>
      <c r="AU20" s="41">
        <v>9.2899999999999991</v>
      </c>
      <c r="AW20" s="42">
        <f t="shared" si="10"/>
        <v>1.2096328002447476E-3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 t="str">
        <f t="shared" si="6"/>
        <v>·</v>
      </c>
      <c r="AE21" s="19">
        <f t="shared" si="7"/>
        <v>0</v>
      </c>
      <c r="AF21" s="19" t="str">
        <f t="shared" si="8"/>
        <v>·</v>
      </c>
      <c r="AG21" s="20"/>
      <c r="AH21" s="19" t="str">
        <f t="shared" si="9"/>
        <v>·</v>
      </c>
      <c r="AI21" s="21"/>
      <c r="AJ21" s="22"/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 t="str">
        <f t="shared" si="6"/>
        <v>·</v>
      </c>
      <c r="AE22" s="49">
        <f t="shared" si="7"/>
        <v>0</v>
      </c>
      <c r="AF22" s="49" t="str">
        <f t="shared" si="8"/>
        <v>·</v>
      </c>
      <c r="AG22" s="50"/>
      <c r="AH22" s="49" t="str">
        <f t="shared" si="9"/>
        <v>·</v>
      </c>
      <c r="AI22" s="51"/>
      <c r="AJ22" s="52"/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0.17469223722152161</v>
      </c>
      <c r="AE23" s="19">
        <f t="shared" si="7"/>
        <v>6.9559866008676334E-3</v>
      </c>
      <c r="AF23" s="19">
        <f t="shared" si="8"/>
        <v>0.16726070730075551</v>
      </c>
      <c r="AG23" s="20"/>
      <c r="AH23" s="19">
        <f t="shared" si="9"/>
        <v>0.18771228470948931</v>
      </c>
      <c r="AI23" s="21">
        <v>798456</v>
      </c>
      <c r="AJ23" s="22">
        <v>149880</v>
      </c>
      <c r="AK23" s="22">
        <v>5968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1.125</v>
      </c>
      <c r="AU23" s="26">
        <v>0.96799999999999997</v>
      </c>
      <c r="AW23" s="27">
        <f t="shared" si="10"/>
        <v>1.1311002051721253E-4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3.5511876654064078E-3</v>
      </c>
      <c r="BA23" s="28">
        <f>IF( OR(ISBLANK(Q23:Q28),ISBLANK(AK23:AK28), ISBLANK(U23:U28),ISBLANK(AO23:AO28)), "·", bdRateExtend( Q23:Q28,U23:U28, AK23:AK28,AO23:AO28))</f>
        <v>3.770106642674742E-3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-8.8204126540758487E-5</v>
      </c>
      <c r="BH23" s="28">
        <f>IF( OR(ISBLANK(P23:P28),ISBLANK(AJ23:AJ28), ISBLANK(U23:U28),ISBLANK(AO23:AO28)), "·", bdRateExtend( P23:P28,U23:U28, AJ23:AJ28,AO23:AO28))</f>
        <v>-7.7059457702421952E-5</v>
      </c>
      <c r="BI23" s="28">
        <f>IF( OR(ISBLANK(P23:P28),ISBLANK(AJ23:AJ28), ISBLANK(V23:V28),ISBLANK(AP23:AP28)), "·", bdRateExtend( P23:P28,V23:V28, AJ23:AJ28,AP23:AP28))</f>
        <v>-5.5839071541607943E-5</v>
      </c>
      <c r="BJ23" s="28">
        <f>IF( OR(ISBLANK(P23:P28),ISBLANK(AJ23:AJ28), ISBLANK(W23:W28),ISBLANK(AQ23:AQ28)), "·", bdRateExtend( P23:P28,W23:W28, AJ23:AJ28,AQ23:AQ28))</f>
        <v>-4.8258290594738185E-5</v>
      </c>
      <c r="BK23" s="28">
        <f>IF( OR(ISBLANK(P23:P28),ISBLANK(AJ23:AJ28), ISBLANK(X23:X28),ISBLANK(AR23:AR28)), "·", bdRateExtend( P23:P28,X23:X28, AJ23:AJ28,AR23:AR28))</f>
        <v>-5.4678888524284375E-5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0.47222384103798987</v>
      </c>
      <c r="AE24" s="34">
        <f t="shared" si="7"/>
        <v>2.4541765058289023E-2</v>
      </c>
      <c r="AF24" s="34">
        <f t="shared" si="8"/>
        <v>0.4472811276903747</v>
      </c>
      <c r="AG24" s="35"/>
      <c r="AH24" s="34">
        <f t="shared" si="9"/>
        <v>0.51566000081456442</v>
      </c>
      <c r="AI24" s="36">
        <v>785696</v>
      </c>
      <c r="AJ24" s="37">
        <v>405152</v>
      </c>
      <c r="AK24" s="37">
        <v>21056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0.999</v>
      </c>
      <c r="AW24" s="42">
        <f t="shared" si="10"/>
        <v>1.2564005308961235E-4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1.1721117153826608</v>
      </c>
      <c r="AE25" s="19">
        <f t="shared" si="7"/>
        <v>8.658618173680542E-2</v>
      </c>
      <c r="AF25" s="19">
        <f t="shared" si="8"/>
        <v>1.0855068848882123</v>
      </c>
      <c r="AG25" s="20"/>
      <c r="AH25" s="19">
        <f t="shared" si="9"/>
        <v>1.2653278977301323</v>
      </c>
      <c r="AI25" s="21">
        <v>794760</v>
      </c>
      <c r="AJ25" s="22">
        <v>1005632</v>
      </c>
      <c r="AK25" s="22">
        <v>74288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1.5620000000000001</v>
      </c>
      <c r="AU25" s="26">
        <v>1.296</v>
      </c>
      <c r="AW25" s="27">
        <f t="shared" si="10"/>
        <v>4.5906533164169483E-4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2.4901965812165052</v>
      </c>
      <c r="AE26" s="34">
        <f t="shared" si="7"/>
        <v>0.26206166677933623</v>
      </c>
      <c r="AF26" s="34">
        <f t="shared" si="8"/>
        <v>2.2290207304252152</v>
      </c>
      <c r="AG26" s="35"/>
      <c r="AH26" s="34">
        <f t="shared" si="9"/>
        <v>2.5187137784526294</v>
      </c>
      <c r="AI26" s="36">
        <v>848252</v>
      </c>
      <c r="AJ26" s="37">
        <v>2136504</v>
      </c>
      <c r="AK26" s="37">
        <v>224840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2.577</v>
      </c>
      <c r="AU26" s="41">
        <v>2.1240000000000001</v>
      </c>
      <c r="AW26" s="42">
        <f t="shared" si="10"/>
        <v>6.5593624752073587E-4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 t="str">
        <f t="shared" si="6"/>
        <v>·</v>
      </c>
      <c r="AE27" s="19">
        <f t="shared" si="7"/>
        <v>0</v>
      </c>
      <c r="AF27" s="19" t="str">
        <f t="shared" si="8"/>
        <v>·</v>
      </c>
      <c r="AG27" s="20"/>
      <c r="AH27" s="19" t="str">
        <f t="shared" si="9"/>
        <v>·</v>
      </c>
      <c r="AI27" s="21"/>
      <c r="AJ27" s="22"/>
      <c r="AK27" s="22">
        <v>0</v>
      </c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 t="str">
        <f t="shared" si="6"/>
        <v>·</v>
      </c>
      <c r="AE28" s="49">
        <f t="shared" si="7"/>
        <v>0</v>
      </c>
      <c r="AF28" s="49" t="str">
        <f t="shared" si="8"/>
        <v>·</v>
      </c>
      <c r="AG28" s="50"/>
      <c r="AH28" s="49" t="str">
        <f t="shared" si="9"/>
        <v>·</v>
      </c>
      <c r="AI28" s="51"/>
      <c r="AJ28" s="52"/>
      <c r="AK28" s="52">
        <v>0</v>
      </c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3.852549097524479E-2</v>
      </c>
      <c r="AE29" s="19">
        <f t="shared" si="7"/>
        <v>7.1428127929863338E-3</v>
      </c>
      <c r="AF29" s="19">
        <f t="shared" si="8"/>
        <v>3.0846222144954891E-2</v>
      </c>
      <c r="AG29" s="20"/>
      <c r="AH29" s="19">
        <f t="shared" si="9"/>
        <v>4.152156514244263E-2</v>
      </c>
      <c r="AI29" s="21">
        <v>747178</v>
      </c>
      <c r="AJ29" s="22">
        <v>31024</v>
      </c>
      <c r="AK29" s="22">
        <v>5752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0.92100000000000004</v>
      </c>
      <c r="AW29" s="27">
        <f t="shared" si="10"/>
        <v>4.7797073436384174E-5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3.0464488169417159E-3</v>
      </c>
      <c r="BA29" s="28">
        <f>IF( OR(ISBLANK(Q29:Q34),ISBLANK(AK29:AK34), ISBLANK(U29:U34),ISBLANK(AO29:AO34)), "·", bdRateExtend( Q29:Q34,U29:U34, AK29:AK34,AO29:AO34))</f>
        <v>3.3271560696801483E-3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-2.7979947962586404E-4</v>
      </c>
      <c r="BH29" s="28">
        <f>IF( OR(ISBLANK(P29:P34),ISBLANK(AJ29:AJ34), ISBLANK(U29:U34),ISBLANK(AO29:AO34)), "·", bdRateExtend( P29:P34,U29:U34, AJ29:AJ34,AO29:AO34))</f>
        <v>-2.5867127396006495E-4</v>
      </c>
      <c r="BI29" s="28">
        <f>IF( OR(ISBLANK(P29:P34),ISBLANK(AJ29:AJ34), ISBLANK(V29:V34),ISBLANK(AP29:AP34)), "·", bdRateExtend( P29:P34,V29:V34, AJ29:AJ34,AP29:AP34))</f>
        <v>-1.0991188053766088E-4</v>
      </c>
      <c r="BJ29" s="28">
        <f>IF( OR(ISBLANK(P29:P34),ISBLANK(AJ29:AJ34), ISBLANK(W29:W34),ISBLANK(AQ29:AQ34)), "·", bdRateExtend( P29:P34,W29:W34, AJ29:AJ34,AQ29:AQ34))</f>
        <v>-1.7518706358909952E-4</v>
      </c>
      <c r="BK29" s="28">
        <f>IF( OR(ISBLANK(P29:P34),ISBLANK(AJ29:AJ34), ISBLANK(X29:X34),ISBLANK(AR29:AR34)), "·", bdRateExtend( P29:P34,X29:X34, AJ29:AJ34,AR29:AR34))</f>
        <v>-2.1407276450302604E-4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0.11095699038228701</v>
      </c>
      <c r="AE30" s="34">
        <f t="shared" si="7"/>
        <v>2.335570636482736E-2</v>
      </c>
      <c r="AF30" s="34">
        <f t="shared" si="8"/>
        <v>8.7154237319706687E-2</v>
      </c>
      <c r="AG30" s="35"/>
      <c r="AH30" s="34">
        <f t="shared" si="9"/>
        <v>0.12524582534941192</v>
      </c>
      <c r="AI30" s="36">
        <v>713413</v>
      </c>
      <c r="AJ30" s="37">
        <v>89352</v>
      </c>
      <c r="AK30" s="37">
        <v>18808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1.202</v>
      </c>
      <c r="AU30" s="41">
        <v>0.93600000000000005</v>
      </c>
      <c r="AW30" s="42">
        <f t="shared" si="10"/>
        <v>4.7095838733887674E-4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0.30968414909007369</v>
      </c>
      <c r="AE31" s="19">
        <f t="shared" si="7"/>
        <v>8.0597552419329796E-2</v>
      </c>
      <c r="AF31" s="19">
        <f t="shared" si="8"/>
        <v>0.22914620289711096</v>
      </c>
      <c r="AG31" s="20"/>
      <c r="AH31" s="19">
        <f t="shared" si="9"/>
        <v>0.33919689235452294</v>
      </c>
      <c r="AI31" s="21">
        <v>735219</v>
      </c>
      <c r="AJ31" s="22">
        <v>249384</v>
      </c>
      <c r="AK31" s="22">
        <v>64904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1.39</v>
      </c>
      <c r="AU31" s="26">
        <v>1.1399999999999999</v>
      </c>
      <c r="AW31" s="27">
        <f t="shared" si="10"/>
        <v>2.0758057504615124E-3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0.77432461799238783</v>
      </c>
      <c r="AE32" s="34">
        <f t="shared" si="7"/>
        <v>0.24930304178023929</v>
      </c>
      <c r="AF32" s="34">
        <f t="shared" si="8"/>
        <v>0.5258461290102262</v>
      </c>
      <c r="AG32" s="35"/>
      <c r="AH32" s="34">
        <f t="shared" si="9"/>
        <v>0.7877030045173874</v>
      </c>
      <c r="AI32" s="36">
        <v>791608</v>
      </c>
      <c r="AJ32" s="37">
        <v>623552</v>
      </c>
      <c r="AK32" s="37">
        <v>200760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2.4209999999999998</v>
      </c>
      <c r="AU32" s="41">
        <v>2.077</v>
      </c>
      <c r="AW32" s="42">
        <f t="shared" si="10"/>
        <v>2.0584417681004941E-3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 t="str">
        <f t="shared" si="6"/>
        <v>·</v>
      </c>
      <c r="AE33" s="19">
        <f t="shared" si="7"/>
        <v>0</v>
      </c>
      <c r="AF33" s="19" t="str">
        <f t="shared" si="8"/>
        <v>·</v>
      </c>
      <c r="AG33" s="20"/>
      <c r="AH33" s="19" t="str">
        <f t="shared" si="9"/>
        <v>·</v>
      </c>
      <c r="AI33" s="21"/>
      <c r="AJ33" s="22"/>
      <c r="AK33" s="22">
        <v>0</v>
      </c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 t="str">
        <f t="shared" si="6"/>
        <v>·</v>
      </c>
      <c r="AE34" s="49">
        <f t="shared" si="7"/>
        <v>0</v>
      </c>
      <c r="AF34" s="49" t="str">
        <f t="shared" si="8"/>
        <v>·</v>
      </c>
      <c r="AG34" s="50"/>
      <c r="AH34" s="49" t="str">
        <f t="shared" si="9"/>
        <v>·</v>
      </c>
      <c r="AI34" s="51"/>
      <c r="AJ34" s="52"/>
      <c r="AK34" s="52">
        <v>0</v>
      </c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6.1882550627227161E-2</v>
      </c>
      <c r="AE35" s="19">
        <f t="shared" si="7"/>
        <v>5.4825558220686858E-3</v>
      </c>
      <c r="AF35" s="19">
        <f t="shared" si="8"/>
        <v>5.5976415419488446E-2</v>
      </c>
      <c r="AG35" s="20"/>
      <c r="AH35" s="19">
        <f t="shared" si="9"/>
        <v>8.2920697645466626E-2</v>
      </c>
      <c r="AI35" s="21">
        <v>747027</v>
      </c>
      <c r="AJ35" s="22">
        <v>61944</v>
      </c>
      <c r="AK35" s="22">
        <v>5488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1.1559999999999999</v>
      </c>
      <c r="AU35" s="26">
        <v>0.85899999999999999</v>
      </c>
      <c r="AW35" s="27">
        <f t="shared" si="10"/>
        <v>2.6970508152925066E-4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5.152617964478301E-3</v>
      </c>
      <c r="BA35" s="28">
        <f>IF( OR(ISBLANK(Q35:Q40),ISBLANK(AK35:AK40), ISBLANK(U35:U40),ISBLANK(AO35:AO40)), "·", bdRateExtend( Q35:Q40,U35:U40, AK35:AK40,AO35:AO40))</f>
        <v>5.4076364233908158E-3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1.1537090047863963E-4</v>
      </c>
      <c r="BH35" s="28">
        <f>IF( OR(ISBLANK(P35:P40),ISBLANK(AJ35:AJ40), ISBLANK(U35:U40),ISBLANK(AO35:AO40)), "·", bdRateExtend( P35:P40,U35:U40, AJ35:AJ40,AO35:AO40))</f>
        <v>1.2558093020875738E-4</v>
      </c>
      <c r="BI35" s="28">
        <f>IF( OR(ISBLANK(P35:P40),ISBLANK(AJ35:AJ40), ISBLANK(V35:V40),ISBLANK(AP35:AP40)), "·", bdRateExtend( P35:P40,V35:V40, AJ35:AJ40,AP35:AP40))</f>
        <v>1.3500955450318486E-4</v>
      </c>
      <c r="BJ35" s="28">
        <f>IF( OR(ISBLANK(P35:P40),ISBLANK(AJ35:AJ40), ISBLANK(W35:W40),ISBLANK(AQ35:AQ40)), "·", bdRateExtend( P35:P40,W35:W40, AJ35:AJ40,AQ35:AQ40))</f>
        <v>1.368812577269285E-4</v>
      </c>
      <c r="BK35" s="28">
        <f>IF( OR(ISBLANK(P35:P40),ISBLANK(AJ35:AJ40), ISBLANK(X35:X40),ISBLANK(AR35:AR40)), "·", bdRateExtend( P35:P40,X35:X40, AJ35:AJ40,AR35:AR40))</f>
        <v>1.3626150195489295E-4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0.16816101611100179</v>
      </c>
      <c r="AE36" s="34">
        <f t="shared" si="7"/>
        <v>1.8213913583811275E-2</v>
      </c>
      <c r="AF36" s="34">
        <f t="shared" si="8"/>
        <v>0.14954749933316216</v>
      </c>
      <c r="AG36" s="35"/>
      <c r="AH36" s="34">
        <f t="shared" si="9"/>
        <v>0.23160504630642456</v>
      </c>
      <c r="AI36" s="36">
        <v>726789</v>
      </c>
      <c r="AJ36" s="37">
        <v>168328</v>
      </c>
      <c r="AK36" s="37">
        <v>18232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1.202</v>
      </c>
      <c r="AU36" s="41">
        <v>0.95199999999999996</v>
      </c>
      <c r="AW36" s="42">
        <f t="shared" si="10"/>
        <v>4.1235207587661526E-4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0.40968917864560489</v>
      </c>
      <c r="AE37" s="19">
        <f t="shared" si="7"/>
        <v>6.3752693575279754E-2</v>
      </c>
      <c r="AF37" s="19">
        <f t="shared" si="8"/>
        <v>0.34597644538972799</v>
      </c>
      <c r="AG37" s="20"/>
      <c r="AH37" s="19">
        <f t="shared" si="9"/>
        <v>0.53412312954142593</v>
      </c>
      <c r="AI37" s="21">
        <v>767793</v>
      </c>
      <c r="AJ37" s="22">
        <v>410096</v>
      </c>
      <c r="AK37" s="22">
        <v>63816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1.5620000000000001</v>
      </c>
      <c r="AU37" s="26">
        <v>1.2030000000000001</v>
      </c>
      <c r="AW37" s="27">
        <f t="shared" si="10"/>
        <v>1.3714515660437077E-3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0.96546529296408667</v>
      </c>
      <c r="AE38" s="34">
        <f t="shared" si="7"/>
        <v>0.20277464477773571</v>
      </c>
      <c r="AF38" s="34">
        <f t="shared" si="8"/>
        <v>0.76337796568007965</v>
      </c>
      <c r="AG38" s="35"/>
      <c r="AH38" s="34">
        <f t="shared" si="9"/>
        <v>1.113756113751504</v>
      </c>
      <c r="AI38" s="36">
        <v>867716</v>
      </c>
      <c r="AJ38" s="37">
        <v>966424</v>
      </c>
      <c r="AK38" s="37">
        <v>202976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2.8119999999999998</v>
      </c>
      <c r="AU38" s="41">
        <v>2.2330000000000001</v>
      </c>
      <c r="AW38" s="42">
        <f t="shared" si="10"/>
        <v>1.3719884667951765E-3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 t="str">
        <f t="shared" si="6"/>
        <v>·</v>
      </c>
      <c r="AE39" s="19">
        <f t="shared" si="7"/>
        <v>0</v>
      </c>
      <c r="AF39" s="19" t="str">
        <f t="shared" si="8"/>
        <v>·</v>
      </c>
      <c r="AG39" s="20"/>
      <c r="AH39" s="19" t="str">
        <f t="shared" si="9"/>
        <v>·</v>
      </c>
      <c r="AI39" s="21"/>
      <c r="AJ39" s="22"/>
      <c r="AK39" s="22">
        <v>0</v>
      </c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 t="str">
        <f t="shared" si="6"/>
        <v>·</v>
      </c>
      <c r="AE40" s="49">
        <f t="shared" si="7"/>
        <v>0</v>
      </c>
      <c r="AF40" s="49" t="str">
        <f t="shared" si="8"/>
        <v>·</v>
      </c>
      <c r="AG40" s="50"/>
      <c r="AH40" s="49" t="str">
        <f t="shared" si="9"/>
        <v>·</v>
      </c>
      <c r="AI40" s="51"/>
      <c r="AJ40" s="52"/>
      <c r="AK40" s="52">
        <v>0</v>
      </c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9.2058636040285552E-2</v>
      </c>
      <c r="AE41" s="19">
        <f t="shared" si="7"/>
        <v>7.3169669429886328E-3</v>
      </c>
      <c r="AF41" s="19">
        <f t="shared" si="8"/>
        <v>8.4171515829012097E-2</v>
      </c>
      <c r="AG41" s="20"/>
      <c r="AH41" s="19">
        <f t="shared" si="9"/>
        <v>0.10231136378970961</v>
      </c>
      <c r="AI41" s="21">
        <v>681762</v>
      </c>
      <c r="AJ41" s="22">
        <v>69752</v>
      </c>
      <c r="AK41" s="22">
        <v>5544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0.92100000000000004</v>
      </c>
      <c r="AU41" s="26">
        <v>0.85799999999999998</v>
      </c>
      <c r="AW41" s="27">
        <f t="shared" si="10"/>
        <v>1.2379376054193203E-4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3.7490010106573379E-3</v>
      </c>
      <c r="BA41" s="28">
        <f>IF( OR(ISBLANK(Q41:Q46),ISBLANK(AK41:AK46), ISBLANK(U41:U46),ISBLANK(AO41:AO46)), "·", bdRateExtend( Q41:Q46,U41:U46, AK41:AK46,AO41:AO46))</f>
        <v>3.8123109603154237E-3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9.6999356419269489E-5</v>
      </c>
      <c r="BH41" s="28">
        <f>IF( OR(ISBLANK(P41:P46),ISBLANK(AJ41:AJ46), ISBLANK(U41:U46),ISBLANK(AO41:AO46)), "·", bdRateExtend( P41:P46,U41:U46, AJ41:AJ46,AO41:AO46))</f>
        <v>9.9750617542637698E-5</v>
      </c>
      <c r="BI41" s="28">
        <f>IF( OR(ISBLANK(P41:P46),ISBLANK(AJ41:AJ46), ISBLANK(V41:V46),ISBLANK(AP41:AP46)), "·", bdRateExtend( P41:P46,V41:V46, AJ41:AJ46,AP41:AP46))</f>
        <v>1.2483773601701387E-4</v>
      </c>
      <c r="BJ41" s="28">
        <f>IF( OR(ISBLANK(P41:P46),ISBLANK(AJ41:AJ46), ISBLANK(W41:W46),ISBLANK(AQ41:AQ46)), "·", bdRateExtend( P41:P46,W41:W46, AJ41:AJ46,AQ41:AQ46))</f>
        <v>1.3061889578125374E-4</v>
      </c>
      <c r="BK41" s="28">
        <f>IF( OR(ISBLANK(P41:P46),ISBLANK(AJ41:AJ46), ISBLANK(X41:X46),ISBLANK(AR41:AR46)), "·", bdRateExtend( P41:P46,X41:X46, AJ41:AJ46,AR41:AR46))</f>
        <v>1.1814848792379706E-4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0.22901156276107279</v>
      </c>
      <c r="AE42" s="34">
        <f t="shared" si="7"/>
        <v>2.5297911681674983E-2</v>
      </c>
      <c r="AF42" s="34">
        <f t="shared" si="8"/>
        <v>0.20317517299268437</v>
      </c>
      <c r="AG42" s="35"/>
      <c r="AH42" s="34">
        <f t="shared" si="9"/>
        <v>0.25713180672437019</v>
      </c>
      <c r="AI42" s="36">
        <v>674829</v>
      </c>
      <c r="AJ42" s="37">
        <v>173520</v>
      </c>
      <c r="AK42" s="37">
        <v>19168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1.093</v>
      </c>
      <c r="AU42" s="41">
        <v>0.90500000000000003</v>
      </c>
      <c r="AW42" s="42">
        <f t="shared" si="10"/>
        <v>3.1257233010195673E-4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0.58151410007509663</v>
      </c>
      <c r="AE43" s="19">
        <f t="shared" si="7"/>
        <v>9.0200358721431298E-2</v>
      </c>
      <c r="AF43" s="19">
        <f t="shared" si="8"/>
        <v>0.4911553654458084</v>
      </c>
      <c r="AG43" s="20"/>
      <c r="AH43" s="19">
        <f t="shared" si="9"/>
        <v>0.63208573027099146</v>
      </c>
      <c r="AI43" s="21">
        <v>697070</v>
      </c>
      <c r="AJ43" s="22">
        <v>440608</v>
      </c>
      <c r="AK43" s="22">
        <v>68344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1.5309999999999999</v>
      </c>
      <c r="AU43" s="26">
        <v>1.1399999999999999</v>
      </c>
      <c r="AW43" s="27">
        <f t="shared" si="10"/>
        <v>9.2871285743417742E-4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1.3933595621434067</v>
      </c>
      <c r="AE44" s="34">
        <f t="shared" si="7"/>
        <v>0.28220475101327586</v>
      </c>
      <c r="AF44" s="34">
        <f t="shared" si="8"/>
        <v>1.1121156249711295</v>
      </c>
      <c r="AG44" s="35"/>
      <c r="AH44" s="34">
        <f t="shared" si="9"/>
        <v>1.3998257735772504</v>
      </c>
      <c r="AI44" s="36">
        <v>754191</v>
      </c>
      <c r="AJ44" s="37">
        <v>1055736</v>
      </c>
      <c r="AK44" s="37">
        <v>213824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2.3109999999999999</v>
      </c>
      <c r="AU44" s="41">
        <v>1.984</v>
      </c>
      <c r="AW44" s="42">
        <f t="shared" si="10"/>
        <v>1.2894425488615135E-3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 t="str">
        <f t="shared" si="6"/>
        <v>·</v>
      </c>
      <c r="AE45" s="19">
        <f t="shared" si="7"/>
        <v>0</v>
      </c>
      <c r="AF45" s="19" t="str">
        <f t="shared" si="8"/>
        <v>·</v>
      </c>
      <c r="AG45" s="20"/>
      <c r="AH45" s="19" t="str">
        <f t="shared" si="9"/>
        <v>·</v>
      </c>
      <c r="AI45" s="21"/>
      <c r="AJ45" s="22"/>
      <c r="AK45" s="22">
        <v>0</v>
      </c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 t="str">
        <f t="shared" si="6"/>
        <v>·</v>
      </c>
      <c r="AE46" s="49">
        <f t="shared" si="7"/>
        <v>0</v>
      </c>
      <c r="AF46" s="49" t="str">
        <f t="shared" si="8"/>
        <v>·</v>
      </c>
      <c r="AG46" s="50"/>
      <c r="AH46" s="49" t="str">
        <f t="shared" si="9"/>
        <v>·</v>
      </c>
      <c r="AI46" s="51"/>
      <c r="AJ46" s="52"/>
      <c r="AK46" s="52">
        <v>0</v>
      </c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6.8548909136151151E-2</v>
      </c>
      <c r="AE47" s="19">
        <f t="shared" si="7"/>
        <v>7.2427372919251012E-3</v>
      </c>
      <c r="AF47" s="19">
        <f t="shared" si="8"/>
        <v>6.0887474049459593E-2</v>
      </c>
      <c r="AG47" s="20"/>
      <c r="AH47" s="19">
        <f t="shared" si="9"/>
        <v>7.2627725509690863E-2</v>
      </c>
      <c r="AI47" s="21">
        <v>1027927</v>
      </c>
      <c r="AJ47" s="22">
        <v>74656</v>
      </c>
      <c r="AK47" s="22">
        <v>7888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1.577</v>
      </c>
      <c r="AU47" s="26">
        <v>1.2490000000000001</v>
      </c>
      <c r="AW47" s="27">
        <f t="shared" si="10"/>
        <v>7.3215365697543167E-5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4.4446363748744666E-3</v>
      </c>
      <c r="BA47" s="28">
        <f>IF( OR(ISBLANK(Q47:Q52),ISBLANK(AK47:AK52), ISBLANK(U47:U52),ISBLANK(AO47:AO52)), "·", bdRateExtend( Q47:Q52,U47:U52, AK47:AK52,AO47:AO52))</f>
        <v>4.776490487587326E-3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7.4861286364358293E-5</v>
      </c>
      <c r="BH47" s="28">
        <f>IF( OR(ISBLANK(P47:P52),ISBLANK(AJ47:AJ52), ISBLANK(U47:U52),ISBLANK(AO47:AO52)), "·", bdRateExtend( P47:P52,U47:U52, AJ47:AJ52,AO47:AO52))</f>
        <v>7.1590242219254918E-5</v>
      </c>
      <c r="BI47" s="28">
        <f>IF( OR(ISBLANK(P47:P52),ISBLANK(AJ47:AJ52), ISBLANK(V47:V52),ISBLANK(AP47:AP52)), "·", bdRateExtend( P47:P52,V47:V52, AJ47:AJ52,AP47:AP52))</f>
        <v>8.6117618903758242E-5</v>
      </c>
      <c r="BJ47" s="28">
        <f>IF( OR(ISBLANK(P47:P52),ISBLANK(AJ47:AJ52), ISBLANK(W47:W52),ISBLANK(AQ47:AQ52)), "·", bdRateExtend( P47:P52,W47:W52, AJ47:AJ52,AQ47:AQ52))</f>
        <v>8.9821214624752344E-5</v>
      </c>
      <c r="BK47" s="28">
        <f>IF( OR(ISBLANK(P47:P52),ISBLANK(AJ47:AJ52), ISBLANK(X47:X52),ISBLANK(AR47:AR52)), "·", bdRateExtend( P47:P52,X47:X52, AJ47:AJ52,AR47:AR52))</f>
        <v>9.0131708015972478E-5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0.18231718010708012</v>
      </c>
      <c r="AE48" s="34">
        <f t="shared" si="7"/>
        <v>2.462971413775341E-2</v>
      </c>
      <c r="AF48" s="34">
        <f t="shared" si="8"/>
        <v>0.15740098853080228</v>
      </c>
      <c r="AG48" s="35"/>
      <c r="AH48" s="34">
        <f t="shared" si="9"/>
        <v>0.20285691517728527</v>
      </c>
      <c r="AI48" s="36">
        <v>978818</v>
      </c>
      <c r="AJ48" s="37">
        <v>198560</v>
      </c>
      <c r="AK48" s="37">
        <v>26824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1.593</v>
      </c>
      <c r="AU48" s="41">
        <v>1.296</v>
      </c>
      <c r="AW48" s="42">
        <f t="shared" si="10"/>
        <v>6.0976965743539391E-4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0.48119394981686564</v>
      </c>
      <c r="AE49" s="19">
        <f t="shared" si="7"/>
        <v>8.7471111229456486E-2</v>
      </c>
      <c r="AF49" s="19">
        <f t="shared" si="8"/>
        <v>0.39389178682038506</v>
      </c>
      <c r="AG49" s="20"/>
      <c r="AH49" s="19">
        <f t="shared" si="9"/>
        <v>0.52470046165999362</v>
      </c>
      <c r="AI49" s="21">
        <v>998787</v>
      </c>
      <c r="AJ49" s="22">
        <v>524064</v>
      </c>
      <c r="AK49" s="22">
        <v>95264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1.9830000000000001</v>
      </c>
      <c r="AU49" s="26">
        <v>1.671</v>
      </c>
      <c r="AW49" s="27">
        <f t="shared" si="10"/>
        <v>1.2657525579680695E-3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1.1222716926317451</v>
      </c>
      <c r="AE50" s="34">
        <f t="shared" si="7"/>
        <v>0.26298628856541834</v>
      </c>
      <c r="AF50" s="34">
        <f t="shared" si="8"/>
        <v>0.86050476957389233</v>
      </c>
      <c r="AG50" s="35"/>
      <c r="AH50" s="34">
        <f t="shared" si="9"/>
        <v>1.1384448300560999</v>
      </c>
      <c r="AI50" s="36">
        <v>1073619</v>
      </c>
      <c r="AJ50" s="37">
        <v>1222256</v>
      </c>
      <c r="AK50" s="37">
        <v>286416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3.359</v>
      </c>
      <c r="AU50" s="41">
        <v>2.7959999999999998</v>
      </c>
      <c r="AW50" s="42">
        <f t="shared" si="10"/>
        <v>1.6373495016171191E-3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 t="str">
        <f t="shared" si="6"/>
        <v>·</v>
      </c>
      <c r="AE51" s="19">
        <f t="shared" si="7"/>
        <v>0</v>
      </c>
      <c r="AF51" s="19" t="str">
        <f t="shared" si="8"/>
        <v>·</v>
      </c>
      <c r="AG51" s="20"/>
      <c r="AH51" s="19" t="str">
        <f t="shared" si="9"/>
        <v>·</v>
      </c>
      <c r="AI51" s="21"/>
      <c r="AJ51" s="22"/>
      <c r="AK51" s="22">
        <v>0</v>
      </c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 t="str">
        <f t="shared" si="6"/>
        <v>·</v>
      </c>
      <c r="AE52" s="49">
        <f t="shared" si="7"/>
        <v>0</v>
      </c>
      <c r="AF52" s="49" t="str">
        <f t="shared" si="8"/>
        <v>·</v>
      </c>
      <c r="AG52" s="50"/>
      <c r="AH52" s="49" t="str">
        <f t="shared" si="9"/>
        <v>·</v>
      </c>
      <c r="AI52" s="51"/>
      <c r="AJ52" s="52"/>
      <c r="AK52" s="52">
        <v>0</v>
      </c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3.8195459417324371E-2</v>
      </c>
      <c r="AE53" s="19">
        <f t="shared" si="7"/>
        <v>2.1979320909266617E-3</v>
      </c>
      <c r="AF53" s="19">
        <f t="shared" si="8"/>
        <v>3.5859517636967431E-2</v>
      </c>
      <c r="AG53" s="20"/>
      <c r="AH53" s="19">
        <f t="shared" si="9"/>
        <v>0.12835294698623931</v>
      </c>
      <c r="AI53" s="21">
        <v>931494</v>
      </c>
      <c r="AJ53" s="22">
        <v>119560</v>
      </c>
      <c r="AK53" s="22">
        <v>6880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1.3109999999999999</v>
      </c>
      <c r="AU53" s="26">
        <v>1.109</v>
      </c>
      <c r="AW53" s="27">
        <f t="shared" si="10"/>
        <v>7.4602840597723374E-5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2.674995327537566E-3</v>
      </c>
      <c r="BA53" s="28">
        <f>IF( OR(ISBLANK(Q53:Q58),ISBLANK(AK53:AK58), ISBLANK(U53:U58),ISBLANK(AO53:AO58)), "·", bdRateExtend( Q53:Q58,U53:U58, AK53:AK58,AO53:AO58))</f>
        <v>2.7541084743576416E-3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-3.5390339448437835E-5</v>
      </c>
      <c r="BH53" s="28">
        <f>IF( OR(ISBLANK(P53:P58),ISBLANK(AJ53:AJ58), ISBLANK(U53:U58),ISBLANK(AO53:AO58)), "·", bdRateExtend( P53:P58,U53:U58, AJ53:AJ58,AO53:AO58))</f>
        <v>-3.3044615105115582E-5</v>
      </c>
      <c r="BI53" s="28">
        <f>IF( OR(ISBLANK(P53:P58),ISBLANK(AJ53:AJ58), ISBLANK(V53:V58),ISBLANK(AP53:AP58)), "·", bdRateExtend( P53:P58,V53:V58, AJ53:AJ58,AP53:AP58))</f>
        <v>-1.6398420430996374E-5</v>
      </c>
      <c r="BJ53" s="28">
        <f>IF( OR(ISBLANK(P53:P58),ISBLANK(AJ53:AJ58), ISBLANK(W53:W58),ISBLANK(AQ53:AQ58)), "·", bdRateExtend( P53:P58,W53:W58, AJ53:AJ58,AQ53:AQ58))</f>
        <v>-4.6321084424816306E-6</v>
      </c>
      <c r="BK53" s="28">
        <f>IF( OR(ISBLANK(P53:P58),ISBLANK(AJ53:AJ58), ISBLANK(X53:X58),ISBLANK(AR53:AR58)), "·", bdRateExtend( P53:P58,X53:X58, AJ53:AJ58,AR53:AR58))</f>
        <v>-3.6582404306928495E-6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0.10797980330424588</v>
      </c>
      <c r="AE54" s="34">
        <f t="shared" si="7"/>
        <v>7.5879771836758819E-3</v>
      </c>
      <c r="AF54" s="34">
        <f t="shared" si="8"/>
        <v>0.10026403937109751</v>
      </c>
      <c r="AG54" s="35"/>
      <c r="AH54" s="34">
        <f t="shared" si="9"/>
        <v>0.37911034690840001</v>
      </c>
      <c r="AI54" s="36">
        <v>891561</v>
      </c>
      <c r="AJ54" s="37">
        <v>338000</v>
      </c>
      <c r="AK54" s="37">
        <v>23752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1.546</v>
      </c>
      <c r="AU54" s="41">
        <v>1.155</v>
      </c>
      <c r="AW54" s="42">
        <f t="shared" si="10"/>
        <v>1.4367168089156335E-4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0.27190975699752251</v>
      </c>
      <c r="AE55" s="19">
        <f t="shared" si="7"/>
        <v>2.7001340163535094E-2</v>
      </c>
      <c r="AF55" s="19">
        <f t="shared" si="8"/>
        <v>0.24492119550893468</v>
      </c>
      <c r="AG55" s="20"/>
      <c r="AH55" s="19">
        <f t="shared" si="9"/>
        <v>0.92276168473046327</v>
      </c>
      <c r="AI55" s="21">
        <v>922379</v>
      </c>
      <c r="AJ55" s="22">
        <v>851136</v>
      </c>
      <c r="AK55" s="22">
        <v>84520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1.796</v>
      </c>
      <c r="AU55" s="26">
        <v>1.546</v>
      </c>
      <c r="AW55" s="27">
        <f t="shared" si="10"/>
        <v>5.9969353173904005E-4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0.56232559105364965</v>
      </c>
      <c r="AE56" s="34">
        <f t="shared" si="7"/>
        <v>8.175796231249291E-2</v>
      </c>
      <c r="AF56" s="34">
        <f t="shared" si="8"/>
        <v>0.48081042356515447</v>
      </c>
      <c r="AG56" s="35"/>
      <c r="AH56" s="34">
        <f t="shared" si="9"/>
        <v>1.7822788706496073</v>
      </c>
      <c r="AI56" s="36">
        <v>987612</v>
      </c>
      <c r="AJ56" s="37">
        <v>1760200</v>
      </c>
      <c r="AK56" s="37">
        <v>255920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3.14</v>
      </c>
      <c r="AU56" s="41">
        <v>2.4990000000000001</v>
      </c>
      <c r="AW56" s="42">
        <f t="shared" si="10"/>
        <v>8.0746481933322012E-4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 t="str">
        <f t="shared" si="6"/>
        <v>·</v>
      </c>
      <c r="AE57" s="19">
        <f t="shared" si="7"/>
        <v>0</v>
      </c>
      <c r="AF57" s="19" t="str">
        <f t="shared" si="8"/>
        <v>·</v>
      </c>
      <c r="AG57" s="20"/>
      <c r="AH57" s="19" t="str">
        <f t="shared" si="9"/>
        <v>·</v>
      </c>
      <c r="AI57" s="21"/>
      <c r="AJ57" s="22"/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 t="str">
        <f t="shared" si="6"/>
        <v>·</v>
      </c>
      <c r="AE58" s="49">
        <f t="shared" si="7"/>
        <v>0</v>
      </c>
      <c r="AF58" s="49" t="str">
        <f t="shared" si="8"/>
        <v>·</v>
      </c>
      <c r="AG58" s="50"/>
      <c r="AH58" s="49" t="str">
        <f t="shared" si="9"/>
        <v>·</v>
      </c>
      <c r="AI58" s="51"/>
      <c r="AJ58" s="52"/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2.5133084365253064E-2</v>
      </c>
      <c r="AE59" s="19">
        <f t="shared" si="7"/>
        <v>7.846359307030891E-3</v>
      </c>
      <c r="AF59" s="19">
        <f t="shared" si="8"/>
        <v>1.7078313296126489E-2</v>
      </c>
      <c r="AG59" s="20"/>
      <c r="AH59" s="19">
        <f t="shared" si="9"/>
        <v>3.8004931567573556E-2</v>
      </c>
      <c r="AI59" s="21">
        <v>2310016</v>
      </c>
      <c r="AJ59" s="22">
        <v>87792</v>
      </c>
      <c r="AK59" s="22">
        <v>27408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4.4820000000000002</v>
      </c>
      <c r="AU59" s="26">
        <v>2.81</v>
      </c>
      <c r="AW59" s="27">
        <f t="shared" si="10"/>
        <v>-4.7846579941418499E-4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1.2421626688561282E-3</v>
      </c>
      <c r="BA59" s="28">
        <f>IF( OR(ISBLANK(Q59:Q64),ISBLANK(AK59:AK64), ISBLANK(U59:U64),ISBLANK(AO59:AO64)), "·", bdRateExtend( Q59:Q64,U59:U64, AK59:AK64,AO59:AO64))</f>
        <v>2.2880818984445384E-3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3.3732611095427245E-4</v>
      </c>
      <c r="BH59" s="28">
        <f>IF( OR(ISBLANK(P59:P64),ISBLANK(AJ59:AJ64), ISBLANK(U59:U64),ISBLANK(AO59:AO64)), "·", bdRateExtend( P59:P64,U59:U64, AJ59:AJ64,AO59:AO64))</f>
        <v>3.9545900893211972E-4</v>
      </c>
      <c r="BI59" s="28">
        <f>IF( OR(ISBLANK(P59:P64),ISBLANK(AJ59:AJ64), ISBLANK(V59:V64),ISBLANK(AP59:AP64)), "·", bdRateExtend( P59:P64,V59:V64, AJ59:AJ64,AP59:AP64))</f>
        <v>4.8013907699773206E-4</v>
      </c>
      <c r="BJ59" s="28">
        <f>IF( OR(ISBLANK(P59:P64),ISBLANK(AJ59:AJ64), ISBLANK(W59:W64),ISBLANK(AQ59:AQ64)), "·", bdRateExtend( P59:P64,W59:W64, AJ59:AJ64,AQ59:AQ64))</f>
        <v>4.4031577089165275E-4</v>
      </c>
      <c r="BK59" s="28">
        <f>IF( OR(ISBLANK(P59:P64),ISBLANK(AJ59:AJ64), ISBLANK(X59:X64),ISBLANK(AR59:AR64)), "·", bdRateExtend( P59:P64,X59:X64, AJ59:AJ64,AR59:AR64))</f>
        <v>4.2895833710554498E-4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7.2754026884544756E-2</v>
      </c>
      <c r="AE60" s="34">
        <f t="shared" si="7"/>
        <v>2.4086445076486829E-2</v>
      </c>
      <c r="AF60" s="34">
        <f t="shared" si="8"/>
        <v>4.8500394350552589E-2</v>
      </c>
      <c r="AG60" s="35"/>
      <c r="AH60" s="34">
        <f t="shared" si="9"/>
        <v>7.3646726618955216E-2</v>
      </c>
      <c r="AI60" s="36">
        <v>3450744</v>
      </c>
      <c r="AJ60" s="37">
        <v>254136</v>
      </c>
      <c r="AK60" s="37">
        <v>84136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4.5119999999999996</v>
      </c>
      <c r="AW60" s="42">
        <f t="shared" si="10"/>
        <v>5.2553237700081468E-4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0.17889286976984528</v>
      </c>
      <c r="AE61" s="19">
        <f t="shared" si="7"/>
        <v>7.7538336456169837E-2</v>
      </c>
      <c r="AF61" s="19">
        <f t="shared" si="8"/>
        <v>0.10173013253327647</v>
      </c>
      <c r="AG61" s="20"/>
      <c r="AH61" s="19">
        <f t="shared" si="9"/>
        <v>0.21106888226257756</v>
      </c>
      <c r="AI61" s="21">
        <v>2960588</v>
      </c>
      <c r="AJ61" s="22">
        <v>624888</v>
      </c>
      <c r="AK61" s="22">
        <v>270848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6.9969999999999999</v>
      </c>
      <c r="AU61" s="26">
        <v>4.8559999999999999</v>
      </c>
      <c r="AW61" s="27">
        <f t="shared" si="10"/>
        <v>3.5782180942288133E-3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0.46242676602487487</v>
      </c>
      <c r="AE62" s="34">
        <f t="shared" si="7"/>
        <v>0.23085381546684378</v>
      </c>
      <c r="AF62" s="34">
        <f t="shared" si="8"/>
        <v>0.23185923045101967</v>
      </c>
      <c r="AG62" s="35"/>
      <c r="AH62" s="34">
        <f t="shared" si="9"/>
        <v>0.57095189754581621</v>
      </c>
      <c r="AI62" s="36">
        <v>2829128</v>
      </c>
      <c r="AJ62" s="37">
        <v>1615296</v>
      </c>
      <c r="AK62" s="37">
        <v>806392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11.605</v>
      </c>
      <c r="AU62" s="41">
        <v>7.2949999999999999</v>
      </c>
      <c r="AW62" s="42">
        <f t="shared" si="10"/>
        <v>1.4106878388031596E-3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>
        <f t="shared" si="7"/>
        <v>0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>
        <v>0</v>
      </c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>
        <f t="shared" si="7"/>
        <v>0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>
        <v>0</v>
      </c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0.19227547405056747</v>
      </c>
      <c r="AE65" s="19">
        <f t="shared" si="7"/>
        <v>2.0309695285652081E-2</v>
      </c>
      <c r="AF65" s="19">
        <f t="shared" si="8"/>
        <v>0.17168509195938814</v>
      </c>
      <c r="AG65" s="20"/>
      <c r="AH65" s="19">
        <f t="shared" si="9"/>
        <v>0.26134542376403219</v>
      </c>
      <c r="AI65" s="21">
        <v>1174262</v>
      </c>
      <c r="AJ65" s="22">
        <v>306888</v>
      </c>
      <c r="AK65" s="22">
        <v>32416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3.718</v>
      </c>
      <c r="AU65" s="26">
        <v>1.3740000000000001</v>
      </c>
      <c r="AW65" s="27">
        <f t="shared" si="10"/>
        <v>5.4610620012920941E-4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5.5032549960161159E-3</v>
      </c>
      <c r="BA65" s="28">
        <f>IF( OR(ISBLANK(Q65:Q70),ISBLANK(AK65:AK70), ISBLANK(U65:U70),ISBLANK(AO65:AO70)), "·", bdRateExtend( Q65:Q70,U65:U70, AK65:AK70,AO65:AO70))</f>
        <v>5.4714549564045534E-3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1.421566024430998E-4</v>
      </c>
      <c r="BH65" s="28">
        <f>IF( OR(ISBLANK(P65:P70),ISBLANK(AJ65:AJ70), ISBLANK(U65:U70),ISBLANK(AO65:AO70)), "·", bdRateExtend( P65:P70,U65:U70, AJ65:AJ70,AO65:AO70))</f>
        <v>1.4731864716810428E-4</v>
      </c>
      <c r="BI65" s="28">
        <f>IF( OR(ISBLANK(P65:P70),ISBLANK(AJ65:AJ70), ISBLANK(V65:V70),ISBLANK(AP65:AP70)), "·", bdRateExtend( P65:P70,V65:V70, AJ65:AJ70,AP65:AP70))</f>
        <v>1.3836739029970957E-4</v>
      </c>
      <c r="BJ65" s="28">
        <f>IF( OR(ISBLANK(P65:P70),ISBLANK(AJ65:AJ70), ISBLANK(W65:W70),ISBLANK(AQ65:AQ70)), "·", bdRateExtend( P65:P70,W65:W70, AJ65:AJ70,AQ65:AQ70))</f>
        <v>1.2268001942650208E-4</v>
      </c>
      <c r="BK65" s="28">
        <f>IF( OR(ISBLANK(P65:P70),ISBLANK(AJ65:AJ70), ISBLANK(X65:X70),ISBLANK(AR65:AR70)), "·", bdRateExtend( P65:P70,X65:X70, AJ65:AJ70,AR65:AR70))</f>
        <v>1.2451683857328533E-4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0.52861846330239304</v>
      </c>
      <c r="AE66" s="34">
        <f t="shared" si="7"/>
        <v>7.9644881068364148E-2</v>
      </c>
      <c r="AF66" s="34">
        <f t="shared" si="8"/>
        <v>0.44899864355595098</v>
      </c>
      <c r="AG66" s="35"/>
      <c r="AH66" s="34">
        <f t="shared" si="9"/>
        <v>0.66031851375898354</v>
      </c>
      <c r="AI66" s="36">
        <v>1277747</v>
      </c>
      <c r="AJ66" s="37">
        <v>843720</v>
      </c>
      <c r="AK66" s="37">
        <v>127120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4.2789999999999999</v>
      </c>
      <c r="AU66" s="41">
        <v>1.8260000000000001</v>
      </c>
      <c r="AW66" s="42">
        <f t="shared" si="10"/>
        <v>7.8890128139466609E-4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1.4442138106679783</v>
      </c>
      <c r="AE67" s="19">
        <f t="shared" si="7"/>
        <v>0.33886415823718663</v>
      </c>
      <c r="AF67" s="19">
        <f t="shared" si="8"/>
        <v>1.1069986874132642</v>
      </c>
      <c r="AG67" s="20"/>
      <c r="AH67" s="19">
        <f t="shared" si="9"/>
        <v>1.4269359314750241</v>
      </c>
      <c r="AI67" s="21">
        <v>1615411</v>
      </c>
      <c r="AJ67" s="22">
        <v>2305088</v>
      </c>
      <c r="AK67" s="22">
        <v>540856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7.6859999999999999</v>
      </c>
      <c r="AU67" s="26">
        <v>2.9359999999999999</v>
      </c>
      <c r="AW67" s="27">
        <f t="shared" si="10"/>
        <v>1.4470149286144041E-3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>
        <f t="shared" si="7"/>
        <v>1.3507050063123205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>
        <v>2155840</v>
      </c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>
        <f t="shared" ref="AE69:AE132" si="18">IF(AK69="","·",AK69/D69)</f>
        <v>0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>
        <v>0</v>
      </c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>
        <f t="shared" si="18"/>
        <v>0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>
        <v>0</v>
      </c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9.2030876033354733E-2</v>
      </c>
      <c r="AE71" s="19">
        <f t="shared" si="18"/>
        <v>9.0553532378074252E-3</v>
      </c>
      <c r="AF71" s="19">
        <f t="shared" si="19"/>
        <v>8.2871345370615676E-2</v>
      </c>
      <c r="AG71" s="20"/>
      <c r="AH71" s="19">
        <f t="shared" si="20"/>
        <v>0.10831061338316485</v>
      </c>
      <c r="AI71" s="21">
        <v>7568972</v>
      </c>
      <c r="AJ71" s="22">
        <v>819800</v>
      </c>
      <c r="AK71" s="22">
        <v>80664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11.772</v>
      </c>
      <c r="AU71" s="26">
        <v>9.2739999999999991</v>
      </c>
      <c r="AW71" s="27">
        <f t="shared" si="21"/>
        <v>3.4671168303404554E-4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4.664659587629405E-3</v>
      </c>
      <c r="BA71" s="28">
        <f>IF( OR(ISBLANK(Q71:Q76),ISBLANK(AK71:AK76), ISBLANK(U71:U76),ISBLANK(AO71:AO76)), "·", bdRateExtend( Q71:Q76,U71:U76, AK71:AK76,AO71:AO76))</f>
        <v>4.6530061077658669E-3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1.6073998941479317E-4</v>
      </c>
      <c r="BH71" s="28">
        <f>IF( OR(ISBLANK(P71:P76),ISBLANK(AJ71:AJ76), ISBLANK(U71:U76),ISBLANK(AO71:AO76)), "·", bdRateExtend( P71:P76,U71:U76, AJ71:AJ76,AO71:AO76))</f>
        <v>1.6389519275916697E-4</v>
      </c>
      <c r="BI71" s="28">
        <f>IF( OR(ISBLANK(P71:P76),ISBLANK(AJ71:AJ76), ISBLANK(V71:V76),ISBLANK(AP71:AP76)), "·", bdRateExtend( P71:P76,V71:V76, AJ71:AJ76,AP71:AP76))</f>
        <v>1.5272342062466748E-4</v>
      </c>
      <c r="BJ71" s="28">
        <f>IF( OR(ISBLANK(P71:P76),ISBLANK(AJ71:AJ76), ISBLANK(W71:W76),ISBLANK(AQ71:AQ76)), "·", bdRateExtend( P71:P76,W71:W76, AJ71:AJ76,AQ71:AQ76))</f>
        <v>1.4477411011948327E-4</v>
      </c>
      <c r="BK71" s="28">
        <f>IF( OR(ISBLANK(P71:P76),ISBLANK(AJ71:AJ76), ISBLANK(X71:X76),ISBLANK(AR71:AR76)), "·", bdRateExtend( P71:P76,X71:X76, AJ71:AJ76,AR71:AR76))</f>
        <v>1.4331048912796795E-4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0.28140567677157752</v>
      </c>
      <c r="AE72" s="34">
        <f t="shared" si="18"/>
        <v>3.2762902059749348E-2</v>
      </c>
      <c r="AF72" s="34">
        <f t="shared" si="19"/>
        <v>0.24861762843684468</v>
      </c>
      <c r="AG72" s="35"/>
      <c r="AH72" s="34">
        <f t="shared" si="20"/>
        <v>0.3496279203793965</v>
      </c>
      <c r="AI72" s="36">
        <v>7169702</v>
      </c>
      <c r="AJ72" s="37">
        <v>2506728</v>
      </c>
      <c r="AK72" s="37">
        <v>291848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12.741</v>
      </c>
      <c r="AU72" s="41">
        <v>9.8829999999999991</v>
      </c>
      <c r="AW72" s="42">
        <f t="shared" si="21"/>
        <v>5.3163412577397762E-4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0.8322545880725829</v>
      </c>
      <c r="AE73" s="19">
        <f t="shared" si="18"/>
        <v>0.14793553572791732</v>
      </c>
      <c r="AF73" s="19">
        <f t="shared" si="19"/>
        <v>0.68479234116310506</v>
      </c>
      <c r="AG73" s="20"/>
      <c r="AH73" s="19">
        <f t="shared" si="20"/>
        <v>1.066953811826086</v>
      </c>
      <c r="AI73" s="21">
        <v>6948402</v>
      </c>
      <c r="AJ73" s="22">
        <v>7413624</v>
      </c>
      <c r="AK73" s="22">
        <v>1317792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19.495999999999999</v>
      </c>
      <c r="AU73" s="26">
        <v>11.837</v>
      </c>
      <c r="AW73" s="27">
        <f t="shared" si="21"/>
        <v>8.0019533020442291E-4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2.1690242796265777</v>
      </c>
      <c r="AE74" s="34">
        <f t="shared" si="18"/>
        <v>0.60598750768982068</v>
      </c>
      <c r="AF74" s="34">
        <f t="shared" si="19"/>
        <v>1.5668105093467806</v>
      </c>
      <c r="AG74" s="35"/>
      <c r="AH74" s="34">
        <f t="shared" si="20"/>
        <v>2.4001227302512058</v>
      </c>
      <c r="AI74" s="36">
        <v>8050175</v>
      </c>
      <c r="AJ74" s="37">
        <v>19321408</v>
      </c>
      <c r="AK74" s="37">
        <v>5398064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39.473999999999997</v>
      </c>
      <c r="AU74" s="41">
        <v>20.257999999999999</v>
      </c>
      <c r="AW74" s="42">
        <f t="shared" si="21"/>
        <v>1.8639783778490737E-3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 t="str">
        <f t="shared" si="17"/>
        <v>·</v>
      </c>
      <c r="AE75" s="19">
        <f t="shared" si="18"/>
        <v>0</v>
      </c>
      <c r="AF75" s="19" t="str">
        <f t="shared" si="19"/>
        <v>·</v>
      </c>
      <c r="AG75" s="20"/>
      <c r="AH75" s="19" t="str">
        <f t="shared" si="20"/>
        <v>·</v>
      </c>
      <c r="AI75" s="21"/>
      <c r="AJ75" s="22"/>
      <c r="AK75" s="22">
        <v>0</v>
      </c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 t="str">
        <f t="shared" si="17"/>
        <v>·</v>
      </c>
      <c r="AE76" s="49">
        <f t="shared" si="18"/>
        <v>0</v>
      </c>
      <c r="AF76" s="49" t="str">
        <f t="shared" si="19"/>
        <v>·</v>
      </c>
      <c r="AG76" s="50"/>
      <c r="AH76" s="49" t="str">
        <f t="shared" si="20"/>
        <v>·</v>
      </c>
      <c r="AI76" s="51"/>
      <c r="AJ76" s="52"/>
      <c r="AK76" s="52">
        <v>0</v>
      </c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2.3365184705372525E-2</v>
      </c>
      <c r="AE77" s="19">
        <f t="shared" si="18"/>
        <v>5.0293029171357782E-3</v>
      </c>
      <c r="AF77" s="19">
        <f t="shared" si="19"/>
        <v>1.8234775989240556E-2</v>
      </c>
      <c r="AG77" s="20"/>
      <c r="AH77" s="19">
        <f t="shared" si="20"/>
        <v>4.3965422394454869E-2</v>
      </c>
      <c r="AI77" s="21">
        <v>10470592</v>
      </c>
      <c r="AJ77" s="22">
        <v>460344</v>
      </c>
      <c r="AK77" s="22">
        <v>99088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16.61</v>
      </c>
      <c r="AU77" s="26">
        <v>11.785</v>
      </c>
      <c r="AW77" s="27">
        <f t="shared" si="21"/>
        <v>-8.5246108112835284E-5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2.7676842968864523E-3</v>
      </c>
      <c r="BA77" s="28">
        <f>IF( OR(ISBLANK(Q77:Q82),ISBLANK(AK77:AK82), ISBLANK(U77:U82),ISBLANK(AO77:AO82)), "·", bdRateExtend( Q77:Q82,U77:U82, AK77:AK82,AO77:AO82))</f>
        <v>2.8559650080060006E-3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4.189284780535818E-4</v>
      </c>
      <c r="BH77" s="28">
        <f>IF( OR(ISBLANK(P77:P82),ISBLANK(AJ77:AJ82), ISBLANK(U77:U82),ISBLANK(AO77:AO82)), "·", bdRateExtend( P77:P82,U77:U82, AJ77:AJ82,AO77:AO82))</f>
        <v>4.1246742219658294E-4</v>
      </c>
      <c r="BI77" s="28">
        <f>IF( OR(ISBLANK(P77:P82),ISBLANK(AJ77:AJ82), ISBLANK(V77:V82),ISBLANK(AP77:AP82)), "·", bdRateExtend( P77:P82,V77:V82, AJ77:AJ82,AP77:AP82))</f>
        <v>3.492214411386918E-4</v>
      </c>
      <c r="BJ77" s="28">
        <f>IF( OR(ISBLANK(P77:P82),ISBLANK(AJ77:AJ82), ISBLANK(W77:W82),ISBLANK(AQ77:AQ82)), "·", bdRateExtend( P77:P82,W77:W82, AJ77:AJ82,AQ77:AQ82))</f>
        <v>3.4432221886504522E-4</v>
      </c>
      <c r="BK77" s="28">
        <f>IF( OR(ISBLANK(P77:P82),ISBLANK(AJ77:AJ82), ISBLANK(X77:X82),ISBLANK(AR77:AR82)), "·", bdRateExtend( P77:P82,X77:X82, AJ77:AJ82,AR77:AR82))</f>
        <v>3.5251047254791779E-4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8.2442643015218559E-2</v>
      </c>
      <c r="AE78" s="34">
        <f t="shared" si="18"/>
        <v>1.707916513003109E-2</v>
      </c>
      <c r="AF78" s="34">
        <f t="shared" si="19"/>
        <v>6.5293637734876842E-2</v>
      </c>
      <c r="AG78" s="35"/>
      <c r="AH78" s="34">
        <f t="shared" si="20"/>
        <v>0.14681282606573556</v>
      </c>
      <c r="AI78" s="36">
        <v>11063720</v>
      </c>
      <c r="AJ78" s="37">
        <v>1624296</v>
      </c>
      <c r="AK78" s="37">
        <v>336496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18.753</v>
      </c>
      <c r="AU78" s="41">
        <v>13.737</v>
      </c>
      <c r="AW78" s="42">
        <f t="shared" si="21"/>
        <v>4.5471330659868636E-4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0.29403596585019676</v>
      </c>
      <c r="AE79" s="19">
        <f t="shared" si="18"/>
        <v>6.624257047485313E-2</v>
      </c>
      <c r="AF79" s="19">
        <f t="shared" si="19"/>
        <v>0.22797611669883069</v>
      </c>
      <c r="AG79" s="20"/>
      <c r="AH79" s="19">
        <f t="shared" si="20"/>
        <v>0.50434160632643521</v>
      </c>
      <c r="AI79" s="21">
        <v>11486532</v>
      </c>
      <c r="AJ79" s="22">
        <v>5793136</v>
      </c>
      <c r="AK79" s="22">
        <v>1305120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26.033000000000001</v>
      </c>
      <c r="AU79" s="26">
        <v>17.876999999999999</v>
      </c>
      <c r="AW79" s="27">
        <f t="shared" si="21"/>
        <v>1.1315123208056055E-3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0.88280832929062403</v>
      </c>
      <c r="AE80" s="34">
        <f t="shared" si="18"/>
        <v>0.23865962945942809</v>
      </c>
      <c r="AF80" s="34">
        <f t="shared" si="19"/>
        <v>0.64497500626074311</v>
      </c>
      <c r="AG80" s="35"/>
      <c r="AH80" s="34">
        <f t="shared" si="20"/>
        <v>1.4523451047336799</v>
      </c>
      <c r="AI80" s="36">
        <v>11975947</v>
      </c>
      <c r="AJ80" s="37">
        <v>17393208</v>
      </c>
      <c r="AK80" s="37">
        <v>4702104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46.8</v>
      </c>
      <c r="AU80" s="41">
        <v>29.405999999999999</v>
      </c>
      <c r="AW80" s="42">
        <f t="shared" si="21"/>
        <v>1.1332838606681328E-3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 t="str">
        <f t="shared" si="17"/>
        <v>·</v>
      </c>
      <c r="AE81" s="19">
        <f t="shared" si="18"/>
        <v>0</v>
      </c>
      <c r="AF81" s="19" t="str">
        <f t="shared" si="19"/>
        <v>·</v>
      </c>
      <c r="AG81" s="20"/>
      <c r="AH81" s="19" t="str">
        <f t="shared" si="20"/>
        <v>·</v>
      </c>
      <c r="AI81" s="21"/>
      <c r="AJ81" s="22"/>
      <c r="AK81" s="22">
        <v>0</v>
      </c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 t="str">
        <f t="shared" si="17"/>
        <v>·</v>
      </c>
      <c r="AE82" s="49">
        <f t="shared" si="18"/>
        <v>0</v>
      </c>
      <c r="AF82" s="49" t="str">
        <f t="shared" si="19"/>
        <v>·</v>
      </c>
      <c r="AG82" s="50"/>
      <c r="AH82" s="49" t="str">
        <f t="shared" si="20"/>
        <v>·</v>
      </c>
      <c r="AI82" s="51"/>
      <c r="AJ82" s="52"/>
      <c r="AK82" s="52">
        <v>0</v>
      </c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4.980506334507482E-2</v>
      </c>
      <c r="AE83" s="19">
        <f t="shared" si="18"/>
        <v>1.5093583705171556E-2</v>
      </c>
      <c r="AF83" s="19">
        <f t="shared" si="19"/>
        <v>3.4439224060531494E-2</v>
      </c>
      <c r="AG83" s="20"/>
      <c r="AH83" s="19">
        <f t="shared" si="20"/>
        <v>6.0789238891766871E-2</v>
      </c>
      <c r="AI83" s="21">
        <v>2961182</v>
      </c>
      <c r="AJ83" s="22">
        <v>180008</v>
      </c>
      <c r="AK83" s="22">
        <v>54552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6.3550000000000004</v>
      </c>
      <c r="AU83" s="26">
        <v>3.6360000000000001</v>
      </c>
      <c r="AW83" s="27">
        <f t="shared" si="21"/>
        <v>-7.3976781411483339E-4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7.9790287621261946E-4</v>
      </c>
      <c r="BA83" s="28">
        <f>IF( OR(ISBLANK(Q83:Q88),ISBLANK(AK83:AK88), ISBLANK(U83:U88),ISBLANK(AO83:AO88)), "·", bdRateExtend( Q83:Q88,U83:U88, AK83:AK88,AO83:AO88))</f>
        <v>4.3362683443737282E-5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3.311962356864484E-4</v>
      </c>
      <c r="BH83" s="28">
        <f>IF( OR(ISBLANK(P83:P88),ISBLANK(AJ83:AJ88), ISBLANK(U83:U88),ISBLANK(AO83:AO88)), "·", bdRateExtend( P83:P88,U83:U88, AJ83:AJ88,AO83:AO88))</f>
        <v>3.8702115749500443E-4</v>
      </c>
      <c r="BI83" s="28">
        <f>IF( OR(ISBLANK(P83:P88),ISBLANK(AJ83:AJ88), ISBLANK(V83:V88),ISBLANK(AP83:AP88)), "·", bdRateExtend( P83:P88,V83:V88, AJ83:AJ88,AP83:AP88))</f>
        <v>3.0692686324584884E-4</v>
      </c>
      <c r="BJ83" s="28">
        <f>IF( OR(ISBLANK(P83:P88),ISBLANK(AJ83:AJ88), ISBLANK(W83:W88),ISBLANK(AQ83:AQ88)), "·", bdRateExtend( P83:P88,W83:W88, AJ83:AJ88,AQ83:AQ88))</f>
        <v>3.0630738454728856E-4</v>
      </c>
      <c r="BK83" s="28">
        <f>IF( OR(ISBLANK(P83:P88),ISBLANK(AJ83:AJ88), ISBLANK(X83:X88),ISBLANK(AR83:AR88)), "·", bdRateExtend( P83:P88,X83:X88, AJ83:AJ88,AR83:AR88))</f>
        <v>2.8942598458692181E-4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0.15803218979534073</v>
      </c>
      <c r="AE84" s="34">
        <f t="shared" si="18"/>
        <v>4.9116677286663267E-2</v>
      </c>
      <c r="AF84" s="34">
        <f t="shared" si="19"/>
        <v>0.10870966072915246</v>
      </c>
      <c r="AG84" s="35"/>
      <c r="AH84" s="34">
        <f t="shared" si="20"/>
        <v>0.18405074826363266</v>
      </c>
      <c r="AI84" s="36">
        <v>3103318</v>
      </c>
      <c r="AJ84" s="37">
        <v>571168</v>
      </c>
      <c r="AK84" s="37">
        <v>177520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7.4640000000000004</v>
      </c>
      <c r="AU84" s="41">
        <v>4.2309999999999999</v>
      </c>
      <c r="AW84" s="42">
        <f t="shared" si="21"/>
        <v>2.6316920937380361E-4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0.60055817927421196</v>
      </c>
      <c r="AE85" s="19">
        <f t="shared" si="18"/>
        <v>0.19894135742094282</v>
      </c>
      <c r="AF85" s="19">
        <f t="shared" si="19"/>
        <v>0.40205508693225789</v>
      </c>
      <c r="AG85" s="20"/>
      <c r="AH85" s="19">
        <f t="shared" si="20"/>
        <v>0.50446638053631898</v>
      </c>
      <c r="AI85" s="21">
        <v>4302701</v>
      </c>
      <c r="AJ85" s="22">
        <v>2170568</v>
      </c>
      <c r="AK85" s="22">
        <v>719024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12.151</v>
      </c>
      <c r="AU85" s="26">
        <v>7.3860000000000001</v>
      </c>
      <c r="AW85" s="27">
        <f t="shared" si="21"/>
        <v>1.2539374020810734E-3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 t="str">
        <f t="shared" si="17"/>
        <v>·</v>
      </c>
      <c r="AE86" s="34">
        <f t="shared" si="18"/>
        <v>0.44089024254264575</v>
      </c>
      <c r="AF86" s="34" t="str">
        <f t="shared" si="19"/>
        <v>·</v>
      </c>
      <c r="AG86" s="35"/>
      <c r="AH86" s="34" t="str">
        <f t="shared" si="20"/>
        <v>·</v>
      </c>
      <c r="AI86" s="36"/>
      <c r="AJ86" s="37"/>
      <c r="AK86" s="37">
        <v>1593488</v>
      </c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 t="str">
        <f t="shared" si="17"/>
        <v>·</v>
      </c>
      <c r="AE87" s="19">
        <f t="shared" si="18"/>
        <v>0</v>
      </c>
      <c r="AF87" s="19" t="str">
        <f t="shared" si="19"/>
        <v>·</v>
      </c>
      <c r="AG87" s="20"/>
      <c r="AH87" s="19" t="str">
        <f t="shared" si="20"/>
        <v>·</v>
      </c>
      <c r="AI87" s="21"/>
      <c r="AJ87" s="22"/>
      <c r="AK87" s="22">
        <v>0</v>
      </c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 t="str">
        <f t="shared" si="17"/>
        <v>·</v>
      </c>
      <c r="AE88" s="49">
        <f t="shared" si="18"/>
        <v>0</v>
      </c>
      <c r="AF88" s="49" t="str">
        <f t="shared" si="19"/>
        <v>·</v>
      </c>
      <c r="AG88" s="50"/>
      <c r="AH88" s="49" t="str">
        <f t="shared" si="20"/>
        <v>·</v>
      </c>
      <c r="AI88" s="51"/>
      <c r="AJ88" s="52"/>
      <c r="AK88" s="52">
        <v>0</v>
      </c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8.6494955664452075E-2</v>
      </c>
      <c r="AE89" s="19">
        <f t="shared" si="18"/>
        <v>2.6733381685611034E-2</v>
      </c>
      <c r="AF89" s="19">
        <f t="shared" si="19"/>
        <v>5.9798399196289632E-2</v>
      </c>
      <c r="AG89" s="20"/>
      <c r="AH89" s="19">
        <f t="shared" si="20"/>
        <v>0.10433807861292539</v>
      </c>
      <c r="AI89" s="21">
        <v>11525840</v>
      </c>
      <c r="AJ89" s="22">
        <v>1202584</v>
      </c>
      <c r="AK89" s="22">
        <v>371688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39.234999999999999</v>
      </c>
      <c r="AU89" s="26">
        <v>14.861000000000001</v>
      </c>
      <c r="AW89" s="27">
        <f t="shared" si="21"/>
        <v>2.0435476081556714E-3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7.5896667098023229E-3</v>
      </c>
      <c r="BA89" s="28">
        <f>IF( OR(ISBLANK(Q89:Q94),ISBLANK(AK89:AK94), ISBLANK(U89:U94),ISBLANK(AO89:AO94)), "·", bdRateExtend( Q89:Q94,U89:U94, AK89:AK94,AO89:AO94))</f>
        <v>7.6423255617372732E-3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2.8435336356436025E-4</v>
      </c>
      <c r="BH89" s="28">
        <f>IF( OR(ISBLANK(P89:P94),ISBLANK(AJ89:AJ94), ISBLANK(U89:U94),ISBLANK(AO89:AO94)), "·", bdRateExtend( P89:P94,U89:U94, AJ89:AJ94,AO89:AO94))</f>
        <v>2.9081466323122029E-4</v>
      </c>
      <c r="BI89" s="28">
        <f>IF( OR(ISBLANK(P89:P94),ISBLANK(AJ89:AJ94), ISBLANK(V89:V94),ISBLANK(AP89:AP94)), "·", bdRateExtend( P89:P94,V89:V94, AJ89:AJ94,AP89:AP94))</f>
        <v>2.5921957773866744E-4</v>
      </c>
      <c r="BJ89" s="28">
        <f>IF( OR(ISBLANK(P89:P94),ISBLANK(AJ89:AJ94), ISBLANK(W89:W94),ISBLANK(AQ89:AQ94)), "·", bdRateExtend( P89:P94,W89:W94, AJ89:AJ94,AQ89:AQ94))</f>
        <v>2.5405558186331056E-4</v>
      </c>
      <c r="BK89" s="28">
        <f>IF( OR(ISBLANK(P89:P94),ISBLANK(AJ89:AJ94), ISBLANK(X89:X94),ISBLANK(AR89:AR94)), "·", bdRateExtend( P89:P94,X89:X94, AJ89:AJ94,AR89:AR94))</f>
        <v>2.5889541905788072E-4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0.32138057740214776</v>
      </c>
      <c r="AE90" s="34">
        <f t="shared" si="18"/>
        <v>9.3682777795199429E-2</v>
      </c>
      <c r="AF90" s="34">
        <f t="shared" si="19"/>
        <v>0.22823751920017929</v>
      </c>
      <c r="AG90" s="35"/>
      <c r="AH90" s="34">
        <f t="shared" si="20"/>
        <v>0.35229423071206983</v>
      </c>
      <c r="AI90" s="36">
        <v>12683489</v>
      </c>
      <c r="AJ90" s="37">
        <v>4468320</v>
      </c>
      <c r="AK90" s="37">
        <v>1302520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48.97</v>
      </c>
      <c r="AU90" s="41">
        <v>18.503</v>
      </c>
      <c r="AW90" s="42">
        <f t="shared" si="21"/>
        <v>2.2260615188667843E-3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1.0882018620325966</v>
      </c>
      <c r="AE91" s="19">
        <f t="shared" si="18"/>
        <v>0.37505333183347289</v>
      </c>
      <c r="AF91" s="19">
        <f t="shared" si="19"/>
        <v>0.71505365980806579</v>
      </c>
      <c r="AG91" s="20"/>
      <c r="AH91" s="19">
        <f t="shared" si="20"/>
        <v>1.040201376422395</v>
      </c>
      <c r="AI91" s="21">
        <v>14545099</v>
      </c>
      <c r="AJ91" s="22">
        <v>15129832</v>
      </c>
      <c r="AK91" s="22">
        <v>5214560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94.441000000000003</v>
      </c>
      <c r="AU91" s="26">
        <v>29.126999999999999</v>
      </c>
      <c r="AW91" s="27">
        <f t="shared" si="21"/>
        <v>1.9587674977443736E-3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 t="str">
        <f t="shared" si="17"/>
        <v>·</v>
      </c>
      <c r="AE92" s="34">
        <f t="shared" si="18"/>
        <v>0.1492008208571127</v>
      </c>
      <c r="AF92" s="34" t="str">
        <f t="shared" si="19"/>
        <v>·</v>
      </c>
      <c r="AG92" s="35"/>
      <c r="AH92" s="34" t="str">
        <f t="shared" si="20"/>
        <v>·</v>
      </c>
      <c r="AI92" s="36"/>
      <c r="AJ92" s="37"/>
      <c r="AK92" s="37">
        <v>2074416</v>
      </c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 t="str">
        <f t="shared" si="17"/>
        <v>·</v>
      </c>
      <c r="AE93" s="19">
        <f t="shared" si="18"/>
        <v>0</v>
      </c>
      <c r="AF93" s="19" t="str">
        <f t="shared" si="19"/>
        <v>·</v>
      </c>
      <c r="AG93" s="20"/>
      <c r="AH93" s="19" t="str">
        <f t="shared" si="20"/>
        <v>·</v>
      </c>
      <c r="AI93" s="21"/>
      <c r="AJ93" s="22"/>
      <c r="AK93" s="22">
        <v>0</v>
      </c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 t="str">
        <f t="shared" si="17"/>
        <v>·</v>
      </c>
      <c r="AE94" s="49">
        <f t="shared" si="18"/>
        <v>0</v>
      </c>
      <c r="AF94" s="49" t="str">
        <f t="shared" si="19"/>
        <v>·</v>
      </c>
      <c r="AG94" s="50"/>
      <c r="AH94" s="49" t="str">
        <f t="shared" si="20"/>
        <v>·</v>
      </c>
      <c r="AI94" s="51"/>
      <c r="AJ94" s="52"/>
      <c r="AK94" s="52">
        <v>0</v>
      </c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5.4796859805991034E-2</v>
      </c>
      <c r="AE95" s="19">
        <f t="shared" si="18"/>
        <v>9.4077952129881029E-3</v>
      </c>
      <c r="AF95" s="19">
        <f t="shared" si="19"/>
        <v>4.5194375039314297E-2</v>
      </c>
      <c r="AG95" s="20"/>
      <c r="AH95" s="19">
        <f t="shared" si="20"/>
        <v>9.0899760379560962E-2</v>
      </c>
      <c r="AI95" s="21">
        <v>2922956</v>
      </c>
      <c r="AJ95" s="22">
        <v>265696</v>
      </c>
      <c r="AK95" s="22">
        <v>45616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5.9630000000000001</v>
      </c>
      <c r="AU95" s="26">
        <v>3.3079999999999998</v>
      </c>
      <c r="AW95" s="27">
        <f t="shared" si="21"/>
        <v>-1.5335087054349494E-4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8.7574427887560091E-4</v>
      </c>
      <c r="BA95" s="28">
        <f>IF( OR(ISBLANK(Q95:Q100),ISBLANK(AK95:AK100), ISBLANK(U95:U100),ISBLANK(AO95:AO100)), "·", bdRateExtend( Q95:Q100,U95:U100, AK95:AK100,AO95:AO100))</f>
        <v>9.2755611993622367E-4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4.4088533651631678E-4</v>
      </c>
      <c r="BH95" s="28">
        <f>IF( OR(ISBLANK(P95:P100),ISBLANK(AJ95:AJ100), ISBLANK(U95:U100),ISBLANK(AO95:AO100)), "·", bdRateExtend( P95:P100,U95:U100, AJ95:AJ100,AO95:AO100))</f>
        <v>4.3597232542413877E-4</v>
      </c>
      <c r="BI95" s="28">
        <f>IF( OR(ISBLANK(P95:P100),ISBLANK(AJ95:AJ100), ISBLANK(V95:V100),ISBLANK(AP95:AP100)), "·", bdRateExtend( P95:P100,V95:V100, AJ95:AJ100,AP95:AP100))</f>
        <v>4.1530326208705226E-4</v>
      </c>
      <c r="BJ95" s="28">
        <f>IF( OR(ISBLANK(P95:P100),ISBLANK(AJ95:AJ100), ISBLANK(W95:W100),ISBLANK(AQ95:AQ100)), "·", bdRateExtend( P95:P100,W95:W100, AJ95:AJ100,AQ95:AQ100))</f>
        <v>4.0199523839756779E-4</v>
      </c>
      <c r="BK95" s="28">
        <f>IF( OR(ISBLANK(P95:P100),ISBLANK(AJ95:AJ100), ISBLANK(X95:X100),ISBLANK(AR95:AR100)), "·", bdRateExtend( P95:P100,X95:X100, AJ95:AJ100,AR95:AR100))</f>
        <v>3.9584084839794365E-4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0.18480163423731297</v>
      </c>
      <c r="AE96" s="34">
        <f t="shared" si="18"/>
        <v>3.4210914370625803E-2</v>
      </c>
      <c r="AF96" s="34">
        <f t="shared" si="19"/>
        <v>0.15039603031299853</v>
      </c>
      <c r="AG96" s="35"/>
      <c r="AH96" s="34">
        <f t="shared" si="20"/>
        <v>0.26438171737649407</v>
      </c>
      <c r="AI96" s="36">
        <v>3389251</v>
      </c>
      <c r="AJ96" s="37">
        <v>896056</v>
      </c>
      <c r="AK96" s="37">
        <v>165880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7.9969999999999999</v>
      </c>
      <c r="AU96" s="41">
        <v>4.45</v>
      </c>
      <c r="AW96" s="42">
        <f t="shared" si="21"/>
        <v>1.5616483876076948E-4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0.60525352436558322</v>
      </c>
      <c r="AE97" s="19">
        <f t="shared" si="18"/>
        <v>0.15690163124684842</v>
      </c>
      <c r="AF97" s="19">
        <f t="shared" si="19"/>
        <v>0.44856473169861477</v>
      </c>
      <c r="AG97" s="20"/>
      <c r="AH97" s="19">
        <f t="shared" si="20"/>
        <v>0.77901931355877763</v>
      </c>
      <c r="AI97" s="21">
        <v>3767198</v>
      </c>
      <c r="AJ97" s="22">
        <v>2934720</v>
      </c>
      <c r="AK97" s="22">
        <v>760776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13.244999999999999</v>
      </c>
      <c r="AU97" s="26">
        <v>6.1680000000000001</v>
      </c>
      <c r="AW97" s="27">
        <f t="shared" si="21"/>
        <v>7.7647038997979978E-4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 t="str">
        <f t="shared" si="17"/>
        <v>·</v>
      </c>
      <c r="AE98" s="34">
        <f t="shared" si="18"/>
        <v>0.27624632765798163</v>
      </c>
      <c r="AF98" s="34" t="str">
        <f t="shared" si="19"/>
        <v>·</v>
      </c>
      <c r="AG98" s="35"/>
      <c r="AH98" s="34" t="str">
        <f t="shared" si="20"/>
        <v>·</v>
      </c>
      <c r="AI98" s="36"/>
      <c r="AJ98" s="37"/>
      <c r="AK98" s="37">
        <v>1339448</v>
      </c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 t="str">
        <f t="shared" si="17"/>
        <v>·</v>
      </c>
      <c r="AE99" s="19">
        <f t="shared" si="18"/>
        <v>0</v>
      </c>
      <c r="AF99" s="19" t="str">
        <f t="shared" si="19"/>
        <v>·</v>
      </c>
      <c r="AG99" s="20"/>
      <c r="AH99" s="19" t="str">
        <f t="shared" si="20"/>
        <v>·</v>
      </c>
      <c r="AI99" s="21"/>
      <c r="AJ99" s="22"/>
      <c r="AK99" s="22">
        <v>0</v>
      </c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 t="str">
        <f t="shared" si="17"/>
        <v>·</v>
      </c>
      <c r="AE100" s="49">
        <f t="shared" si="18"/>
        <v>0</v>
      </c>
      <c r="AF100" s="49" t="str">
        <f t="shared" si="19"/>
        <v>·</v>
      </c>
      <c r="AG100" s="50"/>
      <c r="AH100" s="49" t="str">
        <f t="shared" si="20"/>
        <v>·</v>
      </c>
      <c r="AI100" s="51"/>
      <c r="AJ100" s="52"/>
      <c r="AK100" s="52">
        <v>0</v>
      </c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2.1105215101320126E-2</v>
      </c>
      <c r="AE101" s="19">
        <f t="shared" si="18"/>
        <v>1.111579133701582E-3</v>
      </c>
      <c r="AF101" s="19">
        <f t="shared" si="19"/>
        <v>1.9952606388711283E-2</v>
      </c>
      <c r="AG101" s="20"/>
      <c r="AH101" s="19">
        <f t="shared" si="20"/>
        <v>0.11986477086542793</v>
      </c>
      <c r="AI101" s="21">
        <v>12668276</v>
      </c>
      <c r="AJ101" s="22">
        <v>1518480</v>
      </c>
      <c r="AK101" s="22">
        <v>79976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16.152000000000001</v>
      </c>
      <c r="AU101" s="26">
        <v>12.384</v>
      </c>
      <c r="AW101" s="27">
        <f t="shared" si="21"/>
        <v>-9.1560410528407354E-5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-1.1596854824592606E-3</v>
      </c>
      <c r="BA101" s="28">
        <f>IF( OR(ISBLANK(Q101:Q106),ISBLANK(AK101:AK106), ISBLANK(U101:U106),ISBLANK(AO101:AO106)), "·", bdRateExtend( Q101:Q106,U101:U106, AK101:AK106,AO101:AO106))</f>
        <v>-1.1373254640445474E-3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2.552139420437527E-4</v>
      </c>
      <c r="BH101" s="28">
        <f>IF( OR(ISBLANK(P101:P106),ISBLANK(AJ101:AJ106), ISBLANK(U101:U106),ISBLANK(AO101:AO106)), "·", bdRateExtend( P101:P106,U101:U106, AJ101:AJ106,AO101:AO106))</f>
        <v>2.6521057893069688E-4</v>
      </c>
      <c r="BI101" s="28">
        <f>IF( OR(ISBLANK(P101:P106),ISBLANK(AJ101:AJ106), ISBLANK(V101:V106),ISBLANK(AP101:AP106)), "·", bdRateExtend( P101:P106,V101:V106, AJ101:AJ106,AP101:AP106))</f>
        <v>2.5084700993693865E-4</v>
      </c>
      <c r="BJ101" s="28">
        <f>IF( OR(ISBLANK(P101:P106),ISBLANK(AJ101:AJ106), ISBLANK(W101:W106),ISBLANK(AQ101:AQ106)), "·", bdRateExtend( P101:P106,W101:W106, AJ101:AJ106,AQ101:AQ106))</f>
        <v>2.1540353204385632E-4</v>
      </c>
      <c r="BK101" s="28">
        <f>IF( OR(ISBLANK(P101:P106),ISBLANK(AJ101:AJ106), ISBLANK(X101:X106),ISBLANK(AR101:AR106)), "·", bdRateExtend( P101:P106,X101:X106, AJ101:AJ106,AR101:AR106))</f>
        <v>2.1930183644780499E-4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7.5054886096079215E-2</v>
      </c>
      <c r="AE102" s="34">
        <f t="shared" si="18"/>
        <v>3.4651647616961196E-3</v>
      </c>
      <c r="AF102" s="34">
        <f t="shared" si="19"/>
        <v>7.1527676605303819E-2</v>
      </c>
      <c r="AG102" s="35"/>
      <c r="AH102" s="34">
        <f t="shared" si="20"/>
        <v>0.42055626556139397</v>
      </c>
      <c r="AI102" s="36">
        <v>12840270</v>
      </c>
      <c r="AJ102" s="37">
        <v>5400056</v>
      </c>
      <c r="AK102" s="37">
        <v>249312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17.95</v>
      </c>
      <c r="AU102" s="41">
        <v>14.135999999999999</v>
      </c>
      <c r="AW102" s="42">
        <f t="shared" si="21"/>
        <v>-1.5095149743297315E-4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0.23528573251711157</v>
      </c>
      <c r="AE103" s="19">
        <f t="shared" si="18"/>
        <v>1.5219082801554132E-2</v>
      </c>
      <c r="AF103" s="19">
        <f t="shared" si="19"/>
        <v>0.22000871906349598</v>
      </c>
      <c r="AG103" s="20"/>
      <c r="AH103" s="19">
        <f t="shared" si="20"/>
        <v>1.1813318367881855</v>
      </c>
      <c r="AI103" s="21">
        <v>14329894</v>
      </c>
      <c r="AJ103" s="22">
        <v>16928360</v>
      </c>
      <c r="AK103" s="22">
        <v>1094984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24.571999999999999</v>
      </c>
      <c r="AU103" s="26">
        <v>19.699000000000002</v>
      </c>
      <c r="AW103" s="27">
        <f t="shared" si="21"/>
        <v>2.3805536804755167E-5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0.54268890013959226</v>
      </c>
      <c r="AE104" s="34">
        <f t="shared" si="18"/>
        <v>6.0454249142444273E-2</v>
      </c>
      <c r="AF104" s="34">
        <f t="shared" si="19"/>
        <v>0.48251685444231501</v>
      </c>
      <c r="AG104" s="35"/>
      <c r="AH104" s="34">
        <f t="shared" si="20"/>
        <v>2.5705908567244418</v>
      </c>
      <c r="AI104" s="36">
        <v>15189283</v>
      </c>
      <c r="AJ104" s="37">
        <v>39045432</v>
      </c>
      <c r="AK104" s="37">
        <v>4349568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40.625</v>
      </c>
      <c r="AU104" s="41">
        <v>33.341999999999999</v>
      </c>
      <c r="AW104" s="42">
        <f t="shared" si="21"/>
        <v>6.378016148097243E-4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 t="str">
        <f t="shared" si="17"/>
        <v>·</v>
      </c>
      <c r="AE105" s="19">
        <f t="shared" si="18"/>
        <v>0</v>
      </c>
      <c r="AF105" s="19" t="str">
        <f t="shared" si="19"/>
        <v>·</v>
      </c>
      <c r="AG105" s="20"/>
      <c r="AH105" s="19" t="str">
        <f t="shared" si="20"/>
        <v>·</v>
      </c>
      <c r="AI105" s="21"/>
      <c r="AJ105" s="22"/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 t="str">
        <f t="shared" si="17"/>
        <v>·</v>
      </c>
      <c r="AE106" s="49">
        <f t="shared" si="18"/>
        <v>0</v>
      </c>
      <c r="AF106" s="49" t="str">
        <f t="shared" si="19"/>
        <v>·</v>
      </c>
      <c r="AG106" s="50"/>
      <c r="AH106" s="49" t="str">
        <f t="shared" si="20"/>
        <v>·</v>
      </c>
      <c r="AI106" s="51"/>
      <c r="AJ106" s="52"/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0.11823306704322376</v>
      </c>
      <c r="AE107" s="19">
        <f t="shared" si="18"/>
        <v>8.7567608769938653E-3</v>
      </c>
      <c r="AF107" s="19">
        <f t="shared" si="19"/>
        <v>0.10928768310809457</v>
      </c>
      <c r="AG107" s="20"/>
      <c r="AH107" s="19">
        <f t="shared" si="20"/>
        <v>0.13287843132130303</v>
      </c>
      <c r="AI107" s="21">
        <v>2754879</v>
      </c>
      <c r="AJ107" s="22">
        <v>366064</v>
      </c>
      <c r="AK107" s="22">
        <v>27112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4.3540000000000001</v>
      </c>
      <c r="AU107" s="26">
        <v>3.2770000000000001</v>
      </c>
      <c r="AW107" s="27">
        <f t="shared" si="21"/>
        <v>1.7806221816996093E-4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3.8923844299321164E-3</v>
      </c>
      <c r="BA107" s="28">
        <f>IF( OR(ISBLANK(Q107:Q112),ISBLANK(AK107:AK112), ISBLANK(U107:U112),ISBLANK(AO107:AO112)), "·", bdRateExtend( Q107:Q112,U107:U112, AK107:AK112,AO107:AO112))</f>
        <v>4.2589687795457909E-3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-8.4791453321519938E-5</v>
      </c>
      <c r="BH107" s="28">
        <f>IF( OR(ISBLANK(P107:P112),ISBLANK(AJ107:AJ112), ISBLANK(U107:U112),ISBLANK(AO107:AO112)), "·", bdRateExtend( P107:P112,U107:U112, AJ107:AJ112,AO107:AO112))</f>
        <v>-6.7061460157669117E-5</v>
      </c>
      <c r="BI107" s="28">
        <f>IF( OR(ISBLANK(P107:P112),ISBLANK(AJ107:AJ112), ISBLANK(V107:V112),ISBLANK(AP107:AP112)), "·", bdRateExtend( P107:P112,V107:V112, AJ107:AJ112,AP107:AP112))</f>
        <v>-2.4009450445561242E-6</v>
      </c>
      <c r="BJ107" s="28">
        <f>IF( OR(ISBLANK(P107:P112),ISBLANK(AJ107:AJ112), ISBLANK(W107:W112),ISBLANK(AQ107:AQ112)), "·", bdRateExtend( P107:P112,W107:W112, AJ107:AJ112,AQ107:AQ112))</f>
        <v>1.4616711977444297E-5</v>
      </c>
      <c r="BK107" s="28">
        <f>IF( OR(ISBLANK(P107:P112),ISBLANK(AJ107:AJ112), ISBLANK(X107:X112),ISBLANK(AR107:AR112)), "·", bdRateExtend( P107:P112,X107:X112, AJ107:AJ112,AR107:AR112))</f>
        <v>7.2963859136798703E-6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0.27447755611697472</v>
      </c>
      <c r="AE108" s="34">
        <f t="shared" si="18"/>
        <v>2.712554608636223E-2</v>
      </c>
      <c r="AF108" s="34">
        <f t="shared" si="19"/>
        <v>0.24727707758286011</v>
      </c>
      <c r="AG108" s="35"/>
      <c r="AH108" s="34">
        <f t="shared" si="20"/>
        <v>0.32907763189382971</v>
      </c>
      <c r="AI108" s="36">
        <v>2582418</v>
      </c>
      <c r="AJ108" s="37">
        <v>849816</v>
      </c>
      <c r="AK108" s="37">
        <v>83984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4.5119999999999996</v>
      </c>
      <c r="AU108" s="41">
        <v>3.2949999999999999</v>
      </c>
      <c r="AW108" s="42">
        <f t="shared" si="21"/>
        <v>3.7255365135790974E-4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0.64985552894879461</v>
      </c>
      <c r="AE109" s="19">
        <f t="shared" si="18"/>
        <v>8.7557273259903839E-2</v>
      </c>
      <c r="AF109" s="19">
        <f t="shared" si="19"/>
        <v>0.56275818588543991</v>
      </c>
      <c r="AG109" s="20"/>
      <c r="AH109" s="19">
        <f t="shared" si="20"/>
        <v>0.75748541430819005</v>
      </c>
      <c r="AI109" s="21">
        <v>2656199</v>
      </c>
      <c r="AJ109" s="22">
        <v>2012032</v>
      </c>
      <c r="AK109" s="22">
        <v>271088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6.2629999999999999</v>
      </c>
      <c r="AU109" s="26">
        <v>4.2779999999999996</v>
      </c>
      <c r="AW109" s="27">
        <f t="shared" si="21"/>
        <v>1.1652219280727794E-3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1.4449740675593532</v>
      </c>
      <c r="AE110" s="34">
        <f t="shared" si="18"/>
        <v>0.26486294790709153</v>
      </c>
      <c r="AF110" s="34">
        <f t="shared" si="19"/>
        <v>1.1805426271962152</v>
      </c>
      <c r="AG110" s="35"/>
      <c r="AH110" s="34">
        <f t="shared" si="20"/>
        <v>1.5273349230924171</v>
      </c>
      <c r="AI110" s="36">
        <v>2929165</v>
      </c>
      <c r="AJ110" s="37">
        <v>4473816</v>
      </c>
      <c r="AK110" s="37">
        <v>820048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10.262</v>
      </c>
      <c r="AU110" s="41">
        <v>7.34</v>
      </c>
      <c r="AW110" s="42">
        <f t="shared" si="21"/>
        <v>6.3704700947161963E-4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 t="str">
        <f t="shared" si="17"/>
        <v>·</v>
      </c>
      <c r="AE111" s="19">
        <f t="shared" si="18"/>
        <v>0</v>
      </c>
      <c r="AF111" s="19" t="str">
        <f t="shared" si="19"/>
        <v>·</v>
      </c>
      <c r="AG111" s="20"/>
      <c r="AH111" s="19" t="str">
        <f t="shared" si="20"/>
        <v>·</v>
      </c>
      <c r="AI111" s="21"/>
      <c r="AJ111" s="22"/>
      <c r="AK111" s="22">
        <v>0</v>
      </c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 t="str">
        <f t="shared" si="17"/>
        <v>·</v>
      </c>
      <c r="AE112" s="49">
        <f t="shared" si="18"/>
        <v>0</v>
      </c>
      <c r="AF112" s="49" t="str">
        <f t="shared" si="19"/>
        <v>·</v>
      </c>
      <c r="AG112" s="50"/>
      <c r="AH112" s="49" t="str">
        <f t="shared" si="20"/>
        <v>·</v>
      </c>
      <c r="AI112" s="51"/>
      <c r="AJ112" s="52"/>
      <c r="AK112" s="52">
        <v>0</v>
      </c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3.4388531411517306E-2</v>
      </c>
      <c r="AE113" s="19">
        <f t="shared" si="18"/>
        <v>8.4791459872037272E-3</v>
      </c>
      <c r="AF113" s="19">
        <f t="shared" si="19"/>
        <v>2.5662806132002777E-2</v>
      </c>
      <c r="AG113" s="20"/>
      <c r="AH113" s="19">
        <f t="shared" si="20"/>
        <v>3.215834700641617E-2</v>
      </c>
      <c r="AI113" s="21">
        <v>3226534</v>
      </c>
      <c r="AJ113" s="22">
        <v>103760</v>
      </c>
      <c r="AK113" s="22">
        <v>25584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4.4320000000000004</v>
      </c>
      <c r="AU113" s="26">
        <v>3.7469999999999999</v>
      </c>
      <c r="AW113" s="27">
        <f t="shared" si="21"/>
        <v>5.8094764022131873E-5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2.019676964247763E-3</v>
      </c>
      <c r="BA113" s="28">
        <f>IF( OR(ISBLANK(Q113:Q118),ISBLANK(AK113:AK118), ISBLANK(U113:U118),ISBLANK(AO113:AO118)), "·", bdRateExtend( Q113:Q118,U113:U118, AK113:AK118,AO113:AO118))</f>
        <v>2.5192876475261805E-3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3.0230110259932275E-5</v>
      </c>
      <c r="BH113" s="28">
        <f>IF( OR(ISBLANK(P113:P118),ISBLANK(AJ113:AJ118), ISBLANK(U113:U118),ISBLANK(AO113:AO118)), "·", bdRateExtend( P113:P118,U113:U118, AJ113:AJ118,AO113:AO118))</f>
        <v>7.7548938228977349E-5</v>
      </c>
      <c r="BI113" s="28">
        <f>IF( OR(ISBLANK(P113:P118),ISBLANK(AJ113:AJ118), ISBLANK(V113:V118),ISBLANK(AP113:AP118)), "·", bdRateExtend( P113:P118,V113:V118, AJ113:AJ118,AP113:AP118))</f>
        <v>2.5168916335371883E-4</v>
      </c>
      <c r="BJ113" s="28">
        <f>IF( OR(ISBLANK(P113:P118),ISBLANK(AJ113:AJ118), ISBLANK(W113:W118),ISBLANK(AQ113:AQ118)), "·", bdRateExtend( P113:P118,W113:W118, AJ113:AJ118,AQ113:AQ118))</f>
        <v>2.5651884529054314E-4</v>
      </c>
      <c r="BK113" s="28">
        <f>IF( OR(ISBLANK(P113:P118),ISBLANK(AJ113:AJ118), ISBLANK(X113:X118),ISBLANK(AR113:AR118)), "·", bdRateExtend( P113:P118,X113:X118, AJ113:AJ118,AR113:AR118))</f>
        <v>2.1596092666231748E-4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8.4831230725635795E-2</v>
      </c>
      <c r="AE114" s="34">
        <f t="shared" si="18"/>
        <v>2.5554099132166833E-2</v>
      </c>
      <c r="AF114" s="34">
        <f t="shared" si="19"/>
        <v>5.9075625935236478E-2</v>
      </c>
      <c r="AG114" s="35"/>
      <c r="AH114" s="34">
        <f t="shared" si="20"/>
        <v>8.4566428555145096E-2</v>
      </c>
      <c r="AI114" s="36">
        <v>3026733</v>
      </c>
      <c r="AJ114" s="37">
        <v>255960</v>
      </c>
      <c r="AK114" s="37">
        <v>77104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4.51</v>
      </c>
      <c r="AU114" s="41">
        <v>3.8849999999999998</v>
      </c>
      <c r="AW114" s="42">
        <f t="shared" si="21"/>
        <v>4.4391819343120309E-4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0.21372326445794812</v>
      </c>
      <c r="AE115" s="19">
        <f t="shared" si="18"/>
        <v>8.3895289970950707E-2</v>
      </c>
      <c r="AF115" s="19">
        <f t="shared" si="19"/>
        <v>0.13019386634010377</v>
      </c>
      <c r="AG115" s="20"/>
      <c r="AH115" s="19">
        <f t="shared" si="20"/>
        <v>0.2075620669044424</v>
      </c>
      <c r="AI115" s="21">
        <v>3106849</v>
      </c>
      <c r="AJ115" s="22">
        <v>644864</v>
      </c>
      <c r="AK115" s="22">
        <v>253136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5.8070000000000004</v>
      </c>
      <c r="AU115" s="26">
        <v>4.9329999999999998</v>
      </c>
      <c r="AW115" s="27">
        <f t="shared" si="21"/>
        <v>3.2672744185959224E-3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0.51376253817587669</v>
      </c>
      <c r="AE116" s="34">
        <f t="shared" si="18"/>
        <v>0.25190063252228412</v>
      </c>
      <c r="AF116" s="34">
        <f t="shared" si="19"/>
        <v>0.2622940822626964</v>
      </c>
      <c r="AG116" s="35"/>
      <c r="AH116" s="34">
        <f t="shared" si="20"/>
        <v>0.47837220483467707</v>
      </c>
      <c r="AI116" s="36">
        <v>3240506</v>
      </c>
      <c r="AJ116" s="37">
        <v>1550168</v>
      </c>
      <c r="AK116" s="37">
        <v>760056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9.4320000000000004</v>
      </c>
      <c r="AU116" s="41">
        <v>7.9630000000000001</v>
      </c>
      <c r="AW116" s="42">
        <f t="shared" si="21"/>
        <v>1.6668558703710756E-3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 t="str">
        <f t="shared" si="17"/>
        <v>·</v>
      </c>
      <c r="AE117" s="19">
        <f t="shared" si="18"/>
        <v>0</v>
      </c>
      <c r="AF117" s="19" t="str">
        <f t="shared" si="19"/>
        <v>·</v>
      </c>
      <c r="AG117" s="20"/>
      <c r="AH117" s="19" t="str">
        <f t="shared" si="20"/>
        <v>·</v>
      </c>
      <c r="AI117" s="21"/>
      <c r="AJ117" s="22"/>
      <c r="AK117" s="22">
        <v>0</v>
      </c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 t="str">
        <f t="shared" si="17"/>
        <v>·</v>
      </c>
      <c r="AE118" s="49">
        <f t="shared" si="18"/>
        <v>0</v>
      </c>
      <c r="AF118" s="49" t="str">
        <f t="shared" si="19"/>
        <v>·</v>
      </c>
      <c r="AG118" s="50"/>
      <c r="AH118" s="49" t="str">
        <f t="shared" si="20"/>
        <v>·</v>
      </c>
      <c r="AI118" s="51"/>
      <c r="AJ118" s="52"/>
      <c r="AK118" s="52">
        <v>0</v>
      </c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4.9471461978721321E-2</v>
      </c>
      <c r="AE119" s="19">
        <f t="shared" si="18"/>
        <v>8.633611820251956E-3</v>
      </c>
      <c r="AF119" s="19">
        <f t="shared" si="19"/>
        <v>4.0621287989065051E-2</v>
      </c>
      <c r="AG119" s="20"/>
      <c r="AH119" s="19">
        <f t="shared" si="20"/>
        <v>8.7093164599752318E-2</v>
      </c>
      <c r="AI119" s="21">
        <v>1573763</v>
      </c>
      <c r="AJ119" s="22">
        <v>137064</v>
      </c>
      <c r="AK119" s="22">
        <v>23920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3.4340000000000002</v>
      </c>
      <c r="AU119" s="26">
        <v>1.841</v>
      </c>
      <c r="AW119" s="27">
        <f t="shared" si="21"/>
        <v>-1.649050417911746E-4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1.7516816657947576E-3</v>
      </c>
      <c r="BA119" s="28">
        <f>IF( OR(ISBLANK(Q119:Q124),ISBLANK(AK119:AK124), ISBLANK(U119:U124),ISBLANK(AO119:AO124)), "·", bdRateExtend( Q119:Q124,U119:U124, AK119:AK124,AO119:AO124))</f>
        <v>2.3743979513963787E-3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-6.5743812783236599E-5</v>
      </c>
      <c r="BH119" s="28">
        <f>IF( OR(ISBLANK(P119:P124),ISBLANK(AJ119:AJ124), ISBLANK(U119:U124),ISBLANK(AO119:AO124)), "·", bdRateExtend( P119:P124,U119:U124, AJ119:AJ124,AO119:AO124))</f>
        <v>-1.6514743564122192E-5</v>
      </c>
      <c r="BI119" s="28">
        <f>IF( OR(ISBLANK(P119:P124),ISBLANK(AJ119:AJ124), ISBLANK(V119:V124),ISBLANK(AP119:AP124)), "·", bdRateExtend( P119:P124,V119:V124, AJ119:AJ124,AP119:AP124))</f>
        <v>1.0246625281729038E-4</v>
      </c>
      <c r="BJ119" s="28">
        <f>IF( OR(ISBLANK(P119:P124),ISBLANK(AJ119:AJ124), ISBLANK(W119:W124),ISBLANK(AQ119:AQ124)), "·", bdRateExtend( P119:P124,W119:W124, AJ119:AJ124,AQ119:AQ124))</f>
        <v>1.6068465135798959E-4</v>
      </c>
      <c r="BK119" s="28">
        <f>IF( OR(ISBLANK(P119:P124),ISBLANK(AJ119:AJ124), ISBLANK(X119:X124),ISBLANK(AR119:AR124)), "·", bdRateExtend( P119:P124,X119:X124, AJ119:AJ124,AR119:AR124))</f>
        <v>9.0319024344864829E-5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0.13683264111642129</v>
      </c>
      <c r="AE120" s="34">
        <f t="shared" si="18"/>
        <v>2.8935593328008311E-2</v>
      </c>
      <c r="AF120" s="34">
        <f t="shared" si="19"/>
        <v>0.10773534803525776</v>
      </c>
      <c r="AG120" s="35"/>
      <c r="AH120" s="34">
        <f t="shared" si="20"/>
        <v>0.16701499638747422</v>
      </c>
      <c r="AI120" s="36">
        <v>2269880</v>
      </c>
      <c r="AJ120" s="37">
        <v>379104</v>
      </c>
      <c r="AK120" s="37">
        <v>80168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4.1539999999999999</v>
      </c>
      <c r="AU120" s="41">
        <v>2.9180000000000001</v>
      </c>
      <c r="AW120" s="42">
        <f t="shared" si="21"/>
        <v>4.3657136265823349E-4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0.32269784488157116</v>
      </c>
      <c r="AE121" s="19">
        <f t="shared" si="18"/>
        <v>9.6124728259594519E-2</v>
      </c>
      <c r="AF121" s="19">
        <f t="shared" si="19"/>
        <v>0.2268618661811824</v>
      </c>
      <c r="AG121" s="20"/>
      <c r="AH121" s="19">
        <f t="shared" si="20"/>
        <v>0.48310481853363635</v>
      </c>
      <c r="AI121" s="21">
        <v>1850646</v>
      </c>
      <c r="AJ121" s="22">
        <v>894056</v>
      </c>
      <c r="AK121" s="22">
        <v>266320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5.5910000000000002</v>
      </c>
      <c r="AU121" s="26">
        <v>3.121</v>
      </c>
      <c r="AW121" s="27">
        <f t="shared" si="21"/>
        <v>1.9335754512977421E-3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0.83739970915700646</v>
      </c>
      <c r="AE122" s="34">
        <f t="shared" si="18"/>
        <v>0.29310967754975786</v>
      </c>
      <c r="AF122" s="34">
        <f t="shared" si="19"/>
        <v>0.54499169303611861</v>
      </c>
      <c r="AG122" s="35"/>
      <c r="AH122" s="34">
        <f t="shared" si="20"/>
        <v>1.0296558304671031</v>
      </c>
      <c r="AI122" s="36">
        <v>2253250</v>
      </c>
      <c r="AJ122" s="37">
        <v>2320072</v>
      </c>
      <c r="AK122" s="37">
        <v>812080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9.9809999999999999</v>
      </c>
      <c r="AU122" s="41">
        <v>5.9020000000000001</v>
      </c>
      <c r="AW122" s="42">
        <f t="shared" si="21"/>
        <v>1.3891332012553326E-3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 t="str">
        <f t="shared" si="17"/>
        <v>·</v>
      </c>
      <c r="AE123" s="19">
        <f t="shared" si="18"/>
        <v>0</v>
      </c>
      <c r="AF123" s="19" t="str">
        <f t="shared" si="19"/>
        <v>·</v>
      </c>
      <c r="AG123" s="20"/>
      <c r="AH123" s="19" t="str">
        <f t="shared" si="20"/>
        <v>·</v>
      </c>
      <c r="AI123" s="21"/>
      <c r="AJ123" s="22"/>
      <c r="AK123" s="22">
        <v>0</v>
      </c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 t="str">
        <f t="shared" si="17"/>
        <v>·</v>
      </c>
      <c r="AE124" s="49">
        <f t="shared" si="18"/>
        <v>0</v>
      </c>
      <c r="AF124" s="49" t="str">
        <f t="shared" si="19"/>
        <v>·</v>
      </c>
      <c r="AG124" s="50"/>
      <c r="AH124" s="49" t="str">
        <f t="shared" si="20"/>
        <v>·</v>
      </c>
      <c r="AI124" s="51"/>
      <c r="AJ124" s="52"/>
      <c r="AK124" s="52">
        <v>0</v>
      </c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4.6693524889336029E-2</v>
      </c>
      <c r="AE125" s="19">
        <f t="shared" si="18"/>
        <v>9.0360376974696604E-3</v>
      </c>
      <c r="AF125" s="19">
        <f t="shared" si="19"/>
        <v>3.7479565210655125E-2</v>
      </c>
      <c r="AG125" s="20"/>
      <c r="AH125" s="19">
        <f t="shared" si="20"/>
        <v>6.2193307968642399E-2</v>
      </c>
      <c r="AI125" s="21">
        <v>3004439</v>
      </c>
      <c r="AJ125" s="22">
        <v>186856</v>
      </c>
      <c r="AK125" s="22">
        <v>36160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5.2309999999999999</v>
      </c>
      <c r="AU125" s="26">
        <v>3.5110000000000001</v>
      </c>
      <c r="AW125" s="27">
        <f t="shared" si="21"/>
        <v>1.159236679797726E-4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1.8832743571246535E-3</v>
      </c>
      <c r="BA125" s="28">
        <f>IF( OR(ISBLANK(Q125:Q130),ISBLANK(AK125:AK130), ISBLANK(U125:U130),ISBLANK(AO125:AO130)), "·", bdRateExtend( Q125:Q130,U125:U130, AK125:AK130,AO125:AO130))</f>
        <v>2.0204829065582075E-3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-2.2498097966594521E-4</v>
      </c>
      <c r="BH125" s="28">
        <f>IF( OR(ISBLANK(P125:P130),ISBLANK(AJ125:AJ130), ISBLANK(U125:U130),ISBLANK(AO125:AO130)), "·", bdRateExtend( P125:P130,U125:U130, AJ125:AJ130,AO125:AO130))</f>
        <v>-1.702245916984646E-4</v>
      </c>
      <c r="BI125" s="28">
        <f>IF( OR(ISBLANK(P125:P130),ISBLANK(AJ125:AJ130), ISBLANK(V125:V130),ISBLANK(AP125:AP130)), "·", bdRateExtend( P125:P130,V125:V130, AJ125:AJ130,AP125:AP130))</f>
        <v>4.6797609725590661E-5</v>
      </c>
      <c r="BJ125" s="28">
        <f>IF( OR(ISBLANK(P125:P130),ISBLANK(AJ125:AJ130), ISBLANK(W125:W130),ISBLANK(AQ125:AQ130)), "·", bdRateExtend( P125:P130,W125:W130, AJ125:AJ130,AQ125:AQ130))</f>
        <v>1.1030614505691538E-4</v>
      </c>
      <c r="BK125" s="28">
        <f>IF( OR(ISBLANK(P125:P130),ISBLANK(AJ125:AJ130), ISBLANK(X125:X130),ISBLANK(AR125:AR130)), "·", bdRateExtend( P125:P130,X125:X130, AJ125:AJ130,AR125:AR130))</f>
        <v>8.7329054192952782E-5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0.1155353377543947</v>
      </c>
      <c r="AE126" s="34">
        <f t="shared" si="18"/>
        <v>2.8137661635372888E-2</v>
      </c>
      <c r="AF126" s="34">
        <f t="shared" si="19"/>
        <v>8.7245742741807714E-2</v>
      </c>
      <c r="AG126" s="35"/>
      <c r="AH126" s="34">
        <f t="shared" si="20"/>
        <v>0.1618470723975311</v>
      </c>
      <c r="AI126" s="36">
        <v>2856672</v>
      </c>
      <c r="AJ126" s="37">
        <v>462344</v>
      </c>
      <c r="AK126" s="37">
        <v>112600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5.6040000000000001</v>
      </c>
      <c r="AU126" s="41">
        <v>3.6989999999999998</v>
      </c>
      <c r="AW126" s="42">
        <f t="shared" si="21"/>
        <v>3.2314299458915952E-4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0.29253572308542702</v>
      </c>
      <c r="AE127" s="19">
        <f t="shared" si="18"/>
        <v>9.0370372591618578E-2</v>
      </c>
      <c r="AF127" s="19">
        <f t="shared" si="19"/>
        <v>0.20255517955376567</v>
      </c>
      <c r="AG127" s="20"/>
      <c r="AH127" s="19">
        <f t="shared" si="20"/>
        <v>0.38609529758687139</v>
      </c>
      <c r="AI127" s="21">
        <v>3032039</v>
      </c>
      <c r="AJ127" s="22">
        <v>1170656</v>
      </c>
      <c r="AK127" s="22">
        <v>361640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7.7919999999999998</v>
      </c>
      <c r="AU127" s="26">
        <v>4.9160000000000004</v>
      </c>
      <c r="AW127" s="27">
        <f t="shared" si="21"/>
        <v>2.3302584929707493E-3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0.71741741246463431</v>
      </c>
      <c r="AE128" s="34">
        <f t="shared" si="18"/>
        <v>0.26814241954902773</v>
      </c>
      <c r="AF128" s="34">
        <f t="shared" si="19"/>
        <v>0.44980276148908704</v>
      </c>
      <c r="AG128" s="35"/>
      <c r="AH128" s="34">
        <f t="shared" si="20"/>
        <v>0.81982899383242402</v>
      </c>
      <c r="AI128" s="36">
        <v>3501862</v>
      </c>
      <c r="AJ128" s="37">
        <v>2870928</v>
      </c>
      <c r="AK128" s="37">
        <v>1073040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13.571</v>
      </c>
      <c r="AU128" s="41">
        <v>9.1359999999999992</v>
      </c>
      <c r="AW128" s="42">
        <f t="shared" si="21"/>
        <v>1.3339464912505705E-3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 t="str">
        <f t="shared" si="17"/>
        <v>·</v>
      </c>
      <c r="AE129" s="19">
        <f t="shared" si="18"/>
        <v>0</v>
      </c>
      <c r="AF129" s="19" t="str">
        <f t="shared" si="19"/>
        <v>·</v>
      </c>
      <c r="AG129" s="20"/>
      <c r="AH129" s="19" t="str">
        <f t="shared" si="20"/>
        <v>·</v>
      </c>
      <c r="AI129" s="21"/>
      <c r="AJ129" s="22"/>
      <c r="AK129" s="22">
        <v>0</v>
      </c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 t="str">
        <f t="shared" si="17"/>
        <v>·</v>
      </c>
      <c r="AE130" s="49">
        <f t="shared" si="18"/>
        <v>0</v>
      </c>
      <c r="AF130" s="49" t="str">
        <f t="shared" si="19"/>
        <v>·</v>
      </c>
      <c r="AG130" s="50"/>
      <c r="AH130" s="49" t="str">
        <f t="shared" si="20"/>
        <v>·</v>
      </c>
      <c r="AI130" s="51"/>
      <c r="AJ130" s="52"/>
      <c r="AK130" s="52">
        <v>0</v>
      </c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9.2269525276261921E-2</v>
      </c>
      <c r="AE131" s="19">
        <f t="shared" si="18"/>
        <v>3.6659454454407167E-3</v>
      </c>
      <c r="AF131" s="19">
        <f t="shared" si="19"/>
        <v>8.8312031886706624E-2</v>
      </c>
      <c r="AG131" s="20"/>
      <c r="AH131" s="19">
        <f t="shared" si="20"/>
        <v>0.27235059760956176</v>
      </c>
      <c r="AI131" s="21">
        <v>502000</v>
      </c>
      <c r="AJ131" s="22">
        <v>136720</v>
      </c>
      <c r="AK131" s="22">
        <v>5432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0.71799999999999997</v>
      </c>
      <c r="AU131" s="26">
        <v>0.57799999999999996</v>
      </c>
      <c r="AW131" s="27">
        <f t="shared" si="21"/>
        <v>1.7785564547110472E-4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3.1082483947242334E-3</v>
      </c>
      <c r="BA131" s="28">
        <f>IF( OR(ISBLANK(Q131:Q136),ISBLANK(AK131:AK136), ISBLANK(U131:U136),ISBLANK(AO131:AO136)), "·", bdRateExtend( Q131:Q136,U131:U136, AK131:AK136,AO131:AO136))</f>
        <v>3.1871346497565067E-3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8.5542076637690201E-5</v>
      </c>
      <c r="BH131" s="28">
        <f>IF( OR(ISBLANK(P131:P136),ISBLANK(AJ131:AJ136), ISBLANK(U131:U136),ISBLANK(AO131:AO136)), "·", bdRateExtend( P131:P136,U131:U136, AJ131:AJ136,AO131:AO136))</f>
        <v>7.4750541781964941E-5</v>
      </c>
      <c r="BI131" s="28">
        <f>IF( OR(ISBLANK(P131:P136),ISBLANK(AJ131:AJ136), ISBLANK(V131:V136),ISBLANK(AP131:AP136)), "·", bdRateExtend( P131:P136,V131:V136, AJ131:AJ136,AP131:AP136))</f>
        <v>7.8785986057150481E-5</v>
      </c>
      <c r="BJ131" s="28">
        <f>IF( OR(ISBLANK(P131:P136),ISBLANK(AJ131:AJ136), ISBLANK(W131:W136),ISBLANK(AQ131:AQ136)), "·", bdRateExtend( P131:P136,W131:W136, AJ131:AJ136,AQ131:AQ136))</f>
        <v>7.3824152889256922E-5</v>
      </c>
      <c r="BK131" s="28">
        <f>IF( OR(ISBLANK(P131:P136),ISBLANK(AJ131:AJ136), ISBLANK(X131:X136),ISBLANK(AR131:AR136)), "·", bdRateExtend( P131:P136,X131:X136, AJ131:AJ136,AR131:AR136))</f>
        <v>7.468081314732089E-5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0.30725913888075285</v>
      </c>
      <c r="AE132" s="34">
        <f t="shared" si="18"/>
        <v>1.4059089749525222E-2</v>
      </c>
      <c r="AF132" s="34">
        <f t="shared" si="19"/>
        <v>0.29287610697110034</v>
      </c>
      <c r="AG132" s="35"/>
      <c r="AH132" s="34">
        <f t="shared" si="20"/>
        <v>0.85418707012033812</v>
      </c>
      <c r="AI132" s="36">
        <v>532998</v>
      </c>
      <c r="AJ132" s="37">
        <v>455280</v>
      </c>
      <c r="AK132" s="37">
        <v>20832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0.874</v>
      </c>
      <c r="AU132" s="41">
        <v>0.749</v>
      </c>
      <c r="AW132" s="42">
        <f t="shared" si="21"/>
        <v>8.2240036501549096E-5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1.0077462669040442</v>
      </c>
      <c r="AE133" s="19">
        <f t="shared" ref="AE133:AE196" si="29">IF(AK133="","·",AK133/D133)</f>
        <v>6.7579733638558834E-2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1.995429774883005</v>
      </c>
      <c r="AI133" s="21">
        <v>748322</v>
      </c>
      <c r="AJ133" s="22">
        <v>1493224</v>
      </c>
      <c r="AK133" s="22">
        <v>100136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1.4359999999999999</v>
      </c>
      <c r="AU133" s="26">
        <v>1.218</v>
      </c>
      <c r="AW133" s="27">
        <f t="shared" ref="AW133:AW196" si="32">(AK133/AJ133) - (Q133/P133)</f>
        <v>2.9929903910547173E-4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2.4407638016232203</v>
      </c>
      <c r="AE134" s="34">
        <f t="shared" si="29"/>
        <v>0.29467938499580898</v>
      </c>
      <c r="AF134" s="34">
        <f t="shared" si="30"/>
        <v>2.1472614064758737</v>
      </c>
      <c r="AG134" s="35"/>
      <c r="AH134" s="34">
        <f t="shared" si="31"/>
        <v>3.6538835353619037</v>
      </c>
      <c r="AI134" s="36">
        <v>989794</v>
      </c>
      <c r="AJ134" s="37">
        <v>3616592</v>
      </c>
      <c r="AK134" s="37">
        <v>436640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2.9359999999999999</v>
      </c>
      <c r="AU134" s="41">
        <v>2.4830000000000001</v>
      </c>
      <c r="AW134" s="42">
        <f t="shared" si="32"/>
        <v>6.4360810342549424E-4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 t="str">
        <f t="shared" si="28"/>
        <v>·</v>
      </c>
      <c r="AE135" s="19">
        <f t="shared" si="29"/>
        <v>0</v>
      </c>
      <c r="AF135" s="19" t="str">
        <f t="shared" si="30"/>
        <v>·</v>
      </c>
      <c r="AG135" s="20"/>
      <c r="AH135" s="19" t="str">
        <f t="shared" si="31"/>
        <v>·</v>
      </c>
      <c r="AI135" s="21"/>
      <c r="AJ135" s="22"/>
      <c r="AK135" s="22">
        <v>0</v>
      </c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 t="str">
        <f t="shared" si="28"/>
        <v>·</v>
      </c>
      <c r="AE136" s="49">
        <f t="shared" si="29"/>
        <v>0</v>
      </c>
      <c r="AF136" s="49" t="str">
        <f t="shared" si="30"/>
        <v>·</v>
      </c>
      <c r="AG136" s="50"/>
      <c r="AH136" s="49" t="str">
        <f t="shared" si="31"/>
        <v>·</v>
      </c>
      <c r="AI136" s="51"/>
      <c r="AJ136" s="52"/>
      <c r="AK136" s="52">
        <v>0</v>
      </c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0.10312302885391149</v>
      </c>
      <c r="AE137" s="19">
        <f t="shared" si="29"/>
        <v>1.7485441023309033E-2</v>
      </c>
      <c r="AF137" s="19">
        <f t="shared" si="30"/>
        <v>8.3847970544659756E-2</v>
      </c>
      <c r="AG137" s="20"/>
      <c r="AH137" s="19">
        <f t="shared" si="31"/>
        <v>4.7955741557436038E-2</v>
      </c>
      <c r="AI137" s="21">
        <v>586374</v>
      </c>
      <c r="AJ137" s="22">
        <v>28120</v>
      </c>
      <c r="AK137" s="22">
        <v>4768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0.81200000000000006</v>
      </c>
      <c r="AU137" s="26">
        <v>0.73399999999999999</v>
      </c>
      <c r="AW137" s="27">
        <f t="shared" si="32"/>
        <v>-6.1740439178056827E-4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-1.815209293403286E-3</v>
      </c>
      <c r="BA137" s="28">
        <f>IF( OR(ISBLANK(Q137:Q142),ISBLANK(AK137:AK142), ISBLANK(U137:U142),ISBLANK(AO137:AO142)), "·", bdRateExtend( Q137:Q142,U137:U142, AK137:AK142,AO137:AO142))</f>
        <v>-1.6866773742038044E-3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6.6225448082346539E-4</v>
      </c>
      <c r="BH137" s="28">
        <f>IF( OR(ISBLANK(P137:P142),ISBLANK(AJ137:AJ142), ISBLANK(U137:U142),ISBLANK(AO137:AO142)), "·", bdRateExtend( P137:P142,U137:U142, AJ137:AJ142,AO137:AO142))</f>
        <v>7.0554298048364217E-4</v>
      </c>
      <c r="BI137" s="28">
        <f>IF( OR(ISBLANK(P137:P142),ISBLANK(AJ137:AJ142), ISBLANK(V137:V142),ISBLANK(AP137:AP142)), "·", bdRateExtend( P137:P142,V137:V142, AJ137:AJ142,AP137:AP142))</f>
        <v>7.1605610783365137E-4</v>
      </c>
      <c r="BJ137" s="28">
        <f>IF( OR(ISBLANK(P137:P142),ISBLANK(AJ137:AJ142), ISBLANK(W137:W142),ISBLANK(AQ137:AQ142)), "·", bdRateExtend( P137:P142,W137:W142, AJ137:AJ142,AQ137:AQ142))</f>
        <v>6.1643774200992318E-4</v>
      </c>
      <c r="BK137" s="28">
        <f>IF( OR(ISBLANK(P137:P142),ISBLANK(AJ137:AJ142), ISBLANK(X137:X142),ISBLANK(AR137:AR142)), "·", bdRateExtend( P137:P142,X137:X142, AJ137:AJ142,AR137:AR142))</f>
        <v>5.8998417952182969E-4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0.28830441096654003</v>
      </c>
      <c r="AE138" s="34">
        <f t="shared" si="29"/>
        <v>5.7385105103343062E-2</v>
      </c>
      <c r="AF138" s="34">
        <f t="shared" si="30"/>
        <v>0.22883630869431282</v>
      </c>
      <c r="AG138" s="35"/>
      <c r="AH138" s="34">
        <f t="shared" si="31"/>
        <v>0.13608659300560333</v>
      </c>
      <c r="AI138" s="36">
        <v>577691</v>
      </c>
      <c r="AJ138" s="37">
        <v>78616</v>
      </c>
      <c r="AK138" s="37">
        <v>15648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0.88900000000000001</v>
      </c>
      <c r="AU138" s="41">
        <v>0.73399999999999999</v>
      </c>
      <c r="AW138" s="42">
        <f t="shared" si="32"/>
        <v>-4.2680093407307385E-4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0.92417596925378831</v>
      </c>
      <c r="AE139" s="19">
        <f t="shared" si="29"/>
        <v>0.24403338663067872</v>
      </c>
      <c r="AF139" s="19">
        <f t="shared" si="30"/>
        <v>0.67858766924351999</v>
      </c>
      <c r="AG139" s="20"/>
      <c r="AH139" s="19">
        <f t="shared" si="31"/>
        <v>0.35958608959687682</v>
      </c>
      <c r="AI139" s="21">
        <v>700828</v>
      </c>
      <c r="AJ139" s="22">
        <v>252008</v>
      </c>
      <c r="AK139" s="22">
        <v>66544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1.343</v>
      </c>
      <c r="AU139" s="26">
        <v>1.171</v>
      </c>
      <c r="AW139" s="27">
        <f t="shared" si="32"/>
        <v>3.6909386560862734E-4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2.7798917428231946</v>
      </c>
      <c r="AE140" s="34">
        <f t="shared" si="29"/>
        <v>1.0496252071995422</v>
      </c>
      <c r="AF140" s="34">
        <f t="shared" si="30"/>
        <v>1.734109812090185</v>
      </c>
      <c r="AG140" s="35"/>
      <c r="AH140" s="34">
        <f t="shared" si="31"/>
        <v>0.83620366325580575</v>
      </c>
      <c r="AI140" s="36">
        <v>906516</v>
      </c>
      <c r="AJ140" s="37">
        <v>758032</v>
      </c>
      <c r="AK140" s="37">
        <v>286216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2.3580000000000001</v>
      </c>
      <c r="AU140" s="41">
        <v>2.0459999999999998</v>
      </c>
      <c r="AW140" s="42">
        <f t="shared" si="32"/>
        <v>2.152835791595642E-3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 t="str">
        <f t="shared" si="28"/>
        <v>·</v>
      </c>
      <c r="AE141" s="19">
        <f t="shared" si="29"/>
        <v>0</v>
      </c>
      <c r="AF141" s="19" t="str">
        <f t="shared" si="30"/>
        <v>·</v>
      </c>
      <c r="AG141" s="20"/>
      <c r="AH141" s="19" t="str">
        <f t="shared" si="31"/>
        <v>·</v>
      </c>
      <c r="AI141" s="21"/>
      <c r="AJ141" s="22"/>
      <c r="AK141" s="22">
        <v>0</v>
      </c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 t="str">
        <f t="shared" si="28"/>
        <v>·</v>
      </c>
      <c r="AE142" s="49">
        <f t="shared" si="29"/>
        <v>0</v>
      </c>
      <c r="AF142" s="49" t="str">
        <f t="shared" si="30"/>
        <v>·</v>
      </c>
      <c r="AG142" s="50"/>
      <c r="AH142" s="49" t="str">
        <f t="shared" si="31"/>
        <v>·</v>
      </c>
      <c r="AI142" s="51"/>
      <c r="AJ142" s="52"/>
      <c r="AK142" s="52">
        <v>0</v>
      </c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7.2786425809187811E-4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3048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0.45200000000000001</v>
      </c>
      <c r="AW143" s="27">
        <f t="shared" si="32"/>
        <v>-1.5149294935720183E-4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-3.616515975821577E-3</v>
      </c>
      <c r="BA143" s="28">
        <f>IF( OR(ISBLANK(Q143:Q148),ISBLANK(AK143:AK148), ISBLANK(U143:U148),ISBLANK(AO143:AO148)), "·", bdRateExtend( Q143:Q148,U143:U148, AK143:AK148,AO143:AO148))</f>
        <v>-3.2251179693999488E-3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4.8750847517320395E-5</v>
      </c>
      <c r="BH143" s="28">
        <f>IF( OR(ISBLANK(P143:P148),ISBLANK(AJ143:AJ148), ISBLANK(U143:U148),ISBLANK(AO143:AO148)), "·", bdRateExtend( P143:P148,U143:U148, AJ143:AJ148,AO143:AO148))</f>
        <v>4.7647649628501654E-5</v>
      </c>
      <c r="BI143" s="28">
        <f>IF( OR(ISBLANK(P143:P148),ISBLANK(AJ143:AJ148), ISBLANK(V143:V148),ISBLANK(AP143:AP148)), "·", bdRateExtend( P143:P148,V143:V148, AJ143:AJ148,AP143:AP148))</f>
        <v>4.6515633678856361E-5</v>
      </c>
      <c r="BJ143" s="28">
        <f>IF( OR(ISBLANK(P143:P148),ISBLANK(AJ143:AJ148), ISBLANK(W143:W148),ISBLANK(AQ143:AQ148)), "·", bdRateExtend( P143:P148,W143:W148, AJ143:AJ148,AQ143:AQ148))</f>
        <v>4.4186832043102697E-5</v>
      </c>
      <c r="BK143" s="28">
        <f>IF( OR(ISBLANK(P143:P148),ISBLANK(AJ143:AJ148), ISBLANK(X143:X148),ISBLANK(AR143:AR148)), "·", bdRateExtend( P143:P148,X143:X148, AJ143:AJ148,AR143:AR148))</f>
        <v>4.4858408872361366E-5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0.17646982969218125</v>
      </c>
      <c r="AE144" s="34">
        <f t="shared" si="29"/>
        <v>3.2667923394674842E-3</v>
      </c>
      <c r="AF144" s="34">
        <f t="shared" si="30"/>
        <v>0.1730731298210858</v>
      </c>
      <c r="AG144" s="35"/>
      <c r="AH144" s="34">
        <f t="shared" si="31"/>
        <v>1.4852307785068988</v>
      </c>
      <c r="AI144" s="36">
        <v>497555</v>
      </c>
      <c r="AJ144" s="37">
        <v>738984</v>
      </c>
      <c r="AK144" s="37">
        <v>13680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0.85799999999999998</v>
      </c>
      <c r="AU144" s="41">
        <v>0.65600000000000003</v>
      </c>
      <c r="AW144" s="42">
        <f t="shared" si="32"/>
        <v>-5.4932364876907058E-5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0.47819917594685635</v>
      </c>
      <c r="AE145" s="19">
        <f t="shared" si="29"/>
        <v>1.7004513809122851E-2</v>
      </c>
      <c r="AF145" s="19">
        <f t="shared" si="30"/>
        <v>0.46102272569881414</v>
      </c>
      <c r="AG145" s="20"/>
      <c r="AH145" s="19">
        <f t="shared" si="31"/>
        <v>2.8887782908564761</v>
      </c>
      <c r="AI145" s="21">
        <v>693201</v>
      </c>
      <c r="AJ145" s="22">
        <v>2002504</v>
      </c>
      <c r="AK145" s="22">
        <v>71208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1.3109999999999999</v>
      </c>
      <c r="AU145" s="26">
        <v>1.1240000000000001</v>
      </c>
      <c r="AW145" s="27">
        <f t="shared" si="32"/>
        <v>-7.7613408473717338E-5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1.0351051224163565</v>
      </c>
      <c r="AE146" s="34">
        <f t="shared" si="29"/>
        <v>7.660532515807407E-2</v>
      </c>
      <c r="AF146" s="34">
        <f t="shared" si="30"/>
        <v>0.95861442155089538</v>
      </c>
      <c r="AG146" s="35"/>
      <c r="AH146" s="34">
        <f t="shared" si="31"/>
        <v>4.8405270463583259</v>
      </c>
      <c r="AI146" s="36">
        <v>895481</v>
      </c>
      <c r="AJ146" s="37">
        <v>4334600</v>
      </c>
      <c r="AK146" s="37">
        <v>320792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2.4990000000000001</v>
      </c>
      <c r="AU146" s="41">
        <v>2.2799999999999998</v>
      </c>
      <c r="AW146" s="42">
        <f t="shared" si="32"/>
        <v>2.4185124217938891E-4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 t="str">
        <f t="shared" si="28"/>
        <v>·</v>
      </c>
      <c r="AE147" s="19">
        <f t="shared" si="29"/>
        <v>0</v>
      </c>
      <c r="AF147" s="19" t="str">
        <f t="shared" si="30"/>
        <v>·</v>
      </c>
      <c r="AG147" s="20"/>
      <c r="AH147" s="19" t="str">
        <f t="shared" si="31"/>
        <v>·</v>
      </c>
      <c r="AI147" s="21"/>
      <c r="AJ147" s="22"/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 t="str">
        <f t="shared" si="28"/>
        <v>·</v>
      </c>
      <c r="AE148" s="49">
        <f t="shared" si="29"/>
        <v>0</v>
      </c>
      <c r="AF148" s="49" t="str">
        <f t="shared" si="30"/>
        <v>·</v>
      </c>
      <c r="AG148" s="50"/>
      <c r="AH148" s="49" t="str">
        <f t="shared" si="31"/>
        <v>·</v>
      </c>
      <c r="AI148" s="51"/>
      <c r="AJ148" s="52"/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0.15110015339915889</v>
      </c>
      <c r="AE149" s="19">
        <f t="shared" si="29"/>
        <v>9.7113162599144608E-3</v>
      </c>
      <c r="AF149" s="19">
        <f t="shared" si="30"/>
        <v>0.14089732562241611</v>
      </c>
      <c r="AG149" s="20"/>
      <c r="AH149" s="19">
        <f t="shared" si="31"/>
        <v>0.31819301093892816</v>
      </c>
      <c r="AI149" s="21">
        <v>479206</v>
      </c>
      <c r="AJ149" s="22">
        <v>152480</v>
      </c>
      <c r="AK149" s="22">
        <v>9800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1.1870000000000001</v>
      </c>
      <c r="AU149" s="26">
        <v>0.624</v>
      </c>
      <c r="AW149" s="27">
        <f t="shared" si="32"/>
        <v>-1.60778148068072E-4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4.8197946618582233E-3</v>
      </c>
      <c r="BA149" s="28">
        <f>IF( OR(ISBLANK(Q149:Q154),ISBLANK(AK149:AK154), ISBLANK(U149:U154),ISBLANK(AO149:AO154)), "·", bdRateExtend( Q149:Q154,U149:U154, AK149:AK154,AO149:AO154))</f>
        <v>4.8537322600676891E-3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8.1680560273023062E-5</v>
      </c>
      <c r="BH149" s="28">
        <f>IF( OR(ISBLANK(P149:P154),ISBLANK(AJ149:AJ154), ISBLANK(U149:U154),ISBLANK(AO149:AO154)), "·", bdRateExtend( P149:P154,U149:U154, AJ149:AJ154,AO149:AO154))</f>
        <v>8.1550752127901305E-5</v>
      </c>
      <c r="BI149" s="28">
        <f>IF( OR(ISBLANK(P149:P154),ISBLANK(AJ149:AJ154), ISBLANK(V149:V154),ISBLANK(AP149:AP154)), "·", bdRateExtend( P149:P154,V149:V154, AJ149:AJ154,AP149:AP154))</f>
        <v>7.9628696271871746E-5</v>
      </c>
      <c r="BJ149" s="28">
        <f>IF( OR(ISBLANK(P149:P154),ISBLANK(AJ149:AJ154), ISBLANK(W149:W154),ISBLANK(AQ149:AQ154)), "·", bdRateExtend( P149:P154,W149:W154, AJ149:AJ154,AQ149:AQ154))</f>
        <v>7.9223217054114059E-5</v>
      </c>
      <c r="BK149" s="28">
        <f>IF( OR(ISBLANK(P149:P154),ISBLANK(AJ149:AJ154), ISBLANK(X149:X154),ISBLANK(AR149:AR154)), "·", bdRateExtend( P149:P154,X149:X154, AJ149:AJ154,AR149:AR154))</f>
        <v>7.859009219646218E-5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0.54973977636225979</v>
      </c>
      <c r="AE150" s="34">
        <f t="shared" si="29"/>
        <v>3.9249572900274692E-2</v>
      </c>
      <c r="AF150" s="34">
        <f t="shared" si="30"/>
        <v>0.51022859249335073</v>
      </c>
      <c r="AG150" s="35"/>
      <c r="AH150" s="34">
        <f t="shared" si="31"/>
        <v>0.94957216532784683</v>
      </c>
      <c r="AI150" s="36">
        <v>584221</v>
      </c>
      <c r="AJ150" s="37">
        <v>554760</v>
      </c>
      <c r="AK150" s="37">
        <v>39608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1.546</v>
      </c>
      <c r="AU150" s="41">
        <v>0.79600000000000004</v>
      </c>
      <c r="AW150" s="42">
        <f t="shared" si="32"/>
        <v>4.5429956906863078E-4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1.9255835708311697</v>
      </c>
      <c r="AE151" s="19">
        <f t="shared" si="29"/>
        <v>0.19318780892886164</v>
      </c>
      <c r="AF151" s="19">
        <f t="shared" si="30"/>
        <v>1.733458060987066</v>
      </c>
      <c r="AG151" s="20"/>
      <c r="AH151" s="19">
        <f t="shared" si="31"/>
        <v>2.0238150040983136</v>
      </c>
      <c r="AI151" s="21">
        <v>960151</v>
      </c>
      <c r="AJ151" s="22">
        <v>1943168</v>
      </c>
      <c r="AK151" s="22">
        <v>194952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3.1549999999999998</v>
      </c>
      <c r="AU151" s="26">
        <v>1.577</v>
      </c>
      <c r="AW151" s="27">
        <f t="shared" si="32"/>
        <v>8.1270549906028999E-4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 t="str">
        <f t="shared" si="28"/>
        <v>·</v>
      </c>
      <c r="AE152" s="34">
        <f t="shared" si="29"/>
        <v>0.82591375558400681</v>
      </c>
      <c r="AF152" s="34" t="str">
        <f t="shared" si="30"/>
        <v>·</v>
      </c>
      <c r="AG152" s="35"/>
      <c r="AH152" s="34" t="str">
        <f t="shared" si="31"/>
        <v>·</v>
      </c>
      <c r="AI152" s="36"/>
      <c r="AJ152" s="37"/>
      <c r="AK152" s="37">
        <v>833456</v>
      </c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 t="str">
        <f t="shared" si="28"/>
        <v>·</v>
      </c>
      <c r="AE153" s="19">
        <f t="shared" si="29"/>
        <v>0</v>
      </c>
      <c r="AF153" s="19" t="str">
        <f t="shared" si="30"/>
        <v>·</v>
      </c>
      <c r="AG153" s="20"/>
      <c r="AH153" s="19" t="str">
        <f t="shared" si="31"/>
        <v>·</v>
      </c>
      <c r="AI153" s="21"/>
      <c r="AJ153" s="22"/>
      <c r="AK153" s="22">
        <v>0</v>
      </c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 t="str">
        <f t="shared" si="28"/>
        <v>·</v>
      </c>
      <c r="AE154" s="49">
        <f t="shared" si="29"/>
        <v>0</v>
      </c>
      <c r="AF154" s="49" t="str">
        <f t="shared" si="30"/>
        <v>·</v>
      </c>
      <c r="AG154" s="50"/>
      <c r="AH154" s="49" t="str">
        <f t="shared" si="31"/>
        <v>·</v>
      </c>
      <c r="AI154" s="51"/>
      <c r="AJ154" s="52"/>
      <c r="AK154" s="52">
        <v>0</v>
      </c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8.3196970668608622E-2</v>
      </c>
      <c r="AE155" s="19">
        <f t="shared" si="29"/>
        <v>3.2501804746852886E-3</v>
      </c>
      <c r="AF155" s="19">
        <f t="shared" si="30"/>
        <v>7.9854826405387519E-2</v>
      </c>
      <c r="AG155" s="20"/>
      <c r="AH155" s="19">
        <f t="shared" si="31"/>
        <v>0.19504700008737574</v>
      </c>
      <c r="AI155" s="21">
        <v>20074218</v>
      </c>
      <c r="AJ155" s="22">
        <v>3915416</v>
      </c>
      <c r="AK155" s="22">
        <v>152960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27.460999999999999</v>
      </c>
      <c r="AU155" s="26">
        <v>21.039000000000001</v>
      </c>
      <c r="AW155" s="27">
        <f t="shared" si="32"/>
        <v>-4.1237824612493784E-4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-1.2270682802706823E-2</v>
      </c>
      <c r="BA155" s="28">
        <f>IF( OR(ISBLANK(Q155:Q160),ISBLANK(AK155:AK160), ISBLANK(U155:U160),ISBLANK(AO155:AO160)), "·", bdRateExtend( Q155:Q160,U155:U160, AK155:AK160,AO155:AO160))</f>
        <v>-1.198027847490557E-2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9.3006332456679885E-5</v>
      </c>
      <c r="BH155" s="28">
        <f>IF( OR(ISBLANK(P155:P160),ISBLANK(AJ155:AJ160), ISBLANK(U155:U160),ISBLANK(AO155:AO160)), "·", bdRateExtend( P155:P160,U155:U160, AJ155:AJ160,AO155:AO160))</f>
        <v>9.4453466797261854E-5</v>
      </c>
      <c r="BI155" s="28">
        <f>IF( OR(ISBLANK(P155:P160),ISBLANK(AJ155:AJ160), ISBLANK(V155:V160),ISBLANK(AP155:AP160)), "·", bdRateExtend( P155:P160,V155:V160, AJ155:AJ160,AP155:AP160))</f>
        <v>9.4489640917849727E-5</v>
      </c>
      <c r="BJ155" s="28">
        <f>IF( OR(ISBLANK(P155:P160),ISBLANK(AJ155:AJ160), ISBLANK(W155:W160),ISBLANK(AQ155:AQ160)), "·", bdRateExtend( P155:P160,W155:W160, AJ155:AJ160,AQ155:AQ160))</f>
        <v>9.9739955002009495E-5</v>
      </c>
      <c r="BK155" s="28">
        <f>IF( OR(ISBLANK(P155:P160),ISBLANK(AJ155:AJ160), ISBLANK(X155:X160),ISBLANK(AR155:AR160)), "·", bdRateExtend( P155:P160,X155:X160, AJ155:AJ160,AR155:AR160))</f>
        <v>9.9573401261876526E-5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0.18014006288980228</v>
      </c>
      <c r="AE156" s="34">
        <f t="shared" si="29"/>
        <v>1.0473332604932531E-2</v>
      </c>
      <c r="AF156" s="34">
        <f t="shared" si="30"/>
        <v>0.16945730443001553</v>
      </c>
      <c r="AG156" s="35"/>
      <c r="AH156" s="34">
        <f t="shared" si="31"/>
        <v>0.48423928654924064</v>
      </c>
      <c r="AI156" s="36">
        <v>17507361</v>
      </c>
      <c r="AJ156" s="37">
        <v>8477752</v>
      </c>
      <c r="AK156" s="37">
        <v>492896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28.434000000000001</v>
      </c>
      <c r="AU156" s="41">
        <v>20.087</v>
      </c>
      <c r="AW156" s="42">
        <f t="shared" si="32"/>
        <v>-8.0549637832170312E-4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0.39322900033024522</v>
      </c>
      <c r="AE157" s="19">
        <f t="shared" si="29"/>
        <v>3.4389357256837477E-2</v>
      </c>
      <c r="AF157" s="19">
        <f t="shared" si="30"/>
        <v>0.35830060948108411</v>
      </c>
      <c r="AG157" s="20"/>
      <c r="AH157" s="19">
        <f t="shared" si="31"/>
        <v>1.1138749847871117</v>
      </c>
      <c r="AI157" s="21">
        <v>16614202</v>
      </c>
      <c r="AJ157" s="22">
        <v>18506144</v>
      </c>
      <c r="AK157" s="22">
        <v>1618432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34.418999999999997</v>
      </c>
      <c r="AU157" s="26">
        <v>22.571000000000002</v>
      </c>
      <c r="AW157" s="27">
        <f t="shared" si="32"/>
        <v>-1.1406500448096213E-3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0.77373096027661548</v>
      </c>
      <c r="AE158" s="34">
        <f t="shared" si="29"/>
        <v>0.10263345787967117</v>
      </c>
      <c r="AF158" s="34">
        <f t="shared" si="30"/>
        <v>0.67037539117014189</v>
      </c>
      <c r="AG158" s="35"/>
      <c r="AH158" s="34">
        <f t="shared" si="31"/>
        <v>2.0701621332876092</v>
      </c>
      <c r="AI158" s="36">
        <v>17589602</v>
      </c>
      <c r="AJ158" s="37">
        <v>36413328</v>
      </c>
      <c r="AK158" s="37">
        <v>4830136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59.621000000000002</v>
      </c>
      <c r="AU158" s="41">
        <v>38.463999999999999</v>
      </c>
      <c r="AW158" s="42">
        <f t="shared" si="32"/>
        <v>-7.7269384130806973E-4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 t="str">
        <f t="shared" si="28"/>
        <v>·</v>
      </c>
      <c r="AE159" s="19">
        <f t="shared" si="29"/>
        <v>0</v>
      </c>
      <c r="AF159" s="19" t="str">
        <f t="shared" si="30"/>
        <v>·</v>
      </c>
      <c r="AG159" s="20"/>
      <c r="AH159" s="19" t="str">
        <f t="shared" si="31"/>
        <v>·</v>
      </c>
      <c r="AI159" s="21"/>
      <c r="AJ159" s="22"/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 t="str">
        <f t="shared" si="28"/>
        <v>·</v>
      </c>
      <c r="AE160" s="49">
        <f t="shared" si="29"/>
        <v>0</v>
      </c>
      <c r="AF160" s="49" t="str">
        <f t="shared" si="30"/>
        <v>·</v>
      </c>
      <c r="AG160" s="50"/>
      <c r="AH160" s="49" t="str">
        <f t="shared" si="31"/>
        <v>·</v>
      </c>
      <c r="AI160" s="51"/>
      <c r="AJ160" s="52"/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9.0459354968814631E-2</v>
      </c>
      <c r="AE161" s="19">
        <f t="shared" si="29"/>
        <v>4.6034024034173528E-3</v>
      </c>
      <c r="AF161" s="19">
        <f t="shared" si="30"/>
        <v>8.5714383148594156E-2</v>
      </c>
      <c r="AG161" s="20"/>
      <c r="AH161" s="19">
        <f t="shared" si="31"/>
        <v>0.20968795098024501</v>
      </c>
      <c r="AI161" s="21">
        <v>18722411</v>
      </c>
      <c r="AJ161" s="22">
        <v>3925864</v>
      </c>
      <c r="AK161" s="22">
        <v>199784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32.35</v>
      </c>
      <c r="AU161" s="26">
        <v>20.678000000000001</v>
      </c>
      <c r="AW161" s="27">
        <f t="shared" si="32"/>
        <v>-7.6106398329486152E-4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-1.4064731086247839E-2</v>
      </c>
      <c r="BA161" s="28">
        <f>IF( OR(ISBLANK(Q161:Q166),ISBLANK(AK161:AK166), ISBLANK(U161:U166),ISBLANK(AO161:AO166)), "·", bdRateExtend( Q161:Q166,U161:U166, AK161:AK166,AO161:AO166))</f>
        <v>-1.3835444360361993E-2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1.3154989316310761E-4</v>
      </c>
      <c r="BH161" s="28">
        <f>IF( OR(ISBLANK(P161:P166),ISBLANK(AJ161:AJ166), ISBLANK(U161:U166),ISBLANK(AO161:AO166)), "·", bdRateExtend( P161:P166,U161:U166, AJ161:AJ166,AO161:AO166))</f>
        <v>1.3203025715968764E-4</v>
      </c>
      <c r="BI161" s="28">
        <f>IF( OR(ISBLANK(P161:P166),ISBLANK(AJ161:AJ166), ISBLANK(V161:V166),ISBLANK(AP161:AP166)), "·", bdRateExtend( P161:P166,V161:V166, AJ161:AJ166,AP161:AP166))</f>
        <v>1.3368410982184109E-4</v>
      </c>
      <c r="BJ161" s="28">
        <f>IF( OR(ISBLANK(P161:P166),ISBLANK(AJ161:AJ166), ISBLANK(W161:W166),ISBLANK(AQ161:AQ166)), "·", bdRateExtend( P161:P166,W161:W166, AJ161:AJ166,AQ161:AQ166))</f>
        <v>1.3617054954262464E-4</v>
      </c>
      <c r="BK161" s="28">
        <f>IF( OR(ISBLANK(P161:P166),ISBLANK(AJ161:AJ166), ISBLANK(X161:X166),ISBLANK(AR161:AR166)), "·", bdRateExtend( P161:P166,X161:X166, AJ161:AJ166,AR161:AR166))</f>
        <v>1.359927100625935E-4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0.21380650207317167</v>
      </c>
      <c r="AE162" s="34">
        <f t="shared" si="29"/>
        <v>1.4308649531913074E-2</v>
      </c>
      <c r="AF162" s="34">
        <f t="shared" si="30"/>
        <v>0.1991890911178924</v>
      </c>
      <c r="AG162" s="35"/>
      <c r="AH162" s="34">
        <f t="shared" si="31"/>
        <v>0.51704074956886947</v>
      </c>
      <c r="AI162" s="36">
        <v>17946423</v>
      </c>
      <c r="AJ162" s="37">
        <v>9279032</v>
      </c>
      <c r="AK162" s="37">
        <v>620984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35.445</v>
      </c>
      <c r="AU162" s="41">
        <v>20.675999999999998</v>
      </c>
      <c r="AW162" s="42">
        <f t="shared" si="32"/>
        <v>-1.0267043022070821E-3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0.49075609773856682</v>
      </c>
      <c r="AE163" s="19">
        <f t="shared" si="29"/>
        <v>4.9155187270255002E-2</v>
      </c>
      <c r="AF163" s="19">
        <f t="shared" si="30"/>
        <v>0.44074264587894285</v>
      </c>
      <c r="AG163" s="20"/>
      <c r="AH163" s="19">
        <f t="shared" si="31"/>
        <v>1.1434683876584539</v>
      </c>
      <c r="AI163" s="21">
        <v>18626159</v>
      </c>
      <c r="AJ163" s="22">
        <v>21298424</v>
      </c>
      <c r="AK163" s="22">
        <v>2133296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47.243000000000002</v>
      </c>
      <c r="AU163" s="26">
        <v>26.928000000000001</v>
      </c>
      <c r="AW163" s="27">
        <f t="shared" si="32"/>
        <v>-1.4686235199946746E-3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1.0930170977329445</v>
      </c>
      <c r="AE164" s="34">
        <f t="shared" si="29"/>
        <v>0.15563271621295174</v>
      </c>
      <c r="AF164" s="34">
        <f t="shared" si="30"/>
        <v>0.93615947426132518</v>
      </c>
      <c r="AG164" s="35"/>
      <c r="AH164" s="34">
        <f t="shared" si="31"/>
        <v>2.045776310251624</v>
      </c>
      <c r="AI164" s="36">
        <v>23187321</v>
      </c>
      <c r="AJ164" s="37">
        <v>47436072</v>
      </c>
      <c r="AK164" s="37">
        <v>6754336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91.864999999999995</v>
      </c>
      <c r="AU164" s="41">
        <v>52.552</v>
      </c>
      <c r="AW164" s="42">
        <f t="shared" si="32"/>
        <v>-9.671791982858724E-4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 t="str">
        <f t="shared" si="28"/>
        <v>·</v>
      </c>
      <c r="AE165" s="19">
        <f t="shared" si="29"/>
        <v>0</v>
      </c>
      <c r="AF165" s="19" t="str">
        <f t="shared" si="30"/>
        <v>·</v>
      </c>
      <c r="AG165" s="20"/>
      <c r="AH165" s="19" t="str">
        <f t="shared" si="31"/>
        <v>·</v>
      </c>
      <c r="AI165" s="21"/>
      <c r="AJ165" s="22"/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 t="str">
        <f t="shared" si="28"/>
        <v>·</v>
      </c>
      <c r="AE166" s="49">
        <f t="shared" si="29"/>
        <v>0</v>
      </c>
      <c r="AF166" s="49" t="str">
        <f t="shared" si="30"/>
        <v>·</v>
      </c>
      <c r="AG166" s="50"/>
      <c r="AH166" s="49" t="str">
        <f t="shared" si="31"/>
        <v>·</v>
      </c>
      <c r="AI166" s="51"/>
      <c r="AJ166" s="52"/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0.10013208982107834</v>
      </c>
      <c r="AE167" s="19">
        <f t="shared" si="29"/>
        <v>3.3462754673177762E-3</v>
      </c>
      <c r="AF167" s="19">
        <f t="shared" si="30"/>
        <v>9.5905215546571665E-2</v>
      </c>
      <c r="AG167" s="20"/>
      <c r="AH167" s="19">
        <f t="shared" si="31"/>
        <v>0.27718252429335966</v>
      </c>
      <c r="AI167" s="21">
        <v>180502</v>
      </c>
      <c r="AJ167" s="22">
        <v>50032</v>
      </c>
      <c r="AK167" s="22">
        <v>1672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0.23300000000000001</v>
      </c>
      <c r="AU167" s="26">
        <v>0.20200000000000001</v>
      </c>
      <c r="AW167" s="27">
        <f t="shared" si="32"/>
        <v>1.6022988055738874E-5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1.8623706940879003E-3</v>
      </c>
      <c r="BA167" s="28">
        <f>IF( OR(ISBLANK(Q167:Q172),ISBLANK(AK167:AK172), ISBLANK(U167:U172),ISBLANK(AO167:AO172)), "·", bdRateExtend( Q167:Q172,U167:U172, AK167:AK172,AO167:AO172))</f>
        <v>2.0846516373169699E-3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-8.7526675147664434E-6</v>
      </c>
      <c r="BH167" s="28">
        <f>IF( OR(ISBLANK(P167:P172),ISBLANK(AJ167:AJ172), ISBLANK(U167:U172),ISBLANK(AO167:AO172)), "·", bdRateExtend( P167:P172,U167:U172, AJ167:AJ172,AO167:AO172))</f>
        <v>6.3635209075485477E-6</v>
      </c>
      <c r="BI167" s="28">
        <f>IF( OR(ISBLANK(P167:P172),ISBLANK(AJ167:AJ172), ISBLANK(V167:V172),ISBLANK(AP167:AP172)), "·", bdRateExtend( P167:P172,V167:V172, AJ167:AJ172,AP167:AP172))</f>
        <v>4.510970184057328E-5</v>
      </c>
      <c r="BJ167" s="28">
        <f>IF( OR(ISBLANK(P167:P172),ISBLANK(AJ167:AJ172), ISBLANK(W167:W172),ISBLANK(AQ167:AQ172)), "·", bdRateExtend( P167:P172,W167:W172, AJ167:AJ172,AQ167:AQ172))</f>
        <v>6.4208351837402589E-5</v>
      </c>
      <c r="BK167" s="28">
        <f>IF( OR(ISBLANK(P167:P172),ISBLANK(AJ167:AJ172), ISBLANK(X167:X172),ISBLANK(AR167:AR172)), "·", bdRateExtend( P167:P172,X167:X172, AJ167:AJ172,AR167:AR172))</f>
        <v>8.7372942088270733E-5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0.3020293799783853</v>
      </c>
      <c r="AE168" s="34">
        <f t="shared" si="29"/>
        <v>1.1960132890365448E-2</v>
      </c>
      <c r="AF168" s="34">
        <f t="shared" si="30"/>
        <v>0.28912460473121721</v>
      </c>
      <c r="AG168" s="35"/>
      <c r="AH168" s="34">
        <f t="shared" si="31"/>
        <v>0.80250997075245945</v>
      </c>
      <c r="AI168" s="36">
        <v>188050</v>
      </c>
      <c r="AJ168" s="37">
        <v>150912</v>
      </c>
      <c r="AK168" s="37">
        <v>5976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0.311</v>
      </c>
      <c r="AU168" s="41">
        <v>0.249</v>
      </c>
      <c r="AW168" s="42">
        <f t="shared" si="32"/>
        <v>4.8817809708272264E-5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0.83981907697234115</v>
      </c>
      <c r="AE169" s="19">
        <f t="shared" si="29"/>
        <v>4.8977304567105633E-2</v>
      </c>
      <c r="AF169" s="19">
        <f t="shared" si="30"/>
        <v>0.78999319537285351</v>
      </c>
      <c r="AG169" s="20"/>
      <c r="AH169" s="19">
        <f t="shared" si="31"/>
        <v>1.8937981207520602</v>
      </c>
      <c r="AI169" s="21">
        <v>221578</v>
      </c>
      <c r="AJ169" s="22">
        <v>419624</v>
      </c>
      <c r="AK169" s="22">
        <v>24472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0.437</v>
      </c>
      <c r="AU169" s="26">
        <v>0.39</v>
      </c>
      <c r="AW169" s="27">
        <f t="shared" si="32"/>
        <v>3.2879204066935119E-4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2.0118320457911381</v>
      </c>
      <c r="AE170" s="34">
        <f t="shared" si="29"/>
        <v>0.20188127926990354</v>
      </c>
      <c r="AF170" s="34">
        <f t="shared" si="30"/>
        <v>1.8103830604811271</v>
      </c>
      <c r="AG170" s="35"/>
      <c r="AH170" s="34">
        <f t="shared" si="31"/>
        <v>3.5992409323642094</v>
      </c>
      <c r="AI170" s="36">
        <v>279290</v>
      </c>
      <c r="AJ170" s="37">
        <v>1005232</v>
      </c>
      <c r="AK170" s="37">
        <v>100872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0.78</v>
      </c>
      <c r="AU170" s="41">
        <v>0.65500000000000003</v>
      </c>
      <c r="AW170" s="42">
        <f t="shared" si="32"/>
        <v>7.696173160075398E-4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 t="str">
        <f t="shared" si="28"/>
        <v>·</v>
      </c>
      <c r="AE171" s="19">
        <f t="shared" si="29"/>
        <v>0</v>
      </c>
      <c r="AF171" s="19" t="str">
        <f t="shared" si="30"/>
        <v>·</v>
      </c>
      <c r="AG171" s="20"/>
      <c r="AH171" s="19" t="str">
        <f t="shared" si="31"/>
        <v>·</v>
      </c>
      <c r="AI171" s="21"/>
      <c r="AJ171" s="22"/>
      <c r="AK171" s="22">
        <v>0</v>
      </c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 t="str">
        <f t="shared" si="28"/>
        <v>·</v>
      </c>
      <c r="AE172" s="49">
        <f t="shared" si="29"/>
        <v>0</v>
      </c>
      <c r="AF172" s="49" t="str">
        <f t="shared" si="30"/>
        <v>·</v>
      </c>
      <c r="AG172" s="50"/>
      <c r="AH172" s="49" t="str">
        <f t="shared" si="31"/>
        <v>·</v>
      </c>
      <c r="AI172" s="51"/>
      <c r="AJ172" s="52"/>
      <c r="AK172" s="52">
        <v>0</v>
      </c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3.0108774782570132E-2</v>
      </c>
      <c r="AE173" s="19">
        <f t="shared" si="29"/>
        <v>4.0083327795381388E-3</v>
      </c>
      <c r="AF173" s="19">
        <f t="shared" si="30"/>
        <v>2.6026445872245774E-2</v>
      </c>
      <c r="AG173" s="20"/>
      <c r="AH173" s="19">
        <f t="shared" si="31"/>
        <v>0.1105833489420244</v>
      </c>
      <c r="AI173" s="21">
        <v>17367461</v>
      </c>
      <c r="AJ173" s="22">
        <v>1920552</v>
      </c>
      <c r="AK173" s="22">
        <v>255680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31.231000000000002</v>
      </c>
      <c r="AU173" s="26">
        <v>18.481000000000002</v>
      </c>
      <c r="AW173" s="27">
        <f t="shared" si="32"/>
        <v>-1.0700746682859585E-3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-2.1282126575234983E-3</v>
      </c>
      <c r="BA173" s="28">
        <f>IF( OR(ISBLANK(Q173:Q178),ISBLANK(AK173:AK178), ISBLANK(U173:U178),ISBLANK(AO173:AO178)), "·", bdRateExtend( Q173:Q178,U173:U178, AK173:AK178,AO173:AO178))</f>
        <v>-2.1965524569957928E-3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2.208532191729784E-4</v>
      </c>
      <c r="BH173" s="28">
        <f>IF( OR(ISBLANK(P173:P178),ISBLANK(AJ173:AJ178), ISBLANK(U173:U178),ISBLANK(AO173:AO178)), "·", bdRateExtend( P173:P178,U173:U178, AJ173:AJ178,AO173:AO178))</f>
        <v>2.1883519374021887E-4</v>
      </c>
      <c r="BI173" s="28">
        <f>IF( OR(ISBLANK(P173:P178),ISBLANK(AJ173:AJ178), ISBLANK(V173:V178),ISBLANK(AP173:AP178)), "·", bdRateExtend( P173:P178,V173:V178, AJ173:AJ178,AP173:AP178))</f>
        <v>2.256866507701627E-4</v>
      </c>
      <c r="BJ173" s="28">
        <f>IF( OR(ISBLANK(P173:P178),ISBLANK(AJ173:AJ178), ISBLANK(W173:W178),ISBLANK(AQ173:AQ178)), "·", bdRateExtend( P173:P178,W173:W178, AJ173:AJ178,AQ173:AQ178))</f>
        <v>2.2763596501751415E-4</v>
      </c>
      <c r="BK173" s="28">
        <f>IF( OR(ISBLANK(P173:P178),ISBLANK(AJ173:AJ178), ISBLANK(X173:X178),ISBLANK(AR173:AR178)), "·", bdRateExtend( P173:P178,X173:X178, AJ173:AJ178,AR173:AR178))</f>
        <v>2.2943149722087774E-4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7.0014511864064599E-2</v>
      </c>
      <c r="AE174" s="34">
        <f t="shared" si="29"/>
        <v>1.1726881723565537E-2</v>
      </c>
      <c r="AF174" s="34">
        <f t="shared" si="30"/>
        <v>5.8199963538093015E-2</v>
      </c>
      <c r="AG174" s="35"/>
      <c r="AH174" s="34">
        <f t="shared" si="31"/>
        <v>0.29768561674949184</v>
      </c>
      <c r="AI174" s="36">
        <v>15002485</v>
      </c>
      <c r="AJ174" s="37">
        <v>4466024</v>
      </c>
      <c r="AK174" s="37">
        <v>748024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31.79</v>
      </c>
      <c r="AU174" s="41">
        <v>17.382000000000001</v>
      </c>
      <c r="AW174" s="42">
        <f t="shared" si="32"/>
        <v>-5.1410522285508242E-4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0.19342714004688</v>
      </c>
      <c r="AE175" s="19">
        <f t="shared" si="29"/>
        <v>4.6858363363299099E-2</v>
      </c>
      <c r="AF175" s="19">
        <f t="shared" si="30"/>
        <v>0.14651095936783098</v>
      </c>
      <c r="AG175" s="20"/>
      <c r="AH175" s="19">
        <f t="shared" si="31"/>
        <v>0.72901936880905849</v>
      </c>
      <c r="AI175" s="21">
        <v>16924324</v>
      </c>
      <c r="AJ175" s="22">
        <v>12338160</v>
      </c>
      <c r="AK175" s="22">
        <v>2988960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50.587000000000003</v>
      </c>
      <c r="AU175" s="26">
        <v>25.959</v>
      </c>
      <c r="AW175" s="27">
        <f t="shared" si="32"/>
        <v>1.1415602946759917E-4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0.49702410920925899</v>
      </c>
      <c r="AE176" s="34">
        <f t="shared" si="29"/>
        <v>0.16214094886461325</v>
      </c>
      <c r="AF176" s="34">
        <f t="shared" si="30"/>
        <v>0.33524812431174389</v>
      </c>
      <c r="AG176" s="35"/>
      <c r="AH176" s="34">
        <f t="shared" si="31"/>
        <v>1.5516948629094756</v>
      </c>
      <c r="AI176" s="36">
        <v>20431682</v>
      </c>
      <c r="AJ176" s="37">
        <v>31703736</v>
      </c>
      <c r="AK176" s="37">
        <v>10342504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91.492999999999995</v>
      </c>
      <c r="AU176" s="41">
        <v>50.134999999999998</v>
      </c>
      <c r="AW176" s="42">
        <f t="shared" si="32"/>
        <v>9.5145939684548875E-4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 t="str">
        <f t="shared" si="28"/>
        <v>·</v>
      </c>
      <c r="AE177" s="19">
        <f t="shared" si="29"/>
        <v>0</v>
      </c>
      <c r="AF177" s="19" t="str">
        <f t="shared" si="30"/>
        <v>·</v>
      </c>
      <c r="AG177" s="20"/>
      <c r="AH177" s="19" t="str">
        <f t="shared" si="31"/>
        <v>·</v>
      </c>
      <c r="AI177" s="21"/>
      <c r="AJ177" s="22"/>
      <c r="AK177" s="22">
        <v>0</v>
      </c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 t="str">
        <f t="shared" si="28"/>
        <v>·</v>
      </c>
      <c r="AE178" s="49">
        <f t="shared" si="29"/>
        <v>0</v>
      </c>
      <c r="AF178" s="49" t="str">
        <f t="shared" si="30"/>
        <v>·</v>
      </c>
      <c r="AG178" s="50"/>
      <c r="AH178" s="49" t="str">
        <f t="shared" si="31"/>
        <v>·</v>
      </c>
      <c r="AI178" s="51"/>
      <c r="AJ178" s="52"/>
      <c r="AK178" s="52">
        <v>0</v>
      </c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0.24682573931592447</v>
      </c>
      <c r="AE179" s="19">
        <f t="shared" si="29"/>
        <v>3.5421205710336211E-2</v>
      </c>
      <c r="AF179" s="19">
        <f t="shared" si="30"/>
        <v>0.21622813678303157</v>
      </c>
      <c r="AG179" s="20"/>
      <c r="AH179" s="19">
        <f t="shared" si="31"/>
        <v>0.30474502579538076</v>
      </c>
      <c r="AI179" s="21">
        <v>1615987</v>
      </c>
      <c r="AJ179" s="22">
        <v>492464</v>
      </c>
      <c r="AK179" s="22">
        <v>70672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9.8569999999999993</v>
      </c>
      <c r="AU179" s="26">
        <v>2.0609999999999999</v>
      </c>
      <c r="AW179" s="27">
        <f t="shared" si="32"/>
        <v>-1.5023266239338195E-3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-6.4693617503742695E-3</v>
      </c>
      <c r="BA179" s="28">
        <f>IF( OR(ISBLANK(Q179:Q184),ISBLANK(AK179:AK184), ISBLANK(U179:U184),ISBLANK(AO179:AO184)), "·", bdRateExtend( Q179:Q184,U179:U184, AK179:AK184,AO179:AO184))</f>
        <v>-6.4693617503758238E-3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3.608998655149076E-4</v>
      </c>
      <c r="BH179" s="28">
        <f>IF( OR(ISBLANK(P179:P184),ISBLANK(AJ179:AJ184), ISBLANK(U179:U184),ISBLANK(AO179:AO184)), "·", bdRateExtend( P179:P184,U179:U184, AJ179:AJ184,AO179:AO184))</f>
        <v>3.6089986551557374E-4</v>
      </c>
      <c r="BI179" s="28">
        <f>IF( OR(ISBLANK(P179:P184),ISBLANK(AJ179:AJ184), ISBLANK(V179:V184),ISBLANK(AP179:AP184)), "·", bdRateExtend( P179:P184,V179:V184, AJ179:AJ184,AP179:AP184))</f>
        <v>3.6089986551601783E-4</v>
      </c>
      <c r="BJ179" s="28">
        <f>IF( OR(ISBLANK(P179:P184),ISBLANK(AJ179:AJ184), ISBLANK(W179:W184),ISBLANK(AQ179:AQ184)), "·", bdRateExtend( P179:P184,W179:W184, AJ179:AJ184,AQ179:AQ184))</f>
        <v>3.6089986551401942E-4</v>
      </c>
      <c r="BK179" s="28">
        <f>IF( OR(ISBLANK(P179:P184),ISBLANK(AJ179:AJ184), ISBLANK(X179:X184),ISBLANK(AR179:AR184)), "·", bdRateExtend( P179:P184,X179:X184, AJ179:AJ184,AR179:AR184))</f>
        <v>3.6089986551579578E-4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0.62865623256744096</v>
      </c>
      <c r="AE180" s="34">
        <f t="shared" si="29"/>
        <v>0.14219404778193945</v>
      </c>
      <c r="AF180" s="34">
        <f t="shared" si="30"/>
        <v>0.50659060369719355</v>
      </c>
      <c r="AG180" s="35"/>
      <c r="AH180" s="34">
        <f t="shared" si="31"/>
        <v>0.76157861949120742</v>
      </c>
      <c r="AI180" s="36">
        <v>1646958</v>
      </c>
      <c r="AJ180" s="37">
        <v>1254288</v>
      </c>
      <c r="AK180" s="37">
        <v>283704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12.497999999999999</v>
      </c>
      <c r="AU180" s="41">
        <v>2.7330000000000001</v>
      </c>
      <c r="AW180" s="42">
        <f t="shared" si="32"/>
        <v>-7.4496751777389236E-4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>
        <f t="shared" si="29"/>
        <v>0.25257156088972021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>
        <v>503928</v>
      </c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>
        <f t="shared" si="29"/>
        <v>1.544639630631484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>
        <v>3081848</v>
      </c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>
        <f t="shared" si="29"/>
        <v>0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>
        <v>0</v>
      </c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>
        <f t="shared" si="29"/>
        <v>0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>
        <v>0</v>
      </c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8.974017217317673E-2</v>
      </c>
      <c r="AE185" s="19">
        <f t="shared" si="29"/>
        <v>3.56995384671674E-3</v>
      </c>
      <c r="AF185" s="19">
        <f t="shared" si="30"/>
        <v>8.5877513472263606E-2</v>
      </c>
      <c r="AG185" s="20"/>
      <c r="AH185" s="19">
        <f t="shared" si="31"/>
        <v>0.27306723499344926</v>
      </c>
      <c r="AI185" s="21">
        <v>502997</v>
      </c>
      <c r="AJ185" s="22">
        <v>137352</v>
      </c>
      <c r="AK185" s="22">
        <v>5464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0.76400000000000001</v>
      </c>
      <c r="AU185" s="26">
        <v>0.624</v>
      </c>
      <c r="AW185" s="27">
        <f t="shared" si="32"/>
        <v>1.2110896286071648E-4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2.7369024502725825E-3</v>
      </c>
      <c r="BA185" s="28">
        <f>IF( OR(ISBLANK(Q185:Q190),ISBLANK(AK185:AK190), ISBLANK(U185:U190),ISBLANK(AO185:AO190)), "·", bdRateExtend( Q185:Q190,U185:U190, AK185:AK190,AO185:AO190))</f>
        <v>2.7567498172358373E-3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4.9775184866263089E-5</v>
      </c>
      <c r="BH185" s="28">
        <f>IF( OR(ISBLANK(P185:P190),ISBLANK(AJ185:AJ190), ISBLANK(U185:U190),ISBLANK(AO185:AO190)), "·", bdRateExtend( P185:P190,U185:U190, AJ185:AJ190,AO185:AO190))</f>
        <v>3.7259101605124911E-5</v>
      </c>
      <c r="BI185" s="28">
        <f>IF( OR(ISBLANK(P185:P190),ISBLANK(AJ185:AJ190), ISBLANK(V185:V190),ISBLANK(AP185:AP190)), "·", bdRateExtend( P185:P190,V185:V190, AJ185:AJ190,AP185:AP190))</f>
        <v>4.3170168050332691E-5</v>
      </c>
      <c r="BJ185" s="28">
        <f>IF( OR(ISBLANK(P185:P190),ISBLANK(AJ185:AJ190), ISBLANK(W185:W190),ISBLANK(AQ185:AQ190)), "·", bdRateExtend( P185:P190,W185:W190, AJ185:AJ190,AQ185:AQ190))</f>
        <v>4.1810850442303149E-5</v>
      </c>
      <c r="BK185" s="28">
        <f>IF( OR(ISBLANK(P185:P190),ISBLANK(AJ185:AJ190), ISBLANK(X185:X190),ISBLANK(AR185:AR190)), "·", bdRateExtend( P185:P190,X185:X190, AJ185:AJ190,AR185:AR190))</f>
        <v>4.3123785457899189E-5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0.29903459666839155</v>
      </c>
      <c r="AE186" s="34">
        <f t="shared" si="29"/>
        <v>1.3636910082114165E-2</v>
      </c>
      <c r="AF186" s="34">
        <f t="shared" si="30"/>
        <v>0.28508407424249554</v>
      </c>
      <c r="AG186" s="35"/>
      <c r="AH186" s="34">
        <f t="shared" si="31"/>
        <v>0.85836349655857913</v>
      </c>
      <c r="AI186" s="36">
        <v>533210</v>
      </c>
      <c r="AJ186" s="37">
        <v>457688</v>
      </c>
      <c r="AK186" s="37">
        <v>20872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0.84299999999999997</v>
      </c>
      <c r="AU186" s="41">
        <v>0.76500000000000001</v>
      </c>
      <c r="AW186" s="42">
        <f t="shared" si="32"/>
        <v>8.3417550756782755E-5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0.97785896852900134</v>
      </c>
      <c r="AE187" s="19">
        <f t="shared" si="29"/>
        <v>6.546134989206509E-2</v>
      </c>
      <c r="AF187" s="19">
        <f t="shared" si="30"/>
        <v>0.91228262744421618</v>
      </c>
      <c r="AG187" s="20"/>
      <c r="AH187" s="19">
        <f t="shared" si="31"/>
        <v>1.9984297388239065</v>
      </c>
      <c r="AI187" s="21">
        <v>748920</v>
      </c>
      <c r="AJ187" s="22">
        <v>1496664</v>
      </c>
      <c r="AK187" s="22">
        <v>100192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1.421</v>
      </c>
      <c r="AU187" s="26">
        <v>1.2030000000000001</v>
      </c>
      <c r="AW187" s="27">
        <f t="shared" si="32"/>
        <v>2.6298398688498481E-4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2.3724564732201192</v>
      </c>
      <c r="AE188" s="34">
        <f t="shared" si="29"/>
        <v>0.28518861169042281</v>
      </c>
      <c r="AF188" s="34">
        <f t="shared" si="30"/>
        <v>2.0884230003292932</v>
      </c>
      <c r="AG188" s="35"/>
      <c r="AH188" s="34">
        <f t="shared" si="31"/>
        <v>3.6671871118122197</v>
      </c>
      <c r="AI188" s="36">
        <v>990178</v>
      </c>
      <c r="AJ188" s="37">
        <v>3631168</v>
      </c>
      <c r="AK188" s="37">
        <v>436496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2.734</v>
      </c>
      <c r="AU188" s="41">
        <v>2.3109999999999999</v>
      </c>
      <c r="AW188" s="42">
        <f t="shared" si="32"/>
        <v>6.4236126886843548E-4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 t="str">
        <f t="shared" si="28"/>
        <v>·</v>
      </c>
      <c r="AE189" s="19">
        <f t="shared" si="29"/>
        <v>0</v>
      </c>
      <c r="AF189" s="19" t="str">
        <f t="shared" si="30"/>
        <v>·</v>
      </c>
      <c r="AG189" s="20"/>
      <c r="AH189" s="19" t="str">
        <f t="shared" si="31"/>
        <v>·</v>
      </c>
      <c r="AI189" s="21"/>
      <c r="AJ189" s="22"/>
      <c r="AK189" s="22">
        <v>0</v>
      </c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 t="str">
        <f t="shared" si="28"/>
        <v>·</v>
      </c>
      <c r="AE190" s="49">
        <f t="shared" si="29"/>
        <v>0</v>
      </c>
      <c r="AF190" s="49" t="str">
        <f t="shared" si="30"/>
        <v>·</v>
      </c>
      <c r="AG190" s="50"/>
      <c r="AH190" s="49" t="str">
        <f t="shared" si="31"/>
        <v>·</v>
      </c>
      <c r="AI190" s="51"/>
      <c r="AJ190" s="52"/>
      <c r="AK190" s="52">
        <v>0</v>
      </c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0.10294511329756609</v>
      </c>
      <c r="AE191" s="19">
        <f t="shared" si="29"/>
        <v>1.7485120411897804E-2</v>
      </c>
      <c r="AF191" s="19">
        <f t="shared" si="30"/>
        <v>8.3582396062914163E-2</v>
      </c>
      <c r="AG191" s="20"/>
      <c r="AH191" s="19">
        <f t="shared" si="31"/>
        <v>4.7784567722607113E-2</v>
      </c>
      <c r="AI191" s="21">
        <v>587470</v>
      </c>
      <c r="AJ191" s="22">
        <v>28072</v>
      </c>
      <c r="AK191" s="22">
        <v>4768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0.81200000000000006</v>
      </c>
      <c r="AU191" s="26">
        <v>0.68700000000000006</v>
      </c>
      <c r="AW191" s="27">
        <f t="shared" si="32"/>
        <v>-6.6715081825924338E-4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-1.5520243175334292E-3</v>
      </c>
      <c r="BA191" s="28">
        <f>IF( OR(ISBLANK(Q191:Q196),ISBLANK(AK191:AK196), ISBLANK(U191:U196),ISBLANK(AO191:AO196)), "·", bdRateExtend( Q191:Q196,U191:U196, AK191:AK196,AO191:AO196))</f>
        <v>-1.3552615884248054E-3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6.7650146046993598E-4</v>
      </c>
      <c r="BH191" s="28">
        <f>IF( OR(ISBLANK(P191:P196),ISBLANK(AJ191:AJ196), ISBLANK(U191:U196),ISBLANK(AO191:AO196)), "·", bdRateExtend( P191:P196,U191:U196, AJ191:AJ196,AO191:AO196))</f>
        <v>6.9190367133242781E-4</v>
      </c>
      <c r="BI191" s="28">
        <f>IF( OR(ISBLANK(P191:P196),ISBLANK(AJ191:AJ196), ISBLANK(V191:V196),ISBLANK(AP191:AP196)), "·", bdRateExtend( P191:P196,V191:V196, AJ191:AJ196,AP191:AP196))</f>
        <v>6.8346461389934277E-4</v>
      </c>
      <c r="BJ191" s="28">
        <f>IF( OR(ISBLANK(P191:P196),ISBLANK(AJ191:AJ196), ISBLANK(W191:W196),ISBLANK(AQ191:AQ196)), "·", bdRateExtend( P191:P196,W191:W196, AJ191:AJ196,AQ191:AQ196))</f>
        <v>6.4920409579993787E-4</v>
      </c>
      <c r="BK191" s="28">
        <f>IF( OR(ISBLANK(P191:P196),ISBLANK(AJ191:AJ196), ISBLANK(X191:X196),ISBLANK(AR191:AR196)), "·", bdRateExtend( P191:P196,X191:X196, AJ191:AJ196,AR191:AR196))</f>
        <v>6.328497490888374E-4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0.29093949517582302</v>
      </c>
      <c r="AE192" s="34">
        <f t="shared" si="29"/>
        <v>5.744272779613406E-2</v>
      </c>
      <c r="AF192" s="34">
        <f t="shared" si="30"/>
        <v>0.23147248330515716</v>
      </c>
      <c r="AG192" s="35"/>
      <c r="AH192" s="34">
        <f t="shared" si="31"/>
        <v>0.13699902780008255</v>
      </c>
      <c r="AI192" s="36">
        <v>579099</v>
      </c>
      <c r="AJ192" s="37">
        <v>79336</v>
      </c>
      <c r="AK192" s="37">
        <v>15664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0.89</v>
      </c>
      <c r="AU192" s="41">
        <v>0.749</v>
      </c>
      <c r="AW192" s="42">
        <f t="shared" si="32"/>
        <v>-2.6031990437372365E-4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0.92597794557169522</v>
      </c>
      <c r="AE193" s="19">
        <f t="shared" si="29"/>
        <v>0.24420493675945859</v>
      </c>
      <c r="AF193" s="19">
        <f t="shared" si="30"/>
        <v>0.68001276179090464</v>
      </c>
      <c r="AG193" s="20"/>
      <c r="AH193" s="19">
        <f t="shared" si="31"/>
        <v>0.36002771813056611</v>
      </c>
      <c r="AI193" s="21">
        <v>701346</v>
      </c>
      <c r="AJ193" s="22">
        <v>252504</v>
      </c>
      <c r="AK193" s="22">
        <v>66592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1.2809999999999999</v>
      </c>
      <c r="AU193" s="26">
        <v>1.093</v>
      </c>
      <c r="AW193" s="27">
        <f t="shared" si="32"/>
        <v>4.4348200008725858E-4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2.786911096523879</v>
      </c>
      <c r="AE194" s="34">
        <f t="shared" si="29"/>
        <v>1.0513075334905331</v>
      </c>
      <c r="AF194" s="34">
        <f t="shared" si="30"/>
        <v>1.7395641188313427</v>
      </c>
      <c r="AG194" s="35"/>
      <c r="AH194" s="34">
        <f t="shared" si="31"/>
        <v>0.8375562349424811</v>
      </c>
      <c r="AI194" s="36">
        <v>907354</v>
      </c>
      <c r="AJ194" s="37">
        <v>759960</v>
      </c>
      <c r="AK194" s="37">
        <v>286680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2.218</v>
      </c>
      <c r="AU194" s="41">
        <v>2.1240000000000001</v>
      </c>
      <c r="AW194" s="42">
        <f t="shared" si="32"/>
        <v>2.2237994514609505E-3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 t="str">
        <f t="shared" si="28"/>
        <v>·</v>
      </c>
      <c r="AE195" s="19">
        <f t="shared" si="29"/>
        <v>0</v>
      </c>
      <c r="AF195" s="19" t="str">
        <f t="shared" si="30"/>
        <v>·</v>
      </c>
      <c r="AG195" s="20"/>
      <c r="AH195" s="19" t="str">
        <f t="shared" si="31"/>
        <v>·</v>
      </c>
      <c r="AI195" s="21"/>
      <c r="AJ195" s="22"/>
      <c r="AK195" s="22">
        <v>0</v>
      </c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 t="str">
        <f t="shared" si="28"/>
        <v>·</v>
      </c>
      <c r="AE196" s="49">
        <f t="shared" si="29"/>
        <v>0</v>
      </c>
      <c r="AF196" s="49" t="str">
        <f t="shared" si="30"/>
        <v>·</v>
      </c>
      <c r="AG196" s="50"/>
      <c r="AH196" s="49" t="str">
        <f t="shared" si="31"/>
        <v>·</v>
      </c>
      <c r="AI196" s="51"/>
      <c r="AJ196" s="52"/>
      <c r="AK196" s="52">
        <v>0</v>
      </c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0.19241043300332503</v>
      </c>
      <c r="AE197" s="19">
        <f t="shared" ref="AE197:AE260" si="40">IF(AK197="","·",AK197/D197)</f>
        <v>2.0172303008752394E-2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0.26297247431083465</v>
      </c>
      <c r="AI197" s="21">
        <v>1172868</v>
      </c>
      <c r="AJ197" s="22">
        <v>308432</v>
      </c>
      <c r="AK197" s="22">
        <v>32336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3.544</v>
      </c>
      <c r="AU197" s="26">
        <v>1.4359999999999999</v>
      </c>
      <c r="AW197" s="27">
        <f t="shared" ref="AW197:AW260" si="43">(AK197/AJ197) - (Q197/P197)</f>
        <v>5.2033831411277265E-4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5.3799115809594067E-3</v>
      </c>
      <c r="BA197" s="28">
        <f>IF( OR(ISBLANK(Q197:Q202),ISBLANK(AK197:AK202), ISBLANK(U197:U202),ISBLANK(AO197:AO202)), "·", bdRateExtend( Q197:Q202,U197:U202, AK197:AK202,AO197:AO202))</f>
        <v>5.3398569442733024E-3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1.3194398027804866E-4</v>
      </c>
      <c r="BH197" s="28">
        <f>IF( OR(ISBLANK(P197:P202),ISBLANK(AJ197:AJ202), ISBLANK(U197:U202),ISBLANK(AO197:AO202)), "·", bdRateExtend( P197:P202,U197:U202, AJ197:AJ202,AO197:AO202))</f>
        <v>1.3694539716424536E-4</v>
      </c>
      <c r="BI197" s="28">
        <f>IF( OR(ISBLANK(P197:P202),ISBLANK(AJ197:AJ202), ISBLANK(V197:V202),ISBLANK(AP197:AP202)), "·", bdRateExtend( P197:P202,V197:V202, AJ197:AJ202,AP197:AP202))</f>
        <v>1.2638374340667724E-4</v>
      </c>
      <c r="BJ197" s="28">
        <f>IF( OR(ISBLANK(P197:P202),ISBLANK(AJ197:AJ202), ISBLANK(W197:W202),ISBLANK(AQ197:AQ202)), "·", bdRateExtend( P197:P202,W197:W202, AJ197:AJ202,AQ197:AQ202))</f>
        <v>1.1419164839066021E-4</v>
      </c>
      <c r="BK197" s="28">
        <f>IF( OR(ISBLANK(P197:P202),ISBLANK(AJ197:AJ202), ISBLANK(X197:X202),ISBLANK(AR197:AR202)), "·", bdRateExtend( P197:P202,X197:X202, AJ197:AJ202,AR197:AR202))</f>
        <v>1.1537921038495824E-4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0.52893654982251914</v>
      </c>
      <c r="AE198" s="34">
        <f t="shared" si="40"/>
        <v>7.9466496983761598E-2</v>
      </c>
      <c r="AF198" s="34">
        <f t="shared" si="41"/>
        <v>0.44947504351243611</v>
      </c>
      <c r="AG198" s="35"/>
      <c r="AH198" s="34">
        <f t="shared" si="42"/>
        <v>0.66465882028311574</v>
      </c>
      <c r="AI198" s="36">
        <v>1275662</v>
      </c>
      <c r="AJ198" s="37">
        <v>847880</v>
      </c>
      <c r="AK198" s="37">
        <v>127384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4.3419999999999996</v>
      </c>
      <c r="AU198" s="41">
        <v>1.7949999999999999</v>
      </c>
      <c r="AW198" s="42">
        <f t="shared" si="43"/>
        <v>7.6620593080192756E-4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1.4438318392504008</v>
      </c>
      <c r="AE199" s="19">
        <f t="shared" si="40"/>
        <v>0.33770890648101359</v>
      </c>
      <c r="AF199" s="19">
        <f t="shared" si="41"/>
        <v>1.1078347338411343</v>
      </c>
      <c r="AG199" s="20"/>
      <c r="AH199" s="19">
        <f t="shared" si="42"/>
        <v>1.4361430950649428</v>
      </c>
      <c r="AI199" s="21">
        <v>1611572</v>
      </c>
      <c r="AJ199" s="22">
        <v>2314448</v>
      </c>
      <c r="AK199" s="22">
        <v>541344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8.0289999999999999</v>
      </c>
      <c r="AU199" s="26">
        <v>3.1850000000000001</v>
      </c>
      <c r="AW199" s="27">
        <f t="shared" si="43"/>
        <v>1.475311253482714E-3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 t="str">
        <f t="shared" si="39"/>
        <v>·</v>
      </c>
      <c r="AE200" s="34">
        <f t="shared" si="40"/>
        <v>1.3473221916543459</v>
      </c>
      <c r="AF200" s="34" t="str">
        <f t="shared" si="41"/>
        <v>·</v>
      </c>
      <c r="AG200" s="35"/>
      <c r="AH200" s="34" t="str">
        <f t="shared" si="42"/>
        <v>·</v>
      </c>
      <c r="AI200" s="36"/>
      <c r="AJ200" s="37"/>
      <c r="AK200" s="37">
        <v>2159744</v>
      </c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 t="str">
        <f t="shared" si="39"/>
        <v>·</v>
      </c>
      <c r="AE201" s="19">
        <f t="shared" si="40"/>
        <v>0</v>
      </c>
      <c r="AF201" s="19" t="str">
        <f t="shared" si="41"/>
        <v>·</v>
      </c>
      <c r="AG201" s="20"/>
      <c r="AH201" s="19" t="str">
        <f t="shared" si="42"/>
        <v>·</v>
      </c>
      <c r="AI201" s="21"/>
      <c r="AJ201" s="22"/>
      <c r="AK201" s="22">
        <v>0</v>
      </c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 t="str">
        <f t="shared" si="39"/>
        <v>·</v>
      </c>
      <c r="AE202" s="49">
        <f t="shared" si="40"/>
        <v>0</v>
      </c>
      <c r="AF202" s="49" t="str">
        <f t="shared" si="41"/>
        <v>·</v>
      </c>
      <c r="AG202" s="50"/>
      <c r="AH202" s="49" t="str">
        <f t="shared" si="42"/>
        <v>·</v>
      </c>
      <c r="AI202" s="51"/>
      <c r="AJ202" s="52"/>
      <c r="AK202" s="52">
        <v>0</v>
      </c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9.2301365849856404E-2</v>
      </c>
      <c r="AE203" s="19">
        <f t="shared" si="40"/>
        <v>9.0280207294178468E-3</v>
      </c>
      <c r="AF203" s="19">
        <f t="shared" si="41"/>
        <v>8.3160461264935273E-2</v>
      </c>
      <c r="AG203" s="20"/>
      <c r="AH203" s="19">
        <f t="shared" si="42"/>
        <v>0.10903918387304692</v>
      </c>
      <c r="AI203" s="21">
        <v>7558824</v>
      </c>
      <c r="AJ203" s="22">
        <v>824208</v>
      </c>
      <c r="AK203" s="22">
        <v>80616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11.257</v>
      </c>
      <c r="AU203" s="26">
        <v>9.0239999999999991</v>
      </c>
      <c r="AW203" s="27">
        <f t="shared" si="43"/>
        <v>3.0232513355149537E-4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4.6502614734265091E-3</v>
      </c>
      <c r="BA203" s="28">
        <f>IF( OR(ISBLANK(Q203:Q208),ISBLANK(AK203:AK208), ISBLANK(U203:U208),ISBLANK(AO203:AO208)), "·", bdRateExtend( Q203:Q208,U203:U208, AK203:AK208,AO203:AO208))</f>
        <v>4.6157264048063418E-3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1.5655839878081501E-4</v>
      </c>
      <c r="BH203" s="28">
        <f>IF( OR(ISBLANK(P203:P208),ISBLANK(AJ203:AJ208), ISBLANK(U203:U208),ISBLANK(AO203:AO208)), "·", bdRateExtend( P203:P208,U203:U208, AJ203:AJ208,AO203:AO208))</f>
        <v>1.6250453830490841E-4</v>
      </c>
      <c r="BI203" s="28">
        <f>IF( OR(ISBLANK(P203:P208),ISBLANK(AJ203:AJ208), ISBLANK(V203:V208),ISBLANK(AP203:AP208)), "·", bdRateExtend( P203:P208,V203:V208, AJ203:AJ208,AP203:AP208))</f>
        <v>1.4866042078964803E-4</v>
      </c>
      <c r="BJ203" s="28">
        <f>IF( OR(ISBLANK(P203:P208),ISBLANK(AJ203:AJ208), ISBLANK(W203:W208),ISBLANK(AQ203:AQ208)), "·", bdRateExtend( P203:P208,W203:W208, AJ203:AJ208,AQ203:AQ208))</f>
        <v>1.4009295800643251E-4</v>
      </c>
      <c r="BK203" s="28">
        <f>IF( OR(ISBLANK(P203:P208),ISBLANK(AJ203:AJ208), ISBLANK(X203:X208),ISBLANK(AR203:AR208)), "·", bdRateExtend( P203:P208,X203:X208, AJ203:AJ208,AR203:AR208))</f>
        <v>1.3925244551327154E-4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0.28249991152951803</v>
      </c>
      <c r="AE204" s="34">
        <f t="shared" si="40"/>
        <v>3.272735905980291E-2</v>
      </c>
      <c r="AF204" s="34">
        <f t="shared" si="41"/>
        <v>0.24975015487933747</v>
      </c>
      <c r="AG204" s="35"/>
      <c r="AH204" s="34">
        <f t="shared" si="42"/>
        <v>0.35183973039947591</v>
      </c>
      <c r="AI204" s="36">
        <v>7169719</v>
      </c>
      <c r="AJ204" s="37">
        <v>2522592</v>
      </c>
      <c r="AK204" s="37">
        <v>292240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12.555</v>
      </c>
      <c r="AU204" s="41">
        <v>9.1950000000000003</v>
      </c>
      <c r="AW204" s="42">
        <f t="shared" si="43"/>
        <v>5.330423210580526E-4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0.83484599192880438</v>
      </c>
      <c r="AE205" s="19">
        <f t="shared" si="40"/>
        <v>0.1477327143236622</v>
      </c>
      <c r="AF205" s="19">
        <f t="shared" si="41"/>
        <v>0.68760871230429543</v>
      </c>
      <c r="AG205" s="20"/>
      <c r="AH205" s="19">
        <f t="shared" si="42"/>
        <v>1.0730356114205963</v>
      </c>
      <c r="AI205" s="21">
        <v>6947378</v>
      </c>
      <c r="AJ205" s="22">
        <v>7454784</v>
      </c>
      <c r="AK205" s="22">
        <v>1319184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18.663</v>
      </c>
      <c r="AU205" s="26">
        <v>11.275</v>
      </c>
      <c r="AW205" s="27">
        <f t="shared" si="43"/>
        <v>8.1706490616545446E-4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2.177809094586368</v>
      </c>
      <c r="AE206" s="34">
        <f t="shared" si="40"/>
        <v>0.60450917248518732</v>
      </c>
      <c r="AF206" s="34">
        <f t="shared" si="41"/>
        <v>1.5771281182485264</v>
      </c>
      <c r="AG206" s="35"/>
      <c r="AH206" s="34">
        <f t="shared" si="42"/>
        <v>2.4161122054764652</v>
      </c>
      <c r="AI206" s="36">
        <v>8048805</v>
      </c>
      <c r="AJ206" s="37">
        <v>19446816</v>
      </c>
      <c r="AK206" s="37">
        <v>5397984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37.929000000000002</v>
      </c>
      <c r="AU206" s="41">
        <v>19.29</v>
      </c>
      <c r="AW206" s="42">
        <f t="shared" si="43"/>
        <v>1.8884145795833862E-3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 t="str">
        <f t="shared" si="39"/>
        <v>·</v>
      </c>
      <c r="AE207" s="19">
        <f t="shared" si="40"/>
        <v>0</v>
      </c>
      <c r="AF207" s="19" t="str">
        <f t="shared" si="41"/>
        <v>·</v>
      </c>
      <c r="AG207" s="20"/>
      <c r="AH207" s="19" t="str">
        <f t="shared" si="42"/>
        <v>·</v>
      </c>
      <c r="AI207" s="21"/>
      <c r="AJ207" s="22"/>
      <c r="AK207" s="22">
        <v>0</v>
      </c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 t="str">
        <f t="shared" si="39"/>
        <v>·</v>
      </c>
      <c r="AE208" s="49">
        <f t="shared" si="40"/>
        <v>0</v>
      </c>
      <c r="AF208" s="49" t="str">
        <f t="shared" si="41"/>
        <v>·</v>
      </c>
      <c r="AG208" s="50"/>
      <c r="AH208" s="49" t="str">
        <f t="shared" si="42"/>
        <v>·</v>
      </c>
      <c r="AI208" s="51"/>
      <c r="AJ208" s="52"/>
      <c r="AK208" s="52">
        <v>0</v>
      </c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2.3435186124983635E-2</v>
      </c>
      <c r="AE209" s="19">
        <f t="shared" si="40"/>
        <v>5.0224632682664225E-3</v>
      </c>
      <c r="AF209" s="19">
        <f t="shared" si="41"/>
        <v>1.8314521668148055E-2</v>
      </c>
      <c r="AG209" s="20"/>
      <c r="AH209" s="19">
        <f t="shared" si="42"/>
        <v>4.4131080051675514E-2</v>
      </c>
      <c r="AI209" s="21">
        <v>10469175</v>
      </c>
      <c r="AJ209" s="22">
        <v>462016</v>
      </c>
      <c r="AK209" s="22">
        <v>99016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</v>
      </c>
      <c r="AU209" s="26">
        <v>10.738</v>
      </c>
      <c r="AW209" s="27">
        <f t="shared" si="43"/>
        <v>-2.353376266839291E-5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2.6344142638179413E-3</v>
      </c>
      <c r="BA209" s="28">
        <f>IF( OR(ISBLANK(Q209:Q214),ISBLANK(AK209:AK214), ISBLANK(U209:U214),ISBLANK(AO209:AO214)), "·", bdRateExtend( Q209:Q214,U209:U214, AK209:AK214,AO209:AO214))</f>
        <v>2.7330028013756724E-3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4.169645119631582E-4</v>
      </c>
      <c r="BH209" s="28">
        <f>IF( OR(ISBLANK(P209:P214),ISBLANK(AJ209:AJ214), ISBLANK(U209:U214),ISBLANK(AO209:AO214)), "·", bdRateExtend( P209:P214,U209:U214, AJ209:AJ214,AO209:AO214))</f>
        <v>4.0924269279596359E-4</v>
      </c>
      <c r="BI209" s="28">
        <f>IF( OR(ISBLANK(P209:P214),ISBLANK(AJ209:AJ214), ISBLANK(V209:V214),ISBLANK(AP209:AP214)), "·", bdRateExtend( P209:P214,V209:V214, AJ209:AJ214,AP209:AP214))</f>
        <v>3.4655292757035383E-4</v>
      </c>
      <c r="BJ209" s="28">
        <f>IF( OR(ISBLANK(P209:P214),ISBLANK(AJ209:AJ214), ISBLANK(W209:W214),ISBLANK(AQ209:AQ214)), "·", bdRateExtend( P209:P214,W209:W214, AJ209:AJ214,AQ209:AQ214))</f>
        <v>3.4566284522985491E-4</v>
      </c>
      <c r="BK209" s="28">
        <f>IF( OR(ISBLANK(P209:P214),ISBLANK(AJ209:AJ214), ISBLANK(X209:X214),ISBLANK(AR209:AR214)), "·", bdRateExtend( P209:P214,X209:X214, AJ209:AJ214,AR209:AR214))</f>
        <v>3.530745035202898E-4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8.2828238867695664E-2</v>
      </c>
      <c r="AE210" s="34">
        <f t="shared" si="40"/>
        <v>1.7080108380431606E-2</v>
      </c>
      <c r="AF210" s="34">
        <f t="shared" si="41"/>
        <v>6.5668595640323735E-2</v>
      </c>
      <c r="AG210" s="35"/>
      <c r="AH210" s="34">
        <f t="shared" si="42"/>
        <v>0.14762619183120149</v>
      </c>
      <c r="AI210" s="36">
        <v>11061235</v>
      </c>
      <c r="AJ210" s="37">
        <v>1632928</v>
      </c>
      <c r="AK210" s="37">
        <v>336728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18.298999999999999</v>
      </c>
      <c r="AU210" s="41">
        <v>13.202</v>
      </c>
      <c r="AW210" s="42">
        <f t="shared" si="43"/>
        <v>3.837424701786385E-4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0.2963119417565504</v>
      </c>
      <c r="AE211" s="19">
        <f t="shared" si="40"/>
        <v>6.6235484319791163E-2</v>
      </c>
      <c r="AF211" s="19">
        <f t="shared" si="41"/>
        <v>0.23025338189219793</v>
      </c>
      <c r="AG211" s="20"/>
      <c r="AH211" s="19">
        <f t="shared" si="42"/>
        <v>0.50845250678554066</v>
      </c>
      <c r="AI211" s="21">
        <v>11489136</v>
      </c>
      <c r="AJ211" s="22">
        <v>5841680</v>
      </c>
      <c r="AK211" s="22">
        <v>1305808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25.192</v>
      </c>
      <c r="AU211" s="26">
        <v>17.672999999999998</v>
      </c>
      <c r="AW211" s="27">
        <f t="shared" si="43"/>
        <v>1.0997774583742792E-3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0.89075660515853483</v>
      </c>
      <c r="AE212" s="34">
        <f t="shared" si="40"/>
        <v>0.23863010559316131</v>
      </c>
      <c r="AF212" s="34">
        <f t="shared" si="41"/>
        <v>0.65291413802410381</v>
      </c>
      <c r="AG212" s="35"/>
      <c r="AH212" s="34">
        <f t="shared" si="42"/>
        <v>1.4665733877718183</v>
      </c>
      <c r="AI212" s="36">
        <v>11974127</v>
      </c>
      <c r="AJ212" s="37">
        <v>17560936</v>
      </c>
      <c r="AK212" s="37">
        <v>4704504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45.094000000000001</v>
      </c>
      <c r="AU212" s="41">
        <v>29.097000000000001</v>
      </c>
      <c r="AW212" s="42">
        <f t="shared" si="43"/>
        <v>1.0922509816201909E-3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 t="str">
        <f t="shared" si="39"/>
        <v>·</v>
      </c>
      <c r="AE213" s="19">
        <f t="shared" si="40"/>
        <v>0</v>
      </c>
      <c r="AF213" s="19" t="str">
        <f t="shared" si="41"/>
        <v>·</v>
      </c>
      <c r="AG213" s="20"/>
      <c r="AH213" s="19" t="str">
        <f t="shared" si="42"/>
        <v>·</v>
      </c>
      <c r="AI213" s="21"/>
      <c r="AJ213" s="22"/>
      <c r="AK213" s="22">
        <v>0</v>
      </c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 t="str">
        <f t="shared" si="39"/>
        <v>·</v>
      </c>
      <c r="AE214" s="49">
        <f t="shared" si="40"/>
        <v>0</v>
      </c>
      <c r="AF214" s="49" t="str">
        <f t="shared" si="41"/>
        <v>·</v>
      </c>
      <c r="AG214" s="50"/>
      <c r="AH214" s="49" t="str">
        <f t="shared" si="42"/>
        <v>·</v>
      </c>
      <c r="AI214" s="51"/>
      <c r="AJ214" s="52"/>
      <c r="AK214" s="52">
        <v>0</v>
      </c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4.9863023206047415E-2</v>
      </c>
      <c r="AE215" s="19">
        <f t="shared" si="40"/>
        <v>1.5037564994091009E-2</v>
      </c>
      <c r="AF215" s="19">
        <f t="shared" si="41"/>
        <v>3.4576484608391238E-2</v>
      </c>
      <c r="AG215" s="20"/>
      <c r="AH215" s="19">
        <f t="shared" si="42"/>
        <v>6.1041112258559592E-2</v>
      </c>
      <c r="AI215" s="21">
        <v>2966001</v>
      </c>
      <c r="AJ215" s="22">
        <v>181048</v>
      </c>
      <c r="AK215" s="22">
        <v>54600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6.1829999999999998</v>
      </c>
      <c r="AU215" s="26">
        <v>3.6669999999999998</v>
      </c>
      <c r="AW215" s="27">
        <f t="shared" si="43"/>
        <v>-2.3507304616982028E-4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1.6522806803223045E-3</v>
      </c>
      <c r="BA215" s="28">
        <f>IF( OR(ISBLANK(Q215:Q220),ISBLANK(AK215:AK220), ISBLANK(U215:U220),ISBLANK(AO215:AO220)), "·", bdRateExtend( Q215:Q220,U215:U220, AK215:AK220,AO215:AO220))</f>
        <v>1.1645891619087578E-3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3.3614963624239991E-4</v>
      </c>
      <c r="BH215" s="28">
        <f>IF( OR(ISBLANK(P215:P220),ISBLANK(AJ215:AJ220), ISBLANK(U215:U220),ISBLANK(AO215:AO220)), "·", bdRateExtend( P215:P220,U215:U220, AJ215:AJ220,AO215:AO220))</f>
        <v>3.7417731902622542E-4</v>
      </c>
      <c r="BI215" s="28">
        <f>IF( OR(ISBLANK(P215:P220),ISBLANK(AJ215:AJ220), ISBLANK(V215:V220),ISBLANK(AP215:AP220)), "·", bdRateExtend( P215:P220,V215:V220, AJ215:AJ220,AP215:AP220))</f>
        <v>3.0806746036438071E-4</v>
      </c>
      <c r="BJ215" s="28">
        <f>IF( OR(ISBLANK(P215:P220),ISBLANK(AJ215:AJ220), ISBLANK(W215:W220),ISBLANK(AQ215:AQ220)), "·", bdRateExtend( P215:P220,W215:W220, AJ215:AJ220,AQ215:AQ220))</f>
        <v>3.1524010601136077E-4</v>
      </c>
      <c r="BK215" s="28">
        <f>IF( OR(ISBLANK(P215:P220),ISBLANK(AJ215:AJ220), ISBLANK(X215:X220),ISBLANK(AR215:AR220)), "·", bdRateExtend( P215:P220,X215:X220, AJ215:AJ220,AR215:AR220))</f>
        <v>3.0712138053523574E-4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0.15956784351678521</v>
      </c>
      <c r="AE216" s="34">
        <f t="shared" si="40"/>
        <v>4.8924414753668988E-2</v>
      </c>
      <c r="AF216" s="34">
        <f t="shared" si="41"/>
        <v>0.11046716426501697</v>
      </c>
      <c r="AG216" s="35"/>
      <c r="AH216" s="34">
        <f t="shared" si="42"/>
        <v>0.18631921656502404</v>
      </c>
      <c r="AI216" s="36">
        <v>3109588</v>
      </c>
      <c r="AJ216" s="37">
        <v>579376</v>
      </c>
      <c r="AK216" s="37">
        <v>177640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7.59</v>
      </c>
      <c r="AU216" s="41">
        <v>4.3079999999999998</v>
      </c>
      <c r="AW216" s="42">
        <f t="shared" si="43"/>
        <v>4.8694301096807724E-4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0.60862588879307566</v>
      </c>
      <c r="AE217" s="19">
        <f t="shared" si="40"/>
        <v>0.19834162648616446</v>
      </c>
      <c r="AF217" s="19">
        <f t="shared" si="41"/>
        <v>0.4107579731455529</v>
      </c>
      <c r="AG217" s="20"/>
      <c r="AH217" s="19">
        <f t="shared" si="42"/>
        <v>0.51321922753662597</v>
      </c>
      <c r="AI217" s="21">
        <v>4305887</v>
      </c>
      <c r="AJ217" s="22">
        <v>2209864</v>
      </c>
      <c r="AK217" s="22">
        <v>720160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12.355</v>
      </c>
      <c r="AU217" s="26">
        <v>7.3079999999999998</v>
      </c>
      <c r="AW217" s="27">
        <f t="shared" si="43"/>
        <v>1.2919356953323136E-3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 t="str">
        <f t="shared" si="39"/>
        <v>·</v>
      </c>
      <c r="AE218" s="34">
        <f t="shared" si="40"/>
        <v>0.43950671278553816</v>
      </c>
      <c r="AF218" s="34" t="str">
        <f t="shared" si="41"/>
        <v>·</v>
      </c>
      <c r="AG218" s="35"/>
      <c r="AH218" s="34" t="str">
        <f t="shared" si="42"/>
        <v>·</v>
      </c>
      <c r="AI218" s="36"/>
      <c r="AJ218" s="37"/>
      <c r="AK218" s="37">
        <v>1595808</v>
      </c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 t="str">
        <f t="shared" si="39"/>
        <v>·</v>
      </c>
      <c r="AE219" s="19">
        <f t="shared" si="40"/>
        <v>0</v>
      </c>
      <c r="AF219" s="19" t="str">
        <f t="shared" si="41"/>
        <v>·</v>
      </c>
      <c r="AG219" s="20"/>
      <c r="AH219" s="19" t="str">
        <f t="shared" si="42"/>
        <v>·</v>
      </c>
      <c r="AI219" s="21"/>
      <c r="AJ219" s="22"/>
      <c r="AK219" s="22">
        <v>0</v>
      </c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 t="str">
        <f t="shared" si="39"/>
        <v>·</v>
      </c>
      <c r="AE220" s="49">
        <f t="shared" si="40"/>
        <v>0</v>
      </c>
      <c r="AF220" s="49" t="str">
        <f t="shared" si="41"/>
        <v>·</v>
      </c>
      <c r="AG220" s="50"/>
      <c r="AH220" s="49" t="str">
        <f t="shared" si="42"/>
        <v>·</v>
      </c>
      <c r="AI220" s="51"/>
      <c r="AJ220" s="52"/>
      <c r="AK220" s="52">
        <v>0</v>
      </c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8.6427573821758322E-2</v>
      </c>
      <c r="AE221" s="19">
        <f t="shared" si="40"/>
        <v>2.6543827481377232E-2</v>
      </c>
      <c r="AF221" s="19">
        <f t="shared" si="41"/>
        <v>5.9955043983872761E-2</v>
      </c>
      <c r="AG221" s="20"/>
      <c r="AH221" s="19">
        <f t="shared" si="42"/>
        <v>0.10580222115119249</v>
      </c>
      <c r="AI221" s="21">
        <v>11457302</v>
      </c>
      <c r="AJ221" s="22">
        <v>1212208</v>
      </c>
      <c r="AK221" s="22">
        <v>372296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37.122999999999998</v>
      </c>
      <c r="AU221" s="26">
        <v>13.422000000000001</v>
      </c>
      <c r="AW221" s="27">
        <f t="shared" si="43"/>
        <v>2.4815952623810089E-3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7.7810805385334358E-3</v>
      </c>
      <c r="BA221" s="28">
        <f>IF( OR(ISBLANK(Q221:Q226),ISBLANK(AK221:AK226), ISBLANK(U221:U226),ISBLANK(AO221:AO226)), "·", bdRateExtend( Q221:Q226,U221:U226, AK221:AK226,AO221:AO226))</f>
        <v>7.8374617194443275E-3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2.7668154394522304E-4</v>
      </c>
      <c r="BH221" s="28">
        <f>IF( OR(ISBLANK(P221:P226),ISBLANK(AJ221:AJ226), ISBLANK(U221:U226),ISBLANK(AO221:AO226)), "·", bdRateExtend( P221:P226,U221:U226, AJ221:AJ226,AO221:AO226))</f>
        <v>2.8090471466213351E-4</v>
      </c>
      <c r="BI221" s="28">
        <f>IF( OR(ISBLANK(P221:P226),ISBLANK(AJ221:AJ226), ISBLANK(V221:V226),ISBLANK(AP221:AP226)), "·", bdRateExtend( P221:P226,V221:V226, AJ221:AJ226,AP221:AP226))</f>
        <v>2.513658903697813E-4</v>
      </c>
      <c r="BJ221" s="28">
        <f>IF( OR(ISBLANK(P221:P226),ISBLANK(AJ221:AJ226), ISBLANK(W221:W226),ISBLANK(AQ221:AQ226)), "·", bdRateExtend( P221:P226,W221:W226, AJ221:AJ226,AQ221:AQ226))</f>
        <v>2.4432950970609824E-4</v>
      </c>
      <c r="BK221" s="28">
        <f>IF( OR(ISBLANK(P221:P226),ISBLANK(AJ221:AJ226), ISBLANK(X221:X226),ISBLANK(AR221:AR226)), "·", bdRateExtend( P221:P226,X221:X226, AJ221:AJ226,AR221:AR226))</f>
        <v>2.4726580484135674E-4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0.32317852880021963</v>
      </c>
      <c r="AE222" s="34">
        <f t="shared" si="40"/>
        <v>9.2917370522944687E-2</v>
      </c>
      <c r="AF222" s="34">
        <f t="shared" si="41"/>
        <v>0.23076822711778777</v>
      </c>
      <c r="AG222" s="35"/>
      <c r="AH222" s="34">
        <f t="shared" si="42"/>
        <v>0.3568109900865632</v>
      </c>
      <c r="AI222" s="36">
        <v>12703667</v>
      </c>
      <c r="AJ222" s="37">
        <v>4532808</v>
      </c>
      <c r="AK222" s="37">
        <v>1303232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45.783999999999999</v>
      </c>
      <c r="AU222" s="41">
        <v>17.425000000000001</v>
      </c>
      <c r="AW222" s="42">
        <f t="shared" si="43"/>
        <v>2.1136834831192997E-3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1.0906982313692664</v>
      </c>
      <c r="AE223" s="19">
        <f t="shared" si="40"/>
        <v>0.37171340144016962</v>
      </c>
      <c r="AF223" s="19">
        <f t="shared" si="41"/>
        <v>0.72082088684429424</v>
      </c>
      <c r="AG223" s="20"/>
      <c r="AH223" s="19">
        <f t="shared" si="42"/>
        <v>1.0510314254481141</v>
      </c>
      <c r="AI223" s="21">
        <v>14555051</v>
      </c>
      <c r="AJ223" s="22">
        <v>15297816</v>
      </c>
      <c r="AK223" s="22">
        <v>5213544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87.641999999999996</v>
      </c>
      <c r="AU223" s="26">
        <v>27.219000000000001</v>
      </c>
      <c r="AW223" s="27">
        <f t="shared" si="43"/>
        <v>1.8864960861948443E-3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 t="str">
        <f t="shared" si="39"/>
        <v>·</v>
      </c>
      <c r="AE224" s="34">
        <f t="shared" si="40"/>
        <v>0.14697809572407355</v>
      </c>
      <c r="AF224" s="34" t="str">
        <f t="shared" si="41"/>
        <v>·</v>
      </c>
      <c r="AG224" s="35"/>
      <c r="AH224" s="34" t="str">
        <f t="shared" si="42"/>
        <v>·</v>
      </c>
      <c r="AI224" s="36"/>
      <c r="AJ224" s="37"/>
      <c r="AK224" s="37">
        <v>2061472</v>
      </c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 t="str">
        <f t="shared" si="39"/>
        <v>·</v>
      </c>
      <c r="AE225" s="19">
        <f t="shared" si="40"/>
        <v>0</v>
      </c>
      <c r="AF225" s="19" t="str">
        <f t="shared" si="41"/>
        <v>·</v>
      </c>
      <c r="AG225" s="20"/>
      <c r="AH225" s="19" t="str">
        <f t="shared" si="42"/>
        <v>·</v>
      </c>
      <c r="AI225" s="21"/>
      <c r="AJ225" s="22"/>
      <c r="AK225" s="22">
        <v>0</v>
      </c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 t="str">
        <f t="shared" si="39"/>
        <v>·</v>
      </c>
      <c r="AE226" s="49">
        <f t="shared" si="40"/>
        <v>0</v>
      </c>
      <c r="AF226" s="49" t="str">
        <f t="shared" si="41"/>
        <v>·</v>
      </c>
      <c r="AG226" s="50"/>
      <c r="AH226" s="49" t="str">
        <f t="shared" si="42"/>
        <v>·</v>
      </c>
      <c r="AI226" s="51"/>
      <c r="AJ226" s="52"/>
      <c r="AK226" s="52">
        <v>0</v>
      </c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5.3626848776773484E-2</v>
      </c>
      <c r="AE227" s="19">
        <f t="shared" si="40"/>
        <v>9.1148366641825348E-3</v>
      </c>
      <c r="AF227" s="19">
        <f t="shared" si="41"/>
        <v>4.4305656561576638E-2</v>
      </c>
      <c r="AG227" s="20"/>
      <c r="AH227" s="19">
        <f t="shared" si="42"/>
        <v>9.1577769499185779E-2</v>
      </c>
      <c r="AI227" s="21">
        <v>2928571</v>
      </c>
      <c r="AJ227" s="22">
        <v>268192</v>
      </c>
      <c r="AK227" s="22">
        <v>45584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5.7140000000000004</v>
      </c>
      <c r="AU227" s="26">
        <v>3.0739999999999998</v>
      </c>
      <c r="AW227" s="27">
        <f t="shared" si="43"/>
        <v>-3.7008583110909044E-4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2.8736111511129536E-4</v>
      </c>
      <c r="BA227" s="28">
        <f>IF( OR(ISBLANK(Q227:Q232),ISBLANK(AK227:AK232), ISBLANK(U227:U232),ISBLANK(AO227:AO232)), "·", bdRateExtend( Q227:Q232,U227:U232, AK227:AK232,AO227:AO232))</f>
        <v>4.9671477533141939E-4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4.3587180963533534E-4</v>
      </c>
      <c r="BH227" s="28">
        <f>IF( OR(ISBLANK(P227:P232),ISBLANK(AJ227:AJ232), ISBLANK(U227:U232),ISBLANK(AO227:AO232)), "·", bdRateExtend( P227:P232,U227:U232, AJ227:AJ232,AO227:AO232))</f>
        <v>4.2419208598154512E-4</v>
      </c>
      <c r="BI227" s="28">
        <f>IF( OR(ISBLANK(P227:P232),ISBLANK(AJ227:AJ232), ISBLANK(V227:V232),ISBLANK(AP227:AP232)), "·", bdRateExtend( P227:P232,V227:V232, AJ227:AJ232,AP227:AP232))</f>
        <v>3.9690888500376609E-4</v>
      </c>
      <c r="BJ227" s="28">
        <f>IF( OR(ISBLANK(P227:P232),ISBLANK(AJ227:AJ232), ISBLANK(W227:W232),ISBLANK(AQ227:AQ232)), "·", bdRateExtend( P227:P232,W227:W232, AJ227:AJ232,AQ227:AQ232))</f>
        <v>3.8412689898992269E-4</v>
      </c>
      <c r="BK227" s="28">
        <f>IF( OR(ISBLANK(P227:P232),ISBLANK(AJ227:AJ232), ISBLANK(X227:X232),ISBLANK(AR227:AR232)), "·", bdRateExtend( P227:P232,X227:X232, AJ227:AJ232,AR227:AR232))</f>
        <v>3.8024192397356771E-4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0.18203279013700449</v>
      </c>
      <c r="AE228" s="34">
        <f t="shared" si="40"/>
        <v>3.3154458529632717E-2</v>
      </c>
      <c r="AF228" s="34">
        <f t="shared" si="41"/>
        <v>0.14868477329983121</v>
      </c>
      <c r="AG228" s="35"/>
      <c r="AH228" s="34">
        <f t="shared" si="42"/>
        <v>0.26889273000731334</v>
      </c>
      <c r="AI228" s="36">
        <v>3385588</v>
      </c>
      <c r="AJ228" s="37">
        <v>910360</v>
      </c>
      <c r="AK228" s="37">
        <v>165808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7.6829999999999998</v>
      </c>
      <c r="AU228" s="41">
        <v>4.1980000000000004</v>
      </c>
      <c r="AW228" s="42">
        <f t="shared" si="43"/>
        <v>1.2455354430848664E-4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0.59602041720213461</v>
      </c>
      <c r="AE229" s="19">
        <f t="shared" si="40"/>
        <v>0.15236238114310177</v>
      </c>
      <c r="AF229" s="19">
        <f t="shared" si="41"/>
        <v>0.44388038816438941</v>
      </c>
      <c r="AG229" s="20"/>
      <c r="AH229" s="19">
        <f t="shared" si="42"/>
        <v>0.79111896016648631</v>
      </c>
      <c r="AI229" s="21">
        <v>3767757</v>
      </c>
      <c r="AJ229" s="22">
        <v>2980744</v>
      </c>
      <c r="AK229" s="22">
        <v>761976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12.683</v>
      </c>
      <c r="AU229" s="26">
        <v>5.9169999999999998</v>
      </c>
      <c r="AW229" s="27">
        <f t="shared" si="43"/>
        <v>7.8144356850157193E-4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 t="str">
        <f t="shared" si="39"/>
        <v>·</v>
      </c>
      <c r="AE230" s="34">
        <f t="shared" si="40"/>
        <v>0.26853415774242229</v>
      </c>
      <c r="AF230" s="34" t="str">
        <f t="shared" si="41"/>
        <v>·</v>
      </c>
      <c r="AG230" s="35"/>
      <c r="AH230" s="34" t="str">
        <f t="shared" si="42"/>
        <v>·</v>
      </c>
      <c r="AI230" s="36"/>
      <c r="AJ230" s="37"/>
      <c r="AK230" s="37">
        <v>1342960</v>
      </c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 t="str">
        <f t="shared" si="39"/>
        <v>·</v>
      </c>
      <c r="AE231" s="19">
        <f t="shared" si="40"/>
        <v>0</v>
      </c>
      <c r="AF231" s="19" t="str">
        <f t="shared" si="41"/>
        <v>·</v>
      </c>
      <c r="AG231" s="20"/>
      <c r="AH231" s="19" t="str">
        <f t="shared" si="42"/>
        <v>·</v>
      </c>
      <c r="AI231" s="21"/>
      <c r="AJ231" s="22"/>
      <c r="AK231" s="22">
        <v>0</v>
      </c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 t="str">
        <f t="shared" si="39"/>
        <v>·</v>
      </c>
      <c r="AE232" s="49">
        <f t="shared" si="40"/>
        <v>0</v>
      </c>
      <c r="AF232" s="49" t="str">
        <f t="shared" si="41"/>
        <v>·</v>
      </c>
      <c r="AG232" s="50"/>
      <c r="AH232" s="49" t="str">
        <f t="shared" si="42"/>
        <v>·</v>
      </c>
      <c r="AI232" s="51"/>
      <c r="AJ232" s="52"/>
      <c r="AK232" s="52">
        <v>0</v>
      </c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2.1341857139378063E-2</v>
      </c>
      <c r="AE233" s="19">
        <f t="shared" si="40"/>
        <v>1.1047666987744455E-3</v>
      </c>
      <c r="AF233" s="19">
        <f t="shared" si="41"/>
        <v>2.0195175172899441E-2</v>
      </c>
      <c r="AG233" s="20"/>
      <c r="AH233" s="19">
        <f t="shared" si="42"/>
        <v>0.1216406364984637</v>
      </c>
      <c r="AI233" s="21">
        <v>12657941</v>
      </c>
      <c r="AJ233" s="22">
        <v>1539720</v>
      </c>
      <c r="AK233" s="22">
        <v>79704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15.571</v>
      </c>
      <c r="AU233" s="26">
        <v>12.323</v>
      </c>
      <c r="AW233" s="27">
        <f t="shared" si="43"/>
        <v>-8.0589138434700169E-5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-1.1253348440761757E-3</v>
      </c>
      <c r="BA233" s="28">
        <f>IF( OR(ISBLANK(Q233:Q238),ISBLANK(AK233:AK238), ISBLANK(U233:U238),ISBLANK(AO233:AO238)), "·", bdRateExtend( Q233:Q238,U233:U238, AK233:AK238,AO233:AO238))</f>
        <v>-1.1106349207978816E-3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2.5088985404941866E-4</v>
      </c>
      <c r="BH233" s="28">
        <f>IF( OR(ISBLANK(P233:P238),ISBLANK(AJ233:AJ238), ISBLANK(U233:U238),ISBLANK(AO233:AO238)), "·", bdRateExtend( P233:P238,U233:U238, AJ233:AJ238,AO233:AO238))</f>
        <v>2.6326156332689976E-4</v>
      </c>
      <c r="BI233" s="28">
        <f>IF( OR(ISBLANK(P233:P238),ISBLANK(AJ233:AJ238), ISBLANK(V233:V238),ISBLANK(AP233:AP238)), "·", bdRateExtend( P233:P238,V233:V238, AJ233:AJ238,AP233:AP238))</f>
        <v>2.4568652061351948E-4</v>
      </c>
      <c r="BJ233" s="28">
        <f>IF( OR(ISBLANK(P233:P238),ISBLANK(AJ233:AJ238), ISBLANK(W233:W238),ISBLANK(AQ233:AQ238)), "·", bdRateExtend( P233:P238,W233:W238, AJ233:AJ238,AQ233:AQ238))</f>
        <v>2.1230014767303906E-4</v>
      </c>
      <c r="BK233" s="28">
        <f>IF( OR(ISBLANK(P233:P238),ISBLANK(AJ233:AJ238), ISBLANK(X233:X238),ISBLANK(AR233:AR238)), "·", bdRateExtend( P233:P238,X233:X238, AJ233:AJ238,AR233:AR238))</f>
        <v>2.1762577378381387E-4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7.5644306206610196E-2</v>
      </c>
      <c r="AE234" s="34">
        <f t="shared" si="40"/>
        <v>3.4522434641116946E-3</v>
      </c>
      <c r="AF234" s="34">
        <f t="shared" si="41"/>
        <v>7.2129966049603422E-2</v>
      </c>
      <c r="AG234" s="35"/>
      <c r="AH234" s="34">
        <f t="shared" si="42"/>
        <v>0.42484764758150412</v>
      </c>
      <c r="AI234" s="36">
        <v>12845546</v>
      </c>
      <c r="AJ234" s="37">
        <v>5457400</v>
      </c>
      <c r="AK234" s="37">
        <v>249064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17.763999999999999</v>
      </c>
      <c r="AU234" s="41">
        <v>13.603999999999999</v>
      </c>
      <c r="AW234" s="42">
        <f t="shared" si="43"/>
        <v>-1.5027902211286331E-4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0.23630419667331107</v>
      </c>
      <c r="AE235" s="19">
        <f t="shared" si="40"/>
        <v>1.5179869239057285E-2</v>
      </c>
      <c r="AF235" s="19">
        <f t="shared" si="41"/>
        <v>0.22106744242808382</v>
      </c>
      <c r="AG235" s="20"/>
      <c r="AH235" s="19">
        <f t="shared" si="42"/>
        <v>1.1897305315507598</v>
      </c>
      <c r="AI235" s="21">
        <v>14329544</v>
      </c>
      <c r="AJ235" s="22">
        <v>17048296</v>
      </c>
      <c r="AK235" s="22">
        <v>1095160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23.242999999999999</v>
      </c>
      <c r="AU235" s="26">
        <v>19.154</v>
      </c>
      <c r="AW235" s="27">
        <f t="shared" si="43"/>
        <v>3.0305310246753203E-5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0.54308669825216804</v>
      </c>
      <c r="AE236" s="34">
        <f t="shared" si="40"/>
        <v>6.0311634748250374E-2</v>
      </c>
      <c r="AF236" s="34">
        <f t="shared" si="41"/>
        <v>0.48306425667368613</v>
      </c>
      <c r="AG236" s="35"/>
      <c r="AH236" s="34">
        <f t="shared" si="42"/>
        <v>2.5789895221956947</v>
      </c>
      <c r="AI236" s="36">
        <v>15192496</v>
      </c>
      <c r="AJ236" s="37">
        <v>39181288</v>
      </c>
      <c r="AK236" s="37">
        <v>4351216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38.393000000000001</v>
      </c>
      <c r="AU236" s="41">
        <v>31.917999999999999</v>
      </c>
      <c r="AW236" s="42">
        <f t="shared" si="43"/>
        <v>6.5533468640585624E-4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 t="str">
        <f t="shared" si="39"/>
        <v>·</v>
      </c>
      <c r="AE237" s="19">
        <f t="shared" si="40"/>
        <v>0</v>
      </c>
      <c r="AF237" s="19" t="str">
        <f t="shared" si="41"/>
        <v>·</v>
      </c>
      <c r="AG237" s="20"/>
      <c r="AH237" s="19" t="str">
        <f t="shared" si="42"/>
        <v>·</v>
      </c>
      <c r="AI237" s="21"/>
      <c r="AJ237" s="22"/>
      <c r="AK237" s="22">
        <v>0</v>
      </c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 t="str">
        <f t="shared" si="39"/>
        <v>·</v>
      </c>
      <c r="AE238" s="49">
        <f t="shared" si="40"/>
        <v>0</v>
      </c>
      <c r="AF238" s="49" t="str">
        <f t="shared" si="41"/>
        <v>·</v>
      </c>
      <c r="AG238" s="50"/>
      <c r="AH238" s="49" t="str">
        <f t="shared" si="42"/>
        <v>·</v>
      </c>
      <c r="AI238" s="51"/>
      <c r="AJ238" s="52"/>
      <c r="AK238" s="52">
        <v>0</v>
      </c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7.2503034042648343E-4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3048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0.51500000000000001</v>
      </c>
      <c r="AU239" s="26">
        <v>0.45200000000000001</v>
      </c>
      <c r="AW239" s="27">
        <f t="shared" si="43"/>
        <v>-1.13458385018049E-4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-3.619962514030961E-3</v>
      </c>
      <c r="BA239" s="28">
        <f>IF( OR(ISBLANK(Q239:Q244),ISBLANK(AK239:AK244), ISBLANK(U239:U244),ISBLANK(AO239:AO244)), "·", bdRateExtend( Q239:Q244,U239:U244, AK239:AK244,AO239:AO244))</f>
        <v>-3.2045621264891189E-3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4.0307183301280247E-5</v>
      </c>
      <c r="BH239" s="28">
        <f>IF( OR(ISBLANK(P239:P244),ISBLANK(AJ239:AJ244), ISBLANK(U239:U244),ISBLANK(AO239:AO244)), "·", bdRateExtend( P239:P244,U239:U244, AJ239:AJ244,AO239:AO244))</f>
        <v>4.1345360760836058E-5</v>
      </c>
      <c r="BI239" s="28">
        <f>IF( OR(ISBLANK(P239:P244),ISBLANK(AJ239:AJ244), ISBLANK(V239:V244),ISBLANK(AP239:AP244)), "·", bdRateExtend( P239:P244,V239:V244, AJ239:AJ244,AP239:AP244))</f>
        <v>4.2229690057293823E-5</v>
      </c>
      <c r="BJ239" s="28">
        <f>IF( OR(ISBLANK(P239:P244),ISBLANK(AJ239:AJ244), ISBLANK(W239:W244),ISBLANK(AQ239:AQ244)), "·", bdRateExtend( P239:P244,W239:W244, AJ239:AJ244,AQ239:AQ244))</f>
        <v>4.3324581130654849E-5</v>
      </c>
      <c r="BK239" s="28">
        <f>IF( OR(ISBLANK(P239:P244),ISBLANK(AJ239:AJ244), ISBLANK(X239:X244),ISBLANK(AR239:AR244)), "·", bdRateExtend( P239:P244,X239:X244, AJ239:AJ244,AR239:AR244))</f>
        <v>4.2909391996026613E-5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0.17609293328531514</v>
      </c>
      <c r="AE240" s="34">
        <f t="shared" si="40"/>
        <v>3.2540731814416973E-3</v>
      </c>
      <c r="AF240" s="34">
        <f t="shared" si="41"/>
        <v>0.17270755539655211</v>
      </c>
      <c r="AG240" s="35"/>
      <c r="AH240" s="34">
        <f t="shared" si="42"/>
        <v>1.4864564216038649</v>
      </c>
      <c r="AI240" s="36">
        <v>498022</v>
      </c>
      <c r="AJ240" s="37">
        <v>740288</v>
      </c>
      <c r="AK240" s="37">
        <v>13680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0.70199999999999996</v>
      </c>
      <c r="AU240" s="41">
        <v>0.60899999999999999</v>
      </c>
      <c r="AW240" s="42">
        <f t="shared" si="43"/>
        <v>-7.6047275478090953E-5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0.47672552701475418</v>
      </c>
      <c r="AE241" s="19">
        <f t="shared" si="40"/>
        <v>1.6951628011861192E-2</v>
      </c>
      <c r="AF241" s="19">
        <f t="shared" si="41"/>
        <v>0.45960263199334345</v>
      </c>
      <c r="AG241" s="20"/>
      <c r="AH241" s="19">
        <f t="shared" si="42"/>
        <v>2.88877389671172</v>
      </c>
      <c r="AI241" s="21">
        <v>693767</v>
      </c>
      <c r="AJ241" s="22">
        <v>2004136</v>
      </c>
      <c r="AK241" s="22">
        <v>71264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1.2030000000000001</v>
      </c>
      <c r="AU241" s="26">
        <v>1.0149999999999999</v>
      </c>
      <c r="AW241" s="27">
        <f t="shared" si="43"/>
        <v>-6.9708507833103617E-5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1.0320207461437567</v>
      </c>
      <c r="AE242" s="34">
        <f t="shared" si="40"/>
        <v>7.6270908252738731E-2</v>
      </c>
      <c r="AF242" s="34">
        <f t="shared" si="41"/>
        <v>0.95584879216320229</v>
      </c>
      <c r="AG242" s="35"/>
      <c r="AH242" s="34">
        <f t="shared" si="42"/>
        <v>4.8426201146314103</v>
      </c>
      <c r="AI242" s="36">
        <v>895915</v>
      </c>
      <c r="AJ242" s="37">
        <v>4338576</v>
      </c>
      <c r="AK242" s="37">
        <v>320640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2.3109999999999999</v>
      </c>
      <c r="AU242" s="41">
        <v>1.9370000000000001</v>
      </c>
      <c r="AW242" s="42">
        <f t="shared" si="43"/>
        <v>2.4068122805522008E-4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 t="str">
        <f t="shared" si="39"/>
        <v>·</v>
      </c>
      <c r="AE243" s="19">
        <f t="shared" si="40"/>
        <v>0</v>
      </c>
      <c r="AF243" s="19" t="str">
        <f t="shared" si="41"/>
        <v>·</v>
      </c>
      <c r="AG243" s="20"/>
      <c r="AH243" s="19" t="str">
        <f t="shared" si="42"/>
        <v>·</v>
      </c>
      <c r="AI243" s="21"/>
      <c r="AJ243" s="22"/>
      <c r="AK243" s="22">
        <v>0</v>
      </c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 t="str">
        <f t="shared" si="39"/>
        <v>·</v>
      </c>
      <c r="AE244" s="49">
        <f t="shared" si="40"/>
        <v>0</v>
      </c>
      <c r="AF244" s="49" t="str">
        <f t="shared" si="41"/>
        <v>·</v>
      </c>
      <c r="AG244" s="50"/>
      <c r="AH244" s="49" t="str">
        <f t="shared" si="42"/>
        <v>·</v>
      </c>
      <c r="AI244" s="51"/>
      <c r="AJ244" s="52"/>
      <c r="AK244" s="52">
        <v>0</v>
      </c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0.15027246433027802</v>
      </c>
      <c r="AE245" s="19">
        <f t="shared" si="40"/>
        <v>9.71312825861303E-3</v>
      </c>
      <c r="AF245" s="19">
        <f t="shared" si="41"/>
        <v>0.14005270183486693</v>
      </c>
      <c r="AG245" s="20"/>
      <c r="AH245" s="19">
        <f t="shared" si="42"/>
        <v>0.31718356102583811</v>
      </c>
      <c r="AI245" s="21">
        <v>478789</v>
      </c>
      <c r="AJ245" s="22">
        <v>151864</v>
      </c>
      <c r="AK245" s="22">
        <v>9816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1.125</v>
      </c>
      <c r="AU245" s="26">
        <v>0.624</v>
      </c>
      <c r="AW245" s="27">
        <f t="shared" si="43"/>
        <v>-6.2903600676053606E-5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4.8251641273864276E-3</v>
      </c>
      <c r="BA245" s="28">
        <f>IF( OR(ISBLANK(Q245:Q250),ISBLANK(AK245:AK250), ISBLANK(U245:U250),ISBLANK(AO245:AO250)), "·", bdRateExtend( Q245:Q250,U245:U250, AK245:AK250,AO245:AO250))</f>
        <v>4.8516848925599376E-3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1.0687904583650543E-4</v>
      </c>
      <c r="BH245" s="28">
        <f>IF( OR(ISBLANK(P245:P250),ISBLANK(AJ245:AJ250), ISBLANK(U245:U250),ISBLANK(AO245:AO250)), "·", bdRateExtend( P245:P250,U245:U250, AJ245:AJ250,AO245:AO250))</f>
        <v>1.0658931909279801E-4</v>
      </c>
      <c r="BI245" s="28">
        <f>IF( OR(ISBLANK(P245:P250),ISBLANK(AJ245:AJ250), ISBLANK(V245:V250),ISBLANK(AP245:AP250)), "·", bdRateExtend( P245:P250,V245:V250, AJ245:AJ250,AP245:AP250))</f>
        <v>9.9144850569832244E-5</v>
      </c>
      <c r="BJ245" s="28">
        <f>IF( OR(ISBLANK(P245:P250),ISBLANK(AJ245:AJ250), ISBLANK(W245:W250),ISBLANK(AQ245:AQ250)), "·", bdRateExtend( P245:P250,W245:W250, AJ245:AJ250,AQ245:AQ250))</f>
        <v>9.8241726801395757E-5</v>
      </c>
      <c r="BK245" s="28">
        <f>IF( OR(ISBLANK(P245:P250),ISBLANK(AJ245:AJ250), ISBLANK(X245:X250),ISBLANK(AR245:AR250)), "·", bdRateExtend( P245:P250,X245:X250, AJ245:AJ250,AR245:AR250))</f>
        <v>9.2788051915704273E-5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0.55186717475219949</v>
      </c>
      <c r="AE246" s="34">
        <f t="shared" si="40"/>
        <v>3.9248321031950612E-2</v>
      </c>
      <c r="AF246" s="34">
        <f t="shared" si="41"/>
        <v>0.51231803964214995</v>
      </c>
      <c r="AG246" s="35"/>
      <c r="AH246" s="34">
        <f t="shared" si="42"/>
        <v>0.95511877503557852</v>
      </c>
      <c r="AI246" s="36">
        <v>583919</v>
      </c>
      <c r="AJ246" s="37">
        <v>557712</v>
      </c>
      <c r="AK246" s="37">
        <v>39664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1.577</v>
      </c>
      <c r="AU246" s="41">
        <v>0.71799999999999997</v>
      </c>
      <c r="AW246" s="42">
        <f t="shared" si="43"/>
        <v>4.0888527683710651E-4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1.9296273170847553</v>
      </c>
      <c r="AE247" s="19">
        <f t="shared" si="40"/>
        <v>0.19264766854246673</v>
      </c>
      <c r="AF247" s="19">
        <f t="shared" si="41"/>
        <v>1.7380958270952345</v>
      </c>
      <c r="AG247" s="20"/>
      <c r="AH247" s="19">
        <f t="shared" si="42"/>
        <v>2.0300605666910267</v>
      </c>
      <c r="AI247" s="21">
        <v>960594</v>
      </c>
      <c r="AJ247" s="22">
        <v>1950064</v>
      </c>
      <c r="AK247" s="22">
        <v>194688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1.484</v>
      </c>
      <c r="AW247" s="27">
        <f t="shared" si="43"/>
        <v>8.7264199305422951E-4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 t="str">
        <f t="shared" si="39"/>
        <v>·</v>
      </c>
      <c r="AE248" s="34">
        <f t="shared" si="40"/>
        <v>0.82544174646320811</v>
      </c>
      <c r="AF248" s="34" t="str">
        <f t="shared" si="41"/>
        <v>·</v>
      </c>
      <c r="AG248" s="35"/>
      <c r="AH248" s="34" t="str">
        <f t="shared" si="42"/>
        <v>·</v>
      </c>
      <c r="AI248" s="36"/>
      <c r="AJ248" s="37"/>
      <c r="AK248" s="37">
        <v>834184</v>
      </c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 t="str">
        <f t="shared" si="39"/>
        <v>·</v>
      </c>
      <c r="AE249" s="19">
        <f t="shared" si="40"/>
        <v>0</v>
      </c>
      <c r="AF249" s="19" t="str">
        <f t="shared" si="41"/>
        <v>·</v>
      </c>
      <c r="AG249" s="20"/>
      <c r="AH249" s="19" t="str">
        <f t="shared" si="42"/>
        <v>·</v>
      </c>
      <c r="AI249" s="21"/>
      <c r="AJ249" s="22"/>
      <c r="AK249" s="22">
        <v>0</v>
      </c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 t="str">
        <f t="shared" si="39"/>
        <v>·</v>
      </c>
      <c r="AE250" s="49">
        <f t="shared" si="40"/>
        <v>0</v>
      </c>
      <c r="AF250" s="49" t="str">
        <f t="shared" si="41"/>
        <v>·</v>
      </c>
      <c r="AG250" s="50"/>
      <c r="AH250" s="49" t="str">
        <f t="shared" si="42"/>
        <v>·</v>
      </c>
      <c r="AI250" s="51"/>
      <c r="AJ250" s="52"/>
      <c r="AK250" s="52">
        <v>0</v>
      </c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8.316702441446519E-2</v>
      </c>
      <c r="AE251" s="19">
        <f t="shared" si="40"/>
        <v>3.252049242767278E-3</v>
      </c>
      <c r="AF251" s="19">
        <f t="shared" si="41"/>
        <v>7.982216147212387E-2</v>
      </c>
      <c r="AG251" s="20"/>
      <c r="AH251" s="19">
        <f t="shared" si="42"/>
        <v>0.19494323074462633</v>
      </c>
      <c r="AI251" s="21">
        <v>20077681</v>
      </c>
      <c r="AJ251" s="22">
        <v>3914008</v>
      </c>
      <c r="AK251" s="22">
        <v>153048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26.539000000000001</v>
      </c>
      <c r="AU251" s="26">
        <v>20.895</v>
      </c>
      <c r="AW251" s="27">
        <f t="shared" si="43"/>
        <v>-4.0696139305079759E-4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-1.2266740392284481E-2</v>
      </c>
      <c r="BA251" s="28">
        <f>IF( OR(ISBLANK(Q251:Q256),ISBLANK(AK251:AK256), ISBLANK(U251:U256),ISBLANK(AO251:AO256)), "·", bdRateExtend( Q251:Q256,U251:U256, AK251:AK256,AO251:AO256))</f>
        <v>-1.1985909590501276E-2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9.9209906207819998E-5</v>
      </c>
      <c r="BH251" s="28">
        <f>IF( OR(ISBLANK(P251:P256),ISBLANK(AJ251:AJ256), ISBLANK(U251:U256),ISBLANK(AO251:AO256)), "·", bdRateExtend( P251:P256,U251:U256, AJ251:AJ256,AO251:AO256))</f>
        <v>1.0039242482084987E-4</v>
      </c>
      <c r="BI251" s="28">
        <f>IF( OR(ISBLANK(P251:P256),ISBLANK(AJ251:AJ256), ISBLANK(V251:V256),ISBLANK(AP251:AP256)), "·", bdRateExtend( P251:P256,V251:V256, AJ251:AJ256,AP251:AP256))</f>
        <v>1.0060540647938154E-4</v>
      </c>
      <c r="BJ251" s="28">
        <f>IF( OR(ISBLANK(P251:P256),ISBLANK(AJ251:AJ256), ISBLANK(W251:W256),ISBLANK(AQ251:AQ256)), "·", bdRateExtend( P251:P256,W251:W256, AJ251:AJ256,AQ251:AQ256))</f>
        <v>1.0511236235699606E-4</v>
      </c>
      <c r="BK251" s="28">
        <f>IF( OR(ISBLANK(P251:P256),ISBLANK(AJ251:AJ256), ISBLANK(X251:X256),ISBLANK(AR251:AR256)), "·", bdRateExtend( P251:P256,X251:X256, AJ251:AJ256,AR251:AR256))</f>
        <v>1.04883912487308E-4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0.18030557040711684</v>
      </c>
      <c r="AE252" s="34">
        <f t="shared" si="40"/>
        <v>1.0469929275025987E-2</v>
      </c>
      <c r="AF252" s="34">
        <f t="shared" si="41"/>
        <v>0.16962536540613282</v>
      </c>
      <c r="AG252" s="35"/>
      <c r="AH252" s="34">
        <f t="shared" si="42"/>
        <v>0.48469902976729484</v>
      </c>
      <c r="AI252" s="36">
        <v>17506831</v>
      </c>
      <c r="AJ252" s="37">
        <v>8485544</v>
      </c>
      <c r="AK252" s="37">
        <v>492736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26.417000000000002</v>
      </c>
      <c r="AU252" s="41">
        <v>18.497</v>
      </c>
      <c r="AW252" s="42">
        <f t="shared" si="43"/>
        <v>-8.0319749481640862E-4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0.39345019161736755</v>
      </c>
      <c r="AE253" s="19">
        <f t="shared" si="40"/>
        <v>3.4385435830652226E-2</v>
      </c>
      <c r="AF253" s="19">
        <f t="shared" si="41"/>
        <v>0.35852215261997478</v>
      </c>
      <c r="AG253" s="20"/>
      <c r="AH253" s="19">
        <f t="shared" si="42"/>
        <v>1.1144595916191273</v>
      </c>
      <c r="AI253" s="21">
        <v>16614833</v>
      </c>
      <c r="AJ253" s="22">
        <v>18516560</v>
      </c>
      <c r="AK253" s="22">
        <v>1618248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31.184999999999999</v>
      </c>
      <c r="AU253" s="26">
        <v>20.512</v>
      </c>
      <c r="AW253" s="27">
        <f t="shared" si="43"/>
        <v>-1.143917090459412E-3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0.77416841751239818</v>
      </c>
      <c r="AE254" s="34">
        <f t="shared" si="40"/>
        <v>0.10258973595224923</v>
      </c>
      <c r="AF254" s="34">
        <f t="shared" si="41"/>
        <v>0.67084195157122251</v>
      </c>
      <c r="AG254" s="35"/>
      <c r="AH254" s="34">
        <f t="shared" si="42"/>
        <v>2.0717776796305709</v>
      </c>
      <c r="AI254" s="36">
        <v>17585829</v>
      </c>
      <c r="AJ254" s="37">
        <v>36433928</v>
      </c>
      <c r="AK254" s="37">
        <v>4828080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55.884999999999998</v>
      </c>
      <c r="AU254" s="41">
        <v>36.575000000000003</v>
      </c>
      <c r="AW254" s="42">
        <f t="shared" si="43"/>
        <v>-7.9281145368576E-4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 t="str">
        <f t="shared" si="39"/>
        <v>·</v>
      </c>
      <c r="AE255" s="19">
        <f t="shared" si="40"/>
        <v>0</v>
      </c>
      <c r="AF255" s="19" t="str">
        <f t="shared" si="41"/>
        <v>·</v>
      </c>
      <c r="AG255" s="20"/>
      <c r="AH255" s="19" t="str">
        <f t="shared" si="42"/>
        <v>·</v>
      </c>
      <c r="AI255" s="21"/>
      <c r="AJ255" s="22"/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 t="str">
        <f t="shared" si="39"/>
        <v>·</v>
      </c>
      <c r="AE256" s="49">
        <f t="shared" si="40"/>
        <v>0</v>
      </c>
      <c r="AF256" s="49" t="str">
        <f t="shared" si="41"/>
        <v>·</v>
      </c>
      <c r="AG256" s="50"/>
      <c r="AH256" s="49" t="str">
        <f t="shared" si="42"/>
        <v>·</v>
      </c>
      <c r="AI256" s="51"/>
      <c r="AJ256" s="52"/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9.0588198996354938E-2</v>
      </c>
      <c r="AE257" s="19">
        <f t="shared" si="40"/>
        <v>4.6070887885117347E-3</v>
      </c>
      <c r="AF257" s="19">
        <f t="shared" si="41"/>
        <v>8.5838987795329988E-2</v>
      </c>
      <c r="AG257" s="20"/>
      <c r="AH257" s="19">
        <f t="shared" si="42"/>
        <v>0.20988639794927777</v>
      </c>
      <c r="AI257" s="21">
        <v>18731352</v>
      </c>
      <c r="AJ257" s="22">
        <v>3931456</v>
      </c>
      <c r="AK257" s="22">
        <v>199944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30.629000000000001</v>
      </c>
      <c r="AU257" s="26">
        <v>18.413</v>
      </c>
      <c r="AW257" s="27">
        <f t="shared" si="43"/>
        <v>-7.5825832133291637E-4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-1.3951442001871595E-2</v>
      </c>
      <c r="BA257" s="28">
        <f>IF( OR(ISBLANK(Q257:Q262),ISBLANK(AK257:AK262), ISBLANK(U257:U262),ISBLANK(AO257:AO262)), "·", bdRateExtend( Q257:Q262,U257:U262, AK257:AK262,AO257:AO262))</f>
        <v>-1.3746039403749077E-2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1.3659632367768459E-4</v>
      </c>
      <c r="BH257" s="28">
        <f>IF( OR(ISBLANK(P257:P262),ISBLANK(AJ257:AJ262), ISBLANK(U257:U262),ISBLANK(AO257:AO262)), "·", bdRateExtend( P257:P262,U257:U262, AJ257:AJ262,AO257:AO262))</f>
        <v>1.368341729048872E-4</v>
      </c>
      <c r="BI257" s="28">
        <f>IF( OR(ISBLANK(P257:P262),ISBLANK(AJ257:AJ262), ISBLANK(V257:V262),ISBLANK(AP257:AP262)), "·", bdRateExtend( P257:P262,V257:V262, AJ257:AJ262,AP257:AP262))</f>
        <v>1.3843851194694778E-4</v>
      </c>
      <c r="BJ257" s="28">
        <f>IF( OR(ISBLANK(P257:P262),ISBLANK(AJ257:AJ262), ISBLANK(W257:W262),ISBLANK(AQ257:AQ262)), "·", bdRateExtend( P257:P262,W257:W262, AJ257:AJ262,AQ257:AQ262))</f>
        <v>1.4063076924086815E-4</v>
      </c>
      <c r="BK257" s="28">
        <f>IF( OR(ISBLANK(P257:P262),ISBLANK(AJ257:AJ262), ISBLANK(X257:X262),ISBLANK(AR257:AR262)), "·", bdRateExtend( P257:P262,X257:X262, AJ257:AJ262,AR257:AR262))</f>
        <v>1.4051193505970616E-4</v>
      </c>
      <c r="BL257" s="29"/>
    </row>
    <row r="258" spans="1:64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0.21389220314555518</v>
      </c>
      <c r="AE258" s="34">
        <f t="shared" si="40"/>
        <v>1.4305146174675496E-2</v>
      </c>
      <c r="AF258" s="34">
        <f t="shared" si="41"/>
        <v>0.19928235094249533</v>
      </c>
      <c r="AG258" s="35"/>
      <c r="AH258" s="34">
        <f t="shared" si="42"/>
        <v>0.51770286597434023</v>
      </c>
      <c r="AI258" s="36">
        <v>17930656</v>
      </c>
      <c r="AJ258" s="37">
        <v>9282752</v>
      </c>
      <c r="AK258" s="37">
        <v>620832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32.942</v>
      </c>
      <c r="AU258" s="41">
        <v>18.427</v>
      </c>
      <c r="AW258" s="42">
        <f t="shared" si="43"/>
        <v>-1.0000359126087072E-3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0.49095164342518977</v>
      </c>
      <c r="AE259" s="19">
        <f t="shared" si="40"/>
        <v>4.9165322306465184E-2</v>
      </c>
      <c r="AF259" s="19">
        <f t="shared" si="41"/>
        <v>0.4409147844567759</v>
      </c>
      <c r="AG259" s="20"/>
      <c r="AH259" s="19">
        <f t="shared" si="42"/>
        <v>1.1437621012242498</v>
      </c>
      <c r="AI259" s="21">
        <v>18628797</v>
      </c>
      <c r="AJ259" s="22">
        <v>21306912</v>
      </c>
      <c r="AK259" s="22">
        <v>2133736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43.850999999999999</v>
      </c>
      <c r="AU259" s="26">
        <v>24.992999999999999</v>
      </c>
      <c r="AW259" s="27">
        <f t="shared" si="43"/>
        <v>-1.4926734527446195E-3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1.0947580678144648</v>
      </c>
      <c r="AE260" s="34">
        <f t="shared" si="40"/>
        <v>0.15582570437289325</v>
      </c>
      <c r="AF260" s="34">
        <f t="shared" si="41"/>
        <v>0.93772054406431893</v>
      </c>
      <c r="AG260" s="35"/>
      <c r="AH260" s="34">
        <f t="shared" si="42"/>
        <v>2.0478713903357928</v>
      </c>
      <c r="AI260" s="36">
        <v>23200496</v>
      </c>
      <c r="AJ260" s="37">
        <v>47511632</v>
      </c>
      <c r="AK260" s="37">
        <v>6762712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80.677999999999997</v>
      </c>
      <c r="AU260" s="41">
        <v>50.052</v>
      </c>
      <c r="AW260" s="42">
        <f t="shared" si="43"/>
        <v>-9.5120236214812914E-4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 t="str">
        <f t="shared" ref="AD261:AD342" si="50">IF(ISBLANK(AJ261),"·",AJ261/D261)</f>
        <v>·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str">
        <f t="shared" ref="AH261:AH342" si="53">IF(ISBLANK(AJ261),"·",AJ261/AI261)</f>
        <v>·</v>
      </c>
      <c r="AI261" s="21"/>
      <c r="AJ261" s="22"/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 t="str">
        <f t="shared" si="50"/>
        <v>·</v>
      </c>
      <c r="AE262" s="49">
        <f t="shared" si="51"/>
        <v>0</v>
      </c>
      <c r="AF262" s="49" t="str">
        <f t="shared" si="52"/>
        <v>·</v>
      </c>
      <c r="AG262" s="50"/>
      <c r="AH262" s="49" t="str">
        <f t="shared" si="53"/>
        <v>·</v>
      </c>
      <c r="AI262" s="51"/>
      <c r="AJ262" s="52"/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9.9254630055652687E-2</v>
      </c>
      <c r="AE263" s="19">
        <f t="shared" si="51"/>
        <v>3.3447626058741393E-3</v>
      </c>
      <c r="AF263" s="19">
        <f t="shared" si="52"/>
        <v>9.4997659466358325E-2</v>
      </c>
      <c r="AG263" s="20"/>
      <c r="AH263" s="19">
        <f t="shared" si="53"/>
        <v>0.27698628913402706</v>
      </c>
      <c r="AI263" s="21">
        <v>179128</v>
      </c>
      <c r="AJ263" s="22">
        <v>49616</v>
      </c>
      <c r="AK263" s="22">
        <v>1672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0.249</v>
      </c>
      <c r="AU263" s="26">
        <v>0.218</v>
      </c>
      <c r="AW263" s="27">
        <f t="shared" si="54"/>
        <v>1.6292734973333278E-5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3.4672479677444468E-3</v>
      </c>
      <c r="BA263" s="28">
        <f>IF( OR(ISBLANK(Q263:Q268),ISBLANK(AK263:AK268), ISBLANK(U263:U268),ISBLANK(AO263:AO268)), "·", bdRateExtend( Q263:Q268,U263:U268, AK263:AK268,AO263:AO268))</f>
        <v>3.6555983602344355E-3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-2.9117121335020535E-5</v>
      </c>
      <c r="BH263" s="28">
        <f>IF( OR(ISBLANK(P263:P268),ISBLANK(AJ263:AJ268), ISBLANK(U263:U268),ISBLANK(AO263:AO268)), "·", bdRateExtend( P263:P268,U263:U268, AJ263:AJ268,AO263:AO268))</f>
        <v>-1.6466754446886611E-5</v>
      </c>
      <c r="BI263" s="28">
        <f>IF( OR(ISBLANK(P263:P268),ISBLANK(AJ263:AJ268), ISBLANK(V263:V268),ISBLANK(AP263:AP268)), "·", bdRateExtend( P263:P268,V263:V268, AJ263:AJ268,AP263:AP268))</f>
        <v>9.7650783661418217E-6</v>
      </c>
      <c r="BJ263" s="28">
        <f>IF( OR(ISBLANK(P263:P268),ISBLANK(AJ263:AJ268), ISBLANK(W263:W268),ISBLANK(AQ263:AQ268)), "·", bdRateExtend( P263:P268,W263:W268, AJ263:AJ268,AQ263:AQ268))</f>
        <v>2.2895326042826625E-5</v>
      </c>
      <c r="BK263" s="28">
        <f>IF( OR(ISBLANK(P263:P268),ISBLANK(AJ263:AJ268), ISBLANK(X263:X268),ISBLANK(AR263:AR268)), "·", bdRateExtend( P263:P268,X263:X268, AJ263:AJ268,AR263:AR268))</f>
        <v>3.8647725857821058E-5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0.30402131686024414</v>
      </c>
      <c r="AE264" s="34">
        <f t="shared" si="51"/>
        <v>1.1938722028622527E-2</v>
      </c>
      <c r="AF264" s="34">
        <f t="shared" si="52"/>
        <v>0.29113837955053751</v>
      </c>
      <c r="AG264" s="35"/>
      <c r="AH264" s="34">
        <f t="shared" si="53"/>
        <v>0.80383787414777086</v>
      </c>
      <c r="AI264" s="36">
        <v>189063</v>
      </c>
      <c r="AJ264" s="37">
        <v>151976</v>
      </c>
      <c r="AK264" s="37">
        <v>5968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0.28100000000000003</v>
      </c>
      <c r="AU264" s="41">
        <v>0.25</v>
      </c>
      <c r="AW264" s="42">
        <f t="shared" si="54"/>
        <v>1.5380159428062673E-4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0.83884725717463582</v>
      </c>
      <c r="AE265" s="19">
        <f t="shared" si="51"/>
        <v>4.9147205562868335E-2</v>
      </c>
      <c r="AF265" s="19">
        <f t="shared" si="52"/>
        <v>0.78891587281900277</v>
      </c>
      <c r="AG265" s="20"/>
      <c r="AH265" s="19">
        <f t="shared" si="53"/>
        <v>1.8944714763963622</v>
      </c>
      <c r="AI265" s="21">
        <v>221343</v>
      </c>
      <c r="AJ265" s="22">
        <v>419328</v>
      </c>
      <c r="AK265" s="22">
        <v>24568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0.42099999999999999</v>
      </c>
      <c r="AU265" s="26">
        <v>0.35899999999999999</v>
      </c>
      <c r="AW265" s="27">
        <f t="shared" si="54"/>
        <v>3.3562703231796581E-4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2.0134670704920721</v>
      </c>
      <c r="AE266" s="34">
        <f t="shared" si="51"/>
        <v>0.20238214312863334</v>
      </c>
      <c r="AF266" s="34">
        <f t="shared" si="52"/>
        <v>1.8117250733167163</v>
      </c>
      <c r="AG266" s="35"/>
      <c r="AH266" s="34">
        <f t="shared" si="53"/>
        <v>3.6082137172519611</v>
      </c>
      <c r="AI266" s="36">
        <v>278948</v>
      </c>
      <c r="AJ266" s="37">
        <v>1006504</v>
      </c>
      <c r="AK266" s="37">
        <v>101168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0.749</v>
      </c>
      <c r="AU266" s="41">
        <v>0.63900000000000001</v>
      </c>
      <c r="AW266" s="42">
        <f t="shared" si="54"/>
        <v>8.3776669397012116E-4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 t="str">
        <f t="shared" si="50"/>
        <v>·</v>
      </c>
      <c r="AE267" s="19">
        <f t="shared" si="51"/>
        <v>0</v>
      </c>
      <c r="AF267" s="19" t="str">
        <f t="shared" si="52"/>
        <v>·</v>
      </c>
      <c r="AG267" s="20"/>
      <c r="AH267" s="19" t="str">
        <f t="shared" si="53"/>
        <v>·</v>
      </c>
      <c r="AI267" s="21"/>
      <c r="AJ267" s="22"/>
      <c r="AK267" s="22">
        <v>0</v>
      </c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 t="str">
        <f t="shared" si="50"/>
        <v>·</v>
      </c>
      <c r="AE268" s="49">
        <f t="shared" si="51"/>
        <v>0</v>
      </c>
      <c r="AF268" s="49" t="str">
        <f t="shared" si="52"/>
        <v>·</v>
      </c>
      <c r="AG268" s="50"/>
      <c r="AH268" s="49" t="str">
        <f t="shared" si="53"/>
        <v>·</v>
      </c>
      <c r="AI268" s="51"/>
      <c r="AJ268" s="52"/>
      <c r="AK268" s="52">
        <v>0</v>
      </c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3.0105297233253062E-2</v>
      </c>
      <c r="AE269" s="19">
        <f t="shared" si="51"/>
        <v>3.9954503149872873E-3</v>
      </c>
      <c r="AF269" s="19">
        <f t="shared" si="52"/>
        <v>2.603694272704046E-2</v>
      </c>
      <c r="AG269" s="20"/>
      <c r="AH269" s="19">
        <f t="shared" si="53"/>
        <v>0.11066064670378831</v>
      </c>
      <c r="AI269" s="21">
        <v>17374415</v>
      </c>
      <c r="AJ269" s="22">
        <v>1922664</v>
      </c>
      <c r="AK269" s="22">
        <v>255168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28.475999999999999</v>
      </c>
      <c r="AU269" s="26">
        <v>16.794</v>
      </c>
      <c r="AW269" s="27">
        <f t="shared" si="54"/>
        <v>-1.0272353345999741E-3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-2.1043441474082325E-3</v>
      </c>
      <c r="BA269" s="28">
        <f>IF( OR(ISBLANK(Q269:Q274),ISBLANK(AK269:AK274), ISBLANK(U269:U274),ISBLANK(AO269:AO274)), "·", bdRateExtend( Q269:Q274,U269:U274, AK269:AK274,AO269:AO274))</f>
        <v>-2.1787043010608187E-3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2.3905783294653205E-4</v>
      </c>
      <c r="BH269" s="28">
        <f>IF( OR(ISBLANK(P269:P274),ISBLANK(AJ269:AJ274), ISBLANK(U269:U274),ISBLANK(AO269:AO274)), "·", bdRateExtend( P269:P274,U269:U274, AJ269:AJ274,AO269:AO274))</f>
        <v>2.3703604237601539E-4</v>
      </c>
      <c r="BI269" s="28">
        <f>IF( OR(ISBLANK(P269:P274),ISBLANK(AJ269:AJ274), ISBLANK(V269:V274),ISBLANK(AP269:AP274)), "·", bdRateExtend( P269:P274,V269:V274, AJ269:AJ274,AP269:AP274))</f>
        <v>2.3940714076342573E-4</v>
      </c>
      <c r="BJ269" s="28">
        <f>IF( OR(ISBLANK(P269:P274),ISBLANK(AJ269:AJ274), ISBLANK(W269:W274),ISBLANK(AQ269:AQ274)), "·", bdRateExtend( P269:P274,W269:W274, AJ269:AJ274,AQ269:AQ274))</f>
        <v>2.4014400033012251E-4</v>
      </c>
      <c r="BK269" s="28">
        <f>IF( OR(ISBLANK(P269:P274),ISBLANK(AJ269:AJ274), ISBLANK(X269:X274),ISBLANK(AR269:AR274)), "·", bdRateExtend( P269:P274,X269:X274, AJ269:AJ274,AR269:AR274))</f>
        <v>2.407740396621616E-4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7.0013327092843122E-2</v>
      </c>
      <c r="AE270" s="34">
        <f t="shared" si="51"/>
        <v>1.1693231000860085E-2</v>
      </c>
      <c r="AF270" s="34">
        <f t="shared" si="52"/>
        <v>5.8228151630884455E-2</v>
      </c>
      <c r="AG270" s="35"/>
      <c r="AH270" s="34">
        <f t="shared" si="53"/>
        <v>0.29813422739854523</v>
      </c>
      <c r="AI270" s="36">
        <v>14997862</v>
      </c>
      <c r="AJ270" s="37">
        <v>4471376</v>
      </c>
      <c r="AK270" s="37">
        <v>746784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27.896999999999998</v>
      </c>
      <c r="AU270" s="41">
        <v>15.041</v>
      </c>
      <c r="AW270" s="42">
        <f t="shared" si="54"/>
        <v>-5.292361255600786E-4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0.19359457450015261</v>
      </c>
      <c r="AE271" s="19">
        <f t="shared" si="51"/>
        <v>4.6825785805325357E-2</v>
      </c>
      <c r="AF271" s="19">
        <f t="shared" si="52"/>
        <v>0.14671254473974105</v>
      </c>
      <c r="AG271" s="20"/>
      <c r="AH271" s="19">
        <f t="shared" si="53"/>
        <v>0.72982849999982291</v>
      </c>
      <c r="AI271" s="21">
        <v>16940758</v>
      </c>
      <c r="AJ271" s="22">
        <v>12363848</v>
      </c>
      <c r="AK271" s="22">
        <v>2990512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43.774999999999999</v>
      </c>
      <c r="AU271" s="26">
        <v>23.35</v>
      </c>
      <c r="AW271" s="27">
        <f t="shared" si="54"/>
        <v>1.0688826070204271E-4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0.49738120347376569</v>
      </c>
      <c r="AE272" s="34">
        <f t="shared" si="51"/>
        <v>0.1619185802672875</v>
      </c>
      <c r="AF272" s="34">
        <f t="shared" si="52"/>
        <v>0.33582576624833765</v>
      </c>
      <c r="AG272" s="35"/>
      <c r="AH272" s="34">
        <f t="shared" si="53"/>
        <v>1.5541573308576468</v>
      </c>
      <c r="AI272" s="36">
        <v>20438775</v>
      </c>
      <c r="AJ272" s="37">
        <v>31765072</v>
      </c>
      <c r="AK272" s="37">
        <v>10340872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81.102999999999994</v>
      </c>
      <c r="AU272" s="41">
        <v>45.570999999999998</v>
      </c>
      <c r="AW272" s="42">
        <f t="shared" si="54"/>
        <v>9.510681251259645E-4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 t="str">
        <f t="shared" si="50"/>
        <v>·</v>
      </c>
      <c r="AE273" s="19">
        <f t="shared" si="51"/>
        <v>0</v>
      </c>
      <c r="AF273" s="19" t="str">
        <f t="shared" si="52"/>
        <v>·</v>
      </c>
      <c r="AG273" s="20"/>
      <c r="AH273" s="19" t="str">
        <f t="shared" si="53"/>
        <v>·</v>
      </c>
      <c r="AI273" s="21"/>
      <c r="AJ273" s="22"/>
      <c r="AK273" s="22">
        <v>0</v>
      </c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 t="str">
        <f t="shared" si="50"/>
        <v>·</v>
      </c>
      <c r="AE274" s="49">
        <f t="shared" si="51"/>
        <v>0</v>
      </c>
      <c r="AF274" s="49" t="str">
        <f t="shared" si="52"/>
        <v>·</v>
      </c>
      <c r="AG274" s="50"/>
      <c r="AH274" s="49" t="str">
        <f t="shared" si="53"/>
        <v>·</v>
      </c>
      <c r="AI274" s="51"/>
      <c r="AJ274" s="52"/>
      <c r="AK274" s="52">
        <v>0</v>
      </c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0.24641540731201417</v>
      </c>
      <c r="AE275" s="19">
        <f t="shared" si="51"/>
        <v>3.5262763479623274E-2</v>
      </c>
      <c r="AF275" s="19">
        <f t="shared" si="52"/>
        <v>0.21582395014340369</v>
      </c>
      <c r="AG275" s="20"/>
      <c r="AH275" s="19">
        <f t="shared" si="53"/>
        <v>0.30535156961451304</v>
      </c>
      <c r="AI275" s="21">
        <v>1614218</v>
      </c>
      <c r="AJ275" s="22">
        <v>492904</v>
      </c>
      <c r="AK275" s="22">
        <v>70536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8.7330000000000005</v>
      </c>
      <c r="AU275" s="26">
        <v>1.9359999999999999</v>
      </c>
      <c r="AW275" s="27">
        <f t="shared" si="54"/>
        <v>-1.7815557801386384E-3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-8.0237224459793755E-3</v>
      </c>
      <c r="BA275" s="28">
        <f>IF( OR(ISBLANK(Q275:Q280),ISBLANK(AK275:AK280), ISBLANK(U275:U280),ISBLANK(AO275:AO280)), "·", bdRateExtend( Q275:Q280,U275:U280, AK275:AK280,AO275:AO280))</f>
        <v>-8.0237224459811518E-3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3.4145005672403528E-4</v>
      </c>
      <c r="BH275" s="28">
        <f>IF( OR(ISBLANK(P275:P280),ISBLANK(AJ275:AJ280), ISBLANK(U275:U280),ISBLANK(AO275:AO280)), "·", bdRateExtend( P275:P280,U275:U280, AJ275:AJ280,AO275:AO280))</f>
        <v>3.4145005672270301E-4</v>
      </c>
      <c r="BI275" s="28">
        <f>IF( OR(ISBLANK(P275:P280),ISBLANK(AJ275:AJ280), ISBLANK(V275:V280),ISBLANK(AP275:AP280)), "·", bdRateExtend( P275:P280,V275:V280, AJ275:AJ280,AP275:AP280))</f>
        <v>3.414500567231471E-4</v>
      </c>
      <c r="BJ275" s="28">
        <f>IF( OR(ISBLANK(P275:P280),ISBLANK(AJ275:AJ280), ISBLANK(W275:W280),ISBLANK(AQ275:AQ280)), "·", bdRateExtend( P275:P280,W275:W280, AJ275:AJ280,AQ275:AQ280))</f>
        <v>3.4145005672536755E-4</v>
      </c>
      <c r="BK275" s="28">
        <f>IF( OR(ISBLANK(P275:P280),ISBLANK(AJ275:AJ280), ISBLANK(X275:X280),ISBLANK(AR275:AR280)), "·", bdRateExtend( P275:P280,X275:X280, AJ275:AJ280,AR275:AR280))</f>
        <v>3.4145005672403528E-4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0.6290505859879808</v>
      </c>
      <c r="AE276" s="34">
        <f t="shared" si="51"/>
        <v>0.14193492266398439</v>
      </c>
      <c r="AF276" s="34">
        <f t="shared" si="52"/>
        <v>0.50707669911018216</v>
      </c>
      <c r="AG276" s="35"/>
      <c r="AH276" s="34">
        <f t="shared" si="53"/>
        <v>0.76425095949850375</v>
      </c>
      <c r="AI276" s="36">
        <v>1646433</v>
      </c>
      <c r="AJ276" s="37">
        <v>1258288</v>
      </c>
      <c r="AK276" s="37">
        <v>283912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11.531000000000001</v>
      </c>
      <c r="AU276" s="41">
        <v>2.4830000000000001</v>
      </c>
      <c r="AW276" s="42">
        <f t="shared" si="54"/>
        <v>-1.0000380039377754E-3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 t="str">
        <f t="shared" si="50"/>
        <v>·</v>
      </c>
      <c r="AE277" s="19">
        <f t="shared" si="51"/>
        <v>0.25159463819622785</v>
      </c>
      <c r="AF277" s="19" t="str">
        <f t="shared" si="52"/>
        <v>·</v>
      </c>
      <c r="AG277" s="20"/>
      <c r="AH277" s="19" t="str">
        <f t="shared" si="53"/>
        <v>·</v>
      </c>
      <c r="AI277" s="21"/>
      <c r="AJ277" s="22"/>
      <c r="AK277" s="22">
        <v>503264</v>
      </c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 t="str">
        <f t="shared" si="50"/>
        <v>·</v>
      </c>
      <c r="AE278" s="34">
        <f t="shared" si="51"/>
        <v>1.5414111004515829</v>
      </c>
      <c r="AF278" s="34" t="str">
        <f t="shared" si="52"/>
        <v>·</v>
      </c>
      <c r="AG278" s="35"/>
      <c r="AH278" s="34" t="str">
        <f t="shared" si="53"/>
        <v>·</v>
      </c>
      <c r="AI278" s="36"/>
      <c r="AJ278" s="37"/>
      <c r="AK278" s="37">
        <v>3083280</v>
      </c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 t="str">
        <f t="shared" si="50"/>
        <v>·</v>
      </c>
      <c r="AE279" s="19">
        <f t="shared" si="51"/>
        <v>0</v>
      </c>
      <c r="AF279" s="19" t="str">
        <f t="shared" si="52"/>
        <v>·</v>
      </c>
      <c r="AG279" s="20"/>
      <c r="AH279" s="19" t="str">
        <f t="shared" si="53"/>
        <v>·</v>
      </c>
      <c r="AI279" s="21"/>
      <c r="AJ279" s="22"/>
      <c r="AK279" s="22">
        <v>0</v>
      </c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 t="str">
        <f t="shared" si="50"/>
        <v>·</v>
      </c>
      <c r="AE280" s="49">
        <f t="shared" si="51"/>
        <v>0</v>
      </c>
      <c r="AF280" s="49" t="str">
        <f t="shared" si="52"/>
        <v>·</v>
      </c>
      <c r="AG280" s="50"/>
      <c r="AH280" s="49" t="str">
        <f t="shared" si="53"/>
        <v>·</v>
      </c>
      <c r="AI280" s="51"/>
      <c r="AJ280" s="52"/>
      <c r="AK280" s="52">
        <v>0</v>
      </c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0.45462773575611554</v>
      </c>
      <c r="AE359" s="61">
        <f>AVERAGE(AE5:AE58)</f>
        <v>5.5361480126655919E-2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3.6813682897757095E-3</v>
      </c>
      <c r="BA359" s="94">
        <f>AVERAGE(BA5:BA58)</f>
        <v>3.7141830753296321E-3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1.9374379333636504E-5</v>
      </c>
      <c r="BH359" s="3">
        <f>AVERAGE(BH5:BH58)</f>
        <v>8.0974311522282374E-6</v>
      </c>
      <c r="BI359" s="3">
        <f>AVERAGE(BI5:BI58)</f>
        <v>6.4415601117522809E-5</v>
      </c>
      <c r="BJ359" s="3">
        <f>AVERAGE(BJ5:BJ58)</f>
        <v>9.8739448974735947E-5</v>
      </c>
      <c r="BK359" s="3">
        <f>AVERAGE(BK5:BK58)</f>
        <v>5.7601690865759382E-5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0.39631752404487747</v>
      </c>
      <c r="AE360" s="61">
        <f>AVERAGE(AE59:AE130)</f>
        <v>9.3596546937993325E-2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2.6523672790765562E-3</v>
      </c>
      <c r="BA360" s="94">
        <f>AVERAGE(BA59:BA130)</f>
        <v>2.8264636797266838E-3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1.68792826930488E-4</v>
      </c>
      <c r="BH360" s="3">
        <f>AVERAGE(BH59:BH130)</f>
        <v>1.9349226157881297E-4</v>
      </c>
      <c r="BI360" s="3">
        <f>AVERAGE(BI59:BI130)</f>
        <v>2.2927501024344599E-4</v>
      </c>
      <c r="BJ360" s="3">
        <f>AVERAGE(BJ59:BJ130)</f>
        <v>2.3099835081979991E-4</v>
      </c>
      <c r="BK360" s="3">
        <f>AVERAGE(BK59:BK130)</f>
        <v>2.1780546807992351E-4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0.62268920842297615</v>
      </c>
      <c r="AE361" s="61">
        <f>AVERAGE(AE131:AE184)</f>
        <v>0.10656208315921986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-3.3971444239341039E-3</v>
      </c>
      <c r="BA361" s="94">
        <f>AVERAGE(BA131:BA184)</f>
        <v>-3.2519904265668632E-3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1.8619828978271179E-4</v>
      </c>
      <c r="BH361" s="3">
        <f>AVERAGE(BH131:BH184)</f>
        <v>1.9134158090470009E-4</v>
      </c>
      <c r="BI361" s="3">
        <f>AVERAGE(BI131:BI184)</f>
        <v>1.978729325231083E-4</v>
      </c>
      <c r="BJ361" s="3">
        <f>AVERAGE(BJ131:BJ184)</f>
        <v>1.891474034344408E-4</v>
      </c>
      <c r="BK361" s="3">
        <f>AVERAGE(BK131:BK184)</f>
        <v>1.8904265665415428E-4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0.54963310650979824</v>
      </c>
      <c r="AE362" s="61">
        <f>AVERAGE(AE185:AE280)</f>
        <v>0.10966054223131583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-5.7680915410061873E-4</v>
      </c>
      <c r="BA362" s="94">
        <f>AVERAGE(BA185:BA280)</f>
        <v>-5.0959059373963111E-4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2.2910747547433968E-4</v>
      </c>
      <c r="BH362" s="3">
        <f>AVERAGE(BH185:BH280)</f>
        <v>2.329732316519173E-4</v>
      </c>
      <c r="BI362" s="3">
        <f>AVERAGE(BI185:BI280)</f>
        <v>2.2008133531087326E-4</v>
      </c>
      <c r="BJ362" s="3">
        <f>AVERAGE(BJ185:BJ280)</f>
        <v>2.1492236767986506E-4</v>
      </c>
      <c r="BK362" s="3">
        <f>AVERAGE(BK185:BK280)</f>
        <v>2.1486873067512458E-4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0.50401412055418504</v>
      </c>
      <c r="AE366" s="61">
        <f>AVERAGE(AE5:AE358)</f>
        <v>9.4239984968040258E-2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5.4690164512789612E-4</v>
      </c>
      <c r="BA366" s="3">
        <f>AVERAGE(BA5:BA358)</f>
        <v>6.5051844555980497E-4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1.6394320766961794E-4</v>
      </c>
      <c r="BH366" s="3">
        <f>AVERAGE(BH5:BH358)</f>
        <v>1.7053108595410407E-4</v>
      </c>
      <c r="BI366" s="3">
        <f>AVERAGE(BI5:BI298)</f>
        <v>1.8767822371002182E-4</v>
      </c>
      <c r="BJ366" s="3">
        <f>AVERAGE(BJ5:BJ298)</f>
        <v>1.9134173400865283E-4</v>
      </c>
      <c r="BK366" s="3">
        <f>AVERAGE(BK5:BK298)</f>
        <v>1.7981227033565865E-4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2466.3889999999997</v>
      </c>
      <c r="AU367" s="63">
        <f>SUM(AU5:AU58,AU59:AU130,AU131:AU184,AU185:AU280,AU281:AU298,AU299:AU340,AU341:AU358)</f>
        <v>1465.9059999999995</v>
      </c>
    </row>
    <row r="368" spans="1:64" hidden="1" outlineLevel="2" x14ac:dyDescent="0.15">
      <c r="B368" s="60" t="s">
        <v>410</v>
      </c>
      <c r="AT368" s="7">
        <f>AT367/Z367</f>
        <v>0.9723089404805032</v>
      </c>
      <c r="AU368" s="7">
        <f>AU367/AA367</f>
        <v>0.96704002786520438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5.8173335090270681</v>
      </c>
      <c r="AU369" s="63">
        <f>GEOMEAN(AU5:AU58,AU59:AU130,AU131:AU184,AU185:AU280,AU281:AU298,AU299:AU358,AU341:AU358)</f>
        <v>3.8874644887776628</v>
      </c>
    </row>
    <row r="370" spans="2:47" outlineLevel="2" collapsed="1" x14ac:dyDescent="0.15">
      <c r="B370" s="60" t="s">
        <v>412</v>
      </c>
      <c r="AT370" s="7">
        <f>AT369/Z369</f>
        <v>0.97485240233957859</v>
      </c>
      <c r="AU370" s="7">
        <f>AU369/AA369</f>
        <v>0.97982435178136751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D2:AG2"/>
    <mergeCell ref="AH2:AH3"/>
    <mergeCell ref="AI2:AI3"/>
    <mergeCell ref="O2:O3"/>
    <mergeCell ref="P2:S2"/>
    <mergeCell ref="T2:U2"/>
    <mergeCell ref="V2:Y2"/>
    <mergeCell ref="Z2:Z3"/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5" t="s">
        <v>661</v>
      </c>
      <c r="B1" s="105"/>
      <c r="C1" s="105"/>
      <c r="D1" s="105"/>
      <c r="E1" s="105"/>
      <c r="F1" s="105"/>
      <c r="H1" s="101" t="str">
        <f>Summary!C1</f>
        <v>v20.0-rc1-trisoup-raht+18edges</v>
      </c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W1" s="102" t="str">
        <f>Summary!C2</f>
        <v>v20.0-rc1-trisoup-raht+18edges+flagCtx_test</v>
      </c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</row>
    <row r="2" spans="1:43" ht="30" customHeight="1" x14ac:dyDescent="0.15">
      <c r="A2" s="107" t="s">
        <v>91</v>
      </c>
      <c r="B2" s="106" t="s">
        <v>94</v>
      </c>
      <c r="C2" s="107" t="s">
        <v>100</v>
      </c>
      <c r="D2" s="106" t="s">
        <v>103</v>
      </c>
      <c r="E2" s="107" t="s">
        <v>106</v>
      </c>
      <c r="F2" s="106" t="s">
        <v>109</v>
      </c>
      <c r="H2" s="107" t="s">
        <v>619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7" t="s">
        <v>155</v>
      </c>
      <c r="U2" s="106" t="s">
        <v>158</v>
      </c>
      <c r="W2" s="107" t="s">
        <v>619</v>
      </c>
      <c r="X2" s="106" t="s">
        <v>112</v>
      </c>
      <c r="Y2" s="104" t="s">
        <v>115</v>
      </c>
      <c r="Z2" s="104"/>
      <c r="AA2" s="104"/>
      <c r="AB2" s="104"/>
      <c r="AC2" s="106" t="s">
        <v>128</v>
      </c>
      <c r="AD2" s="107" t="s">
        <v>22</v>
      </c>
      <c r="AE2" s="103" t="s">
        <v>133</v>
      </c>
      <c r="AF2" s="103"/>
      <c r="AG2" s="103"/>
      <c r="AH2" s="103"/>
      <c r="AI2" s="107" t="s">
        <v>155</v>
      </c>
      <c r="AJ2" s="106" t="s">
        <v>158</v>
      </c>
      <c r="AL2" s="104" t="s">
        <v>650</v>
      </c>
      <c r="AM2" s="104"/>
      <c r="AN2" s="104"/>
      <c r="AO2" s="104"/>
      <c r="AP2" s="106" t="s">
        <v>195</v>
      </c>
      <c r="AQ2" s="107" t="s">
        <v>195</v>
      </c>
    </row>
    <row r="3" spans="1:43" ht="27.75" thickBot="1" x14ac:dyDescent="0.2">
      <c r="A3" s="107"/>
      <c r="B3" s="106"/>
      <c r="C3" s="107"/>
      <c r="D3" s="106"/>
      <c r="E3" s="107"/>
      <c r="F3" s="106"/>
      <c r="H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07"/>
      <c r="U3" s="106"/>
      <c r="W3" s="107"/>
      <c r="X3" s="106"/>
      <c r="Y3" s="11" t="s">
        <v>116</v>
      </c>
      <c r="Z3" s="11" t="s">
        <v>119</v>
      </c>
      <c r="AA3" s="11" t="s">
        <v>122</v>
      </c>
      <c r="AB3" s="11" t="s">
        <v>125</v>
      </c>
      <c r="AC3" s="106"/>
      <c r="AD3" s="107"/>
      <c r="AE3" s="12" t="s">
        <v>116</v>
      </c>
      <c r="AF3" s="12" t="s">
        <v>119</v>
      </c>
      <c r="AG3" s="12" t="s">
        <v>138</v>
      </c>
      <c r="AH3" s="12" t="s">
        <v>125</v>
      </c>
      <c r="AI3" s="107"/>
      <c r="AJ3" s="106"/>
      <c r="AL3" s="11" t="s">
        <v>116</v>
      </c>
      <c r="AM3" s="11" t="s">
        <v>119</v>
      </c>
      <c r="AN3" s="11" t="s">
        <v>138</v>
      </c>
      <c r="AO3" s="11" t="s">
        <v>125</v>
      </c>
      <c r="AP3" s="106"/>
      <c r="AQ3" s="107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B2:B3"/>
    <mergeCell ref="C2:C3"/>
    <mergeCell ref="D2:D3"/>
    <mergeCell ref="E2:E3"/>
    <mergeCell ref="AL2:AO2"/>
    <mergeCell ref="AP2:AP3"/>
    <mergeCell ref="AQ2:AQ3"/>
    <mergeCell ref="X2:X3"/>
    <mergeCell ref="Y2:AB2"/>
    <mergeCell ref="AC2:AC3"/>
    <mergeCell ref="AD2:AD3"/>
    <mergeCell ref="AE2:AH2"/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5" t="s">
        <v>868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E1" s="102" t="str">
        <f>Summary!C2</f>
        <v>v20.0-rc1-trisoup-raht+18edges+flagCtx_test</v>
      </c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</row>
    <row r="2" spans="1:7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3" t="s">
        <v>804</v>
      </c>
      <c r="Y2" s="103"/>
      <c r="Z2" s="103"/>
      <c r="AA2" s="103"/>
      <c r="AB2" s="107" t="s">
        <v>155</v>
      </c>
      <c r="AC2" s="106" t="s">
        <v>158</v>
      </c>
      <c r="AE2" s="107" t="s">
        <v>112</v>
      </c>
      <c r="AF2" s="103" t="s">
        <v>115</v>
      </c>
      <c r="AG2" s="103"/>
      <c r="AH2" s="103"/>
      <c r="AI2" s="103"/>
      <c r="AJ2" s="107" t="s">
        <v>128</v>
      </c>
      <c r="AK2" s="106" t="s">
        <v>22</v>
      </c>
      <c r="AL2" s="104" t="s">
        <v>133</v>
      </c>
      <c r="AM2" s="104"/>
      <c r="AN2" s="104"/>
      <c r="AO2" s="104"/>
      <c r="AP2" s="103" t="s">
        <v>143</v>
      </c>
      <c r="AQ2" s="103"/>
      <c r="AR2" s="103"/>
      <c r="AS2" s="103"/>
      <c r="AT2" s="104" t="s">
        <v>804</v>
      </c>
      <c r="AU2" s="104"/>
      <c r="AV2" s="104"/>
      <c r="AW2" s="104"/>
      <c r="AX2" s="106" t="s">
        <v>155</v>
      </c>
      <c r="AY2" s="107" t="s">
        <v>158</v>
      </c>
      <c r="BA2" s="106" t="s">
        <v>195</v>
      </c>
      <c r="BB2" s="107" t="s">
        <v>195</v>
      </c>
      <c r="BD2" s="103" t="s">
        <v>200</v>
      </c>
      <c r="BE2" s="103"/>
      <c r="BF2" s="103"/>
      <c r="BG2" s="103"/>
      <c r="BI2" s="104" t="s">
        <v>846</v>
      </c>
      <c r="BJ2" s="104"/>
      <c r="BK2" s="104"/>
      <c r="BL2" s="104"/>
      <c r="BN2" s="103" t="s">
        <v>209</v>
      </c>
      <c r="BO2" s="103"/>
      <c r="BP2" s="103"/>
      <c r="BQ2" s="103"/>
      <c r="BS2" s="104" t="s">
        <v>859</v>
      </c>
      <c r="BT2" s="104"/>
      <c r="BU2" s="104"/>
      <c r="BV2" s="104"/>
    </row>
    <row r="3" spans="1:7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7"/>
      <c r="AC3" s="106"/>
      <c r="AE3" s="107"/>
      <c r="AF3" s="12" t="s">
        <v>116</v>
      </c>
      <c r="AG3" s="12" t="s">
        <v>119</v>
      </c>
      <c r="AH3" s="12" t="s">
        <v>122</v>
      </c>
      <c r="AI3" s="12" t="s">
        <v>125</v>
      </c>
      <c r="AJ3" s="107"/>
      <c r="AK3" s="106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6"/>
      <c r="AY3" s="107"/>
      <c r="BA3" s="106"/>
      <c r="BB3" s="107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F2:AI2"/>
    <mergeCell ref="AJ2:AJ3"/>
    <mergeCell ref="AK2:AK3"/>
    <mergeCell ref="O2:O3"/>
    <mergeCell ref="P2:S2"/>
    <mergeCell ref="T2:W2"/>
    <mergeCell ref="X2:AA2"/>
    <mergeCell ref="AB2:AB3"/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2023-03-29T13:12:34Z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