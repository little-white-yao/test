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条件熵测试结果\v3\pisition_2\"/>
    </mc:Choice>
  </mc:AlternateContent>
  <xr:revisionPtr revIDLastSave="0" documentId="13_ncr:1_{2087F3EB-C456-413F-97AD-71E62F6A2EF2}" xr6:coauthVersionLast="47" xr6:coauthVersionMax="47" xr10:uidLastSave="{00000000-0000-0000-0000-000000000000}"/>
  <bookViews>
    <workbookView xWindow="4200" yWindow="4200" windowWidth="28800" windowHeight="15345" tabRatio="742" activeTab="4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Z107" i="5"/>
  <c r="AZ65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C185" i="5"/>
  <c r="BD41" i="5"/>
  <c r="BI89" i="5"/>
  <c r="BJ35" i="5"/>
  <c r="BH245" i="5"/>
  <c r="BA119" i="5"/>
  <c r="BD257" i="5"/>
  <c r="BD53" i="5"/>
  <c r="BG23" i="5"/>
  <c r="BC251" i="5"/>
  <c r="BJ17" i="5"/>
  <c r="BD113" i="5"/>
  <c r="BK101" i="5"/>
  <c r="BD17" i="5"/>
  <c r="BH101" i="5"/>
  <c r="BJ251" i="5"/>
  <c r="BI221" i="5"/>
  <c r="BC11" i="5"/>
  <c r="BH53" i="5"/>
  <c r="BB149" i="5"/>
  <c r="AZ221" i="5"/>
  <c r="BJ53" i="5"/>
  <c r="BD5" i="5"/>
  <c r="BA125" i="5"/>
  <c r="BK83" i="5"/>
  <c r="BK185" i="5"/>
  <c r="BG227" i="5"/>
  <c r="BG179" i="5"/>
  <c r="BA65" i="5"/>
  <c r="BI71" i="5"/>
  <c r="BJ41" i="5"/>
  <c r="BA209" i="5"/>
  <c r="BJ233" i="5"/>
  <c r="BJ191" i="5"/>
  <c r="BA275" i="5"/>
  <c r="BB119" i="5"/>
  <c r="BK245" i="5"/>
  <c r="BH251" i="5"/>
  <c r="BA227" i="5"/>
  <c r="BG11" i="5"/>
  <c r="BB113" i="5"/>
  <c r="BA113" i="5"/>
  <c r="BK11" i="5"/>
  <c r="AZ263" i="5"/>
  <c r="BC233" i="5"/>
  <c r="BC137" i="5"/>
  <c r="BK23" i="5"/>
  <c r="BB71" i="5"/>
  <c r="BB167" i="5"/>
  <c r="BJ179" i="5"/>
  <c r="BK179" i="5"/>
  <c r="BI113" i="5"/>
  <c r="BD143" i="5"/>
  <c r="BI227" i="5"/>
  <c r="BA35" i="5"/>
  <c r="AZ257" i="5"/>
  <c r="BH17" i="5"/>
  <c r="BD23" i="5"/>
  <c r="BH149" i="5"/>
  <c r="BA263" i="5"/>
  <c r="BI167" i="5"/>
  <c r="BJ119" i="5"/>
  <c r="BI203" i="5"/>
  <c r="BG65" i="5"/>
  <c r="BB143" i="5"/>
  <c r="BJ107" i="5"/>
  <c r="AZ35" i="5"/>
  <c r="BC209" i="5"/>
  <c r="BA155" i="5"/>
  <c r="BD239" i="5"/>
  <c r="BA251" i="5"/>
  <c r="AZ275" i="5"/>
  <c r="BC215" i="5"/>
  <c r="BJ167" i="5"/>
  <c r="BD101" i="5"/>
  <c r="BA83" i="5"/>
  <c r="BJ5" i="5"/>
  <c r="BJ215" i="5"/>
  <c r="BC29" i="5"/>
  <c r="BJ71" i="5"/>
  <c r="BD65" i="5"/>
  <c r="BK161" i="5"/>
  <c r="BK137" i="5"/>
  <c r="BK149" i="5"/>
  <c r="BA233" i="5"/>
  <c r="BI23" i="5"/>
  <c r="AZ83" i="5"/>
  <c r="BG197" i="5"/>
  <c r="BD83" i="5"/>
  <c r="BJ11" i="5"/>
  <c r="BA221" i="5"/>
  <c r="BJ275" i="5"/>
  <c r="BD245" i="5"/>
  <c r="BB161" i="5"/>
  <c r="BC53" i="5"/>
  <c r="BG191" i="5"/>
  <c r="BB269" i="5"/>
  <c r="AZ101" i="5"/>
  <c r="BD59" i="5"/>
  <c r="BI41" i="5"/>
  <c r="BB11" i="5"/>
  <c r="BA41" i="5"/>
  <c r="BG167" i="5"/>
  <c r="BI197" i="5"/>
  <c r="BH167" i="5"/>
  <c r="BC131" i="5"/>
  <c r="BG239" i="5"/>
  <c r="BC41" i="5"/>
  <c r="BA143" i="5"/>
  <c r="BD131" i="5"/>
  <c r="BB35" i="5"/>
  <c r="BI173" i="5"/>
  <c r="BD47" i="5"/>
  <c r="BH137" i="5"/>
  <c r="BK155" i="5"/>
  <c r="BK167" i="5"/>
  <c r="BH113" i="5"/>
  <c r="BH107" i="5"/>
  <c r="BG89" i="5"/>
  <c r="BG59" i="5"/>
  <c r="AZ89" i="5"/>
  <c r="BA239" i="5"/>
  <c r="BC125" i="5"/>
  <c r="BI101" i="5"/>
  <c r="BC263" i="5"/>
  <c r="BB233" i="5"/>
  <c r="BH221" i="5"/>
  <c r="BG269" i="5"/>
  <c r="BA179" i="5"/>
  <c r="BH29" i="5"/>
  <c r="BB155" i="5"/>
  <c r="BB251" i="5"/>
  <c r="BC167" i="5"/>
  <c r="BH185" i="5"/>
  <c r="BA89" i="5"/>
  <c r="BB53" i="5"/>
  <c r="BA47" i="5"/>
  <c r="BC47" i="5"/>
  <c r="BJ131" i="5"/>
  <c r="BG131" i="5"/>
  <c r="BC221" i="5"/>
  <c r="BJ125" i="5"/>
  <c r="BG263" i="5"/>
  <c r="BK251" i="5"/>
  <c r="BD89" i="5"/>
  <c r="AZ59" i="5"/>
  <c r="BJ29" i="5"/>
  <c r="AZ17" i="5"/>
  <c r="BB5" i="5"/>
  <c r="BH11" i="5"/>
  <c r="AZ41" i="5"/>
  <c r="BB17" i="5"/>
  <c r="AZ269" i="5"/>
  <c r="AZ233" i="5"/>
  <c r="BI77" i="5"/>
  <c r="BJ101" i="5"/>
  <c r="BC101" i="5"/>
  <c r="BH233" i="5"/>
  <c r="BD203" i="5"/>
  <c r="BB173" i="5"/>
  <c r="BK89" i="5"/>
  <c r="BD149" i="5"/>
  <c r="BH35" i="5"/>
  <c r="BJ137" i="5"/>
  <c r="BB209" i="5"/>
  <c r="BB83" i="5"/>
  <c r="BB59" i="5"/>
  <c r="BJ77" i="5"/>
  <c r="AZ53" i="5"/>
  <c r="BK17" i="5"/>
  <c r="BB191" i="5"/>
  <c r="BA107" i="5"/>
  <c r="BI137" i="5"/>
  <c r="BB29" i="5"/>
  <c r="BC257" i="5"/>
  <c r="BK221" i="5"/>
  <c r="AZ125" i="5"/>
  <c r="BD179" i="5"/>
  <c r="BK131" i="5"/>
  <c r="BC197" i="5"/>
  <c r="BH239" i="5"/>
  <c r="BJ83" i="5"/>
  <c r="BD275" i="5"/>
  <c r="AZ173" i="5"/>
  <c r="AZ137" i="5"/>
  <c r="AZ167" i="5"/>
  <c r="BB107" i="5"/>
  <c r="BK5" i="5"/>
  <c r="BA197" i="5"/>
  <c r="BD185" i="5"/>
  <c r="BB221" i="5"/>
  <c r="BD125" i="5"/>
  <c r="BI257" i="5"/>
  <c r="BH71" i="5"/>
  <c r="BB41" i="5"/>
  <c r="BD167" i="5"/>
  <c r="AZ71" i="5"/>
  <c r="BC107" i="5"/>
  <c r="BB131" i="5"/>
  <c r="BK65" i="5"/>
  <c r="BC35" i="5"/>
  <c r="BI11" i="5"/>
  <c r="BH59" i="5"/>
  <c r="BC269" i="5"/>
  <c r="BA17" i="5"/>
  <c r="BC65" i="5"/>
  <c r="BG173" i="5"/>
  <c r="BD197" i="5"/>
  <c r="BD191" i="5"/>
  <c r="BB65" i="5"/>
  <c r="BD215" i="5"/>
  <c r="BJ227" i="5"/>
  <c r="BI107" i="5"/>
  <c r="BI29" i="5"/>
  <c r="BJ23" i="5"/>
  <c r="BA101" i="5"/>
  <c r="BC113" i="5"/>
  <c r="BD77" i="5"/>
  <c r="BI119" i="5"/>
  <c r="BH263" i="5"/>
  <c r="BD119" i="5"/>
  <c r="BI95" i="5"/>
  <c r="BA203" i="5"/>
  <c r="AZ149" i="5"/>
  <c r="BB179" i="5"/>
  <c r="BA53" i="5"/>
  <c r="BG83" i="5"/>
  <c r="AZ209" i="5"/>
  <c r="BB47" i="5"/>
  <c r="BC203" i="5"/>
  <c r="BC161" i="5"/>
  <c r="BD269" i="5"/>
  <c r="BJ245" i="5"/>
  <c r="BC23" i="5"/>
  <c r="BD161" i="5"/>
  <c r="BB77" i="5"/>
  <c r="AZ95" i="5"/>
  <c r="BI53" i="5"/>
  <c r="BJ65" i="5"/>
  <c r="AZ23" i="5"/>
  <c r="BA29" i="5"/>
  <c r="BB263" i="5"/>
  <c r="BJ113" i="5"/>
  <c r="BB185" i="5"/>
  <c r="BG53" i="5"/>
  <c r="BC173" i="5"/>
  <c r="BG17" i="5"/>
  <c r="BG251" i="5"/>
  <c r="BI65" i="5"/>
  <c r="BG95" i="5"/>
  <c r="BG245" i="5"/>
  <c r="BJ149" i="5"/>
  <c r="BG107" i="5"/>
  <c r="BG185" i="5"/>
  <c r="BH131" i="5"/>
  <c r="BK257" i="5"/>
  <c r="BG41" i="5"/>
  <c r="AZ5" i="5"/>
  <c r="BD221" i="5"/>
  <c r="BD173" i="5"/>
  <c r="BH83" i="5"/>
  <c r="BG113" i="5"/>
  <c r="BD233" i="5"/>
  <c r="BB23" i="5"/>
  <c r="BJ203" i="5"/>
  <c r="BK215" i="5"/>
  <c r="BI59" i="5"/>
  <c r="AZ131" i="5"/>
  <c r="BK119" i="5"/>
  <c r="BK71" i="5"/>
  <c r="BC59" i="5"/>
  <c r="BB215" i="5"/>
  <c r="BJ161" i="5"/>
  <c r="BK191" i="5"/>
  <c r="BH89" i="5"/>
  <c r="BI143" i="5"/>
  <c r="BJ155" i="5"/>
  <c r="BK233" i="5"/>
  <c r="BH41" i="5"/>
  <c r="BC119" i="5"/>
  <c r="BK59" i="5"/>
  <c r="BK209" i="5"/>
  <c r="BG143" i="5"/>
  <c r="BK239" i="5"/>
  <c r="BD29" i="5"/>
  <c r="BG35" i="5"/>
  <c r="BK263" i="5"/>
  <c r="BB227" i="5"/>
  <c r="AZ185" i="5"/>
  <c r="BJ89" i="5"/>
  <c r="BA23" i="5"/>
  <c r="BB137" i="5"/>
  <c r="BK125" i="5"/>
  <c r="BG125" i="5"/>
  <c r="BG29" i="5"/>
  <c r="AZ215" i="5"/>
  <c r="BA215" i="5"/>
  <c r="BA95" i="5"/>
  <c r="BD107" i="5"/>
  <c r="BH125" i="5"/>
  <c r="BK203" i="5"/>
  <c r="BA77" i="5"/>
  <c r="BG221" i="5"/>
  <c r="BB275" i="5"/>
  <c r="BJ239" i="5"/>
  <c r="BJ257" i="5"/>
  <c r="BK269" i="5"/>
  <c r="BC83" i="5"/>
  <c r="BG119" i="5"/>
  <c r="AZ119" i="5"/>
  <c r="BC149" i="5"/>
  <c r="AZ191" i="5"/>
  <c r="BD71" i="5"/>
  <c r="BH215" i="5"/>
  <c r="BA185" i="5"/>
  <c r="BA71" i="5"/>
  <c r="BH65" i="5"/>
  <c r="BI263" i="5"/>
  <c r="BI245" i="5"/>
  <c r="BA5" i="5"/>
  <c r="BB101" i="5"/>
  <c r="BH197" i="5"/>
  <c r="BK53" i="5"/>
  <c r="BI185" i="5"/>
  <c r="BD227" i="5"/>
  <c r="BJ47" i="5"/>
  <c r="BD251" i="5"/>
  <c r="BD35" i="5"/>
  <c r="BK173" i="5"/>
  <c r="BI191" i="5"/>
  <c r="BA161" i="5"/>
  <c r="BI155" i="5"/>
  <c r="AZ77" i="5"/>
  <c r="BD209" i="5"/>
  <c r="BG215" i="5"/>
  <c r="BJ143" i="5"/>
  <c r="BK143" i="5"/>
  <c r="BB203" i="5"/>
  <c r="BG137" i="5"/>
  <c r="BI125" i="5"/>
  <c r="BJ173" i="5"/>
  <c r="BJ95" i="5"/>
  <c r="BH77" i="5"/>
  <c r="BC227" i="5"/>
  <c r="BK227" i="5"/>
  <c r="BC239" i="5"/>
  <c r="BI215" i="5"/>
  <c r="BC143" i="5"/>
  <c r="BG101" i="5"/>
  <c r="BG209" i="5"/>
  <c r="BA149" i="5"/>
  <c r="BC71" i="5"/>
  <c r="BA173" i="5"/>
  <c r="BH209" i="5"/>
  <c r="AZ11" i="5"/>
  <c r="AZ197" i="5"/>
  <c r="BG47" i="5"/>
  <c r="BJ59" i="5"/>
  <c r="BK47" i="5"/>
  <c r="BK35" i="5"/>
  <c r="BC191" i="5"/>
  <c r="BG71" i="5"/>
  <c r="BA191" i="5"/>
  <c r="BD137" i="5"/>
  <c r="BG257" i="5"/>
  <c r="BK41" i="5"/>
  <c r="BJ209" i="5"/>
  <c r="BI83" i="5"/>
  <c r="BA11" i="5"/>
  <c r="BH23" i="5"/>
  <c r="BH155" i="5"/>
  <c r="BA167" i="5"/>
  <c r="BK29" i="5"/>
  <c r="BD263" i="5"/>
  <c r="BI269" i="5"/>
  <c r="BB239" i="5"/>
  <c r="BC179" i="5"/>
  <c r="BJ221" i="5"/>
  <c r="BH119" i="5"/>
  <c r="BK113" i="5"/>
  <c r="BH203" i="5"/>
  <c r="AZ113" i="5"/>
  <c r="BG203" i="5"/>
  <c r="BH227" i="5"/>
  <c r="BC275" i="5"/>
  <c r="BH143" i="5"/>
  <c r="BK197" i="5"/>
  <c r="AZ203" i="5"/>
  <c r="BC89" i="5"/>
  <c r="BI47" i="5"/>
  <c r="BG5" i="5"/>
  <c r="BJ197" i="5"/>
  <c r="BD11" i="5"/>
  <c r="BG233" i="5"/>
  <c r="AZ227" i="5"/>
  <c r="BD95" i="5"/>
  <c r="BB257" i="5"/>
  <c r="BI239" i="5"/>
  <c r="BK95" i="5"/>
  <c r="AZ239" i="5"/>
  <c r="BI209" i="5"/>
  <c r="BJ263" i="5"/>
  <c r="BG77" i="5"/>
  <c r="AZ47" i="5"/>
  <c r="BG155" i="5"/>
  <c r="BC5" i="5"/>
  <c r="BD155" i="5"/>
  <c r="BH275" i="5"/>
  <c r="BA245" i="5"/>
  <c r="BC77" i="5"/>
  <c r="BI35" i="5"/>
  <c r="BH47" i="5"/>
  <c r="BK107" i="5"/>
  <c r="BI131" i="5"/>
  <c r="BG161" i="5"/>
  <c r="BH161" i="5"/>
  <c r="BB95" i="5"/>
  <c r="BC155" i="5"/>
  <c r="BH257" i="5"/>
  <c r="BH269" i="5"/>
  <c r="BA257" i="5"/>
  <c r="AZ179" i="5"/>
  <c r="BI5" i="5"/>
  <c r="BI149" i="5"/>
  <c r="BI251" i="5"/>
  <c r="BH191" i="5"/>
  <c r="BG275" i="5"/>
  <c r="AZ155" i="5"/>
  <c r="BB89" i="5"/>
  <c r="AZ29" i="5"/>
  <c r="BJ185" i="5"/>
  <c r="BI17" i="5"/>
  <c r="BB245" i="5"/>
  <c r="AZ143" i="5"/>
  <c r="BJ269" i="5"/>
  <c r="BB197" i="5"/>
  <c r="BC17" i="5"/>
  <c r="BA131" i="5"/>
  <c r="BB125" i="5"/>
  <c r="BH5" i="5"/>
  <c r="BI233" i="5"/>
  <c r="AZ161" i="5"/>
  <c r="BA59" i="5"/>
  <c r="BC245" i="5"/>
  <c r="BA137" i="5"/>
  <c r="AZ245" i="5"/>
  <c r="BK275" i="5"/>
  <c r="AZ251" i="5"/>
  <c r="BC95" i="5"/>
  <c r="BK77" i="5"/>
  <c r="BI161" i="5"/>
  <c r="BG149" i="5"/>
  <c r="BA269" i="5"/>
  <c r="BH95" i="5"/>
  <c r="BH179" i="5"/>
  <c r="BI275" i="5"/>
  <c r="BH173" i="5"/>
  <c r="BI179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<sst xmlns="http://schemas.openxmlformats.org/spreadsheetml/2006/main" count="7103" uniqueCount="1049">
  <si>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</si>
  <si>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</si>
  <si>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</si>
  <si>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</si>
  <si>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</si>
  <si>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</si>
  <si>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</si>
  <si>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</si>
  <si>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</si>
  <si>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</si>
  <si>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</si>
  <si>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</si>
  <si>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</si>
  <si>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</si>
  <si>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</si>
  <si>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</si>
  <si>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</si>
  <si>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</si>
  <si>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</si>
  <si>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</si>
  <si>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</si>
  <si>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</si>
  <si>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</si>
  <si>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</si>
  <si>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</si>
  <si>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</si>
  <si>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</si>
  <si>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</si>
  <si>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</si>
  <si>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</si>
  <si>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</si>
  <si>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</si>
  <si>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</si>
  <si>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</si>
  <si>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</si>
  <si>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</si>
  <si>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</si>
  <si>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</si>
  <si>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</si>
  <si>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</si>
  <si>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</si>
  <si>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</si>
  <si>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</si>
  <si>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</si>
  <si>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</si>
  <si>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</si>
  <si>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</si>
  <si>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</si>
  <si>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</si>
  <si>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</si>
  <si>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</si>
  <si>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</si>
  <si>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</si>
  <si>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</si>
  <si>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</si>
  <si>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</si>
  <si>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</si>
  <si>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</si>
  <si>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</si>
  <si>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</si>
  <si>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</si>
  <si>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</si>
  <si>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</si>
  <si>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</si>
  <si>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</si>
  <si>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</si>
  <si>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</si>
  <si>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</si>
  <si>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</si>
  <si>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</si>
  <si>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</si>
  <si>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</si>
  <si>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</si>
  <si>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</si>
  <si>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</si>
  <si>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</si>
  <si>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</si>
  <si>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</si>
  <si>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</si>
  <si>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</si>
  <si>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</si>
  <si>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</si>
  <si>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</si>
  <si>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</si>
  <si>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</si>
  <si>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</si>
  <si>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</si>
  <si>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</si>
  <si>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</si>
  <si>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</si>
  <si>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</si>
  <si>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</si>
  <si>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</si>
  <si>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</si>
  <si>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</si>
  <si>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</si>
  <si>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</si>
  <si>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</si>
  <si>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</si>
  <si>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</si>
  <si>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</si>
  <si>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</si>
  <si>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</si>
  <si>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</si>
  <si>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</si>
  <si>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</si>
  <si>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</si>
  <si>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</si>
  <si>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</si>
  <si>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</si>
  <si>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</si>
  <si>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</si>
  <si>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</si>
  <si>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</si>
  <si>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</si>
  <si>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</si>
  <si>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</si>
  <si>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</si>
  <si>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</si>
  <si>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</si>
  <si>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</si>
  <si>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</si>
  <si>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</si>
  <si>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</si>
  <si>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</si>
  <si>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</si>
  <si>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</si>
  <si>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</si>
  <si>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</si>
  <si>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</si>
  <si>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</si>
  <si>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</si>
  <si>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</si>
  <si>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</si>
  <si>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</si>
  <si>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</si>
  <si>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</si>
  <si>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</si>
  <si>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</si>
  <si>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</si>
  <si>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</si>
  <si>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</si>
  <si>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</si>
  <si>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</si>
  <si>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</si>
  <si>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</si>
  <si>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</si>
  <si>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</si>
  <si>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</si>
  <si>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</si>
  <si>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</si>
  <si>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</si>
  <si>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</si>
  <si>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</si>
  <si>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</si>
  <si>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</si>
  <si>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</si>
  <si>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</si>
  <si>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</si>
  <si>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</si>
  <si>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</si>
  <si>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</si>
  <si>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</si>
  <si>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</si>
  <si>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</si>
  <si>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</si>
  <si>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</si>
  <si>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</si>
  <si>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</si>
  <si>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</si>
  <si>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</si>
  <si>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</si>
  <si>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</si>
  <si>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</si>
  <si>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</si>
  <si>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</si>
  <si>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</si>
  <si>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</si>
  <si>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</si>
  <si>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</si>
  <si>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</si>
  <si>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</si>
  <si>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</si>
  <si>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</si>
  <si>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</si>
  <si>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</si>
  <si>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</si>
  <si>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</si>
  <si>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</si>
  <si>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</si>
  <si>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</si>
  <si>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</si>
  <si>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</si>
  <si>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</si>
  <si>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</si>
  <si>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</si>
  <si>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</si>
  <si>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</si>
  <si>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</si>
  <si>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</si>
  <si>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</si>
  <si>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</si>
  <si>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</si>
  <si>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</si>
  <si>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</si>
  <si>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</si>
  <si>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</si>
  <si>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</si>
  <si>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</si>
  <si>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</si>
  <si>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</si>
  <si>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</si>
  <si>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</si>
  <si>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</si>
  <si>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</si>
  <si>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</si>
  <si>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</si>
  <si>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</si>
  <si>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</si>
  <si>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</si>
  <si>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</si>
  <si>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</si>
  <si>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</si>
  <si>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</si>
  <si>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</si>
  <si>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</si>
  <si>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</si>
  <si>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</si>
  <si>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</si>
  <si>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</si>
  <si>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</si>
  <si>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</si>
  <si>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</si>
  <si>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</si>
  <si>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</si>
  <si>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</si>
  <si>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</si>
  <si>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</si>
  <si>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</si>
  <si>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</si>
  <si>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</si>
  <si>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</si>
  <si>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</si>
  <si>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</si>
  <si>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</si>
  <si>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</si>
  <si>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</si>
  <si>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</si>
  <si>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</si>
  <si>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</si>
  <si>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</si>
  <si>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</si>
  <si>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</si>
  <si>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</si>
  <si>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</si>
  <si>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</si>
  <si>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</si>
  <si>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</si>
  <si>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</si>
  <si>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</si>
  <si>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</si>
  <si>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</si>
  <si>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</si>
  <si>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</si>
  <si>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</si>
  <si>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</si>
  <si>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</si>
  <si>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</si>
  <si>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</si>
  <si>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</si>
  <si>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</si>
  <si>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</si>
  <si>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</si>
  <si>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</si>
  <si>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</si>
  <si>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</si>
  <si>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</si>
  <si>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</si>
  <si>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</si>
  <si>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</si>
  <si>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</si>
  <si>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</si>
  <si>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</si>
  <si>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</si>
  <si>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</si>
  <si>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</si>
  <si>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</si>
  <si>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</si>
  <si>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</si>
  <si>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</si>
  <si>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</si>
  <si>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</si>
  <si>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</si>
  <si>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</si>
  <si>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</si>
  <si>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</si>
  <si>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</si>
  <si>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</si>
  <si>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</si>
  <si>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</si>
  <si>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</si>
  <si>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</si>
  <si>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</si>
  <si>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</si>
  <si>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</si>
  <si>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</si>
  <si>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</si>
  <si>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</si>
  <si>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</si>
  <si>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</si>
  <si>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</si>
  <si>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</si>
  <si>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</si>
  <si>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</si>
  <si>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</si>
  <si>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</si>
  <si>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</si>
  <si>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</si>
  <si>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</si>
  <si>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</si>
  <si>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</si>
  <si>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</si>
  <si>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</si>
  <si>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</si>
  <si>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</si>
  <si>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</si>
  <si>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</si>
  <si>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</si>
  <si>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</si>
  <si>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</si>
  <si>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</si>
  <si>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</si>
  <si>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</si>
  <si>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</si>
  <si>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</si>
  <si>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</si>
  <si>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</si>
  <si>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</si>
  <si>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</si>
  <si>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</si>
  <si>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</si>
  <si>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</si>
  <si>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</si>
  <si>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</si>
  <si>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</si>
  <si>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</si>
  <si>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</si>
  <si>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</si>
  <si>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</si>
  <si>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</si>
  <si>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</si>
  <si>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</si>
  <si>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</si>
  <si>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</si>
  <si>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</si>
  <si>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</si>
  <si>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</si>
  <si>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</si>
  <si>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</si>
  <si>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</si>
  <si>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</si>
  <si>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</si>
  <si>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</si>
  <si>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</si>
  <si>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</si>
  <si>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</si>
  <si>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</si>
  <si>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</si>
  <si>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</si>
  <si>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</si>
  <si>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</si>
  <si>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</si>
  <si>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</si>
  <si>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</si>
  <si>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</si>
  <si>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</si>
  <si>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</si>
  <si>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</si>
  <si>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</si>
  <si>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</si>
  <si>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</si>
  <si>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</si>
  <si>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</si>
  <si>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</si>
  <si>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</si>
  <si>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</si>
  <si>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</si>
  <si>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</si>
  <si>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</si>
  <si>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</si>
  <si>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</si>
  <si>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</si>
  <si>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</si>
  <si>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</si>
  <si>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</si>
  <si>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</si>
  <si>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</si>
  <si>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</si>
  <si>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</si>
  <si>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</si>
  <si>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</si>
  <si>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</si>
  <si>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</si>
  <si>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</si>
  <si>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</si>
  <si>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</si>
  <si>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</si>
  <si>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</si>
  <si>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</si>
  <si>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</si>
  <si>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</si>
  <si>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</si>
  <si>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</si>
  <si>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</si>
  <si>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</si>
  <si>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</si>
  <si>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</si>
  <si>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</si>
  <si>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</si>
  <si>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</si>
  <si>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</si>
  <si>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</si>
  <si>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</si>
  <si>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</si>
  <si>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</si>
  <si>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</si>
  <si>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</si>
  <si>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</si>
  <si>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</si>
  <si>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</si>
  <si>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</si>
  <si>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</si>
  <si>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</si>
  <si>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</si>
  <si>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</si>
  <si>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</si>
  <si>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</si>
  <si>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</si>
  <si>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</si>
  <si>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</si>
  <si>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</si>
  <si>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</si>
  <si>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</si>
  <si>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</si>
  <si>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</si>
  <si>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</si>
  <si>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</si>
  <si>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</si>
  <si>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</si>
  <si>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</si>
  <si>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</si>
  <si>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</si>
  <si>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</si>
  <si>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</si>
  <si>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</si>
  <si>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</si>
  <si>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</si>
  <si>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</si>
  <si>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</si>
  <si>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</si>
  <si>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</si>
  <si>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</si>
  <si>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</si>
  <si>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</si>
  <si>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</si>
  <si>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</si>
  <si>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</si>
  <si>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</si>
  <si>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</si>
  <si>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</si>
  <si>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</si>
  <si>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</si>
  <si>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</si>
  <si>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</si>
  <si>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</si>
  <si>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</si>
  <si>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</si>
  <si>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</si>
  <si>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</si>
  <si>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</si>
  <si>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</si>
  <si>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</si>
  <si>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</si>
  <si>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</si>
  <si>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</si>
  <si>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</si>
  <si>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</si>
  <si>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</si>
  <si>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</si>
  <si>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</si>
  <si>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</si>
  <si>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</si>
  <si>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</si>
  <si>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</si>
  <si>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</si>
  <si>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</si>
  <si>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</si>
  <si>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</si>
  <si>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</si>
  <si>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</si>
  <si>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</si>
  <si>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</si>
  <si>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</si>
  <si>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</si>
  <si>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</si>
  <si>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</si>
  <si>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</si>
  <si>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</si>
  <si>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</si>
  <si>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</si>
  <si>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</si>
  <si>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</si>
  <si>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</si>
  <si>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</si>
  <si>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</si>
  <si>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</si>
  <si>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</si>
  <si>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</si>
  <si>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</si>
  <si>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</si>
  <si>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</si>
  <si>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</si>
  <si>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</si>
  <si>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</si>
  <si>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</si>
  <si>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</si>
  <si>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</si>
  <si>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</si>
  <si>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</si>
  <si>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</si>
  <si>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</si>
  <si>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</si>
  <si>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</si>
  <si>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</si>
  <si>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</si>
  <si>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</si>
  <si>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</si>
  <si>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</si>
  <si>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</si>
  <si>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</si>
  <si>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</si>
  <si>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</si>
  <si>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</si>
  <si>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</si>
  <si>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</si>
  <si>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</si>
  <si>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</si>
  <si>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</si>
  <si>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</si>
  <si>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</si>
  <si>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</si>
  <si>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</si>
  <si>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</si>
  <si>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</si>
  <si>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</si>
  <si>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</si>
  <si>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</si>
  <si>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</si>
  <si>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</si>
  <si>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</si>
  <si>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</si>
  <si>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</si>
  <si>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</si>
  <si>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</si>
  <si>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</si>
  <si>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</si>
  <si>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</si>
  <si>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</si>
  <si>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</si>
  <si>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</si>
  <si>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</si>
  <si>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</si>
  <si>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</si>
  <si>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</si>
  <si>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</si>
  <si>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</si>
  <si>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</si>
  <si>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</si>
  <si>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</si>
  <si>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</si>
  <si>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</si>
  <si>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</si>
  <si>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</si>
  <si>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</si>
  <si>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</si>
  <si>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</si>
  <si>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</si>
  <si>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</si>
  <si>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</si>
  <si>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</si>
  <si>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</si>
  <si>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</si>
  <si>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</si>
  <si>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</si>
  <si>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</si>
  <si>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</si>
  <si>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</si>
  <si>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</si>
  <si>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</si>
  <si>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</si>
  <si>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</si>
  <si>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</si>
  <si>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</si>
  <si>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</si>
  <si>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</si>
  <si>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</si>
  <si>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</si>
  <si>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</si>
  <si>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</si>
  <si>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</si>
  <si>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</si>
  <si>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</si>
  <si>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</si>
  <si>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</si>
  <si>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</si>
  <si>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</si>
  <si>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</si>
  <si>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</si>
  <si>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</si>
  <si>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</si>
  <si>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</si>
  <si>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</si>
  <si>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</si>
  <si>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</si>
  <si>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</si>
  <si>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</si>
  <si>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</si>
  <si>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</si>
  <si>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</si>
  <si>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</si>
  <si>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</si>
  <si>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</si>
  <si>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</si>
  <si>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</si>
  <si>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</si>
  <si>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</si>
  <si>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</si>
  <si>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</si>
  <si>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</si>
  <si>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</si>
  <si>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</si>
  <si>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</si>
  <si>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</si>
  <si>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</si>
  <si>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</si>
  <si>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</si>
  <si>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</si>
  <si>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</si>
  <si>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</si>
  <si>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</si>
  <si>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</si>
  <si>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</si>
  <si>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</si>
  <si>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</si>
  <si>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</si>
  <si>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</si>
  <si>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</si>
  <si>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</si>
  <si>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</si>
  <si>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</si>
  <si>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</si>
  <si>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</si>
  <si>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</si>
  <si>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</si>
  <si>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</si>
  <si>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</si>
  <si>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</si>
  <si>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</si>
  <si>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</si>
  <si>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</si>
  <si>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</si>
  <si>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</si>
  <si>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</si>
  <si>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</si>
  <si>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</si>
  <si>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</si>
  <si>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</si>
  <si>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</si>
  <si>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</si>
  <si>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</si>
  <si>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</si>
  <si>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</si>
  <si>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</si>
  <si>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</si>
  <si>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</si>
  <si>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</si>
  <si>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</si>
  <si>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</si>
  <si>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</si>
  <si>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</si>
  <si>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</si>
  <si>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</si>
  <si>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</si>
  <si>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</si>
  <si>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</si>
  <si>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</si>
  <si>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</si>
  <si>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</si>
  <si>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</si>
  <si>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</si>
  <si>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</si>
  <si>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</si>
  <si>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</si>
  <si>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</si>
  <si>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</si>
  <si>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</si>
  <si>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</si>
  <si>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</si>
  <si>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</si>
  <si>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</si>
  <si>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</si>
  <si>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</si>
  <si>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</si>
  <si>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</si>
  <si>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</si>
  <si>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</si>
  <si>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</si>
  <si>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</si>
  <si>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</si>
  <si>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</si>
  <si>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</si>
  <si>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</si>
  <si>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</si>
  <si>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</si>
  <si>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</si>
  <si>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</si>
  <si>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</si>
  <si>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</si>
  <si>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</si>
  <si>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</si>
  <si>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</si>
  <si>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</si>
  <si>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</si>
  <si>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</si>
  <si>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</si>
  <si>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</si>
  <si>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</si>
  <si>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</si>
  <si>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</si>
  <si>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</si>
  <si>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</si>
  <si>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</si>
  <si>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</si>
  <si>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</si>
  <si>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</si>
  <si>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</si>
  <si>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</si>
  <si>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</si>
  <si>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</si>
  <si>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</si>
  <si>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</si>
  <si>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</si>
  <si>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</si>
  <si>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</si>
  <si>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</si>
  <si>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</si>
  <si>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</si>
  <si>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</si>
  <si>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</si>
  <si>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</si>
  <si>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</si>
  <si>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</si>
  <si>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</si>
  <si>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</si>
  <si>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</si>
  <si>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</si>
  <si>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</si>
  <si>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</si>
  <si>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</si>
  <si>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</si>
  <si>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</si>
  <si>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</si>
  <si>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</si>
  <si>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</si>
  <si>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</si>
  <si>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</si>
  <si>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</si>
  <si>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</si>
  <si>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</si>
  <si>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</si>
  <si>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</si>
  <si>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</si>
  <si>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</si>
  <si>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</si>
  <si>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</si>
  <si>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</si>
  <si>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</si>
  <si>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</si>
  <si>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</si>
  <si>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</si>
  <si>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</si>
  <si>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</si>
  <si>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</si>
  <si>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</si>
  <si>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</si>
  <si>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</si>
  <si>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</si>
  <si>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</si>
  <si>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</si>
  <si>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</si>
  <si>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</si>
  <si>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</si>
  <si>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</si>
  <si>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</si>
  <si>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</si>
  <si>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</si>
  <si>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</si>
  <si>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</si>
  <si>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</si>
  <si>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</si>
  <si>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</si>
  <si>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</si>
  <si>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</si>
  <si>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</si>
  <si>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</si>
  <si>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</si>
  <si>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</si>
  <si>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</si>
  <si>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</si>
  <si>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</si>
  <si>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</si>
  <si>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</si>
  <si>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</si>
  <si>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</si>
  <si>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</si>
  <si>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</si>
  <si>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</si>
  <si>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</si>
  <si>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</si>
  <si>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</si>
  <si>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</si>
  <si>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</si>
  <si>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</si>
  <si>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</si>
  <si>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</si>
  <si>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</si>
  <si>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</si>
  <si>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</si>
  <si>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</si>
  <si>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</si>
  <si>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</si>
  <si>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</si>
  <si>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</si>
  <si>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</si>
  <si>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</si>
  <si>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</si>
  <si>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</si>
  <si>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</si>
  <si>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</si>
  <si>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</si>
  <si>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</si>
  <si>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</si>
  <si>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</si>
  <si>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</si>
  <si>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</si>
  <si>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</si>
  <si>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</si>
  <si>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</si>
  <si>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</si>
  <si>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</si>
  <si>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</si>
  <si>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</si>
  <si>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</si>
  <si>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</si>
  <si>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</si>
  <si>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</si>
  <si>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</si>
  <si>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</si>
  <si>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</si>
  <si>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</si>
  <si>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</si>
  <si>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</si>
  <si>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</si>
  <si>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</si>
  <si>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</si>
  <si>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</si>
  <si>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</si>
  <si>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</si>
  <si>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</si>
  <si>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</si>
  <si>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</si>
  <si>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</si>
  <si>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</si>
  <si>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</si>
  <si>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</si>
  <si>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</si>
  <si>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</si>
  <si>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</si>
  <si>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</si>
  <si>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</si>
  <si>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</si>
  <si>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</si>
  <si>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</si>
  <si>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</si>
  <si>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</si>
  <si>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</si>
  <si>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</si>
  <si>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</si>
  <si>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</si>
  <si>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</si>
  <si>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</si>
  <si>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</si>
  <si>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</si>
  <si>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</si>
  <si>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</si>
  <si>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</si>
  <si>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</si>
  <si>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</si>
  <si>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</si>
  <si>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</si>
  <si>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</si>
  <si>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</si>
  <si>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</si>
  <si>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</si>
  <si>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</si>
  <si>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</si>
  <si>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</si>
  <si>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</si>
  <si>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</si>
  <si>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</si>
  <si>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</si>
  <si>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</si>
  <si>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</si>
  <si>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</si>
  <si>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</si>
  <si>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</si>
  <si>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</si>
  <si>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</si>
  <si>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</si>
  <si>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</si>
  <si>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</si>
  <si>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</si>
  <si>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</si>
  <si>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</si>
  <si>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</si>
  <si>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</si>
  <si>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</si>
  <si>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</si>
  <si>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</si>
  <si>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</si>
  <si>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</si>
  <si>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</si>
  <si>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</si>
  <si>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</si>
  <si>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</si>
  <si>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</si>
  <si>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</si>
  <si>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</si>
  <si>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</si>
  <si>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</si>
  <si>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</si>
  <si>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</si>
  <si>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</si>
  <si>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</si>
  <si>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</si>
  <si>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</si>
  <si>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</si>
  <si>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</si>
  <si>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</si>
  <si>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</si>
  <si>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</si>
  <si>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</si>
  <si>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</si>
  <si>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</si>
  <si>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</si>
  <si>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</si>
  <si>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</si>
  <si>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</si>
  <si>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</si>
  <si>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</si>
  <si>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</si>
  <si>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</si>
  <si>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</si>
  <si>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</si>
  <si>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</si>
  <si>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</si>
  <si>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</si>
  <si>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</si>
  <si>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</si>
  <si>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</si>
  <si>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</si>
  <si>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</si>
  <si>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</si>
  <si>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</si>
  <si>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</si>
  <si>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</si>
  <si>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</si>
  <si>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</si>
  <si>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</si>
  <si>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</si>
  <si>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</si>
  <si>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</si>
  <si>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</si>
  <si>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</si>
  <si>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</si>
  <si>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</si>
  <si>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</si>
  <si>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</si>
  <si>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</si>
  <si>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</si>
  <si>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</si>
  <si>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</si>
  <si>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</si>
  <si>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</si>
  <si>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</si>
  <si>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</si>
  <si>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</si>
  <si>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</si>
  <si>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</si>
  <si>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</si>
  <si>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</si>
  <si>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</si>
  <si>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</si>
  <si>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</si>
  <si>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</si>
  <si>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</si>
  <si>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</si>
  <si>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</si>
  <si>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</si>
  <si>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</si>
  <si>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</si>
  <si>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</si>
  <si>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</si>
  <si>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</si>
  <si>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</si>
  <si>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</si>
  <si>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</si>
  <si>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</si>
  <si>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</si>
  <si>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</si>
  <si>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</si>
  <si>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</si>
  <si>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</si>
  <si>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</si>
  <si>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</si>
  <si>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</si>
  <si>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</si>
  <si>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</si>
  <si>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</si>
  <si>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</si>
  <si>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</si>
  <si>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</si>
  <si>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</si>
  <si>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</si>
  <si>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</si>
  <si>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</si>
  <si>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</si>
  <si>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</si>
  <si>
    <t>stanford_area_4_vox20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</si>
</sst>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opLeftCell="C7" workbookViewId="0">
      <selection activeCell="C31" sqref="C31:H31"/>
    </sheetView>
  </sheetViews>
  <sheetFormatPr defaultRowHeight="13.5" x14ac:dyDescent="0.15"/>
  <cols>
    <col min="1" max="1" width="0" hidden="1" customWidth="1"/>
    <col min="2" max="2" width="28" bestFit="1" customWidth="1"/>
    <col min="3" max="8" width="24.625" customWidth="1"/>
  </cols>
  <sheetData>
    <row r="1" spans="2:6" x14ac:dyDescent="0.15">
      <c r="B1" t="s">
        <v>0</v>
      </c>
      <c r="C1" s="95" t="s">
        <v>1041</v>
      </c>
      <c r="D1" s="95"/>
      <c r="E1" s="95"/>
    </row>
    <row r="2" spans="2:6" x14ac:dyDescent="0.15">
      <c r="B2" t="s">
        <v>1</v>
      </c>
      <c r="C2" s="96" t="s">
        <v>1042</v>
      </c>
      <c r="D2" s="96"/>
      <c r="E2" s="96"/>
    </row>
    <row r="4" spans="2:6" s="1" customFormat="1" x14ac:dyDescent="0.15">
      <c r="B4" s="1" t="s">
        <v>413</v>
      </c>
    </row>
    <row r="6" spans="2:6" x14ac:dyDescent="0.15">
      <c r="B6" s="97" t="s">
        <v>414</v>
      </c>
      <c r="C6" s="98" t="s">
        <v>415</v>
      </c>
      <c r="D6" s="98"/>
      <c r="E6" s="98"/>
      <c r="F6" s="98"/>
    </row>
    <row r="7" spans="2:6" x14ac:dyDescent="0.15">
      <c r="B7" s="97"/>
      <c r="C7" s="99" t="s">
        <v>200</v>
      </c>
      <c r="D7" s="99"/>
      <c r="E7" s="99"/>
      <c r="F7" s="99"/>
    </row>
    <row r="8" spans="2:6" x14ac:dyDescent="0.1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100" t="e">
        <f>'C1 losslG,lossyA,intra'!AP370</f>
        <v>#NUM!</v>
      </c>
      <c r="D17" s="100"/>
      <c r="E17" s="100"/>
      <c r="F17" s="100"/>
    </row>
    <row r="18" spans="2:8" x14ac:dyDescent="0.15">
      <c r="B18" s="8" t="s">
        <v>417</v>
      </c>
      <c r="C18" s="101" t="e">
        <f>'C1 losslG,lossyA,intra'!AQ370</f>
        <v>#NUM!</v>
      </c>
      <c r="D18" s="101"/>
      <c r="E18" s="101"/>
      <c r="F18" s="101"/>
    </row>
    <row r="20" spans="2:8" x14ac:dyDescent="0.1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15">
      <c r="B21" s="97"/>
      <c r="C21" s="99" t="s">
        <v>200</v>
      </c>
      <c r="D21" s="99"/>
      <c r="E21" s="99"/>
      <c r="F21" s="99"/>
      <c r="G21" s="102" t="s">
        <v>474</v>
      </c>
      <c r="H21" s="102"/>
    </row>
    <row r="22" spans="2:8" x14ac:dyDescent="0.1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4.0058938242390546E-3</v>
      </c>
      <c r="H23" s="3">
        <f>'C2 lossyG,lossyA,intra'!$BA$359:$BA$359</f>
        <v>4.0448425893922684E-3</v>
      </c>
    </row>
    <row r="24" spans="2:8" x14ac:dyDescent="0.1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2.2742235408328426E-3</v>
      </c>
      <c r="H24" s="3">
        <f>'C2 lossyG,lossyA,intra'!$BA$360:$BA$360</f>
        <v>2.4156163940762254E-3</v>
      </c>
    </row>
    <row r="25" spans="2:8" x14ac:dyDescent="0.1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6.4993012265211541E-3</v>
      </c>
      <c r="H25" s="3">
        <f>'C2 lossyG,lossyA,intra'!$BA$361:$BA$361</f>
        <v>6.7448029500793366E-3</v>
      </c>
    </row>
    <row r="26" spans="2:8" x14ac:dyDescent="0.1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4.6918711588759404E-3</v>
      </c>
      <c r="H26" s="3">
        <f>'C2 lossyG,lossyA,intra'!$BA$362:$BA$362</f>
        <v>4.8231086153233405E-3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4.2805951410619788E-3</v>
      </c>
      <c r="H30" s="6">
        <f>'C2 lossyG,lossyA,intra'!$BA$366:$BA$366</f>
        <v>4.4187814006376655E-3</v>
      </c>
    </row>
    <row r="31" spans="2:8" x14ac:dyDescent="0.15">
      <c r="B31" t="s">
        <v>416</v>
      </c>
      <c r="C31" s="100">
        <f>'C2 lossyG,lossyA,intra'!AT370</f>
        <v>1</v>
      </c>
      <c r="D31" s="100"/>
      <c r="E31" s="100"/>
      <c r="F31" s="100"/>
      <c r="G31" s="100"/>
      <c r="H31" s="100"/>
    </row>
    <row r="32" spans="2:8" x14ac:dyDescent="0.15">
      <c r="B32" s="8" t="s">
        <v>417</v>
      </c>
      <c r="C32" s="101">
        <f>'C2 lossyG,lossyA,intra'!AU370</f>
        <v>1</v>
      </c>
      <c r="D32" s="101"/>
      <c r="E32" s="101"/>
      <c r="F32" s="101"/>
      <c r="G32" s="101"/>
      <c r="H32" s="101"/>
    </row>
    <row r="34" spans="2:6" x14ac:dyDescent="0.15">
      <c r="B34" s="97" t="s">
        <v>778</v>
      </c>
      <c r="C34" s="98" t="s">
        <v>779</v>
      </c>
      <c r="D34" s="98"/>
      <c r="E34" s="98"/>
      <c r="F34" s="98"/>
    </row>
    <row r="35" spans="2:6" x14ac:dyDescent="0.15">
      <c r="B35" s="97"/>
      <c r="C35" s="99" t="s">
        <v>650</v>
      </c>
      <c r="D35" s="99"/>
      <c r="E35" s="99"/>
      <c r="F35" s="99"/>
    </row>
    <row r="36" spans="2:6" x14ac:dyDescent="0.1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100" t="e">
        <f>'CW losslG,losslA,intra'!AI75</f>
        <v>#NUM!</v>
      </c>
      <c r="D45" s="100"/>
      <c r="E45" s="100"/>
      <c r="F45" s="100"/>
    </row>
    <row r="46" spans="2:6" x14ac:dyDescent="0.15">
      <c r="B46" s="8" t="s">
        <v>417</v>
      </c>
      <c r="C46" s="101" t="e">
        <f>'CW losslG,losslA,intra'!AJ75</f>
        <v>#NUM!</v>
      </c>
      <c r="D46" s="101"/>
      <c r="E46" s="101"/>
      <c r="F46" s="101"/>
    </row>
    <row r="48" spans="2:6" x14ac:dyDescent="0.15">
      <c r="B48" s="97" t="s">
        <v>985</v>
      </c>
      <c r="C48" s="98" t="s">
        <v>986</v>
      </c>
      <c r="D48" s="98"/>
      <c r="E48" s="98"/>
      <c r="F48" s="98"/>
    </row>
    <row r="49" spans="2:6" x14ac:dyDescent="0.15">
      <c r="B49" s="97"/>
      <c r="C49" s="99" t="s">
        <v>846</v>
      </c>
      <c r="D49" s="99"/>
      <c r="E49" s="99"/>
      <c r="F49" s="99"/>
    </row>
    <row r="50" spans="2:6" x14ac:dyDescent="0.1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100" t="e">
        <f>'CY losslG,nearllA,intra'!AX311</f>
        <v>#NUM!</v>
      </c>
      <c r="D59" s="100"/>
      <c r="E59" s="100"/>
      <c r="F59" s="100"/>
    </row>
    <row r="60" spans="2:6" x14ac:dyDescent="0.15">
      <c r="B60" s="8" t="s">
        <v>417</v>
      </c>
      <c r="C60" s="101" t="e">
        <f>'CY losslG,nearllA,intra'!AY311</f>
        <v>#NUM!</v>
      </c>
      <c r="D60" s="101"/>
      <c r="E60" s="101"/>
      <c r="F60" s="101"/>
    </row>
  </sheetData>
  <mergeCells count="23">
    <mergeCell ref="C59:F59"/>
    <mergeCell ref="C60:F60"/>
    <mergeCell ref="C45:F45"/>
    <mergeCell ref="C46:F46"/>
    <mergeCell ref="B48:B50"/>
    <mergeCell ref="C48:F48"/>
    <mergeCell ref="C49:F49"/>
    <mergeCell ref="C31:H31"/>
    <mergeCell ref="C32:H32"/>
    <mergeCell ref="B34:B36"/>
    <mergeCell ref="C34:F34"/>
    <mergeCell ref="C35:F35"/>
    <mergeCell ref="C17:F17"/>
    <mergeCell ref="C18:F18"/>
    <mergeCell ref="B20:B22"/>
    <mergeCell ref="C20:H20"/>
    <mergeCell ref="C21:F21"/>
    <mergeCell ref="G21:H21"/>
    <mergeCell ref="C1:E1"/>
    <mergeCell ref="C2:E2"/>
    <mergeCell ref="B6:B8"/>
    <mergeCell ref="C6:F6"/>
    <mergeCell ref="C7:F7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1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1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3" width="11.625" customWidth="1"/>
    <col min="26" max="26" width="1.625" customWidth="1"/>
    <col min="28" max="30" width="10.625" customWidth="1"/>
    <col min="31" max="31" width="11.625" customWidth="1"/>
    <col min="32" max="32" width="12.625" customWidth="1"/>
    <col min="33" max="33" width="10.625" customWidth="1"/>
    <col min="34" max="37" width="12.625" customWidth="1"/>
    <col min="38" max="41" width="11.625" customWidth="1"/>
    <col min="44" max="44" width="1.625" customWidth="1"/>
    <col min="47" max="47" width="1.625" customWidth="1"/>
    <col min="48" max="51" width="11.625" customWidth="1"/>
    <col min="52" max="52" width="1.625" customWidth="1"/>
    <col min="53" max="56" width="11.625" customWidth="1"/>
    <col min="57" max="57" width="1.625" customWidth="1"/>
  </cols>
  <sheetData>
    <row r="1" spans="1:56" x14ac:dyDescent="0.15">
      <c r="A1" s="107" t="s">
        <v>218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AA1" s="96" t="str">
        <f>Summary!C2</f>
        <v>v20.0-rc1-trisoup-raht+18edges+flagCtx_test</v>
      </c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</row>
    <row r="2" spans="1:56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143</v>
      </c>
      <c r="U2" s="106"/>
      <c r="V2" s="106"/>
      <c r="W2" s="106"/>
      <c r="X2" s="104" t="s">
        <v>155</v>
      </c>
      <c r="Y2" s="103" t="s">
        <v>158</v>
      </c>
      <c r="AA2" s="104" t="s">
        <v>112</v>
      </c>
      <c r="AB2" s="106" t="s">
        <v>115</v>
      </c>
      <c r="AC2" s="106"/>
      <c r="AD2" s="106"/>
      <c r="AE2" s="106"/>
      <c r="AF2" s="104" t="s">
        <v>128</v>
      </c>
      <c r="AG2" s="103" t="s">
        <v>22</v>
      </c>
      <c r="AH2" s="105" t="s">
        <v>133</v>
      </c>
      <c r="AI2" s="105"/>
      <c r="AJ2" s="105"/>
      <c r="AK2" s="105"/>
      <c r="AL2" s="106" t="s">
        <v>143</v>
      </c>
      <c r="AM2" s="106"/>
      <c r="AN2" s="106"/>
      <c r="AO2" s="106"/>
      <c r="AP2" s="104" t="s">
        <v>155</v>
      </c>
      <c r="AQ2" s="103" t="s">
        <v>158</v>
      </c>
      <c r="AS2" s="104" t="s">
        <v>195</v>
      </c>
      <c r="AT2" s="103" t="s">
        <v>195</v>
      </c>
      <c r="AV2" s="105" t="s">
        <v>200</v>
      </c>
      <c r="AW2" s="105"/>
      <c r="AX2" s="105"/>
      <c r="AY2" s="105"/>
      <c r="BA2" s="106" t="s">
        <v>209</v>
      </c>
      <c r="BB2" s="106"/>
      <c r="BC2" s="106"/>
      <c r="BD2" s="106"/>
    </row>
    <row r="3" spans="1:56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4"/>
      <c r="Y3" s="103"/>
      <c r="AA3" s="104"/>
      <c r="AB3" s="11" t="s">
        <v>116</v>
      </c>
      <c r="AC3" s="11" t="s">
        <v>119</v>
      </c>
      <c r="AD3" s="11" t="s">
        <v>122</v>
      </c>
      <c r="AE3" s="11" t="s">
        <v>125</v>
      </c>
      <c r="AF3" s="104"/>
      <c r="AG3" s="103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4"/>
      <c r="AQ3" s="103"/>
      <c r="AS3" s="104"/>
      <c r="AT3" s="103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62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995</v>
      </c>
      <c r="B110" s="79" t="s">
        <v>992</v>
      </c>
    </row>
    <row r="111" spans="1:2" x14ac:dyDescent="0.15">
      <c r="A111" t="s">
        <v>996</v>
      </c>
      <c r="B111" s="79" t="s">
        <v>993</v>
      </c>
    </row>
    <row r="112" spans="1:2" x14ac:dyDescent="0.15">
      <c r="A112" t="s">
        <v>997</v>
      </c>
      <c r="B112" s="79" t="s">
        <v>994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998</v>
      </c>
      <c r="B231" s="79" t="s">
        <v>1001</v>
      </c>
    </row>
    <row r="232" spans="1:20" x14ac:dyDescent="0.15">
      <c r="A232" t="s">
        <v>999</v>
      </c>
      <c r="B232" s="79" t="s">
        <v>1002</v>
      </c>
    </row>
    <row r="233" spans="1:20" x14ac:dyDescent="0.15">
      <c r="A233" t="s">
        <v>1000</v>
      </c>
      <c r="B233" s="79" t="s">
        <v>1003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1004</v>
      </c>
      <c r="B333" s="79" t="s">
        <v>1007</v>
      </c>
    </row>
    <row r="334" spans="1:15" x14ac:dyDescent="0.15">
      <c r="A334" t="s">
        <v>1005</v>
      </c>
      <c r="B334" s="79" t="s">
        <v>1008</v>
      </c>
    </row>
    <row r="335" spans="1:15" x14ac:dyDescent="0.15">
      <c r="A335" t="s">
        <v>1006</v>
      </c>
      <c r="B335" s="79" t="s">
        <v>1009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1010</v>
      </c>
      <c r="B462" s="79" t="s">
        <v>1013</v>
      </c>
    </row>
    <row r="463" spans="1:2" x14ac:dyDescent="0.15">
      <c r="A463" t="s">
        <v>1011</v>
      </c>
      <c r="B463" s="79" t="s">
        <v>1014</v>
      </c>
    </row>
    <row r="464" spans="1:2" x14ac:dyDescent="0.15">
      <c r="A464" t="s">
        <v>1012</v>
      </c>
      <c r="B464" s="79" t="s">
        <v>1015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tabSelected="1" zoomScale="85" zoomScaleNormal="85" workbookViewId="0">
      <pane xSplit="2" ySplit="4" topLeftCell="AH5" activePane="bottomRight" state="frozen"/>
      <selection pane="topRight" activeCell="C1" sqref="C1"/>
      <selection pane="bottomLeft" activeCell="A5" sqref="A5"/>
      <selection pane="bottomRight" activeCell="AU280" sqref="AT5:AU280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5" width="11.625" customWidth="1"/>
    <col min="28" max="28" width="1.625" customWidth="1"/>
    <col min="30" max="32" width="10.625" customWidth="1"/>
    <col min="33" max="33" width="11.625" customWidth="1"/>
    <col min="34" max="34" width="12.625" customWidth="1"/>
    <col min="35" max="35" width="10.625" customWidth="1"/>
    <col min="36" max="39" width="12.625" customWidth="1"/>
    <col min="40" max="45" width="11.625" customWidth="1"/>
    <col min="48" max="48" width="1.625" customWidth="1"/>
    <col min="51" max="51" width="1.625" customWidth="1"/>
    <col min="54" max="57" width="11.625" customWidth="1"/>
    <col min="58" max="58" width="1.625" customWidth="1"/>
    <col min="61" max="64" width="11.625" customWidth="1"/>
    <col min="65" max="65" width="1.625" customWidth="1"/>
  </cols>
  <sheetData>
    <row r="1" spans="1:64" x14ac:dyDescent="0.15">
      <c r="A1" s="107" t="s">
        <v>492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C1" s="96" t="str">
        <f>Summary!C2</f>
        <v>v20.0-rc1-trisoup-raht+18edges+flagCtx_test</v>
      </c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</row>
    <row r="2" spans="1:64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438</v>
      </c>
      <c r="U2" s="106"/>
      <c r="V2" s="105" t="s">
        <v>143</v>
      </c>
      <c r="W2" s="105"/>
      <c r="X2" s="105"/>
      <c r="Y2" s="105"/>
      <c r="Z2" s="103" t="s">
        <v>155</v>
      </c>
      <c r="AA2" s="104" t="s">
        <v>158</v>
      </c>
      <c r="AC2" s="103" t="s">
        <v>112</v>
      </c>
      <c r="AD2" s="105" t="s">
        <v>115</v>
      </c>
      <c r="AE2" s="105"/>
      <c r="AF2" s="105"/>
      <c r="AG2" s="105"/>
      <c r="AH2" s="103" t="s">
        <v>128</v>
      </c>
      <c r="AI2" s="104" t="s">
        <v>22</v>
      </c>
      <c r="AJ2" s="106" t="s">
        <v>133</v>
      </c>
      <c r="AK2" s="106"/>
      <c r="AL2" s="106"/>
      <c r="AM2" s="106"/>
      <c r="AN2" s="105" t="s">
        <v>438</v>
      </c>
      <c r="AO2" s="105"/>
      <c r="AP2" s="106" t="s">
        <v>143</v>
      </c>
      <c r="AQ2" s="106"/>
      <c r="AR2" s="106"/>
      <c r="AS2" s="106"/>
      <c r="AT2" s="104" t="s">
        <v>155</v>
      </c>
      <c r="AU2" s="103" t="s">
        <v>158</v>
      </c>
      <c r="AW2" s="104" t="s">
        <v>195</v>
      </c>
      <c r="AX2" s="103" t="s">
        <v>195</v>
      </c>
      <c r="AZ2" s="105" t="s">
        <v>474</v>
      </c>
      <c r="BA2" s="105"/>
      <c r="BB2" s="106" t="s">
        <v>200</v>
      </c>
      <c r="BC2" s="106"/>
      <c r="BD2" s="106"/>
      <c r="BE2" s="106"/>
      <c r="BG2" s="105" t="s">
        <v>483</v>
      </c>
      <c r="BH2" s="105"/>
      <c r="BI2" s="106" t="s">
        <v>209</v>
      </c>
      <c r="BJ2" s="106"/>
      <c r="BK2" s="106"/>
      <c r="BL2" s="106"/>
    </row>
    <row r="3" spans="1:64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3"/>
      <c r="AA3" s="104"/>
      <c r="AC3" s="103"/>
      <c r="AD3" s="12" t="s">
        <v>116</v>
      </c>
      <c r="AE3" s="12" t="s">
        <v>119</v>
      </c>
      <c r="AF3" s="12" t="s">
        <v>122</v>
      </c>
      <c r="AG3" s="12" t="s">
        <v>125</v>
      </c>
      <c r="AH3" s="103"/>
      <c r="AI3" s="104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4"/>
      <c r="AU3" s="103"/>
      <c r="AW3" s="104"/>
      <c r="AX3" s="103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3.7299428408136145E-2</v>
      </c>
      <c r="AE5" s="19">
        <f t="shared" ref="AE5:AE68" si="7">IF(AK5="","·",AK5/D5)</f>
        <v>7.7388110260282464E-3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4.2641823531940334E-2</v>
      </c>
      <c r="AI5" s="21">
        <v>2558990</v>
      </c>
      <c r="AJ5" s="22">
        <v>109120</v>
      </c>
      <c r="AK5" s="22">
        <v>22640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3.9</v>
      </c>
      <c r="AU5" s="26">
        <v>3.1659999999999999</v>
      </c>
      <c r="AW5" s="27">
        <f t="shared" ref="AW5:AW68" si="10">(AK5/AJ5) - (Q5/P5)</f>
        <v>-3.4757040857227861E-4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4.1778367912224113E-3</v>
      </c>
      <c r="BA5" s="28">
        <f>IF( OR(ISBLANK(Q5:Q10),ISBLANK(AK5:AK10), ISBLANK(U5:U10),ISBLANK(AO5:AO10)), "·", bdRateExtend( Q5:Q10,U5:U10, AK5:AK10,AO5:AO10))</f>
        <v>3.4706039214009721E-3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4.2540049121631007E-3</v>
      </c>
      <c r="BH5" s="28">
        <f>IF( OR(ISBLANK(P5:P10),ISBLANK(AJ5:AJ10), ISBLANK(U5:U10),ISBLANK(AO5:AO10)), "·", bdRateExtend( P5:P10,U5:U10, AJ5:AJ10,AO5:AO10))</f>
        <v>3.963445023402512E-3</v>
      </c>
      <c r="BI5" s="28">
        <f>IF( OR(ISBLANK(P5:P10),ISBLANK(AJ5:AJ10), ISBLANK(V5:V10),ISBLANK(AP5:AP10)), "·", bdRateExtend( P5:P10,V5:V10, AJ5:AJ10,AP5:AP10))</f>
        <v>4.5726754536652425E-3</v>
      </c>
      <c r="BJ5" s="28">
        <f>IF( OR(ISBLANK(P5:P10),ISBLANK(AJ5:AJ10), ISBLANK(W5:W10),ISBLANK(AQ5:AQ10)), "·", bdRateExtend( P5:P10,W5:W10, AJ5:AJ10,AQ5:AQ10))</f>
        <v>5.0384919841877096E-3</v>
      </c>
      <c r="BK5" s="28">
        <f>IF( OR(ISBLANK(P5:P10),ISBLANK(AJ5:AJ10), ISBLANK(X5:X10),ISBLANK(AR5:AR10)), "·", bdRateExtend( P5:P10,X5:X10, AJ5:AJ10,AR5:AR10))</f>
        <v>4.5382002194795934E-3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8.4801508384509519E-2</v>
      </c>
      <c r="AE6" s="34">
        <f t="shared" si="7"/>
        <v>2.2994933539883931E-2</v>
      </c>
      <c r="AF6" s="34">
        <f t="shared" si="8"/>
        <v>6.1235051344823509E-2</v>
      </c>
      <c r="AG6" s="35"/>
      <c r="AH6" s="34">
        <f t="shared" si="9"/>
        <v>0.10429663211945127</v>
      </c>
      <c r="AI6" s="36">
        <v>2378677</v>
      </c>
      <c r="AJ6" s="37">
        <v>248088</v>
      </c>
      <c r="AK6" s="37">
        <v>67272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3.899</v>
      </c>
      <c r="AU6" s="41">
        <v>3.2919999999999998</v>
      </c>
      <c r="AW6" s="42">
        <f t="shared" si="10"/>
        <v>-4.7946206997068197E-4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0.22171283405240924</v>
      </c>
      <c r="AE7" s="19">
        <f t="shared" si="7"/>
        <v>7.3920685390669816E-2</v>
      </c>
      <c r="AF7" s="19">
        <f t="shared" si="8"/>
        <v>0.14669012009513541</v>
      </c>
      <c r="AG7" s="20"/>
      <c r="AH7" s="19">
        <f t="shared" si="9"/>
        <v>0.26134287230411996</v>
      </c>
      <c r="AI7" s="21">
        <v>2481889</v>
      </c>
      <c r="AJ7" s="22">
        <v>648624</v>
      </c>
      <c r="AK7" s="22">
        <v>216256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5.21</v>
      </c>
      <c r="AU7" s="26">
        <v>4.3380000000000001</v>
      </c>
      <c r="AW7" s="27">
        <f t="shared" si="10"/>
        <v>7.2374312290623966E-4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0.60016803884719061</v>
      </c>
      <c r="AE8" s="34">
        <f t="shared" si="7"/>
        <v>0.23110605520944355</v>
      </c>
      <c r="AF8" s="34">
        <f t="shared" si="8"/>
        <v>0.36918777349894755</v>
      </c>
      <c r="AG8" s="35"/>
      <c r="AH8" s="34">
        <f t="shared" si="9"/>
        <v>0.63209227294376513</v>
      </c>
      <c r="AI8" s="36">
        <v>2777759</v>
      </c>
      <c r="AJ8" s="37">
        <v>1755800</v>
      </c>
      <c r="AK8" s="37">
        <v>676104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8.65</v>
      </c>
      <c r="AU8" s="41">
        <v>7.2910000000000004</v>
      </c>
      <c r="AW8" s="42">
        <f t="shared" si="10"/>
        <v>3.5726658339644279E-3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>
        <f t="shared" si="7"/>
        <v>0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>
        <v>0</v>
      </c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>
        <f t="shared" si="7"/>
        <v>0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>
        <v>0</v>
      </c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4.6261162823526145E-2</v>
      </c>
      <c r="AE11" s="19">
        <f t="shared" si="7"/>
        <v>7.6983659871071655E-3</v>
      </c>
      <c r="AF11" s="19">
        <f t="shared" si="8"/>
        <v>3.8263501645737857E-2</v>
      </c>
      <c r="AG11" s="20"/>
      <c r="AH11" s="19">
        <f t="shared" si="9"/>
        <v>5.0790048124866351E-2</v>
      </c>
      <c r="AI11" s="21">
        <v>2361565</v>
      </c>
      <c r="AJ11" s="22">
        <v>119944</v>
      </c>
      <c r="AK11" s="22">
        <v>19960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3.4649999999999999</v>
      </c>
      <c r="AU11" s="26">
        <v>2.9340000000000002</v>
      </c>
      <c r="AW11" s="27">
        <f t="shared" si="10"/>
        <v>-1.0904064976641203E-5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3.3622515907945072E-3</v>
      </c>
      <c r="BA11" s="28">
        <f>IF( OR(ISBLANK(Q11:Q16),ISBLANK(AK11:AK16), ISBLANK(U11:U16),ISBLANK(AO11:AO16)), "·", bdRateExtend( Q11:Q16,U11:U16, AK11:AK16,AO11:AO16))</f>
        <v>2.6852962646171097E-3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3.4596155792943062E-3</v>
      </c>
      <c r="BH11" s="28">
        <f>IF( OR(ISBLANK(P11:P16),ISBLANK(AJ11:AJ16), ISBLANK(U11:U16),ISBLANK(AO11:AO16)), "·", bdRateExtend( P11:P16,U11:U16, AJ11:AJ16,AO11:AO16))</f>
        <v>3.1344420164873821E-3</v>
      </c>
      <c r="BI11" s="28">
        <f>IF( OR(ISBLANK(P11:P16),ISBLANK(AJ11:AJ16), ISBLANK(V11:V16),ISBLANK(AP11:AP16)), "·", bdRateExtend( P11:P16,V11:V16, AJ11:AJ16,AP11:AP16))</f>
        <v>3.5800623421204936E-3</v>
      </c>
      <c r="BJ11" s="28">
        <f>IF( OR(ISBLANK(P11:P16),ISBLANK(AJ11:AJ16), ISBLANK(W11:W16),ISBLANK(AQ11:AQ16)), "·", bdRateExtend( P11:P16,W11:W16, AJ11:AJ16,AQ11:AQ16))</f>
        <v>4.1062456697329441E-3</v>
      </c>
      <c r="BK11" s="28">
        <f>IF( OR(ISBLANK(P11:P16),ISBLANK(AJ11:AJ16), ISBLANK(X11:X16),ISBLANK(AR11:AR16)), "·", bdRateExtend( P11:P16,X11:X16, AJ11:AJ16,AR11:AR16))</f>
        <v>3.6377194188270678E-3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0.10141787239688393</v>
      </c>
      <c r="AE12" s="34">
        <f t="shared" si="7"/>
        <v>2.258290206799092E-2</v>
      </c>
      <c r="AF12" s="34">
        <f t="shared" si="8"/>
        <v>7.8279577191546601E-2</v>
      </c>
      <c r="AG12" s="35"/>
      <c r="AH12" s="34">
        <f t="shared" si="9"/>
        <v>0.12113595593715996</v>
      </c>
      <c r="AI12" s="36">
        <v>2170718</v>
      </c>
      <c r="AJ12" s="37">
        <v>262952</v>
      </c>
      <c r="AK12" s="37">
        <v>58552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3.4159999999999999</v>
      </c>
      <c r="AU12" s="41">
        <v>2.95</v>
      </c>
      <c r="AW12" s="42">
        <f t="shared" si="10"/>
        <v>-5.4382955070680916E-4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0.25572768457372419</v>
      </c>
      <c r="AE13" s="19">
        <f t="shared" si="7"/>
        <v>7.3691412773579337E-2</v>
      </c>
      <c r="AF13" s="19">
        <f t="shared" si="8"/>
        <v>0.18093474207774116</v>
      </c>
      <c r="AG13" s="20"/>
      <c r="AH13" s="19">
        <f t="shared" si="9"/>
        <v>0.29368448141682918</v>
      </c>
      <c r="AI13" s="21">
        <v>2257661</v>
      </c>
      <c r="AJ13" s="22">
        <v>663040</v>
      </c>
      <c r="AK13" s="22">
        <v>191064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4.5759999999999996</v>
      </c>
      <c r="AU13" s="26">
        <v>3.8090000000000002</v>
      </c>
      <c r="AW13" s="27">
        <f t="shared" si="10"/>
        <v>5.7247542019261966E-4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0.64975134586413386</v>
      </c>
      <c r="AE14" s="34">
        <f t="shared" si="7"/>
        <v>0.22808144840359185</v>
      </c>
      <c r="AF14" s="34">
        <f t="shared" si="8"/>
        <v>0.42163595676881527</v>
      </c>
      <c r="AG14" s="35"/>
      <c r="AH14" s="34">
        <f t="shared" si="9"/>
        <v>0.68061250956490682</v>
      </c>
      <c r="AI14" s="36">
        <v>2475194</v>
      </c>
      <c r="AJ14" s="37">
        <v>1684648</v>
      </c>
      <c r="AK14" s="37">
        <v>591360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7.6369999999999996</v>
      </c>
      <c r="AU14" s="41">
        <v>6.4809999999999999</v>
      </c>
      <c r="AW14" s="42">
        <f t="shared" si="10"/>
        <v>3.4792790539523444E-3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>
        <f t="shared" si="6"/>
        <v>0</v>
      </c>
      <c r="AE15" s="19">
        <f t="shared" si="7"/>
        <v>0</v>
      </c>
      <c r="AF15" s="19" t="str">
        <f t="shared" si="8"/>
        <v>·</v>
      </c>
      <c r="AG15" s="20"/>
      <c r="AH15" s="19" t="e">
        <f t="shared" si="9"/>
        <v>#DIV/0!</v>
      </c>
      <c r="AI15" s="21"/>
      <c r="AJ15" s="22">
        <v>0</v>
      </c>
      <c r="AK15" s="22">
        <v>0</v>
      </c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>
        <f t="shared" si="6"/>
        <v>0</v>
      </c>
      <c r="AE16" s="49">
        <f t="shared" si="7"/>
        <v>0</v>
      </c>
      <c r="AF16" s="49" t="str">
        <f t="shared" si="8"/>
        <v>·</v>
      </c>
      <c r="AG16" s="50"/>
      <c r="AH16" s="49" t="e">
        <f t="shared" si="9"/>
        <v>#DIV/0!</v>
      </c>
      <c r="AI16" s="51"/>
      <c r="AJ16" s="52">
        <v>0</v>
      </c>
      <c r="AK16" s="52">
        <v>0</v>
      </c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3.7010602559730953E-2</v>
      </c>
      <c r="AE17" s="19">
        <f t="shared" si="7"/>
        <v>6.4760183713690267E-3</v>
      </c>
      <c r="AF17" s="19">
        <f t="shared" si="8"/>
        <v>3.0327777032341931E-2</v>
      </c>
      <c r="AG17" s="20"/>
      <c r="AH17" s="19">
        <f t="shared" si="9"/>
        <v>4.2559648850622224E-2</v>
      </c>
      <c r="AI17" s="21">
        <v>3532172</v>
      </c>
      <c r="AJ17" s="22">
        <v>150328</v>
      </c>
      <c r="AK17" s="22">
        <v>26304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4.9640000000000004</v>
      </c>
      <c r="AU17" s="26">
        <v>4.01</v>
      </c>
      <c r="AW17" s="27">
        <f t="shared" si="10"/>
        <v>-1.862551309697591E-5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3.22560893518542E-3</v>
      </c>
      <c r="BA17" s="28">
        <f>IF( OR(ISBLANK(Q17:Q22),ISBLANK(AK17:AK22), ISBLANK(U17:U22),ISBLANK(AO17:AO22)), "·", bdRateExtend( Q17:Q22,U17:U22, AK17:AK22,AO17:AO22))</f>
        <v>3.0648987812016415E-3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8.5280726721514988E-4</v>
      </c>
      <c r="BH17" s="28">
        <f>IF( OR(ISBLANK(P17:P22),ISBLANK(AJ17:AJ22), ISBLANK(U17:U22),ISBLANK(AO17:AO22)), "·", bdRateExtend( P17:P22,U17:U22, AJ17:AJ22,AO17:AO22))</f>
        <v>8.3490599697100265E-4</v>
      </c>
      <c r="BI17" s="28">
        <f>IF( OR(ISBLANK(P17:P22),ISBLANK(AJ17:AJ22), ISBLANK(V17:V22),ISBLANK(AP17:AP22)), "·", bdRateExtend( P17:P22,V17:V22, AJ17:AJ22,AP17:AP22))</f>
        <v>8.9803424352874472E-4</v>
      </c>
      <c r="BJ17" s="28">
        <f>IF( OR(ISBLANK(P17:P22),ISBLANK(AJ17:AJ22), ISBLANK(W17:W22),ISBLANK(AQ17:AQ22)), "·", bdRateExtend( P17:P22,W17:W22, AJ17:AJ22,AQ17:AQ22))</f>
        <v>8.8592918756624783E-4</v>
      </c>
      <c r="BK17" s="28">
        <f>IF( OR(ISBLANK(P17:P22),ISBLANK(AJ17:AJ22), ISBLANK(X17:X22),ISBLANK(AR17:AR22)), "·", bdRateExtend( P17:P22,X17:X22, AJ17:AJ22,AR17:AR22))</f>
        <v>8.8133371605825239E-4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0.1229616261936035</v>
      </c>
      <c r="AE18" s="34">
        <f t="shared" si="7"/>
        <v>2.1567031984942468E-2</v>
      </c>
      <c r="AF18" s="34">
        <f t="shared" si="8"/>
        <v>0.10109718582238465</v>
      </c>
      <c r="AG18" s="35"/>
      <c r="AH18" s="34">
        <f t="shared" si="9"/>
        <v>0.14477268682268243</v>
      </c>
      <c r="AI18" s="36">
        <v>3449822</v>
      </c>
      <c r="AJ18" s="37">
        <v>499440</v>
      </c>
      <c r="AK18" s="37">
        <v>87600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5.3529999999999998</v>
      </c>
      <c r="AU18" s="41">
        <v>4.306</v>
      </c>
      <c r="AW18" s="42">
        <f t="shared" si="10"/>
        <v>8.9781626535306858E-5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0.47751378406624723</v>
      </c>
      <c r="AE19" s="19">
        <f t="shared" si="7"/>
        <v>8.192123847942577E-2</v>
      </c>
      <c r="AF19" s="19">
        <f t="shared" si="8"/>
        <v>0.39547437006909575</v>
      </c>
      <c r="AG19" s="20"/>
      <c r="AH19" s="19">
        <f t="shared" si="9"/>
        <v>0.52350736308076085</v>
      </c>
      <c r="AI19" s="21">
        <v>3704903</v>
      </c>
      <c r="AJ19" s="22">
        <v>1939544</v>
      </c>
      <c r="AK19" s="22">
        <v>332744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7.4649999999999999</v>
      </c>
      <c r="AU19" s="26">
        <v>5.8070000000000004</v>
      </c>
      <c r="AW19" s="27">
        <f t="shared" si="10"/>
        <v>9.6419966862390516E-4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1.4632591084395785</v>
      </c>
      <c r="AE20" s="34">
        <f t="shared" si="7"/>
        <v>0.28038914213191096</v>
      </c>
      <c r="AF20" s="34">
        <f t="shared" si="8"/>
        <v>1.1843314035435422</v>
      </c>
      <c r="AG20" s="35"/>
      <c r="AH20" s="34">
        <f t="shared" si="9"/>
        <v>1.5113010655951553</v>
      </c>
      <c r="AI20" s="36">
        <v>3932638</v>
      </c>
      <c r="AJ20" s="37">
        <v>5943400</v>
      </c>
      <c r="AK20" s="37">
        <v>1138872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11.994999999999999</v>
      </c>
      <c r="AU20" s="41">
        <v>9.6489999999999991</v>
      </c>
      <c r="AW20" s="42">
        <f t="shared" si="10"/>
        <v>1.8823022750387997E-3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>
        <f t="shared" si="6"/>
        <v>0</v>
      </c>
      <c r="AE21" s="19">
        <f t="shared" si="7"/>
        <v>0</v>
      </c>
      <c r="AF21" s="19" t="str">
        <f t="shared" si="8"/>
        <v>·</v>
      </c>
      <c r="AG21" s="20"/>
      <c r="AH21" s="19" t="e">
        <f t="shared" si="9"/>
        <v>#DIV/0!</v>
      </c>
      <c r="AI21" s="21"/>
      <c r="AJ21" s="22">
        <v>0</v>
      </c>
      <c r="AK21" s="22">
        <v>0</v>
      </c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>
        <f t="shared" si="6"/>
        <v>0</v>
      </c>
      <c r="AE22" s="49">
        <f t="shared" si="7"/>
        <v>0</v>
      </c>
      <c r="AF22" s="49" t="str">
        <f t="shared" si="8"/>
        <v>·</v>
      </c>
      <c r="AG22" s="50"/>
      <c r="AH22" s="49" t="e">
        <f t="shared" si="9"/>
        <v>#DIV/0!</v>
      </c>
      <c r="AI22" s="51"/>
      <c r="AJ22" s="52">
        <v>0</v>
      </c>
      <c r="AK22" s="52">
        <v>0</v>
      </c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0.17477615663091545</v>
      </c>
      <c r="AE23" s="19">
        <f t="shared" si="7"/>
        <v>6.9466622220460952E-3</v>
      </c>
      <c r="AF23" s="19">
        <f t="shared" si="8"/>
        <v>0.16726070730075551</v>
      </c>
      <c r="AG23" s="20"/>
      <c r="AH23" s="19">
        <f t="shared" si="9"/>
        <v>0.18780245874537857</v>
      </c>
      <c r="AI23" s="21">
        <v>798456</v>
      </c>
      <c r="AJ23" s="22">
        <v>149952</v>
      </c>
      <c r="AK23" s="22">
        <v>5960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1.046</v>
      </c>
      <c r="AU23" s="26">
        <v>0.92100000000000004</v>
      </c>
      <c r="AW23" s="27">
        <f t="shared" si="10"/>
        <v>4.064060665919661E-5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4.2880932438764674E-3</v>
      </c>
      <c r="BA23" s="28">
        <f>IF( OR(ISBLANK(Q23:Q28),ISBLANK(AK23:AK28), ISBLANK(U23:U28),ISBLANK(AO23:AO28)), "·", bdRateExtend( Q23:Q28,U23:U28, AK23:AK28,AO23:AO28))</f>
        <v>4.7280022259030829E-3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7.1176490920521474E-4</v>
      </c>
      <c r="BH23" s="28">
        <f>IF( OR(ISBLANK(P23:P28),ISBLANK(AJ23:AJ28), ISBLANK(U23:U28),ISBLANK(AO23:AO28)), "·", bdRateExtend( P23:P28,U23:U28, AJ23:AJ28,AO23:AO28))</f>
        <v>7.5911300823383598E-4</v>
      </c>
      <c r="BI23" s="28">
        <f>IF( OR(ISBLANK(P23:P28),ISBLANK(AJ23:AJ28), ISBLANK(V23:V28),ISBLANK(AP23:AP28)), "·", bdRateExtend( P23:P28,V23:V28, AJ23:AJ28,AP23:AP28))</f>
        <v>8.4303444756272938E-4</v>
      </c>
      <c r="BJ23" s="28">
        <f>IF( OR(ISBLANK(P23:P28),ISBLANK(AJ23:AJ28), ISBLANK(W23:W28),ISBLANK(AQ23:AQ28)), "·", bdRateExtend( P23:P28,W23:W28, AJ23:AJ28,AQ23:AQ28))</f>
        <v>8.7507036724043807E-4</v>
      </c>
      <c r="BK23" s="28">
        <f>IF( OR(ISBLANK(P23:P28),ISBLANK(AJ23:AJ28), ISBLANK(X23:X28),ISBLANK(AR23:AR28)), "·", bdRateExtend( P23:P28,X23:X28, AJ23:AJ28,AR23:AR28))</f>
        <v>8.4762907764468487E-4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0.47253154553910059</v>
      </c>
      <c r="AE24" s="34">
        <f t="shared" si="7"/>
        <v>2.4551089437110561E-2</v>
      </c>
      <c r="AF24" s="34">
        <f t="shared" si="8"/>
        <v>0.4472811276903747</v>
      </c>
      <c r="AG24" s="35"/>
      <c r="AH24" s="34">
        <f t="shared" si="9"/>
        <v>0.51599600863438277</v>
      </c>
      <c r="AI24" s="36">
        <v>785696</v>
      </c>
      <c r="AJ24" s="37">
        <v>405416</v>
      </c>
      <c r="AK24" s="37">
        <v>21064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1.03</v>
      </c>
      <c r="AW24" s="42">
        <f t="shared" si="10"/>
        <v>1.1153048842831026E-4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1.1735942916152855</v>
      </c>
      <c r="AE25" s="19">
        <f t="shared" si="7"/>
        <v>8.6698074282663878E-2</v>
      </c>
      <c r="AF25" s="19">
        <f t="shared" si="8"/>
        <v>1.0855068848882123</v>
      </c>
      <c r="AG25" s="20"/>
      <c r="AH25" s="19">
        <f t="shared" si="9"/>
        <v>1.2669283808948613</v>
      </c>
      <c r="AI25" s="21">
        <v>794760</v>
      </c>
      <c r="AJ25" s="22">
        <v>1006904</v>
      </c>
      <c r="AK25" s="22">
        <v>74384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1.6080000000000001</v>
      </c>
      <c r="AU25" s="26">
        <v>1.2649999999999999</v>
      </c>
      <c r="AW25" s="27">
        <f t="shared" si="10"/>
        <v>4.6108625476914966E-4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2.4930778142723606</v>
      </c>
      <c r="AE26" s="34">
        <f t="shared" si="7"/>
        <v>0.26464451971290237</v>
      </c>
      <c r="AF26" s="34">
        <f t="shared" si="8"/>
        <v>2.2290207304252152</v>
      </c>
      <c r="AG26" s="35"/>
      <c r="AH26" s="34">
        <f t="shared" si="9"/>
        <v>2.5216280067715724</v>
      </c>
      <c r="AI26" s="36">
        <v>848252</v>
      </c>
      <c r="AJ26" s="37">
        <v>2138976</v>
      </c>
      <c r="AK26" s="37">
        <v>227056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2.6709999999999998</v>
      </c>
      <c r="AU26" s="41">
        <v>2.2330000000000001</v>
      </c>
      <c r="AW26" s="42">
        <f t="shared" si="10"/>
        <v>1.5703239232324889E-3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>
        <f t="shared" si="6"/>
        <v>0</v>
      </c>
      <c r="AE27" s="19">
        <f t="shared" si="7"/>
        <v>0</v>
      </c>
      <c r="AF27" s="19" t="str">
        <f t="shared" si="8"/>
        <v>·</v>
      </c>
      <c r="AG27" s="20"/>
      <c r="AH27" s="19" t="e">
        <f t="shared" si="9"/>
        <v>#DIV/0!</v>
      </c>
      <c r="AI27" s="21"/>
      <c r="AJ27" s="22">
        <v>0</v>
      </c>
      <c r="AK27" s="22">
        <v>0</v>
      </c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>
        <f t="shared" si="6"/>
        <v>0</v>
      </c>
      <c r="AE28" s="49">
        <f t="shared" si="7"/>
        <v>0</v>
      </c>
      <c r="AF28" s="49" t="str">
        <f t="shared" si="8"/>
        <v>·</v>
      </c>
      <c r="AG28" s="50"/>
      <c r="AH28" s="49" t="e">
        <f t="shared" si="9"/>
        <v>#DIV/0!</v>
      </c>
      <c r="AI28" s="51"/>
      <c r="AJ28" s="52">
        <v>0</v>
      </c>
      <c r="AK28" s="52">
        <v>0</v>
      </c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3.8634769056917734E-2</v>
      </c>
      <c r="AE29" s="19">
        <f t="shared" si="7"/>
        <v>7.162681535108688E-3</v>
      </c>
      <c r="AF29" s="19">
        <f t="shared" si="8"/>
        <v>3.0846222144954891E-2</v>
      </c>
      <c r="AG29" s="20"/>
      <c r="AH29" s="19">
        <f t="shared" si="9"/>
        <v>4.16393416294377E-2</v>
      </c>
      <c r="AI29" s="21">
        <v>747178</v>
      </c>
      <c r="AJ29" s="22">
        <v>31112</v>
      </c>
      <c r="AK29" s="22">
        <v>5768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0.874</v>
      </c>
      <c r="AW29" s="27">
        <f t="shared" si="10"/>
        <v>3.7652222200368346E-5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3.0328453965404734E-3</v>
      </c>
      <c r="BA29" s="28">
        <f>IF( OR(ISBLANK(Q29:Q34),ISBLANK(AK29:AK34), ISBLANK(U29:U34),ISBLANK(AO29:AO34)), "·", bdRateExtend( Q29:Q34,U29:U34, AK29:AK34,AO29:AO34))</f>
        <v>3.2199174540359365E-3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3.5299093003344773E-3</v>
      </c>
      <c r="BH29" s="28">
        <f>IF( OR(ISBLANK(P29:P34),ISBLANK(AJ29:AJ34), ISBLANK(U29:U34),ISBLANK(AO29:AO34)), "·", bdRateExtend( P29:P34,U29:U34, AJ29:AJ34,AO29:AO34))</f>
        <v>3.6088304120787118E-3</v>
      </c>
      <c r="BI29" s="28">
        <f>IF( OR(ISBLANK(P29:P34),ISBLANK(AJ29:AJ34), ISBLANK(V29:V34),ISBLANK(AP29:AP34)), "·", bdRateExtend( P29:P34,V29:V34, AJ29:AJ34,AP29:AP34))</f>
        <v>3.9838252471389168E-3</v>
      </c>
      <c r="BJ29" s="28">
        <f>IF( OR(ISBLANK(P29:P34),ISBLANK(AJ29:AJ34), ISBLANK(W29:W34),ISBLANK(AQ29:AQ34)), "·", bdRateExtend( P29:P34,W29:W34, AJ29:AJ34,AQ29:AQ34))</f>
        <v>3.7788004053671553E-3</v>
      </c>
      <c r="BK29" s="28">
        <f>IF( OR(ISBLANK(P29:P34),ISBLANK(AJ29:AJ34), ISBLANK(X29:X34),ISBLANK(AR29:AR34)), "·", bdRateExtend( P29:P34,X29:X34, AJ29:AJ34,AR29:AR34))</f>
        <v>3.7045615973450019E-3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0.11137423396685646</v>
      </c>
      <c r="AE30" s="34">
        <f t="shared" si="7"/>
        <v>2.3325903251643829E-2</v>
      </c>
      <c r="AF30" s="34">
        <f t="shared" si="8"/>
        <v>8.7154237319706687E-2</v>
      </c>
      <c r="AG30" s="35"/>
      <c r="AH30" s="34">
        <f t="shared" si="9"/>
        <v>0.12571680078720179</v>
      </c>
      <c r="AI30" s="36">
        <v>713413</v>
      </c>
      <c r="AJ30" s="37">
        <v>89688</v>
      </c>
      <c r="AK30" s="37">
        <v>18784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1.093</v>
      </c>
      <c r="AU30" s="41">
        <v>0.96799999999999997</v>
      </c>
      <c r="AW30" s="42">
        <f t="shared" si="10"/>
        <v>-5.8521143244380514E-4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0.31116437037818911</v>
      </c>
      <c r="AE31" s="19">
        <f t="shared" si="7"/>
        <v>8.0448536853412148E-2</v>
      </c>
      <c r="AF31" s="19">
        <f t="shared" si="8"/>
        <v>0.22914620289711096</v>
      </c>
      <c r="AG31" s="20"/>
      <c r="AH31" s="19">
        <f t="shared" si="9"/>
        <v>0.34081817798506298</v>
      </c>
      <c r="AI31" s="21">
        <v>735219</v>
      </c>
      <c r="AJ31" s="22">
        <v>250576</v>
      </c>
      <c r="AK31" s="22">
        <v>64784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1.514</v>
      </c>
      <c r="AU31" s="26">
        <v>1.1870000000000001</v>
      </c>
      <c r="AW31" s="27">
        <f t="shared" si="10"/>
        <v>3.5885492310316902E-4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0.77741420739241385</v>
      </c>
      <c r="AE32" s="34">
        <f t="shared" si="7"/>
        <v>0.25175683143235006</v>
      </c>
      <c r="AF32" s="34">
        <f t="shared" si="8"/>
        <v>0.5258461290102262</v>
      </c>
      <c r="AG32" s="35"/>
      <c r="AH32" s="34">
        <f t="shared" si="9"/>
        <v>0.79084597427009329</v>
      </c>
      <c r="AI32" s="36">
        <v>791608</v>
      </c>
      <c r="AJ32" s="37">
        <v>626040</v>
      </c>
      <c r="AK32" s="37">
        <v>202736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2.4990000000000001</v>
      </c>
      <c r="AU32" s="41">
        <v>2.14</v>
      </c>
      <c r="AW32" s="42">
        <f t="shared" si="10"/>
        <v>3.935252738019257E-3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>
        <f t="shared" si="6"/>
        <v>0</v>
      </c>
      <c r="AE33" s="19">
        <f t="shared" si="7"/>
        <v>0</v>
      </c>
      <c r="AF33" s="19" t="str">
        <f t="shared" si="8"/>
        <v>·</v>
      </c>
      <c r="AG33" s="20"/>
      <c r="AH33" s="19" t="e">
        <f t="shared" si="9"/>
        <v>#DIV/0!</v>
      </c>
      <c r="AI33" s="21"/>
      <c r="AJ33" s="22">
        <v>0</v>
      </c>
      <c r="AK33" s="22">
        <v>0</v>
      </c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>
        <f t="shared" si="6"/>
        <v>0</v>
      </c>
      <c r="AE34" s="49">
        <f t="shared" si="7"/>
        <v>0</v>
      </c>
      <c r="AF34" s="49" t="str">
        <f t="shared" si="8"/>
        <v>·</v>
      </c>
      <c r="AG34" s="50"/>
      <c r="AH34" s="49" t="e">
        <f t="shared" si="9"/>
        <v>#DIV/0!</v>
      </c>
      <c r="AI34" s="51"/>
      <c r="AJ34" s="52">
        <v>0</v>
      </c>
      <c r="AK34" s="52">
        <v>0</v>
      </c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6.195447920215226E-2</v>
      </c>
      <c r="AE35" s="19">
        <f t="shared" si="7"/>
        <v>5.4825558220686858E-3</v>
      </c>
      <c r="AF35" s="19">
        <f t="shared" si="8"/>
        <v>5.5976415419488446E-2</v>
      </c>
      <c r="AG35" s="20"/>
      <c r="AH35" s="19">
        <f t="shared" si="9"/>
        <v>8.301707970394645E-2</v>
      </c>
      <c r="AI35" s="21">
        <v>747027</v>
      </c>
      <c r="AJ35" s="22">
        <v>62016</v>
      </c>
      <c r="AK35" s="22">
        <v>5488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1.139</v>
      </c>
      <c r="AU35" s="26">
        <v>0.90600000000000003</v>
      </c>
      <c r="AW35" s="27">
        <f t="shared" si="10"/>
        <v>1.6684577267184197E-4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5.6920651021268309E-3</v>
      </c>
      <c r="BA35" s="28">
        <f>IF( OR(ISBLANK(Q35:Q40),ISBLANK(AK35:AK40), ISBLANK(U35:U40),ISBLANK(AO35:AO40)), "·", bdRateExtend( Q35:Q40,U35:U40, AK35:AK40,AO35:AO40))</f>
        <v>6.0336824082223295E-3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1.7729992593087385E-3</v>
      </c>
      <c r="BH35" s="28">
        <f>IF( OR(ISBLANK(P35:P40),ISBLANK(AJ35:AJ40), ISBLANK(U35:U40),ISBLANK(AO35:AO40)), "·", bdRateExtend( P35:P40,U35:U40, AJ35:AJ40,AO35:AO40))</f>
        <v>1.8212415867286946E-3</v>
      </c>
      <c r="BI35" s="28">
        <f>IF( OR(ISBLANK(P35:P40),ISBLANK(AJ35:AJ40), ISBLANK(V35:V40),ISBLANK(AP35:AP40)), "·", bdRateExtend( P35:P40,V35:V40, AJ35:AJ40,AP35:AP40))</f>
        <v>1.871083770374149E-3</v>
      </c>
      <c r="BJ35" s="28">
        <f>IF( OR(ISBLANK(P35:P40),ISBLANK(AJ35:AJ40), ISBLANK(W35:W40),ISBLANK(AQ35:AQ40)), "·", bdRateExtend( P35:P40,W35:W40, AJ35:AJ40,AQ35:AQ40))</f>
        <v>1.8779271981472778E-3</v>
      </c>
      <c r="BK35" s="28">
        <f>IF( OR(ISBLANK(P35:P40),ISBLANK(AJ35:AJ40), ISBLANK(X35:X40),ISBLANK(AR35:AR40)), "·", bdRateExtend( P35:P40,X35:X40, AJ35:AJ40,AR35:AR40))</f>
        <v>1.8757785297442986E-3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0.16842475421906047</v>
      </c>
      <c r="AE36" s="34">
        <f t="shared" si="7"/>
        <v>1.820592151993071E-2</v>
      </c>
      <c r="AF36" s="34">
        <f t="shared" si="8"/>
        <v>0.14954749933316216</v>
      </c>
      <c r="AG36" s="35"/>
      <c r="AH36" s="34">
        <f t="shared" si="9"/>
        <v>0.23196828790749446</v>
      </c>
      <c r="AI36" s="36">
        <v>726789</v>
      </c>
      <c r="AJ36" s="37">
        <v>168592</v>
      </c>
      <c r="AK36" s="37">
        <v>18224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1.171</v>
      </c>
      <c r="AU36" s="41">
        <v>1.0309999999999999</v>
      </c>
      <c r="AW36" s="42">
        <f t="shared" si="10"/>
        <v>1.9529279407030919E-4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0.41058428980022837</v>
      </c>
      <c r="AE37" s="19">
        <f t="shared" si="7"/>
        <v>6.381663008632428E-2</v>
      </c>
      <c r="AF37" s="19">
        <f t="shared" si="8"/>
        <v>0.34597644538972799</v>
      </c>
      <c r="AG37" s="20"/>
      <c r="AH37" s="19">
        <f t="shared" si="9"/>
        <v>0.53529011074599531</v>
      </c>
      <c r="AI37" s="21">
        <v>767793</v>
      </c>
      <c r="AJ37" s="22">
        <v>410992</v>
      </c>
      <c r="AK37" s="22">
        <v>63880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1.593</v>
      </c>
      <c r="AU37" s="26">
        <v>1.155</v>
      </c>
      <c r="AW37" s="27">
        <f t="shared" si="10"/>
        <v>1.1879232720470034E-3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0.96729547559273643</v>
      </c>
      <c r="AE38" s="34">
        <f t="shared" si="7"/>
        <v>0.20490053376996642</v>
      </c>
      <c r="AF38" s="34">
        <f t="shared" si="8"/>
        <v>0.76337796568007965</v>
      </c>
      <c r="AG38" s="35"/>
      <c r="AH38" s="34">
        <f t="shared" si="9"/>
        <v>1.1158674036205394</v>
      </c>
      <c r="AI38" s="36">
        <v>867716</v>
      </c>
      <c r="AJ38" s="37">
        <v>968256</v>
      </c>
      <c r="AK38" s="37">
        <v>205104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2.64</v>
      </c>
      <c r="AU38" s="41">
        <v>2.1709999999999998</v>
      </c>
      <c r="AW38" s="42">
        <f t="shared" si="10"/>
        <v>3.1723686279531704E-3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>
        <f t="shared" si="6"/>
        <v>0</v>
      </c>
      <c r="AE39" s="19">
        <f t="shared" si="7"/>
        <v>0</v>
      </c>
      <c r="AF39" s="19" t="str">
        <f t="shared" si="8"/>
        <v>·</v>
      </c>
      <c r="AG39" s="20"/>
      <c r="AH39" s="19" t="e">
        <f t="shared" si="9"/>
        <v>#DIV/0!</v>
      </c>
      <c r="AI39" s="21"/>
      <c r="AJ39" s="22">
        <v>0</v>
      </c>
      <c r="AK39" s="22">
        <v>0</v>
      </c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>
        <f t="shared" si="6"/>
        <v>0</v>
      </c>
      <c r="AE40" s="49">
        <f t="shared" si="7"/>
        <v>0</v>
      </c>
      <c r="AF40" s="49" t="str">
        <f t="shared" si="8"/>
        <v>·</v>
      </c>
      <c r="AG40" s="50"/>
      <c r="AH40" s="49" t="e">
        <f t="shared" si="9"/>
        <v>#DIV/0!</v>
      </c>
      <c r="AI40" s="51"/>
      <c r="AJ40" s="52">
        <v>0</v>
      </c>
      <c r="AK40" s="52">
        <v>0</v>
      </c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9.2111428009571186E-2</v>
      </c>
      <c r="AE41" s="19">
        <f t="shared" si="7"/>
        <v>7.3169669429886328E-3</v>
      </c>
      <c r="AF41" s="19">
        <f t="shared" si="8"/>
        <v>8.4171515829012097E-2</v>
      </c>
      <c r="AG41" s="20"/>
      <c r="AH41" s="19">
        <f t="shared" si="9"/>
        <v>0.10237003529090798</v>
      </c>
      <c r="AI41" s="21">
        <v>681762</v>
      </c>
      <c r="AJ41" s="22">
        <v>69792</v>
      </c>
      <c r="AK41" s="22">
        <v>5544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1.046</v>
      </c>
      <c r="AU41" s="26">
        <v>0.84299999999999997</v>
      </c>
      <c r="AW41" s="27">
        <f t="shared" si="10"/>
        <v>7.8240349305300216E-5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3.6809137186648577E-3</v>
      </c>
      <c r="BA41" s="28">
        <f>IF( OR(ISBLANK(Q41:Q46),ISBLANK(AK41:AK46), ISBLANK(U41:U46),ISBLANK(AO41:AO46)), "·", bdRateExtend( Q41:Q46,U41:U46, AK41:AK46,AO41:AO46))</f>
        <v>3.8203509073282405E-3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1.7560842059141102E-3</v>
      </c>
      <c r="BH41" s="28">
        <f>IF( OR(ISBLANK(P41:P46),ISBLANK(AJ41:AJ46), ISBLANK(U41:U46),ISBLANK(AO41:AO46)), "·", bdRateExtend( P41:P46,U41:U46, AJ41:AJ46,AO41:AO46))</f>
        <v>1.7699476479102749E-3</v>
      </c>
      <c r="BI41" s="28">
        <f>IF( OR(ISBLANK(P41:P46),ISBLANK(AJ41:AJ46), ISBLANK(V41:V46),ISBLANK(AP41:AP46)), "·", bdRateExtend( P41:P46,V41:V46, AJ41:AJ46,AP41:AP46))</f>
        <v>1.9044210964942465E-3</v>
      </c>
      <c r="BJ41" s="28">
        <f>IF( OR(ISBLANK(P41:P46),ISBLANK(AJ41:AJ46), ISBLANK(W41:W46),ISBLANK(AQ41:AQ46)), "·", bdRateExtend( P41:P46,W41:W46, AJ41:AJ46,AQ41:AQ46))</f>
        <v>1.9314062832045398E-3</v>
      </c>
      <c r="BK41" s="28">
        <f>IF( OR(ISBLANK(P41:P46),ISBLANK(AJ41:AJ46), ISBLANK(X41:X46),ISBLANK(AR41:AR46)), "·", bdRateExtend( P41:P46,X41:X46, AJ41:AJ46,AR41:AR46))</f>
        <v>1.8663255179178773E-3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0.22939166493992935</v>
      </c>
      <c r="AE42" s="34">
        <f t="shared" si="7"/>
        <v>2.527679489396073E-2</v>
      </c>
      <c r="AF42" s="34">
        <f t="shared" si="8"/>
        <v>0.20317517299268437</v>
      </c>
      <c r="AG42" s="35"/>
      <c r="AH42" s="34">
        <f t="shared" si="9"/>
        <v>0.2575585815073152</v>
      </c>
      <c r="AI42" s="36">
        <v>674829</v>
      </c>
      <c r="AJ42" s="37">
        <v>173808</v>
      </c>
      <c r="AK42" s="37">
        <v>19152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1.1080000000000001</v>
      </c>
      <c r="AU42" s="41">
        <v>0.85799999999999998</v>
      </c>
      <c r="AW42" s="42">
        <f t="shared" si="10"/>
        <v>3.7475051013438621E-5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0.58285501609495161</v>
      </c>
      <c r="AE43" s="19">
        <f t="shared" si="7"/>
        <v>9.016868353985992E-2</v>
      </c>
      <c r="AF43" s="19">
        <f t="shared" si="8"/>
        <v>0.4911553654458084</v>
      </c>
      <c r="AG43" s="20"/>
      <c r="AH43" s="19">
        <f t="shared" si="9"/>
        <v>0.63354325964393821</v>
      </c>
      <c r="AI43" s="21">
        <v>697070</v>
      </c>
      <c r="AJ43" s="22">
        <v>441624</v>
      </c>
      <c r="AK43" s="22">
        <v>68320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1.421</v>
      </c>
      <c r="AU43" s="26">
        <v>1.1399999999999999</v>
      </c>
      <c r="AW43" s="27">
        <f t="shared" si="10"/>
        <v>5.1751522820361884E-4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1.3960202773954027</v>
      </c>
      <c r="AE44" s="34">
        <f t="shared" si="7"/>
        <v>0.28467541517584344</v>
      </c>
      <c r="AF44" s="34">
        <f t="shared" si="8"/>
        <v>1.1121156249711295</v>
      </c>
      <c r="AG44" s="35"/>
      <c r="AH44" s="34">
        <f t="shared" si="9"/>
        <v>1.4024988365016289</v>
      </c>
      <c r="AI44" s="36">
        <v>754191</v>
      </c>
      <c r="AJ44" s="37">
        <v>1057752</v>
      </c>
      <c r="AK44" s="37">
        <v>215696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2.4990000000000001</v>
      </c>
      <c r="AU44" s="41">
        <v>2.0150000000000001</v>
      </c>
      <c r="AW44" s="42">
        <f t="shared" si="10"/>
        <v>2.6732153685503079E-3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>
        <f t="shared" si="6"/>
        <v>0</v>
      </c>
      <c r="AE45" s="19">
        <f t="shared" si="7"/>
        <v>0</v>
      </c>
      <c r="AF45" s="19" t="str">
        <f t="shared" si="8"/>
        <v>·</v>
      </c>
      <c r="AG45" s="20"/>
      <c r="AH45" s="19" t="e">
        <f t="shared" si="9"/>
        <v>#DIV/0!</v>
      </c>
      <c r="AI45" s="21"/>
      <c r="AJ45" s="22">
        <v>0</v>
      </c>
      <c r="AK45" s="22">
        <v>0</v>
      </c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>
        <f t="shared" si="6"/>
        <v>0</v>
      </c>
      <c r="AE46" s="49">
        <f t="shared" si="7"/>
        <v>0</v>
      </c>
      <c r="AF46" s="49" t="str">
        <f t="shared" si="8"/>
        <v>·</v>
      </c>
      <c r="AG46" s="50"/>
      <c r="AH46" s="49" t="e">
        <f t="shared" si="9"/>
        <v>#DIV/0!</v>
      </c>
      <c r="AI46" s="51"/>
      <c r="AJ46" s="52">
        <v>0</v>
      </c>
      <c r="AK46" s="52">
        <v>0</v>
      </c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6.8570945862191493E-2</v>
      </c>
      <c r="AE47" s="19">
        <f t="shared" si="7"/>
        <v>7.2353917165783209E-3</v>
      </c>
      <c r="AF47" s="19">
        <f t="shared" si="8"/>
        <v>6.0887474049459593E-2</v>
      </c>
      <c r="AG47" s="20"/>
      <c r="AH47" s="19">
        <f t="shared" si="9"/>
        <v>7.2651073471170613E-2</v>
      </c>
      <c r="AI47" s="21">
        <v>1027927</v>
      </c>
      <c r="AJ47" s="22">
        <v>74680</v>
      </c>
      <c r="AK47" s="22">
        <v>7880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1.5620000000000001</v>
      </c>
      <c r="AU47" s="26">
        <v>1.3109999999999999</v>
      </c>
      <c r="AW47" s="27">
        <f t="shared" si="10"/>
        <v>-6.7863783033861313E-5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4.5748587687159947E-3</v>
      </c>
      <c r="BA47" s="28">
        <f>IF( OR(ISBLANK(Q47:Q52),ISBLANK(AK47:AK52), ISBLANK(U47:U52),ISBLANK(AO47:AO52)), "·", bdRateExtend( Q47:Q52,U47:U52, AK47:AK52,AO47:AO52))</f>
        <v>5.1416060405082842E-3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2.0600669428971763E-3</v>
      </c>
      <c r="BH47" s="28">
        <f>IF( OR(ISBLANK(P47:P52),ISBLANK(AJ47:AJ52), ISBLANK(U47:U52),ISBLANK(AO47:AO52)), "·", bdRateExtend( P47:P52,U47:U52, AJ47:AJ52,AO47:AO52))</f>
        <v>2.1979203144428805E-3</v>
      </c>
      <c r="BI47" s="28">
        <f>IF( OR(ISBLANK(P47:P52),ISBLANK(AJ47:AJ52), ISBLANK(V47:V52),ISBLANK(AP47:AP52)), "·", bdRateExtend( P47:P52,V47:V52, AJ47:AJ52,AP47:AP52))</f>
        <v>2.3974412536831302E-3</v>
      </c>
      <c r="BJ47" s="28">
        <f>IF( OR(ISBLANK(P47:P52),ISBLANK(AJ47:AJ52), ISBLANK(W47:W52),ISBLANK(AQ47:AQ52)), "·", bdRateExtend( P47:P52,W47:W52, AJ47:AJ52,AQ47:AQ52))</f>
        <v>2.449686018130226E-3</v>
      </c>
      <c r="BK47" s="28">
        <f>IF( OR(ISBLANK(P47:P52),ISBLANK(AJ47:AJ52), ISBLANK(X47:X52),ISBLANK(AR47:AR52)), "·", bdRateExtend( P47:P52,X47:X52, AJ47:AJ52,AR47:AR52))</f>
        <v>2.4137934799912664E-3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0.18270649560045946</v>
      </c>
      <c r="AE48" s="34">
        <f t="shared" si="7"/>
        <v>2.4607677411713071E-2</v>
      </c>
      <c r="AF48" s="34">
        <f t="shared" si="8"/>
        <v>0.15740098853080228</v>
      </c>
      <c r="AG48" s="35"/>
      <c r="AH48" s="34">
        <f t="shared" si="9"/>
        <v>0.20329009070123352</v>
      </c>
      <c r="AI48" s="36">
        <v>978818</v>
      </c>
      <c r="AJ48" s="37">
        <v>198984</v>
      </c>
      <c r="AK48" s="37">
        <v>26800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1.546</v>
      </c>
      <c r="AU48" s="41">
        <v>1.39</v>
      </c>
      <c r="AW48" s="42">
        <f t="shared" si="10"/>
        <v>2.0129816779582144E-4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0.48269979276295555</v>
      </c>
      <c r="AE49" s="19">
        <f t="shared" si="7"/>
        <v>8.7588640435004972E-2</v>
      </c>
      <c r="AF49" s="19">
        <f t="shared" si="8"/>
        <v>0.39389178682038506</v>
      </c>
      <c r="AG49" s="20"/>
      <c r="AH49" s="19">
        <f t="shared" si="9"/>
        <v>0.5263424533959693</v>
      </c>
      <c r="AI49" s="21">
        <v>998787</v>
      </c>
      <c r="AJ49" s="22">
        <v>525704</v>
      </c>
      <c r="AK49" s="22">
        <v>95392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2.1240000000000001</v>
      </c>
      <c r="AU49" s="26">
        <v>1.702</v>
      </c>
      <c r="AW49" s="27">
        <f t="shared" si="10"/>
        <v>9.4215202906450246E-4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1.125114430290949</v>
      </c>
      <c r="AE50" s="34">
        <f t="shared" si="7"/>
        <v>0.26602735675898526</v>
      </c>
      <c r="AF50" s="34">
        <f t="shared" si="8"/>
        <v>0.86050476957389233</v>
      </c>
      <c r="AG50" s="35"/>
      <c r="AH50" s="34">
        <f t="shared" si="9"/>
        <v>1.1413285346105089</v>
      </c>
      <c r="AI50" s="36">
        <v>1073619</v>
      </c>
      <c r="AJ50" s="37">
        <v>1225352</v>
      </c>
      <c r="AK50" s="37">
        <v>289728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3.593</v>
      </c>
      <c r="AU50" s="41">
        <v>2.9060000000000001</v>
      </c>
      <c r="AW50" s="42">
        <f t="shared" si="10"/>
        <v>3.7481733989956079E-3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>
        <f t="shared" si="6"/>
        <v>0</v>
      </c>
      <c r="AE51" s="19">
        <f t="shared" si="7"/>
        <v>0</v>
      </c>
      <c r="AF51" s="19" t="str">
        <f t="shared" si="8"/>
        <v>·</v>
      </c>
      <c r="AG51" s="20"/>
      <c r="AH51" s="19" t="e">
        <f t="shared" si="9"/>
        <v>#DIV/0!</v>
      </c>
      <c r="AI51" s="21"/>
      <c r="AJ51" s="22">
        <v>0</v>
      </c>
      <c r="AK51" s="22">
        <v>0</v>
      </c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>
        <f t="shared" si="6"/>
        <v>0</v>
      </c>
      <c r="AE52" s="49">
        <f t="shared" si="7"/>
        <v>0</v>
      </c>
      <c r="AF52" s="49" t="str">
        <f t="shared" si="8"/>
        <v>·</v>
      </c>
      <c r="AG52" s="50"/>
      <c r="AH52" s="49" t="e">
        <f t="shared" si="9"/>
        <v>#DIV/0!</v>
      </c>
      <c r="AI52" s="51"/>
      <c r="AJ52" s="52">
        <v>0</v>
      </c>
      <c r="AK52" s="52">
        <v>0</v>
      </c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3.8210793827261065E-2</v>
      </c>
      <c r="AE53" s="19">
        <f t="shared" si="7"/>
        <v>2.1928206209477622E-3</v>
      </c>
      <c r="AF53" s="19">
        <f t="shared" si="8"/>
        <v>3.5859517636967431E-2</v>
      </c>
      <c r="AG53" s="20"/>
      <c r="AH53" s="19">
        <f t="shared" si="9"/>
        <v>0.12840447710881658</v>
      </c>
      <c r="AI53" s="21">
        <v>931494</v>
      </c>
      <c r="AJ53" s="22">
        <v>119608</v>
      </c>
      <c r="AK53" s="22">
        <v>6864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1.296</v>
      </c>
      <c r="AU53" s="26">
        <v>1.155</v>
      </c>
      <c r="AW53" s="27">
        <f t="shared" si="10"/>
        <v>-8.2260645138519661E-5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4.0185708710245294E-3</v>
      </c>
      <c r="BA53" s="28">
        <f>IF( OR(ISBLANK(Q53:Q58),ISBLANK(AK53:AK58), ISBLANK(U53:U58),ISBLANK(AO53:AO58)), "·", bdRateExtend( Q53:Q58,U53:U58, AK53:AK58,AO53:AO58))</f>
        <v>4.2392253013128212E-3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9.8885294670303381E-4</v>
      </c>
      <c r="BH53" s="28">
        <f>IF( OR(ISBLANK(P53:P58),ISBLANK(AJ53:AJ58), ISBLANK(U53:U58),ISBLANK(AO53:AO58)), "·", bdRateExtend( P53:P58,U53:U58, AJ53:AJ58,AO53:AO58))</f>
        <v>9.9340250069457348E-4</v>
      </c>
      <c r="BI53" s="28">
        <f>IF( OR(ISBLANK(P53:P58),ISBLANK(AJ53:AJ58), ISBLANK(V53:V58),ISBLANK(AP53:AP58)), "·", bdRateExtend( P53:P58,V53:V58, AJ53:AJ58,AP53:AP58))</f>
        <v>1.123348941544533E-3</v>
      </c>
      <c r="BJ53" s="28">
        <f>IF( OR(ISBLANK(P53:P58),ISBLANK(AJ53:AJ58), ISBLANK(W53:W58),ISBLANK(AQ53:AQ58)), "·", bdRateExtend( P53:P58,W53:W58, AJ53:AJ58,AQ53:AQ58))</f>
        <v>1.198078003520342E-3</v>
      </c>
      <c r="BK53" s="28">
        <f>IF( OR(ISBLANK(P53:P58),ISBLANK(AJ53:AJ58), ISBLANK(X53:X58),ISBLANK(AR53:AR58)), "·", bdRateExtend( P53:P58,X53:X58, AJ53:AJ58,AR53:AR58))</f>
        <v>1.2050118429094425E-3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0.10809225564378165</v>
      </c>
      <c r="AE54" s="34">
        <f t="shared" si="7"/>
        <v>7.603311593612579E-3</v>
      </c>
      <c r="AF54" s="34">
        <f t="shared" si="8"/>
        <v>0.10026403937109751</v>
      </c>
      <c r="AG54" s="35"/>
      <c r="AH54" s="34">
        <f t="shared" si="9"/>
        <v>0.37950516005074247</v>
      </c>
      <c r="AI54" s="36">
        <v>891561</v>
      </c>
      <c r="AJ54" s="37">
        <v>338352</v>
      </c>
      <c r="AK54" s="37">
        <v>23800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1.5149999999999999</v>
      </c>
      <c r="AU54" s="41">
        <v>1.2030000000000001</v>
      </c>
      <c r="AW54" s="42">
        <f t="shared" si="10"/>
        <v>2.1242903816774683E-4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0.27234167621073951</v>
      </c>
      <c r="AE55" s="19">
        <f t="shared" si="7"/>
        <v>2.7062677803281882E-2</v>
      </c>
      <c r="AF55" s="19">
        <f t="shared" si="8"/>
        <v>0.24492119550893468</v>
      </c>
      <c r="AG55" s="20"/>
      <c r="AH55" s="19">
        <f t="shared" si="9"/>
        <v>0.92422745964511333</v>
      </c>
      <c r="AI55" s="21">
        <v>922379</v>
      </c>
      <c r="AJ55" s="22">
        <v>852488</v>
      </c>
      <c r="AK55" s="22">
        <v>84712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1.968</v>
      </c>
      <c r="AU55" s="26">
        <v>1.6559999999999999</v>
      </c>
      <c r="AW55" s="27">
        <f t="shared" si="10"/>
        <v>6.6742810747615067E-4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0.56311275743040012</v>
      </c>
      <c r="AE56" s="34">
        <f t="shared" si="7"/>
        <v>8.2685694113663125E-2</v>
      </c>
      <c r="AF56" s="34">
        <f t="shared" si="8"/>
        <v>0.48081042356515447</v>
      </c>
      <c r="AG56" s="35"/>
      <c r="AH56" s="34">
        <f t="shared" si="9"/>
        <v>1.7847737775563683</v>
      </c>
      <c r="AI56" s="36">
        <v>987612</v>
      </c>
      <c r="AJ56" s="37">
        <v>1762664</v>
      </c>
      <c r="AK56" s="37">
        <v>258824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3.3580000000000001</v>
      </c>
      <c r="AU56" s="41">
        <v>2.8580000000000001</v>
      </c>
      <c r="AW56" s="42">
        <f t="shared" si="10"/>
        <v>2.2517291317145638E-3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>
        <f t="shared" si="6"/>
        <v>0</v>
      </c>
      <c r="AE57" s="19">
        <f t="shared" si="7"/>
        <v>0</v>
      </c>
      <c r="AF57" s="19" t="str">
        <f t="shared" si="8"/>
        <v>·</v>
      </c>
      <c r="AG57" s="20"/>
      <c r="AH57" s="19" t="e">
        <f t="shared" si="9"/>
        <v>#DIV/0!</v>
      </c>
      <c r="AI57" s="21"/>
      <c r="AJ57" s="22">
        <v>0</v>
      </c>
      <c r="AK57" s="22">
        <v>0</v>
      </c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>
        <f t="shared" si="6"/>
        <v>0</v>
      </c>
      <c r="AE58" s="49">
        <f t="shared" si="7"/>
        <v>0</v>
      </c>
      <c r="AF58" s="49" t="str">
        <f t="shared" si="8"/>
        <v>·</v>
      </c>
      <c r="AG58" s="50"/>
      <c r="AH58" s="49" t="e">
        <f t="shared" si="9"/>
        <v>#DIV/0!</v>
      </c>
      <c r="AI58" s="51"/>
      <c r="AJ58" s="52">
        <v>0</v>
      </c>
      <c r="AK58" s="52">
        <v>0</v>
      </c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2.5160567234979968E-2</v>
      </c>
      <c r="AE59" s="19">
        <f t="shared" si="7"/>
        <v>7.8738421767577949E-3</v>
      </c>
      <c r="AF59" s="19">
        <f t="shared" si="8"/>
        <v>1.7078313296126489E-2</v>
      </c>
      <c r="AG59" s="20"/>
      <c r="AH59" s="19">
        <f t="shared" si="9"/>
        <v>3.8046489721283314E-2</v>
      </c>
      <c r="AI59" s="21">
        <v>2310016</v>
      </c>
      <c r="AJ59" s="22">
        <v>87888</v>
      </c>
      <c r="AK59" s="22">
        <v>27504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4.5119999999999996</v>
      </c>
      <c r="AU59" s="26">
        <v>2.6840000000000002</v>
      </c>
      <c r="AW59" s="27">
        <f t="shared" si="10"/>
        <v>2.7282589376614874E-4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3.5922117399778131E-5</v>
      </c>
      <c r="BA59" s="28">
        <f>IF( OR(ISBLANK(Q59:Q64),ISBLANK(AK59:AK64), ISBLANK(U59:U64),ISBLANK(AO59:AO64)), "·", bdRateExtend( Q59:Q64,U59:U64, AK59:AK64,AO59:AO64))</f>
        <v>1.3233754869002023E-3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5.3845049109919607E-3</v>
      </c>
      <c r="BH59" s="28">
        <f>IF( OR(ISBLANK(P59:P64),ISBLANK(AJ59:AJ64), ISBLANK(U59:U64),ISBLANK(AO59:AO64)), "·", bdRateExtend( P59:P64,U59:U64, AJ59:AJ64,AO59:AO64))</f>
        <v>6.2695057578845415E-3</v>
      </c>
      <c r="BI59" s="28">
        <f>IF( OR(ISBLANK(P59:P64),ISBLANK(AJ59:AJ64), ISBLANK(V59:V64),ISBLANK(AP59:AP64)), "·", bdRateExtend( P59:P64,V59:V64, AJ59:AJ64,AP59:AP64))</f>
        <v>7.1689460203745448E-3</v>
      </c>
      <c r="BJ59" s="28">
        <f>IF( OR(ISBLANK(P59:P64),ISBLANK(AJ59:AJ64), ISBLANK(W59:W64),ISBLANK(AQ59:AQ64)), "·", bdRateExtend( P59:P64,W59:W64, AJ59:AJ64,AQ59:AQ64))</f>
        <v>6.6470184392597442E-3</v>
      </c>
      <c r="BK59" s="28">
        <f>IF( OR(ISBLANK(P59:P64),ISBLANK(AJ59:AJ64), ISBLANK(X59:X64),ISBLANK(AR59:AR64)), "·", bdRateExtend( P59:P64,X59:X64, AJ59:AJ64,AR59:AR64))</f>
        <v>6.4947584063290709E-3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7.3221235669902102E-2</v>
      </c>
      <c r="AE60" s="34">
        <f t="shared" si="7"/>
        <v>2.4010867184737845E-2</v>
      </c>
      <c r="AF60" s="34">
        <f t="shared" si="8"/>
        <v>4.8500394350552589E-2</v>
      </c>
      <c r="AG60" s="35"/>
      <c r="AH60" s="34">
        <f t="shared" si="9"/>
        <v>7.4119668106356201E-2</v>
      </c>
      <c r="AI60" s="36">
        <v>3450744</v>
      </c>
      <c r="AJ60" s="37">
        <v>255768</v>
      </c>
      <c r="AK60" s="37">
        <v>83872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4.6210000000000004</v>
      </c>
      <c r="AW60" s="42">
        <f t="shared" si="10"/>
        <v>-2.6191185063980105E-3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0.18087163639018231</v>
      </c>
      <c r="AE61" s="19">
        <f t="shared" si="7"/>
        <v>7.7416953781542674E-2</v>
      </c>
      <c r="AF61" s="19">
        <f t="shared" si="8"/>
        <v>0.10173013253327647</v>
      </c>
      <c r="AG61" s="20"/>
      <c r="AH61" s="19">
        <f t="shared" si="9"/>
        <v>0.21340355361840282</v>
      </c>
      <c r="AI61" s="21">
        <v>2960588</v>
      </c>
      <c r="AJ61" s="22">
        <v>631800</v>
      </c>
      <c r="AK61" s="22">
        <v>270424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6.8710000000000004</v>
      </c>
      <c r="AU61" s="26">
        <v>4.9800000000000004</v>
      </c>
      <c r="AW61" s="27">
        <f t="shared" si="10"/>
        <v>-1.8347275637527471E-3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0.46564684226121034</v>
      </c>
      <c r="AE62" s="34">
        <f t="shared" si="7"/>
        <v>0.23414030863835264</v>
      </c>
      <c r="AF62" s="34">
        <f t="shared" si="8"/>
        <v>0.23185923045101967</v>
      </c>
      <c r="AG62" s="35"/>
      <c r="AH62" s="34">
        <f t="shared" si="9"/>
        <v>0.57492768089672863</v>
      </c>
      <c r="AI62" s="36">
        <v>2829128</v>
      </c>
      <c r="AJ62" s="37">
        <v>1626544</v>
      </c>
      <c r="AK62" s="37">
        <v>817872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12.089</v>
      </c>
      <c r="AU62" s="41">
        <v>7.8079999999999998</v>
      </c>
      <c r="AW62" s="42">
        <f t="shared" si="10"/>
        <v>5.0163364210695227E-3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>
        <f t="shared" si="7"/>
        <v>0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>
        <v>0</v>
      </c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>
        <f t="shared" si="7"/>
        <v>0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>
        <v>0</v>
      </c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0.19232559669441163</v>
      </c>
      <c r="AE65" s="19">
        <f t="shared" si="7"/>
        <v>2.02194745267326E-2</v>
      </c>
      <c r="AF65" s="19">
        <f t="shared" si="8"/>
        <v>0.17168509195938814</v>
      </c>
      <c r="AG65" s="20"/>
      <c r="AH65" s="19">
        <f t="shared" si="9"/>
        <v>0.26141355166053232</v>
      </c>
      <c r="AI65" s="21">
        <v>1174262</v>
      </c>
      <c r="AJ65" s="22">
        <v>306968</v>
      </c>
      <c r="AK65" s="22">
        <v>32272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3.6549999999999998</v>
      </c>
      <c r="AU65" s="26">
        <v>1.421</v>
      </c>
      <c r="AW65" s="27">
        <f t="shared" si="10"/>
        <v>4.9473818412679171E-5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2.7102571528816455E-3</v>
      </c>
      <c r="BA65" s="28">
        <f>IF( OR(ISBLANK(Q65:Q70),ISBLANK(AK65:AK70), ISBLANK(U65:U70),ISBLANK(AO65:AO70)), "·", bdRateExtend( Q65:Q70,U65:U70, AK65:AK70,AO65:AO70))</f>
        <v>2.6016488160716111E-3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6.9177595303093753E-4</v>
      </c>
      <c r="BH65" s="28">
        <f>IF( OR(ISBLANK(P65:P70),ISBLANK(AJ65:AJ70), ISBLANK(U65:U70),ISBLANK(AO65:AO70)), "·", bdRateExtend( P65:P70,U65:U70, AJ65:AJ70,AO65:AO70))</f>
        <v>6.7956668231938799E-4</v>
      </c>
      <c r="BI65" s="28">
        <f>IF( OR(ISBLANK(P65:P70),ISBLANK(AJ65:AJ70), ISBLANK(V65:V70),ISBLANK(AP65:AP70)), "·", bdRateExtend( P65:P70,V65:V70, AJ65:AJ70,AP65:AP70))</f>
        <v>7.003662491174012E-4</v>
      </c>
      <c r="BJ65" s="28">
        <f>IF( OR(ISBLANK(P65:P70),ISBLANK(AJ65:AJ70), ISBLANK(W65:W70),ISBLANK(AQ65:AQ70)), "·", bdRateExtend( P65:P70,W65:W70, AJ65:AJ70,AQ65:AQ70))</f>
        <v>7.3323309612915999E-4</v>
      </c>
      <c r="BK65" s="28">
        <f>IF( OR(ISBLANK(P65:P70),ISBLANK(AJ65:AJ70), ISBLANK(X65:X70),ISBLANK(AR65:AR70)), "·", bdRateExtend( P65:P70,X65:X70, AJ65:AJ70,AR65:AR70))</f>
        <v>7.295788119787705E-4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0.52893423595861122</v>
      </c>
      <c r="AE66" s="34">
        <f t="shared" si="7"/>
        <v>7.9454415021756361E-2</v>
      </c>
      <c r="AF66" s="34">
        <f t="shared" si="8"/>
        <v>0.44899864355595098</v>
      </c>
      <c r="AG66" s="35"/>
      <c r="AH66" s="34">
        <f t="shared" si="9"/>
        <v>0.66071295804255459</v>
      </c>
      <c r="AI66" s="36">
        <v>1277747</v>
      </c>
      <c r="AJ66" s="37">
        <v>844224</v>
      </c>
      <c r="AK66" s="37">
        <v>126816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4.4820000000000002</v>
      </c>
      <c r="AU66" s="41">
        <v>1.8109999999999999</v>
      </c>
      <c r="AW66" s="42">
        <f t="shared" si="10"/>
        <v>3.3885992593710168E-4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1.4453666314763938</v>
      </c>
      <c r="AE67" s="19">
        <f t="shared" si="7"/>
        <v>0.33819752707405931</v>
      </c>
      <c r="AF67" s="19">
        <f t="shared" si="8"/>
        <v>1.1069986874132642</v>
      </c>
      <c r="AG67" s="20"/>
      <c r="AH67" s="19">
        <f t="shared" si="9"/>
        <v>1.428074960489931</v>
      </c>
      <c r="AI67" s="21">
        <v>1615411</v>
      </c>
      <c r="AJ67" s="22">
        <v>2306928</v>
      </c>
      <c r="AK67" s="22">
        <v>539792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8.1219999999999999</v>
      </c>
      <c r="AU67" s="26">
        <v>3.0139999999999998</v>
      </c>
      <c r="AW67" s="27">
        <f t="shared" si="10"/>
        <v>7.9865063690939819E-4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>
        <f t="shared" si="7"/>
        <v>1.3463944589417229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>
        <v>2148960</v>
      </c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>
        <f t="shared" ref="AE69:AE132" si="18">IF(AK69="","·",AK69/D69)</f>
        <v>0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>
        <v>0</v>
      </c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>
        <f t="shared" si="18"/>
        <v>0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>
        <v>0</v>
      </c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9.2012914408366522E-2</v>
      </c>
      <c r="AE71" s="19">
        <f t="shared" si="18"/>
        <v>9.0158376628333564E-3</v>
      </c>
      <c r="AF71" s="19">
        <f t="shared" si="19"/>
        <v>8.2871345370615676E-2</v>
      </c>
      <c r="AG71" s="20"/>
      <c r="AH71" s="19">
        <f t="shared" si="20"/>
        <v>0.10828947444910617</v>
      </c>
      <c r="AI71" s="21">
        <v>7568972</v>
      </c>
      <c r="AJ71" s="22">
        <v>819640</v>
      </c>
      <c r="AK71" s="22">
        <v>80312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11.805</v>
      </c>
      <c r="AU71" s="26">
        <v>9.4610000000000003</v>
      </c>
      <c r="AW71" s="27">
        <f t="shared" si="21"/>
        <v>-6.3537747365241537E-5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1.5633046819951701E-3</v>
      </c>
      <c r="BA71" s="28">
        <f>IF( OR(ISBLANK(Q71:Q76),ISBLANK(AK71:AK76), ISBLANK(U71:U76),ISBLANK(AO71:AO76)), "·", bdRateExtend( Q71:Q76,U71:U76, AK71:AK76,AO71:AO76))</f>
        <v>1.4276603366816243E-3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1.4497833547411076E-4</v>
      </c>
      <c r="BH71" s="28">
        <f>IF( OR(ISBLANK(P71:P76),ISBLANK(AJ71:AJ76), ISBLANK(U71:U76),ISBLANK(AO71:AO76)), "·", bdRateExtend( P71:P76,U71:U76, AJ71:AJ76,AO71:AO76))</f>
        <v>1.4105734177904949E-4</v>
      </c>
      <c r="BI71" s="28">
        <f>IF( OR(ISBLANK(P71:P76),ISBLANK(AJ71:AJ76), ISBLANK(V71:V76),ISBLANK(AP71:AP76)), "·", bdRateExtend( P71:P76,V71:V76, AJ71:AJ76,AP71:AP76))</f>
        <v>2.0083576842466755E-4</v>
      </c>
      <c r="BJ71" s="28">
        <f>IF( OR(ISBLANK(P71:P76),ISBLANK(AJ71:AJ76), ISBLANK(W71:W76),ISBLANK(AQ71:AQ76)), "·", bdRateExtend( P71:P76,W71:W76, AJ71:AJ76,AQ71:AQ76))</f>
        <v>2.5765945300615378E-4</v>
      </c>
      <c r="BK71" s="28">
        <f>IF( OR(ISBLANK(P71:P76),ISBLANK(AJ71:AJ76), ISBLANK(X71:X76),ISBLANK(AR71:AR76)), "·", bdRateExtend( P71:P76,X71:X76, AJ71:AJ76,AR71:AR76))</f>
        <v>2.6876678174669877E-4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0.28135538422161055</v>
      </c>
      <c r="AE72" s="34">
        <f t="shared" si="18"/>
        <v>3.2645253416076554E-2</v>
      </c>
      <c r="AF72" s="34">
        <f t="shared" si="19"/>
        <v>0.24861762843684468</v>
      </c>
      <c r="AG72" s="35"/>
      <c r="AH72" s="34">
        <f t="shared" si="20"/>
        <v>0.34956543521613592</v>
      </c>
      <c r="AI72" s="36">
        <v>7169702</v>
      </c>
      <c r="AJ72" s="37">
        <v>2506280</v>
      </c>
      <c r="AK72" s="37">
        <v>290800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13.226000000000001</v>
      </c>
      <c r="AU72" s="41">
        <v>10.244</v>
      </c>
      <c r="AW72" s="42">
        <f t="shared" si="21"/>
        <v>1.3429575650132641E-4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0.83242791775371916</v>
      </c>
      <c r="AE73" s="19">
        <f t="shared" si="18"/>
        <v>0.14766072286559764</v>
      </c>
      <c r="AF73" s="19">
        <f t="shared" si="19"/>
        <v>0.68479234116310506</v>
      </c>
      <c r="AG73" s="20"/>
      <c r="AH73" s="19">
        <f t="shared" si="20"/>
        <v>1.0671760211916352</v>
      </c>
      <c r="AI73" s="21">
        <v>6948402</v>
      </c>
      <c r="AJ73" s="22">
        <v>7415168</v>
      </c>
      <c r="AK73" s="22">
        <v>1315344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20.04</v>
      </c>
      <c r="AU73" s="26">
        <v>12.195</v>
      </c>
      <c r="AW73" s="27">
        <f t="shared" si="21"/>
        <v>4.3304920015518888E-4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2.1713305522750641</v>
      </c>
      <c r="AE74" s="34">
        <f t="shared" si="18"/>
        <v>0.60560941548381886</v>
      </c>
      <c r="AF74" s="34">
        <f t="shared" si="19"/>
        <v>1.5668105093467806</v>
      </c>
      <c r="AG74" s="35"/>
      <c r="AH74" s="34">
        <f t="shared" si="20"/>
        <v>2.4026747244625115</v>
      </c>
      <c r="AI74" s="36">
        <v>8050175</v>
      </c>
      <c r="AJ74" s="37">
        <v>19341952</v>
      </c>
      <c r="AK74" s="37">
        <v>5394696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41.350999999999999</v>
      </c>
      <c r="AU74" s="41">
        <v>21.509</v>
      </c>
      <c r="AW74" s="42">
        <f t="shared" si="21"/>
        <v>1.3931037290237369E-3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>
        <f t="shared" si="17"/>
        <v>0</v>
      </c>
      <c r="AE75" s="19">
        <f t="shared" si="18"/>
        <v>0</v>
      </c>
      <c r="AF75" s="19" t="str">
        <f t="shared" si="19"/>
        <v>·</v>
      </c>
      <c r="AG75" s="20"/>
      <c r="AH75" s="19" t="e">
        <f t="shared" si="20"/>
        <v>#DIV/0!</v>
      </c>
      <c r="AI75" s="21"/>
      <c r="AJ75" s="22">
        <v>0</v>
      </c>
      <c r="AK75" s="22">
        <v>0</v>
      </c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>
        <f t="shared" si="17"/>
        <v>0</v>
      </c>
      <c r="AE76" s="49">
        <f t="shared" si="18"/>
        <v>0</v>
      </c>
      <c r="AF76" s="49" t="str">
        <f t="shared" si="19"/>
        <v>·</v>
      </c>
      <c r="AG76" s="50"/>
      <c r="AH76" s="49" t="e">
        <f t="shared" si="20"/>
        <v>#DIV/0!</v>
      </c>
      <c r="AI76" s="51"/>
      <c r="AJ76" s="52">
        <v>0</v>
      </c>
      <c r="AK76" s="52">
        <v>0</v>
      </c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2.335909399458962E-2</v>
      </c>
      <c r="AE77" s="19">
        <f t="shared" si="18"/>
        <v>5.0301150119068322E-3</v>
      </c>
      <c r="AF77" s="19">
        <f t="shared" si="19"/>
        <v>1.8234775989240556E-2</v>
      </c>
      <c r="AG77" s="20"/>
      <c r="AH77" s="19">
        <f t="shared" si="20"/>
        <v>4.3953961724418254E-2</v>
      </c>
      <c r="AI77" s="21">
        <v>10470592</v>
      </c>
      <c r="AJ77" s="22">
        <v>460224</v>
      </c>
      <c r="AK77" s="22">
        <v>99104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17.05</v>
      </c>
      <c r="AU77" s="26">
        <v>12.343999999999999</v>
      </c>
      <c r="AW77" s="27">
        <f t="shared" si="21"/>
        <v>5.6438223000609966E-6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2.4102518758613023E-3</v>
      </c>
      <c r="BA77" s="28">
        <f>IF( OR(ISBLANK(Q77:Q82),ISBLANK(AK77:AK82), ISBLANK(U77:U82),ISBLANK(AO77:AO82)), "·", bdRateExtend( Q77:Q82,U77:U82, AK77:AK82,AO77:AO82))</f>
        <v>2.6391869059594342E-3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1.5864959348714791E-3</v>
      </c>
      <c r="BH77" s="28">
        <f>IF( OR(ISBLANK(P77:P82),ISBLANK(AJ77:AJ82), ISBLANK(U77:U82),ISBLANK(AO77:AO82)), "·", bdRateExtend( P77:P82,U77:U82, AJ77:AJ82,AO77:AO82))</f>
        <v>1.6043133909839913E-3</v>
      </c>
      <c r="BI77" s="28">
        <f>IF( OR(ISBLANK(P77:P82),ISBLANK(AJ77:AJ82), ISBLANK(V77:V82),ISBLANK(AP77:AP82)), "·", bdRateExtend( P77:P82,V77:V82, AJ77:AJ82,AP77:AP82))</f>
        <v>1.8265709388802787E-3</v>
      </c>
      <c r="BJ77" s="28">
        <f>IF( OR(ISBLANK(P77:P82),ISBLANK(AJ77:AJ82), ISBLANK(W77:W82),ISBLANK(AQ77:AQ82)), "·", bdRateExtend( P77:P82,W77:W82, AJ77:AJ82,AQ77:AQ82))</f>
        <v>1.8359283821303141E-3</v>
      </c>
      <c r="BK77" s="28">
        <f>IF( OR(ISBLANK(P77:P82),ISBLANK(AJ77:AJ82), ISBLANK(X77:X82),ISBLANK(AR77:AR82)), "·", bdRateExtend( P77:P82,X77:X82, AJ77:AJ82,AR77:AR82))</f>
        <v>1.8083524095631187E-3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8.2549839524997642E-2</v>
      </c>
      <c r="AE78" s="34">
        <f t="shared" si="18"/>
        <v>1.7059674855525803E-2</v>
      </c>
      <c r="AF78" s="34">
        <f t="shared" si="19"/>
        <v>6.5293637734876842E-2</v>
      </c>
      <c r="AG78" s="35"/>
      <c r="AH78" s="34">
        <f t="shared" si="20"/>
        <v>0.14700372026768574</v>
      </c>
      <c r="AI78" s="36">
        <v>11063720</v>
      </c>
      <c r="AJ78" s="37">
        <v>1626408</v>
      </c>
      <c r="AK78" s="37">
        <v>336112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19.297999999999998</v>
      </c>
      <c r="AU78" s="41">
        <v>14.173</v>
      </c>
      <c r="AW78" s="42">
        <f t="shared" si="21"/>
        <v>-5.04064509163904E-5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0.29465600020789628</v>
      </c>
      <c r="AE79" s="19">
        <f t="shared" si="18"/>
        <v>6.6238510000997855E-2</v>
      </c>
      <c r="AF79" s="19">
        <f t="shared" si="19"/>
        <v>0.22797611669883069</v>
      </c>
      <c r="AG79" s="20"/>
      <c r="AH79" s="19">
        <f t="shared" si="20"/>
        <v>0.50540511270068289</v>
      </c>
      <c r="AI79" s="21">
        <v>11486532</v>
      </c>
      <c r="AJ79" s="22">
        <v>5805352</v>
      </c>
      <c r="AK79" s="22">
        <v>1305040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26.689</v>
      </c>
      <c r="AU79" s="26">
        <v>18.298999999999999</v>
      </c>
      <c r="AW79" s="27">
        <f t="shared" si="21"/>
        <v>6.4366770357379699E-4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0.88416412151089829</v>
      </c>
      <c r="AE80" s="34">
        <f t="shared" si="18"/>
        <v>0.24022291189370654</v>
      </c>
      <c r="AF80" s="34">
        <f t="shared" si="19"/>
        <v>0.64497500626074311</v>
      </c>
      <c r="AG80" s="35"/>
      <c r="AH80" s="34">
        <f t="shared" si="20"/>
        <v>1.4545755755265115</v>
      </c>
      <c r="AI80" s="36">
        <v>11975947</v>
      </c>
      <c r="AJ80" s="37">
        <v>17419920</v>
      </c>
      <c r="AK80" s="37">
        <v>4732904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51.048000000000002</v>
      </c>
      <c r="AU80" s="41">
        <v>32.158000000000001</v>
      </c>
      <c r="AW80" s="42">
        <f t="shared" si="21"/>
        <v>2.4868285860293882E-3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>
        <f t="shared" si="17"/>
        <v>0</v>
      </c>
      <c r="AE81" s="19">
        <f t="shared" si="18"/>
        <v>0</v>
      </c>
      <c r="AF81" s="19" t="str">
        <f t="shared" si="19"/>
        <v>·</v>
      </c>
      <c r="AG81" s="20"/>
      <c r="AH81" s="19" t="e">
        <f t="shared" si="20"/>
        <v>#DIV/0!</v>
      </c>
      <c r="AI81" s="21"/>
      <c r="AJ81" s="22">
        <v>0</v>
      </c>
      <c r="AK81" s="22">
        <v>0</v>
      </c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>
        <f t="shared" si="17"/>
        <v>0</v>
      </c>
      <c r="AE82" s="49">
        <f t="shared" si="18"/>
        <v>0</v>
      </c>
      <c r="AF82" s="49" t="str">
        <f t="shared" si="19"/>
        <v>·</v>
      </c>
      <c r="AG82" s="50"/>
      <c r="AH82" s="49" t="e">
        <f t="shared" si="20"/>
        <v>#DIV/0!</v>
      </c>
      <c r="AI82" s="51"/>
      <c r="AJ82" s="52">
        <v>0</v>
      </c>
      <c r="AK82" s="52">
        <v>0</v>
      </c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4.980727680506971E-2</v>
      </c>
      <c r="AE83" s="19">
        <f t="shared" si="18"/>
        <v>1.5133425985079619E-2</v>
      </c>
      <c r="AF83" s="19">
        <f t="shared" si="19"/>
        <v>3.4439224060531494E-2</v>
      </c>
      <c r="AG83" s="20"/>
      <c r="AH83" s="19">
        <f t="shared" si="20"/>
        <v>6.0791940515645439E-2</v>
      </c>
      <c r="AI83" s="21">
        <v>2961182</v>
      </c>
      <c r="AJ83" s="22">
        <v>180016</v>
      </c>
      <c r="AK83" s="22">
        <v>54696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6.6349999999999998</v>
      </c>
      <c r="AU83" s="26">
        <v>3.7469999999999999</v>
      </c>
      <c r="AW83" s="27">
        <f t="shared" si="21"/>
        <v>4.6693247229223633E-5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3.6154745645864406E-3</v>
      </c>
      <c r="BA83" s="28">
        <f>IF( OR(ISBLANK(Q83:Q88),ISBLANK(AK83:AK88), ISBLANK(U83:U88),ISBLANK(AO83:AO88)), "·", bdRateExtend( Q83:Q88,U83:U88, AK83:AK88,AO83:AO88))</f>
        <v>2.8106910465683921E-3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1.1895614494452644E-3</v>
      </c>
      <c r="BH83" s="28">
        <f>IF( OR(ISBLANK(P83:P88),ISBLANK(AJ83:AJ88), ISBLANK(U83:U88),ISBLANK(AO83:AO88)), "·", bdRateExtend( P83:P88,U83:U88, AJ83:AJ88,AO83:AO88))</f>
        <v>1.0205487487398024E-3</v>
      </c>
      <c r="BI83" s="28">
        <f>IF( OR(ISBLANK(P83:P88),ISBLANK(AJ83:AJ88), ISBLANK(V83:V88),ISBLANK(AP83:AP88)), "·", bdRateExtend( P83:P88,V83:V88, AJ83:AJ88,AP83:AP88))</f>
        <v>1.2689747738134916E-3</v>
      </c>
      <c r="BJ83" s="28">
        <f>IF( OR(ISBLANK(P83:P88),ISBLANK(AJ83:AJ88), ISBLANK(W83:W88),ISBLANK(AQ83:AQ88)), "·", bdRateExtend( P83:P88,W83:W88, AJ83:AJ88,AQ83:AQ88))</f>
        <v>1.2709759018487699E-3</v>
      </c>
      <c r="BK83" s="28">
        <f>IF( OR(ISBLANK(P83:P88),ISBLANK(AJ83:AJ88), ISBLANK(X83:X88),ISBLANK(AR83:AR88)), "·", bdRateExtend( P83:P88,X83:X88, AJ83:AJ88,AR83:AR88))</f>
        <v>1.3251112998611259E-3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0.15819819929495765</v>
      </c>
      <c r="AE84" s="34">
        <f t="shared" si="18"/>
        <v>4.9258338726336386E-2</v>
      </c>
      <c r="AF84" s="34">
        <f t="shared" si="19"/>
        <v>0.10870966072915246</v>
      </c>
      <c r="AG84" s="35"/>
      <c r="AH84" s="34">
        <f t="shared" si="20"/>
        <v>0.1842440897130104</v>
      </c>
      <c r="AI84" s="36">
        <v>3103318</v>
      </c>
      <c r="AJ84" s="37">
        <v>571768</v>
      </c>
      <c r="AK84" s="37">
        <v>178032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7.7910000000000004</v>
      </c>
      <c r="AU84" s="41">
        <v>4.37</v>
      </c>
      <c r="AW84" s="42">
        <f t="shared" si="21"/>
        <v>8.3248922142042936E-4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0.60133067681242947</v>
      </c>
      <c r="AE85" s="19">
        <f t="shared" si="18"/>
        <v>0.19948808203968124</v>
      </c>
      <c r="AF85" s="19">
        <f t="shared" si="19"/>
        <v>0.40205508693225789</v>
      </c>
      <c r="AG85" s="20"/>
      <c r="AH85" s="19">
        <f t="shared" si="20"/>
        <v>0.50511527526546696</v>
      </c>
      <c r="AI85" s="21">
        <v>4302701</v>
      </c>
      <c r="AJ85" s="22">
        <v>2173360</v>
      </c>
      <c r="AK85" s="22">
        <v>721000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12.526</v>
      </c>
      <c r="AU85" s="26">
        <v>7.3230000000000004</v>
      </c>
      <c r="AW85" s="27">
        <f t="shared" si="21"/>
        <v>1.7375756235043505E-3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>
        <f t="shared" si="17"/>
        <v>0</v>
      </c>
      <c r="AE86" s="34">
        <f t="shared" si="18"/>
        <v>0.44009118348448961</v>
      </c>
      <c r="AF86" s="34" t="str">
        <f t="shared" si="19"/>
        <v>·</v>
      </c>
      <c r="AG86" s="35"/>
      <c r="AH86" s="34" t="e">
        <f t="shared" si="20"/>
        <v>#DIV/0!</v>
      </c>
      <c r="AI86" s="36"/>
      <c r="AJ86" s="37">
        <v>0</v>
      </c>
      <c r="AK86" s="37">
        <v>1590600</v>
      </c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>
        <f t="shared" si="17"/>
        <v>0</v>
      </c>
      <c r="AE87" s="19">
        <f t="shared" si="18"/>
        <v>0</v>
      </c>
      <c r="AF87" s="19" t="str">
        <f t="shared" si="19"/>
        <v>·</v>
      </c>
      <c r="AG87" s="20"/>
      <c r="AH87" s="19" t="e">
        <f t="shared" si="20"/>
        <v>#DIV/0!</v>
      </c>
      <c r="AI87" s="21"/>
      <c r="AJ87" s="22">
        <v>0</v>
      </c>
      <c r="AK87" s="22">
        <v>0</v>
      </c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>
        <f t="shared" si="17"/>
        <v>0</v>
      </c>
      <c r="AE88" s="49">
        <f t="shared" si="18"/>
        <v>0</v>
      </c>
      <c r="AF88" s="49" t="str">
        <f t="shared" si="19"/>
        <v>·</v>
      </c>
      <c r="AG88" s="50"/>
      <c r="AH88" s="49" t="e">
        <f t="shared" si="20"/>
        <v>#DIV/0!</v>
      </c>
      <c r="AI88" s="51"/>
      <c r="AJ88" s="52">
        <v>0</v>
      </c>
      <c r="AK88" s="52">
        <v>0</v>
      </c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8.6762513884977008E-2</v>
      </c>
      <c r="AE89" s="19">
        <f t="shared" si="18"/>
        <v>2.6634413913717941E-2</v>
      </c>
      <c r="AF89" s="19">
        <f t="shared" si="19"/>
        <v>5.9798399196289632E-2</v>
      </c>
      <c r="AG89" s="20"/>
      <c r="AH89" s="19">
        <f t="shared" si="20"/>
        <v>0.10466083166172704</v>
      </c>
      <c r="AI89" s="21">
        <v>11525840</v>
      </c>
      <c r="AJ89" s="22">
        <v>1206304</v>
      </c>
      <c r="AK89" s="22">
        <v>370312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40.505000000000003</v>
      </c>
      <c r="AU89" s="26">
        <v>15.05</v>
      </c>
      <c r="AW89" s="27">
        <f t="shared" si="21"/>
        <v>-5.0250464260825911E-5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4.1185417250846346E-3</v>
      </c>
      <c r="BA89" s="28">
        <f>IF( OR(ISBLANK(Q89:Q94),ISBLANK(AK89:AK94), ISBLANK(U89:U94),ISBLANK(AO89:AO94)), "·", bdRateExtend( Q89:Q94,U89:U94, AK89:AK94,AO89:AO94))</f>
        <v>4.0446568902159363E-3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3.6214534970919754E-3</v>
      </c>
      <c r="BH89" s="28">
        <f>IF( OR(ISBLANK(P89:P94),ISBLANK(AJ89:AJ94), ISBLANK(U89:U94),ISBLANK(AO89:AO94)), "·", bdRateExtend( P89:P94,U89:U94, AJ89:AJ94,AO89:AO94))</f>
        <v>3.6550020394559013E-3</v>
      </c>
      <c r="BI89" s="28">
        <f>IF( OR(ISBLANK(P89:P94),ISBLANK(AJ89:AJ94), ISBLANK(V89:V94),ISBLANK(AP89:AP94)), "·", bdRateExtend( P89:P94,V89:V94, AJ89:AJ94,AP89:AP94))</f>
        <v>3.5150678117508161E-3</v>
      </c>
      <c r="BJ89" s="28">
        <f>IF( OR(ISBLANK(P89:P94),ISBLANK(AJ89:AJ94), ISBLANK(W89:W94),ISBLANK(AQ89:AQ94)), "·", bdRateExtend( P89:P94,W89:W94, AJ89:AJ94,AQ89:AQ94))</f>
        <v>3.4978381491390653E-3</v>
      </c>
      <c r="BK89" s="28">
        <f>IF( OR(ISBLANK(P89:P94),ISBLANK(AJ89:AJ94), ISBLANK(X89:X94),ISBLANK(AR89:AR94)), "·", bdRateExtend( P89:P94,X89:X94, AJ89:AJ94,AR89:AR94))</f>
        <v>3.5139407280919688E-3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0.32250432192835249</v>
      </c>
      <c r="AE90" s="34">
        <f t="shared" si="18"/>
        <v>9.3340418351732041E-2</v>
      </c>
      <c r="AF90" s="34">
        <f t="shared" si="19"/>
        <v>0.22823751920017929</v>
      </c>
      <c r="AG90" s="35"/>
      <c r="AH90" s="34">
        <f t="shared" si="20"/>
        <v>0.35352606841855583</v>
      </c>
      <c r="AI90" s="36">
        <v>12683489</v>
      </c>
      <c r="AJ90" s="37">
        <v>4483944</v>
      </c>
      <c r="AK90" s="37">
        <v>1297760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50.831000000000003</v>
      </c>
      <c r="AU90" s="41">
        <v>19.233000000000001</v>
      </c>
      <c r="AW90" s="42">
        <f t="shared" si="21"/>
        <v>1.4878033426046766E-4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1.0909349836401094</v>
      </c>
      <c r="AE91" s="19">
        <f t="shared" si="18"/>
        <v>0.37498888770293787</v>
      </c>
      <c r="AF91" s="19">
        <f t="shared" si="19"/>
        <v>0.71505365980806579</v>
      </c>
      <c r="AG91" s="20"/>
      <c r="AH91" s="19">
        <f t="shared" si="20"/>
        <v>1.0428139402832528</v>
      </c>
      <c r="AI91" s="21">
        <v>14545099</v>
      </c>
      <c r="AJ91" s="22">
        <v>15167832</v>
      </c>
      <c r="AK91" s="22">
        <v>5213664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97.081000000000003</v>
      </c>
      <c r="AU91" s="26">
        <v>31.079000000000001</v>
      </c>
      <c r="AW91" s="27">
        <f t="shared" si="21"/>
        <v>1.0362322772795585E-3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>
        <f t="shared" si="17"/>
        <v>0</v>
      </c>
      <c r="AE92" s="34">
        <f t="shared" si="18"/>
        <v>0.1488486797152605</v>
      </c>
      <c r="AF92" s="34" t="str">
        <f t="shared" si="19"/>
        <v>·</v>
      </c>
      <c r="AG92" s="35"/>
      <c r="AH92" s="34" t="e">
        <f t="shared" si="20"/>
        <v>#DIV/0!</v>
      </c>
      <c r="AI92" s="36"/>
      <c r="AJ92" s="37">
        <v>0</v>
      </c>
      <c r="AK92" s="37">
        <v>2069520</v>
      </c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>
        <f t="shared" si="17"/>
        <v>0</v>
      </c>
      <c r="AE93" s="19">
        <f t="shared" si="18"/>
        <v>0</v>
      </c>
      <c r="AF93" s="19" t="str">
        <f t="shared" si="19"/>
        <v>·</v>
      </c>
      <c r="AG93" s="20"/>
      <c r="AH93" s="19" t="e">
        <f t="shared" si="20"/>
        <v>#DIV/0!</v>
      </c>
      <c r="AI93" s="21"/>
      <c r="AJ93" s="22">
        <v>0</v>
      </c>
      <c r="AK93" s="22">
        <v>0</v>
      </c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>
        <f t="shared" si="17"/>
        <v>0</v>
      </c>
      <c r="AE94" s="49">
        <f t="shared" si="18"/>
        <v>0</v>
      </c>
      <c r="AF94" s="49" t="str">
        <f t="shared" si="19"/>
        <v>·</v>
      </c>
      <c r="AG94" s="50"/>
      <c r="AH94" s="49" t="e">
        <f t="shared" si="20"/>
        <v>#DIV/0!</v>
      </c>
      <c r="AI94" s="51"/>
      <c r="AJ94" s="52">
        <v>0</v>
      </c>
      <c r="AK94" s="52">
        <v>0</v>
      </c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5.4780360691271658E-2</v>
      </c>
      <c r="AE95" s="19">
        <f t="shared" si="18"/>
        <v>9.3978957441564776E-3</v>
      </c>
      <c r="AF95" s="19">
        <f t="shared" si="19"/>
        <v>4.5194375039314297E-2</v>
      </c>
      <c r="AG95" s="20"/>
      <c r="AH95" s="19">
        <f t="shared" si="20"/>
        <v>9.0872390826273131E-2</v>
      </c>
      <c r="AI95" s="21">
        <v>2922956</v>
      </c>
      <c r="AJ95" s="22">
        <v>265616</v>
      </c>
      <c r="AK95" s="22">
        <v>45568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6.23</v>
      </c>
      <c r="AU95" s="26">
        <v>3.6040000000000001</v>
      </c>
      <c r="AW95" s="27">
        <f t="shared" si="21"/>
        <v>-2.8235366159320985E-4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1.4520908570843094E-3</v>
      </c>
      <c r="BA95" s="28">
        <f>IF( OR(ISBLANK(Q95:Q100),ISBLANK(AK95:AK100), ISBLANK(U95:U100),ISBLANK(AO95:AO100)), "·", bdRateExtend( Q95:Q100,U95:U100, AK95:AK100,AO95:AO100))</f>
        <v>1.5794249544991423E-3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2.6544139361672769E-4</v>
      </c>
      <c r="BH95" s="28">
        <f>IF( OR(ISBLANK(P95:P100),ISBLANK(AJ95:AJ100), ISBLANK(U95:U100),ISBLANK(AO95:AO100)), "·", bdRateExtend( P95:P100,U95:U100, AJ95:AJ100,AO95:AO100))</f>
        <v>2.6484919173097587E-4</v>
      </c>
      <c r="BI95" s="28">
        <f>IF( OR(ISBLANK(P95:P100),ISBLANK(AJ95:AJ100), ISBLANK(V95:V100),ISBLANK(AP95:AP100)), "·", bdRateExtend( P95:P100,V95:V100, AJ95:AJ100,AP95:AP100))</f>
        <v>2.6273389610009801E-4</v>
      </c>
      <c r="BJ95" s="28">
        <f>IF( OR(ISBLANK(P95:P100),ISBLANK(AJ95:AJ100), ISBLANK(W95:W100),ISBLANK(AQ95:AQ100)), "·", bdRateExtend( P95:P100,W95:W100, AJ95:AJ100,AQ95:AQ100))</f>
        <v>2.6171110837069911E-4</v>
      </c>
      <c r="BK95" s="28">
        <f>IF( OR(ISBLANK(P95:P100),ISBLANK(AJ95:AJ100), ISBLANK(X95:X100),ISBLANK(AR95:AR100)), "·", bdRateExtend( P95:P100,X95:X100, AJ95:AJ100,AR95:AR100))</f>
        <v>2.6133283044948996E-4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0.18477688556523389</v>
      </c>
      <c r="AE96" s="34">
        <f t="shared" si="18"/>
        <v>3.4247212423008426E-2</v>
      </c>
      <c r="AF96" s="34">
        <f t="shared" si="19"/>
        <v>0.15039603031299853</v>
      </c>
      <c r="AG96" s="35"/>
      <c r="AH96" s="34">
        <f t="shared" si="20"/>
        <v>0.26434631132365233</v>
      </c>
      <c r="AI96" s="36">
        <v>3389251</v>
      </c>
      <c r="AJ96" s="37">
        <v>895936</v>
      </c>
      <c r="AK96" s="37">
        <v>166056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8.3239999999999998</v>
      </c>
      <c r="AU96" s="41">
        <v>4.5419999999999998</v>
      </c>
      <c r="AW96" s="42">
        <f t="shared" si="21"/>
        <v>3.7740238587449793E-4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0.60525847409999911</v>
      </c>
      <c r="AE97" s="19">
        <f t="shared" si="18"/>
        <v>0.15754014698648824</v>
      </c>
      <c r="AF97" s="19">
        <f t="shared" si="19"/>
        <v>0.44856473169861477</v>
      </c>
      <c r="AG97" s="20"/>
      <c r="AH97" s="19">
        <f t="shared" si="20"/>
        <v>0.77902568434151853</v>
      </c>
      <c r="AI97" s="21">
        <v>3767198</v>
      </c>
      <c r="AJ97" s="22">
        <v>2934744</v>
      </c>
      <c r="AK97" s="22">
        <v>763872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14.135999999999999</v>
      </c>
      <c r="AU97" s="26">
        <v>6.1980000000000004</v>
      </c>
      <c r="AW97" s="27">
        <f t="shared" si="21"/>
        <v>1.8292976247253345E-3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>
        <f t="shared" si="17"/>
        <v>0</v>
      </c>
      <c r="AE98" s="34">
        <f t="shared" si="18"/>
        <v>0.27654991136881812</v>
      </c>
      <c r="AF98" s="34" t="str">
        <f t="shared" si="19"/>
        <v>·</v>
      </c>
      <c r="AG98" s="35"/>
      <c r="AH98" s="34" t="e">
        <f t="shared" si="20"/>
        <v>#DIV/0!</v>
      </c>
      <c r="AI98" s="36"/>
      <c r="AJ98" s="37">
        <v>0</v>
      </c>
      <c r="AK98" s="37">
        <v>1340920</v>
      </c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>
        <f t="shared" si="17"/>
        <v>0</v>
      </c>
      <c r="AE99" s="19">
        <f t="shared" si="18"/>
        <v>0</v>
      </c>
      <c r="AF99" s="19" t="str">
        <f t="shared" si="19"/>
        <v>·</v>
      </c>
      <c r="AG99" s="20"/>
      <c r="AH99" s="19" t="e">
        <f t="shared" si="20"/>
        <v>#DIV/0!</v>
      </c>
      <c r="AI99" s="21"/>
      <c r="AJ99" s="22">
        <v>0</v>
      </c>
      <c r="AK99" s="22">
        <v>0</v>
      </c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>
        <f t="shared" si="17"/>
        <v>0</v>
      </c>
      <c r="AE100" s="49">
        <f t="shared" si="18"/>
        <v>0</v>
      </c>
      <c r="AF100" s="49" t="str">
        <f t="shared" si="19"/>
        <v>·</v>
      </c>
      <c r="AG100" s="50"/>
      <c r="AH100" s="49" t="e">
        <f t="shared" si="20"/>
        <v>#DIV/0!</v>
      </c>
      <c r="AI100" s="51"/>
      <c r="AJ100" s="52">
        <v>0</v>
      </c>
      <c r="AK100" s="52">
        <v>0</v>
      </c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2.1085645437667885E-2</v>
      </c>
      <c r="AE101" s="19">
        <f t="shared" si="18"/>
        <v>1.1145812980118694E-3</v>
      </c>
      <c r="AF101" s="19">
        <f t="shared" si="19"/>
        <v>1.9952606388711283E-2</v>
      </c>
      <c r="AG101" s="20"/>
      <c r="AH101" s="19">
        <f t="shared" si="20"/>
        <v>0.11975362709180003</v>
      </c>
      <c r="AI101" s="21">
        <v>12668276</v>
      </c>
      <c r="AJ101" s="22">
        <v>1517072</v>
      </c>
      <c r="AK101" s="22">
        <v>80192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16.701000000000001</v>
      </c>
      <c r="AU101" s="26">
        <v>12.853</v>
      </c>
      <c r="AW101" s="27">
        <f t="shared" si="21"/>
        <v>9.9700906513705556E-5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3.6647178446864714E-3</v>
      </c>
      <c r="BA101" s="28">
        <f>IF( OR(ISBLANK(Q101:Q106),ISBLANK(AK101:AK106), ISBLANK(U101:U106),ISBLANK(AO101:AO106)), "·", bdRateExtend( Q101:Q106,U101:U106, AK101:AK106,AO101:AO106))</f>
        <v>3.5691050694242055E-3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-2.0552712850863131E-4</v>
      </c>
      <c r="BH101" s="28">
        <f>IF( OR(ISBLANK(P101:P106),ISBLANK(AJ101:AJ106), ISBLANK(U101:U106),ISBLANK(AO101:AO106)), "·", bdRateExtend( P101:P106,U101:U106, AJ101:AJ106,AO101:AO106))</f>
        <v>-2.1919612032450519E-4</v>
      </c>
      <c r="BI101" s="28">
        <f>IF( OR(ISBLANK(P101:P106),ISBLANK(AJ101:AJ106), ISBLANK(V101:V106),ISBLANK(AP101:AP106)), "·", bdRateExtend( P101:P106,V101:V106, AJ101:AJ106,AP101:AP106))</f>
        <v>-1.8930297713060096E-4</v>
      </c>
      <c r="BJ101" s="28">
        <f>IF( OR(ISBLANK(P101:P106),ISBLANK(AJ101:AJ106), ISBLANK(W101:W106),ISBLANK(AQ101:AQ106)), "·", bdRateExtend( P101:P106,W101:W106, AJ101:AJ106,AQ101:AQ106))</f>
        <v>-1.0181004143328121E-4</v>
      </c>
      <c r="BK101" s="28">
        <f>IF( OR(ISBLANK(P101:P106),ISBLANK(AJ101:AJ106), ISBLANK(X101:X106),ISBLANK(AR101:AR106)), "·", bdRateExtend( P101:P106,X101:X106, AJ101:AJ106,AR101:AR106))</f>
        <v>-1.1177921725136208E-4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7.5009631248883393E-2</v>
      </c>
      <c r="AE102" s="34">
        <f t="shared" si="18"/>
        <v>3.48451204280686E-3</v>
      </c>
      <c r="AF102" s="34">
        <f t="shared" si="19"/>
        <v>7.1527676605303819E-2</v>
      </c>
      <c r="AG102" s="35"/>
      <c r="AH102" s="34">
        <f t="shared" si="20"/>
        <v>0.42030268833910811</v>
      </c>
      <c r="AI102" s="36">
        <v>12840270</v>
      </c>
      <c r="AJ102" s="37">
        <v>5396800</v>
      </c>
      <c r="AK102" s="37">
        <v>250704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18.497</v>
      </c>
      <c r="AU102" s="41">
        <v>14.356999999999999</v>
      </c>
      <c r="AW102" s="42">
        <f t="shared" si="21"/>
        <v>1.348334757554151E-4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0.23525237513588615</v>
      </c>
      <c r="AE103" s="19">
        <f t="shared" si="18"/>
        <v>1.5294248100582067E-2</v>
      </c>
      <c r="AF103" s="19">
        <f t="shared" si="19"/>
        <v>0.22000871906349598</v>
      </c>
      <c r="AG103" s="20"/>
      <c r="AH103" s="19">
        <f t="shared" si="20"/>
        <v>1.1811643547398187</v>
      </c>
      <c r="AI103" s="21">
        <v>14329894</v>
      </c>
      <c r="AJ103" s="22">
        <v>16925960</v>
      </c>
      <c r="AK103" s="22">
        <v>1100392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25.356000000000002</v>
      </c>
      <c r="AU103" s="26">
        <v>20.308</v>
      </c>
      <c r="AW103" s="27">
        <f t="shared" si="21"/>
        <v>3.5248646106779413E-4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0.54286024588782023</v>
      </c>
      <c r="AE104" s="34">
        <f t="shared" si="18"/>
        <v>6.0665846130684153E-2</v>
      </c>
      <c r="AF104" s="34">
        <f t="shared" si="19"/>
        <v>0.48251685444231501</v>
      </c>
      <c r="AG104" s="35"/>
      <c r="AH104" s="34">
        <f t="shared" si="20"/>
        <v>2.5714024816049581</v>
      </c>
      <c r="AI104" s="36">
        <v>15189283</v>
      </c>
      <c r="AJ104" s="37">
        <v>39057760</v>
      </c>
      <c r="AK104" s="37">
        <v>4364792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42.637999999999998</v>
      </c>
      <c r="AU104" s="41">
        <v>34.793999999999997</v>
      </c>
      <c r="AW104" s="42">
        <f t="shared" si="21"/>
        <v>9.9242231509402701E-4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>
        <f t="shared" si="17"/>
        <v>0</v>
      </c>
      <c r="AE105" s="19">
        <f t="shared" si="18"/>
        <v>0</v>
      </c>
      <c r="AF105" s="19" t="str">
        <f t="shared" si="19"/>
        <v>·</v>
      </c>
      <c r="AG105" s="20"/>
      <c r="AH105" s="19" t="e">
        <f t="shared" si="20"/>
        <v>#DIV/0!</v>
      </c>
      <c r="AI105" s="21"/>
      <c r="AJ105" s="22">
        <v>0</v>
      </c>
      <c r="AK105" s="22">
        <v>0</v>
      </c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>
        <f t="shared" si="17"/>
        <v>0</v>
      </c>
      <c r="AE106" s="49">
        <f t="shared" si="18"/>
        <v>0</v>
      </c>
      <c r="AF106" s="49" t="str">
        <f t="shared" si="19"/>
        <v>·</v>
      </c>
      <c r="AG106" s="50"/>
      <c r="AH106" s="49" t="e">
        <f t="shared" si="20"/>
        <v>#DIV/0!</v>
      </c>
      <c r="AI106" s="51"/>
      <c r="AJ106" s="52">
        <v>0</v>
      </c>
      <c r="AK106" s="52">
        <v>0</v>
      </c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0.11832091887851964</v>
      </c>
      <c r="AE107" s="19">
        <f t="shared" si="18"/>
        <v>8.7412576119416489E-3</v>
      </c>
      <c r="AF107" s="19">
        <f t="shared" si="19"/>
        <v>0.10928768310809457</v>
      </c>
      <c r="AG107" s="20"/>
      <c r="AH107" s="19">
        <f t="shared" si="20"/>
        <v>0.13297716524028824</v>
      </c>
      <c r="AI107" s="21">
        <v>2754879</v>
      </c>
      <c r="AJ107" s="22">
        <v>366336</v>
      </c>
      <c r="AK107" s="22">
        <v>27064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4.4039999999999999</v>
      </c>
      <c r="AU107" s="26">
        <v>3.3090000000000002</v>
      </c>
      <c r="AW107" s="27">
        <f t="shared" si="21"/>
        <v>-7.9563169185781213E-6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1.894106888199687E-3</v>
      </c>
      <c r="BA107" s="28">
        <f>IF( OR(ISBLANK(Q107:Q112),ISBLANK(AK107:AK112), ISBLANK(U107:U112),ISBLANK(AO107:AO112)), "·", bdRateExtend( Q107:Q112,U107:U112, AK107:AK112,AO107:AO112))</f>
        <v>2.3634829235419375E-3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2.0274056914593164E-3</v>
      </c>
      <c r="BH107" s="28">
        <f>IF( OR(ISBLANK(P107:P112),ISBLANK(AJ107:AJ112), ISBLANK(U107:U112),ISBLANK(AO107:AO112)), "·", bdRateExtend( P107:P112,U107:U112, AJ107:AJ112,AO107:AO112))</f>
        <v>2.1569042709683739E-3</v>
      </c>
      <c r="BI107" s="28">
        <f>IF( OR(ISBLANK(P107:P112),ISBLANK(AJ107:AJ112), ISBLANK(V107:V112),ISBLANK(AP107:AP112)), "·", bdRateExtend( P107:P112,V107:V112, AJ107:AJ112,AP107:AP112))</f>
        <v>2.4760398782852633E-3</v>
      </c>
      <c r="BJ107" s="28">
        <f>IF( OR(ISBLANK(P107:P112),ISBLANK(AJ107:AJ112), ISBLANK(W107:W112),ISBLANK(AQ107:AQ112)), "·", bdRateExtend( P107:P112,W107:W112, AJ107:AJ112,AQ107:AQ112))</f>
        <v>2.5608278543074459E-3</v>
      </c>
      <c r="BK107" s="28">
        <f>IF( OR(ISBLANK(P107:P112),ISBLANK(AJ107:AJ112), ISBLANK(X107:X112),ISBLANK(AR107:AR112)), "·", bdRateExtend( P107:P112,X107:X112, AJ107:AJ112,AR107:AR112))</f>
        <v>2.5152694717900381E-3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0.27514419651422006</v>
      </c>
      <c r="AE108" s="34">
        <f t="shared" si="18"/>
        <v>2.7058365271135955E-2</v>
      </c>
      <c r="AF108" s="34">
        <f t="shared" si="19"/>
        <v>0.24727707758286011</v>
      </c>
      <c r="AG108" s="35"/>
      <c r="AH108" s="34">
        <f t="shared" si="20"/>
        <v>0.32987688282841893</v>
      </c>
      <c r="AI108" s="36">
        <v>2582418</v>
      </c>
      <c r="AJ108" s="37">
        <v>851880</v>
      </c>
      <c r="AK108" s="37">
        <v>83776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4.7309999999999999</v>
      </c>
      <c r="AU108" s="41">
        <v>3.105</v>
      </c>
      <c r="AW108" s="42">
        <f t="shared" si="21"/>
        <v>-1.1105562222178678E-4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0.6520208183010876</v>
      </c>
      <c r="AE109" s="19">
        <f t="shared" si="18"/>
        <v>8.7353146936716322E-2</v>
      </c>
      <c r="AF109" s="19">
        <f t="shared" si="19"/>
        <v>0.56275818588543991</v>
      </c>
      <c r="AG109" s="20"/>
      <c r="AH109" s="19">
        <f t="shared" si="20"/>
        <v>0.7600093215907392</v>
      </c>
      <c r="AI109" s="21">
        <v>2656199</v>
      </c>
      <c r="AJ109" s="22">
        <v>2018736</v>
      </c>
      <c r="AK109" s="22">
        <v>270456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6.4820000000000002</v>
      </c>
      <c r="AU109" s="26">
        <v>4.6210000000000004</v>
      </c>
      <c r="AW109" s="27">
        <f t="shared" si="21"/>
        <v>4.0471980896636395E-4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1.4485708250514675</v>
      </c>
      <c r="AE110" s="34">
        <f t="shared" si="18"/>
        <v>0.26861473804972802</v>
      </c>
      <c r="AF110" s="34">
        <f t="shared" si="19"/>
        <v>1.1805426271962152</v>
      </c>
      <c r="AG110" s="35"/>
      <c r="AH110" s="34">
        <f t="shared" si="20"/>
        <v>1.5311366891247165</v>
      </c>
      <c r="AI110" s="36">
        <v>2929165</v>
      </c>
      <c r="AJ110" s="37">
        <v>4484952</v>
      </c>
      <c r="AK110" s="37">
        <v>831664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10.981</v>
      </c>
      <c r="AU110" s="41">
        <v>7.84</v>
      </c>
      <c r="AW110" s="42">
        <f t="shared" si="21"/>
        <v>2.7719143068631047E-3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>
        <f t="shared" si="17"/>
        <v>0</v>
      </c>
      <c r="AE111" s="19">
        <f t="shared" si="18"/>
        <v>0</v>
      </c>
      <c r="AF111" s="19" t="str">
        <f t="shared" si="19"/>
        <v>·</v>
      </c>
      <c r="AG111" s="20"/>
      <c r="AH111" s="19" t="e">
        <f t="shared" si="20"/>
        <v>#DIV/0!</v>
      </c>
      <c r="AI111" s="21"/>
      <c r="AJ111" s="22">
        <v>0</v>
      </c>
      <c r="AK111" s="22">
        <v>0</v>
      </c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>
        <f t="shared" si="17"/>
        <v>0</v>
      </c>
      <c r="AE112" s="49">
        <f t="shared" si="18"/>
        <v>0</v>
      </c>
      <c r="AF112" s="49" t="str">
        <f t="shared" si="19"/>
        <v>·</v>
      </c>
      <c r="AG112" s="50"/>
      <c r="AH112" s="49" t="e">
        <f t="shared" si="20"/>
        <v>#DIV/0!</v>
      </c>
      <c r="AI112" s="51"/>
      <c r="AJ112" s="52">
        <v>0</v>
      </c>
      <c r="AK112" s="52">
        <v>0</v>
      </c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3.4420348094396119E-2</v>
      </c>
      <c r="AE113" s="19">
        <f t="shared" si="18"/>
        <v>8.4977057188830359E-3</v>
      </c>
      <c r="AF113" s="19">
        <f t="shared" si="19"/>
        <v>2.5662806132002777E-2</v>
      </c>
      <c r="AG113" s="20"/>
      <c r="AH113" s="19">
        <f t="shared" si="20"/>
        <v>3.2188100295859272E-2</v>
      </c>
      <c r="AI113" s="21">
        <v>3226534</v>
      </c>
      <c r="AJ113" s="22">
        <v>103856</v>
      </c>
      <c r="AK113" s="22">
        <v>25640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4.6050000000000004</v>
      </c>
      <c r="AU113" s="26">
        <v>3.8380000000000001</v>
      </c>
      <c r="AW113" s="27">
        <f t="shared" si="21"/>
        <v>3.6938516112852704E-4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2.2125117033768849E-3</v>
      </c>
      <c r="BA113" s="28">
        <f>IF( OR(ISBLANK(Q113:Q118),ISBLANK(AK113:AK118), ISBLANK(U113:U118),ISBLANK(AO113:AO118)), "·", bdRateExtend( Q113:Q118,U113:U118, AK113:AK118,AO113:AO118))</f>
        <v>2.6288226787931634E-3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5.3233438820945445E-3</v>
      </c>
      <c r="BH113" s="28">
        <f>IF( OR(ISBLANK(P113:P118),ISBLANK(AJ113:AJ118), ISBLANK(U113:U118),ISBLANK(AO113:AO118)), "·", bdRateExtend( P113:P118,U113:U118, AJ113:AJ118,AO113:AO118))</f>
        <v>5.747637814447204E-3</v>
      </c>
      <c r="BI113" s="28">
        <f>IF( OR(ISBLANK(P113:P118),ISBLANK(AJ113:AJ118), ISBLANK(V113:V118),ISBLANK(AP113:AP118)), "·", bdRateExtend( P113:P118,V113:V118, AJ113:AJ118,AP113:AP118))</f>
        <v>7.0478732449827941E-3</v>
      </c>
      <c r="BJ113" s="28">
        <f>IF( OR(ISBLANK(P113:P118),ISBLANK(AJ113:AJ118), ISBLANK(W113:W118),ISBLANK(AQ113:AQ118)), "·", bdRateExtend( P113:P118,W113:W118, AJ113:AJ118,AQ113:AQ118))</f>
        <v>7.0987812387037774E-3</v>
      </c>
      <c r="BK113" s="28">
        <f>IF( OR(ISBLANK(P113:P118),ISBLANK(AJ113:AJ118), ISBLANK(X113:X118),ISBLANK(AR113:AR118)), "·", bdRateExtend( P113:P118,X113:X118, AJ113:AJ118,AR113:AR118))</f>
        <v>6.7568300888796173E-3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8.5353554602896314E-2</v>
      </c>
      <c r="AE114" s="34">
        <f t="shared" si="18"/>
        <v>2.5540842180967326E-2</v>
      </c>
      <c r="AF114" s="34">
        <f t="shared" si="19"/>
        <v>5.9075625935236478E-2</v>
      </c>
      <c r="AG114" s="35"/>
      <c r="AH114" s="34">
        <f t="shared" si="20"/>
        <v>8.5087121989286793E-2</v>
      </c>
      <c r="AI114" s="36">
        <v>3026733</v>
      </c>
      <c r="AJ114" s="37">
        <v>257536</v>
      </c>
      <c r="AK114" s="37">
        <v>77064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4.5570000000000004</v>
      </c>
      <c r="AU114" s="41">
        <v>3.8250000000000002</v>
      </c>
      <c r="AW114" s="42">
        <f t="shared" si="21"/>
        <v>-1.5548147177437688E-3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0.21582846830842961</v>
      </c>
      <c r="AE115" s="19">
        <f t="shared" si="18"/>
        <v>8.3643407898160105E-2</v>
      </c>
      <c r="AF115" s="19">
        <f t="shared" si="19"/>
        <v>0.13019386634010377</v>
      </c>
      <c r="AG115" s="20"/>
      <c r="AH115" s="19">
        <f t="shared" si="20"/>
        <v>0.20960658210296026</v>
      </c>
      <c r="AI115" s="21">
        <v>3106849</v>
      </c>
      <c r="AJ115" s="22">
        <v>651216</v>
      </c>
      <c r="AK115" s="22">
        <v>252376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6.1050000000000004</v>
      </c>
      <c r="AU115" s="26">
        <v>4.9649999999999999</v>
      </c>
      <c r="AW115" s="27">
        <f t="shared" si="21"/>
        <v>-1.7286482426022154E-3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0.51757788873109434</v>
      </c>
      <c r="AE116" s="34">
        <f t="shared" si="18"/>
        <v>0.25538986207799397</v>
      </c>
      <c r="AF116" s="34">
        <f t="shared" si="19"/>
        <v>0.2622940822626964</v>
      </c>
      <c r="AG116" s="35"/>
      <c r="AH116" s="34">
        <f t="shared" si="20"/>
        <v>0.48192473644548106</v>
      </c>
      <c r="AI116" s="36">
        <v>3240506</v>
      </c>
      <c r="AJ116" s="37">
        <v>1561680</v>
      </c>
      <c r="AK116" s="37">
        <v>770584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9.8230000000000004</v>
      </c>
      <c r="AU116" s="41">
        <v>8.3870000000000005</v>
      </c>
      <c r="AW116" s="42">
        <f t="shared" si="21"/>
        <v>4.7940024779166701E-3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>
        <f t="shared" si="17"/>
        <v>0</v>
      </c>
      <c r="AE117" s="19">
        <f t="shared" si="18"/>
        <v>0</v>
      </c>
      <c r="AF117" s="19" t="str">
        <f t="shared" si="19"/>
        <v>·</v>
      </c>
      <c r="AG117" s="20"/>
      <c r="AH117" s="19" t="e">
        <f t="shared" si="20"/>
        <v>#DIV/0!</v>
      </c>
      <c r="AI117" s="21"/>
      <c r="AJ117" s="22">
        <v>0</v>
      </c>
      <c r="AK117" s="22">
        <v>0</v>
      </c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>
        <f t="shared" si="17"/>
        <v>0</v>
      </c>
      <c r="AE118" s="49">
        <f t="shared" si="18"/>
        <v>0</v>
      </c>
      <c r="AF118" s="49" t="str">
        <f t="shared" si="19"/>
        <v>·</v>
      </c>
      <c r="AG118" s="50"/>
      <c r="AH118" s="49" t="e">
        <f t="shared" si="20"/>
        <v>#DIV/0!</v>
      </c>
      <c r="AI118" s="51"/>
      <c r="AJ118" s="52">
        <v>0</v>
      </c>
      <c r="AK118" s="52">
        <v>0</v>
      </c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4.9546536864114817E-2</v>
      </c>
      <c r="AE119" s="19">
        <f t="shared" si="18"/>
        <v>8.6509367938043015E-3</v>
      </c>
      <c r="AF119" s="19">
        <f t="shared" si="19"/>
        <v>4.0621287989065051E-2</v>
      </c>
      <c r="AG119" s="20"/>
      <c r="AH119" s="19">
        <f t="shared" si="20"/>
        <v>8.7225331895590383E-2</v>
      </c>
      <c r="AI119" s="21">
        <v>1573763</v>
      </c>
      <c r="AJ119" s="22">
        <v>137272</v>
      </c>
      <c r="AK119" s="22">
        <v>23968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3.4820000000000002</v>
      </c>
      <c r="AU119" s="26">
        <v>1.8720000000000001</v>
      </c>
      <c r="AW119" s="27">
        <f t="shared" si="21"/>
        <v>-7.9669443136948237E-5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1.5175712434569721E-3</v>
      </c>
      <c r="BA119" s="28">
        <f>IF( OR(ISBLANK(Q119:Q124),ISBLANK(AK119:AK124), ISBLANK(U119:U124),ISBLANK(AO119:AO124)), "·", bdRateExtend( Q119:Q124,U119:U124, AK119:AK124,AO119:AO124))</f>
        <v>2.0076284289949342E-3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3.7018780715092348E-3</v>
      </c>
      <c r="BH119" s="28">
        <f>IF( OR(ISBLANK(P119:P124),ISBLANK(AJ119:AJ124), ISBLANK(U119:U124),ISBLANK(AO119:AO124)), "·", bdRateExtend( P119:P124,U119:U124, AJ119:AJ124,AO119:AO124))</f>
        <v>4.0965627251658976E-3</v>
      </c>
      <c r="BI119" s="28">
        <f>IF( OR(ISBLANK(P119:P124),ISBLANK(AJ119:AJ124), ISBLANK(V119:V124),ISBLANK(AP119:AP124)), "·", bdRateExtend( P119:P124,V119:V124, AJ119:AJ124,AP119:AP124))</f>
        <v>4.6650251103357299E-3</v>
      </c>
      <c r="BJ119" s="28">
        <f>IF( OR(ISBLANK(P119:P124),ISBLANK(AJ119:AJ124), ISBLANK(W119:W124),ISBLANK(AQ119:AQ124)), "·", bdRateExtend( P119:P124,W119:W124, AJ119:AJ124,AQ119:AQ124))</f>
        <v>4.9833229488112085E-3</v>
      </c>
      <c r="BK119" s="28">
        <f>IF( OR(ISBLANK(P119:P124),ISBLANK(AJ119:AJ124), ISBLANK(X119:X124),ISBLANK(AR119:AR124)), "·", bdRateExtend( P119:P124,X119:X124, AJ119:AJ124,AR119:AR124))</f>
        <v>4.6087666071474853E-3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0.13741014023483281</v>
      </c>
      <c r="AE120" s="34">
        <f t="shared" si="18"/>
        <v>2.8883618407351274E-2</v>
      </c>
      <c r="AF120" s="34">
        <f t="shared" si="19"/>
        <v>0.10773534803525776</v>
      </c>
      <c r="AG120" s="35"/>
      <c r="AH120" s="34">
        <f t="shared" si="20"/>
        <v>0.16771987946499375</v>
      </c>
      <c r="AI120" s="36">
        <v>2269880</v>
      </c>
      <c r="AJ120" s="37">
        <v>380704</v>
      </c>
      <c r="AK120" s="37">
        <v>80024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4.3250000000000002</v>
      </c>
      <c r="AU120" s="41">
        <v>3.1539999999999999</v>
      </c>
      <c r="AW120" s="42">
        <f t="shared" si="21"/>
        <v>-8.3041627316890465E-4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0.32477395421226052</v>
      </c>
      <c r="AE121" s="19">
        <f t="shared" si="18"/>
        <v>9.6058315860977198E-2</v>
      </c>
      <c r="AF121" s="19">
        <f t="shared" si="19"/>
        <v>0.2268618661811824</v>
      </c>
      <c r="AG121" s="20"/>
      <c r="AH121" s="19">
        <f t="shared" si="20"/>
        <v>0.48621292240655423</v>
      </c>
      <c r="AI121" s="21">
        <v>1850646</v>
      </c>
      <c r="AJ121" s="22">
        <v>899808</v>
      </c>
      <c r="AK121" s="22">
        <v>266136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5.6219999999999999</v>
      </c>
      <c r="AU121" s="26">
        <v>3.1680000000000001</v>
      </c>
      <c r="AW121" s="27">
        <f t="shared" si="21"/>
        <v>-1.7509300322027244E-4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0.84152016536687257</v>
      </c>
      <c r="AE122" s="34">
        <f t="shared" si="18"/>
        <v>0.29672482203101386</v>
      </c>
      <c r="AF122" s="34">
        <f t="shared" si="19"/>
        <v>0.54499169303611861</v>
      </c>
      <c r="AG122" s="35"/>
      <c r="AH122" s="34">
        <f t="shared" si="20"/>
        <v>1.0347222900255186</v>
      </c>
      <c r="AI122" s="36">
        <v>2253250</v>
      </c>
      <c r="AJ122" s="37">
        <v>2331488</v>
      </c>
      <c r="AK122" s="37">
        <v>822096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10.448</v>
      </c>
      <c r="AU122" s="41">
        <v>6.1680000000000001</v>
      </c>
      <c r="AW122" s="42">
        <f t="shared" si="21"/>
        <v>3.9712311380987741E-3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>
        <f t="shared" si="17"/>
        <v>0</v>
      </c>
      <c r="AE123" s="19">
        <f t="shared" si="18"/>
        <v>0</v>
      </c>
      <c r="AF123" s="19" t="str">
        <f t="shared" si="19"/>
        <v>·</v>
      </c>
      <c r="AG123" s="20"/>
      <c r="AH123" s="19" t="e">
        <f t="shared" si="20"/>
        <v>#DIV/0!</v>
      </c>
      <c r="AI123" s="21"/>
      <c r="AJ123" s="22">
        <v>0</v>
      </c>
      <c r="AK123" s="22">
        <v>0</v>
      </c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>
        <f t="shared" si="17"/>
        <v>0</v>
      </c>
      <c r="AE124" s="49">
        <f t="shared" si="18"/>
        <v>0</v>
      </c>
      <c r="AF124" s="49" t="str">
        <f t="shared" si="19"/>
        <v>·</v>
      </c>
      <c r="AG124" s="50"/>
      <c r="AH124" s="49" t="e">
        <f t="shared" si="20"/>
        <v>#DIV/0!</v>
      </c>
      <c r="AI124" s="51"/>
      <c r="AJ124" s="52">
        <v>0</v>
      </c>
      <c r="AK124" s="52">
        <v>0</v>
      </c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4.6801477552093407E-2</v>
      </c>
      <c r="AE125" s="19">
        <f t="shared" si="18"/>
        <v>9.0460333143916397E-3</v>
      </c>
      <c r="AF125" s="19">
        <f t="shared" si="19"/>
        <v>3.7479565210655125E-2</v>
      </c>
      <c r="AG125" s="20"/>
      <c r="AH125" s="19">
        <f t="shared" si="20"/>
        <v>6.2337095211452122E-2</v>
      </c>
      <c r="AI125" s="21">
        <v>3004439</v>
      </c>
      <c r="AJ125" s="22">
        <v>187288</v>
      </c>
      <c r="AK125" s="22">
        <v>36200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5.6050000000000004</v>
      </c>
      <c r="AU125" s="26">
        <v>3.7759999999999998</v>
      </c>
      <c r="AW125" s="27">
        <f t="shared" si="21"/>
        <v>-1.1687169194007918E-4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2.0959318353808154E-3</v>
      </c>
      <c r="BA125" s="28">
        <f>IF( OR(ISBLANK(Q125:Q130),ISBLANK(AK125:AK130), ISBLANK(U125:U130),ISBLANK(AO125:AO130)), "·", bdRateExtend( Q125:Q130,U125:U130, AK125:AK130,AO125:AO130))</f>
        <v>1.9917131912641217E-3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4.1744821155087486E-3</v>
      </c>
      <c r="BH125" s="28">
        <f>IF( OR(ISBLANK(P125:P130),ISBLANK(AJ125:AJ130), ISBLANK(U125:U130),ISBLANK(AO125:AO130)), "·", bdRateExtend( P125:P130,U125:U130, AJ125:AJ130,AO125:AO130))</f>
        <v>4.5867692156984496E-3</v>
      </c>
      <c r="BI125" s="28">
        <f>IF( OR(ISBLANK(P125:P130),ISBLANK(AJ125:AJ130), ISBLANK(V125:V130),ISBLANK(AP125:AP130)), "·", bdRateExtend( P125:P130,V125:V130, AJ125:AJ130,AP125:AP130))</f>
        <v>5.6051307748561374E-3</v>
      </c>
      <c r="BJ125" s="28">
        <f>IF( OR(ISBLANK(P125:P130),ISBLANK(AJ125:AJ130), ISBLANK(W125:W130),ISBLANK(AQ125:AQ130)), "·", bdRateExtend( P125:P130,W125:W130, AJ125:AJ130,AQ125:AQ130))</f>
        <v>5.913376953848859E-3</v>
      </c>
      <c r="BK125" s="28">
        <f>IF( OR(ISBLANK(P125:P130),ISBLANK(AJ125:AJ130), ISBLANK(X125:X130),ISBLANK(AR125:AR130)), "·", bdRateExtend( P125:P130,X125:X130, AJ125:AJ130,AR125:AR130))</f>
        <v>5.8054319304663426E-3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0.11610308879556315</v>
      </c>
      <c r="AE126" s="34">
        <f t="shared" si="18"/>
        <v>2.8123667771682119E-2</v>
      </c>
      <c r="AF126" s="34">
        <f t="shared" si="19"/>
        <v>8.7245742741807714E-2</v>
      </c>
      <c r="AG126" s="35"/>
      <c r="AH126" s="34">
        <f t="shared" si="20"/>
        <v>0.16264240346809153</v>
      </c>
      <c r="AI126" s="36">
        <v>2856672</v>
      </c>
      <c r="AJ126" s="37">
        <v>464616</v>
      </c>
      <c r="AK126" s="37">
        <v>112544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6.0250000000000004</v>
      </c>
      <c r="AU126" s="41">
        <v>3.8069999999999999</v>
      </c>
      <c r="AW126" s="42">
        <f t="shared" si="21"/>
        <v>-9.8831964861323396E-4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0.29477074302918171</v>
      </c>
      <c r="AE127" s="19">
        <f t="shared" si="18"/>
        <v>9.0164462883025792E-2</v>
      </c>
      <c r="AF127" s="19">
        <f t="shared" si="19"/>
        <v>0.20255517955376567</v>
      </c>
      <c r="AG127" s="20"/>
      <c r="AH127" s="19">
        <f t="shared" si="20"/>
        <v>0.38904512771768435</v>
      </c>
      <c r="AI127" s="21">
        <v>3032039</v>
      </c>
      <c r="AJ127" s="22">
        <v>1179600</v>
      </c>
      <c r="AK127" s="22">
        <v>360816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7.7439999999999998</v>
      </c>
      <c r="AU127" s="26">
        <v>5.1360000000000001</v>
      </c>
      <c r="AW127" s="27">
        <f t="shared" si="21"/>
        <v>-7.1059241118293093E-4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0.72120775040144891</v>
      </c>
      <c r="AE128" s="34">
        <f t="shared" si="18"/>
        <v>0.27221663300642668</v>
      </c>
      <c r="AF128" s="34">
        <f t="shared" si="19"/>
        <v>0.44980276148908704</v>
      </c>
      <c r="AG128" s="35"/>
      <c r="AH128" s="34">
        <f t="shared" si="20"/>
        <v>0.82416040380803124</v>
      </c>
      <c r="AI128" s="36">
        <v>3501862</v>
      </c>
      <c r="AJ128" s="37">
        <v>2886096</v>
      </c>
      <c r="AK128" s="37">
        <v>1089344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14.385999999999999</v>
      </c>
      <c r="AU128" s="41">
        <v>9.4160000000000004</v>
      </c>
      <c r="AW128" s="42">
        <f t="shared" si="21"/>
        <v>5.0187851153792318E-3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>
        <f t="shared" si="17"/>
        <v>0</v>
      </c>
      <c r="AE129" s="19">
        <f t="shared" si="18"/>
        <v>0</v>
      </c>
      <c r="AF129" s="19" t="str">
        <f t="shared" si="19"/>
        <v>·</v>
      </c>
      <c r="AG129" s="20"/>
      <c r="AH129" s="19" t="e">
        <f t="shared" si="20"/>
        <v>#DIV/0!</v>
      </c>
      <c r="AI129" s="21"/>
      <c r="AJ129" s="22">
        <v>0</v>
      </c>
      <c r="AK129" s="22">
        <v>0</v>
      </c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>
        <f t="shared" si="17"/>
        <v>0</v>
      </c>
      <c r="AE130" s="49">
        <f t="shared" si="18"/>
        <v>0</v>
      </c>
      <c r="AF130" s="49" t="str">
        <f t="shared" si="19"/>
        <v>·</v>
      </c>
      <c r="AG130" s="50"/>
      <c r="AH130" s="49" t="e">
        <f t="shared" si="20"/>
        <v>#DIV/0!</v>
      </c>
      <c r="AI130" s="51"/>
      <c r="AJ130" s="52">
        <v>0</v>
      </c>
      <c r="AK130" s="52">
        <v>0</v>
      </c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9.2307318528276783E-2</v>
      </c>
      <c r="AE131" s="19">
        <f t="shared" si="18"/>
        <v>3.6605464094385948E-3</v>
      </c>
      <c r="AF131" s="19">
        <f t="shared" si="19"/>
        <v>8.8312031886706624E-2</v>
      </c>
      <c r="AG131" s="20"/>
      <c r="AH131" s="19">
        <f t="shared" si="20"/>
        <v>0.27246215139442231</v>
      </c>
      <c r="AI131" s="21">
        <v>502000</v>
      </c>
      <c r="AJ131" s="22">
        <v>136776</v>
      </c>
      <c r="AK131" s="22">
        <v>5424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0.73399999999999999</v>
      </c>
      <c r="AU131" s="26">
        <v>0.63900000000000001</v>
      </c>
      <c r="AW131" s="27">
        <f t="shared" si="21"/>
        <v>1.0309891287319656E-4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4.5183183079142708E-3</v>
      </c>
      <c r="BA131" s="28">
        <f>IF( OR(ISBLANK(Q131:Q136),ISBLANK(AK131:AK136), ISBLANK(U131:U136),ISBLANK(AO131:AO136)), "·", bdRateExtend( Q131:Q136,U131:U136, AK131:AK136,AO131:AO136))</f>
        <v>4.5356278779420389E-3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2.1241320451936829E-4</v>
      </c>
      <c r="BH131" s="28">
        <f>IF( OR(ISBLANK(P131:P136),ISBLANK(AJ131:AJ136), ISBLANK(U131:U136),ISBLANK(AO131:AO136)), "·", bdRateExtend( P131:P136,U131:U136, AJ131:AJ136,AO131:AO136))</f>
        <v>2.2052719149301403E-4</v>
      </c>
      <c r="BI131" s="28">
        <f>IF( OR(ISBLANK(P131:P136),ISBLANK(AJ131:AJ136), ISBLANK(V131:V136),ISBLANK(AP131:AP136)), "·", bdRateExtend( P131:P136,V131:V136, AJ131:AJ136,AP131:AP136))</f>
        <v>2.221670344397797E-4</v>
      </c>
      <c r="BJ131" s="28">
        <f>IF( OR(ISBLANK(P131:P136),ISBLANK(AJ131:AJ136), ISBLANK(W131:W136),ISBLANK(AQ131:AQ136)), "·", bdRateExtend( P131:P136,W131:W136, AJ131:AJ136,AQ131:AQ136))</f>
        <v>2.2993542187865756E-4</v>
      </c>
      <c r="BK131" s="28">
        <f>IF( OR(ISBLANK(P131:P136),ISBLANK(AJ131:AJ136), ISBLANK(X131:X136),ISBLANK(AR131:AR136)), "·", bdRateExtend( P131:P136,X131:X136, AJ131:AJ136,AR131:AR136))</f>
        <v>2.3001544238909766E-4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0.30726993695275706</v>
      </c>
      <c r="AE132" s="34">
        <f t="shared" si="18"/>
        <v>1.411308010954644E-2</v>
      </c>
      <c r="AF132" s="34">
        <f t="shared" si="19"/>
        <v>0.29287610697110034</v>
      </c>
      <c r="AG132" s="35"/>
      <c r="AH132" s="34">
        <f t="shared" si="20"/>
        <v>0.85421708899470539</v>
      </c>
      <c r="AI132" s="36">
        <v>532998</v>
      </c>
      <c r="AJ132" s="37">
        <v>455296</v>
      </c>
      <c r="AK132" s="37">
        <v>20912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0.90500000000000003</v>
      </c>
      <c r="AU132" s="41">
        <v>0.76500000000000001</v>
      </c>
      <c r="AW132" s="42">
        <f t="shared" si="21"/>
        <v>2.5634193214519457E-4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1.0078974399121037</v>
      </c>
      <c r="AE133" s="19">
        <f t="shared" ref="AE133:AE196" si="29">IF(AK133="","·",AK133/D133)</f>
        <v>6.7455555810510034E-2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1.9957291112649367</v>
      </c>
      <c r="AI133" s="21">
        <v>748322</v>
      </c>
      <c r="AJ133" s="22">
        <v>1493448</v>
      </c>
      <c r="AK133" s="22">
        <v>99952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1.484</v>
      </c>
      <c r="AU133" s="26">
        <v>1.25</v>
      </c>
      <c r="AW133" s="27">
        <f t="shared" ref="AW133:AW196" si="32">(AK133/AJ133) - (Q133/P133)</f>
        <v>1.6603594605611727E-4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2.4413091042594344</v>
      </c>
      <c r="AE134" s="34">
        <f t="shared" si="29"/>
        <v>0.29471177921182173</v>
      </c>
      <c r="AF134" s="34">
        <f t="shared" si="30"/>
        <v>2.1472614064758737</v>
      </c>
      <c r="AG134" s="35"/>
      <c r="AH134" s="34">
        <f t="shared" si="31"/>
        <v>3.6546998668409789</v>
      </c>
      <c r="AI134" s="36">
        <v>989794</v>
      </c>
      <c r="AJ134" s="37">
        <v>3617400</v>
      </c>
      <c r="AK134" s="37">
        <v>436688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3.03</v>
      </c>
      <c r="AU134" s="41">
        <v>2.5150000000000001</v>
      </c>
      <c r="AW134" s="42">
        <f t="shared" si="32"/>
        <v>6.2990991778442973E-4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>
        <f t="shared" si="28"/>
        <v>0</v>
      </c>
      <c r="AE135" s="19">
        <f t="shared" si="29"/>
        <v>0</v>
      </c>
      <c r="AF135" s="19" t="str">
        <f t="shared" si="30"/>
        <v>·</v>
      </c>
      <c r="AG135" s="20"/>
      <c r="AH135" s="19" t="e">
        <f t="shared" si="31"/>
        <v>#DIV/0!</v>
      </c>
      <c r="AI135" s="21"/>
      <c r="AJ135" s="22">
        <v>0</v>
      </c>
      <c r="AK135" s="22">
        <v>0</v>
      </c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>
        <f t="shared" si="28"/>
        <v>0</v>
      </c>
      <c r="AE136" s="49">
        <f t="shared" si="29"/>
        <v>0</v>
      </c>
      <c r="AF136" s="49" t="str">
        <f t="shared" si="30"/>
        <v>·</v>
      </c>
      <c r="AG136" s="50"/>
      <c r="AH136" s="49" t="e">
        <f t="shared" si="31"/>
        <v>#DIV/0!</v>
      </c>
      <c r="AI136" s="51"/>
      <c r="AJ136" s="52">
        <v>0</v>
      </c>
      <c r="AK136" s="52">
        <v>0</v>
      </c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0.10309369086561734</v>
      </c>
      <c r="AE137" s="19">
        <f t="shared" si="29"/>
        <v>1.7544116999897316E-2</v>
      </c>
      <c r="AF137" s="19">
        <f t="shared" si="30"/>
        <v>8.3847970544659756E-2</v>
      </c>
      <c r="AG137" s="20"/>
      <c r="AH137" s="19">
        <f t="shared" si="31"/>
        <v>4.7942098387718415E-2</v>
      </c>
      <c r="AI137" s="21">
        <v>586374</v>
      </c>
      <c r="AJ137" s="22">
        <v>28112</v>
      </c>
      <c r="AK137" s="22">
        <v>4784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0.85799999999999998</v>
      </c>
      <c r="AU137" s="26">
        <v>0.70199999999999996</v>
      </c>
      <c r="AW137" s="27">
        <f t="shared" si="32"/>
        <v>0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-2.4468538017996533E-4</v>
      </c>
      <c r="BA137" s="28">
        <f>IF( OR(ISBLANK(Q137:Q142),ISBLANK(AK137:AK142), ISBLANK(U137:U142),ISBLANK(AO137:AO142)), "·", bdRateExtend( Q137:Q142,U137:U142, AK137:AK142,AO137:AO142))</f>
        <v>-3.0103278234727693E-4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1.4289022454754274E-3</v>
      </c>
      <c r="BH137" s="28">
        <f>IF( OR(ISBLANK(P137:P142),ISBLANK(AJ137:AJ142), ISBLANK(U137:U142),ISBLANK(AO137:AO142)), "·", bdRateExtend( P137:P142,U137:U142, AJ137:AJ142,AO137:AO142))</f>
        <v>1.5901197841110548E-3</v>
      </c>
      <c r="BI137" s="28">
        <f>IF( OR(ISBLANK(P137:P142),ISBLANK(AJ137:AJ142), ISBLANK(V137:V142),ISBLANK(AP137:AP142)), "·", bdRateExtend( P137:P142,V137:V142, AJ137:AJ142,AP137:AP142))</f>
        <v>2.0726443855798582E-3</v>
      </c>
      <c r="BJ137" s="28">
        <f>IF( OR(ISBLANK(P137:P142),ISBLANK(AJ137:AJ142), ISBLANK(W137:W142),ISBLANK(AQ137:AQ142)), "·", bdRateExtend( P137:P142,W137:W142, AJ137:AJ142,AQ137:AQ142))</f>
        <v>2.2917662648160864E-3</v>
      </c>
      <c r="BK137" s="28">
        <f>IF( OR(ISBLANK(P137:P142),ISBLANK(AJ137:AJ142), ISBLANK(X137:X142),ISBLANK(AR137:AR142)), "·", bdRateExtend( P137:P142,X137:X142, AJ137:AJ142,AR137:AR142))</f>
        <v>2.2063685599285066E-3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0.28874448079095216</v>
      </c>
      <c r="AE138" s="34">
        <f t="shared" si="29"/>
        <v>5.7355767115048924E-2</v>
      </c>
      <c r="AF138" s="34">
        <f t="shared" si="30"/>
        <v>0.22883630869431282</v>
      </c>
      <c r="AG138" s="35"/>
      <c r="AH138" s="34">
        <f t="shared" si="31"/>
        <v>0.1362943165117684</v>
      </c>
      <c r="AI138" s="36">
        <v>577691</v>
      </c>
      <c r="AJ138" s="37">
        <v>78736</v>
      </c>
      <c r="AK138" s="37">
        <v>15640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0.96799999999999997</v>
      </c>
      <c r="AU138" s="41">
        <v>0.79600000000000004</v>
      </c>
      <c r="AW138" s="42">
        <f t="shared" si="32"/>
        <v>-8.3176453656441662E-4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0.92643499435243726</v>
      </c>
      <c r="AE139" s="19">
        <f t="shared" si="29"/>
        <v>0.24479617432632644</v>
      </c>
      <c r="AF139" s="19">
        <f t="shared" si="30"/>
        <v>0.67858766924351999</v>
      </c>
      <c r="AG139" s="20"/>
      <c r="AH139" s="19">
        <f t="shared" si="31"/>
        <v>0.36046504991238937</v>
      </c>
      <c r="AI139" s="21">
        <v>700828</v>
      </c>
      <c r="AJ139" s="22">
        <v>252624</v>
      </c>
      <c r="AK139" s="22">
        <v>66752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1.468</v>
      </c>
      <c r="AU139" s="26">
        <v>1.234</v>
      </c>
      <c r="AW139" s="27">
        <f t="shared" si="32"/>
        <v>5.4857820847886707E-4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2.7817987120623138</v>
      </c>
      <c r="AE140" s="34">
        <f t="shared" si="29"/>
        <v>1.0485983776092473</v>
      </c>
      <c r="AF140" s="34">
        <f t="shared" si="30"/>
        <v>1.734109812090185</v>
      </c>
      <c r="AG140" s="35"/>
      <c r="AH140" s="34">
        <f t="shared" si="31"/>
        <v>0.83677728799050433</v>
      </c>
      <c r="AI140" s="36">
        <v>906516</v>
      </c>
      <c r="AJ140" s="37">
        <v>758552</v>
      </c>
      <c r="AK140" s="37">
        <v>285936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2.4049999999999998</v>
      </c>
      <c r="AU140" s="41">
        <v>2.0779999999999998</v>
      </c>
      <c r="AW140" s="42">
        <f t="shared" si="32"/>
        <v>1.5248756539301134E-3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>
        <f t="shared" si="28"/>
        <v>0</v>
      </c>
      <c r="AE141" s="19">
        <f t="shared" si="29"/>
        <v>0</v>
      </c>
      <c r="AF141" s="19" t="str">
        <f t="shared" si="30"/>
        <v>·</v>
      </c>
      <c r="AG141" s="20"/>
      <c r="AH141" s="19" t="e">
        <f t="shared" si="31"/>
        <v>#DIV/0!</v>
      </c>
      <c r="AI141" s="21"/>
      <c r="AJ141" s="22">
        <v>0</v>
      </c>
      <c r="AK141" s="22">
        <v>0</v>
      </c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>
        <f t="shared" si="28"/>
        <v>0</v>
      </c>
      <c r="AE142" s="49">
        <f t="shared" si="29"/>
        <v>0</v>
      </c>
      <c r="AF142" s="49" t="str">
        <f t="shared" si="30"/>
        <v>·</v>
      </c>
      <c r="AG142" s="50"/>
      <c r="AH142" s="49" t="e">
        <f t="shared" si="31"/>
        <v>#DIV/0!</v>
      </c>
      <c r="AI142" s="51"/>
      <c r="AJ142" s="52">
        <v>0</v>
      </c>
      <c r="AK142" s="52">
        <v>0</v>
      </c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7.3550587759940429E-4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3080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0.499</v>
      </c>
      <c r="AW143" s="27">
        <f t="shared" si="32"/>
        <v>-1.0887380392857193E-6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1.6469554481461923E-3</v>
      </c>
      <c r="BA143" s="28">
        <f>IF( OR(ISBLANK(Q143:Q148),ISBLANK(AK143:AK148), ISBLANK(U143:U148),ISBLANK(AO143:AO148)), "·", bdRateExtend( Q143:Q148,U143:U148, AK143:AK148,AO143:AO148))</f>
        <v>1.8835890289701229E-3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-1.078848770000862E-4</v>
      </c>
      <c r="BH143" s="28">
        <f>IF( OR(ISBLANK(P143:P148),ISBLANK(AJ143:AJ148), ISBLANK(U143:U148),ISBLANK(AO143:AO148)), "·", bdRateExtend( P143:P148,U143:U148, AJ143:AJ148,AO143:AO148))</f>
        <v>-1.090207992010539E-4</v>
      </c>
      <c r="BI143" s="28">
        <f>IF( OR(ISBLANK(P143:P148),ISBLANK(AJ143:AJ148), ISBLANK(V143:V148),ISBLANK(AP143:AP148)), "·", bdRateExtend( P143:P148,V143:V148, AJ143:AJ148,AP143:AP148))</f>
        <v>-1.1913243079375579E-4</v>
      </c>
      <c r="BJ143" s="28">
        <f>IF( OR(ISBLANK(P143:P148),ISBLANK(AJ143:AJ148), ISBLANK(W143:W148),ISBLANK(AQ143:AQ148)), "·", bdRateExtend( P143:P148,W143:W148, AJ143:AJ148,AQ143:AQ148))</f>
        <v>-1.3749894091474868E-4</v>
      </c>
      <c r="BK143" s="28">
        <f>IF( OR(ISBLANK(P143:P148),ISBLANK(AJ143:AJ148), ISBLANK(X143:X148),ISBLANK(AR143:AR148)), "·", bdRateExtend( P143:P148,X143:X148, AJ143:AJ148,AR143:AR148))</f>
        <v>-1.3363598742155425E-4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0.17643735280927425</v>
      </c>
      <c r="AE144" s="34">
        <f t="shared" si="29"/>
        <v>3.2801651736056553E-3</v>
      </c>
      <c r="AF144" s="34">
        <f t="shared" si="30"/>
        <v>0.1730731298210858</v>
      </c>
      <c r="AG144" s="35"/>
      <c r="AH144" s="34">
        <f t="shared" si="31"/>
        <v>1.4849574418908462</v>
      </c>
      <c r="AI144" s="36">
        <v>497555</v>
      </c>
      <c r="AJ144" s="37">
        <v>738848</v>
      </c>
      <c r="AK144" s="37">
        <v>13736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0.84299999999999997</v>
      </c>
      <c r="AU144" s="41">
        <v>0.71799999999999997</v>
      </c>
      <c r="AW144" s="42">
        <f t="shared" si="32"/>
        <v>2.4268795286903205E-5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0.47808073084448971</v>
      </c>
      <c r="AE145" s="19">
        <f t="shared" si="29"/>
        <v>1.708666121882876E-2</v>
      </c>
      <c r="AF145" s="19">
        <f t="shared" si="30"/>
        <v>0.46102272569881414</v>
      </c>
      <c r="AG145" s="20"/>
      <c r="AH145" s="19">
        <f t="shared" si="31"/>
        <v>2.8880627696728656</v>
      </c>
      <c r="AI145" s="21">
        <v>693201</v>
      </c>
      <c r="AJ145" s="22">
        <v>2002008</v>
      </c>
      <c r="AK145" s="22">
        <v>71552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1.327</v>
      </c>
      <c r="AU145" s="26">
        <v>1.109</v>
      </c>
      <c r="AW145" s="27">
        <f t="shared" si="32"/>
        <v>1.0302398250958134E-4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1.0350267958164043</v>
      </c>
      <c r="AE146" s="34">
        <f t="shared" si="29"/>
        <v>7.6729501475071363E-2</v>
      </c>
      <c r="AF146" s="34">
        <f t="shared" si="30"/>
        <v>0.95861442155089538</v>
      </c>
      <c r="AG146" s="35"/>
      <c r="AH146" s="34">
        <f t="shared" si="31"/>
        <v>4.8401607627632526</v>
      </c>
      <c r="AI146" s="36">
        <v>895481</v>
      </c>
      <c r="AJ146" s="37">
        <v>4334272</v>
      </c>
      <c r="AK146" s="37">
        <v>321312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2.577</v>
      </c>
      <c r="AU146" s="41">
        <v>2.2330000000000001</v>
      </c>
      <c r="AW146" s="42">
        <f t="shared" si="32"/>
        <v>3.6742582337272178E-4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>
        <f t="shared" si="28"/>
        <v>0</v>
      </c>
      <c r="AE147" s="19">
        <f t="shared" si="29"/>
        <v>0</v>
      </c>
      <c r="AF147" s="19" t="str">
        <f t="shared" si="30"/>
        <v>·</v>
      </c>
      <c r="AG147" s="20"/>
      <c r="AH147" s="19" t="e">
        <f t="shared" si="31"/>
        <v>#DIV/0!</v>
      </c>
      <c r="AI147" s="21"/>
      <c r="AJ147" s="22">
        <v>0</v>
      </c>
      <c r="AK147" s="22">
        <v>0</v>
      </c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>
        <f t="shared" si="28"/>
        <v>0</v>
      </c>
      <c r="AE148" s="49">
        <f t="shared" si="29"/>
        <v>0</v>
      </c>
      <c r="AF148" s="49" t="str">
        <f t="shared" si="30"/>
        <v>·</v>
      </c>
      <c r="AG148" s="50"/>
      <c r="AH148" s="49" t="e">
        <f t="shared" si="31"/>
        <v>#DIV/0!</v>
      </c>
      <c r="AI148" s="51"/>
      <c r="AJ148" s="52">
        <v>0</v>
      </c>
      <c r="AK148" s="52">
        <v>0</v>
      </c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0.15108429818893862</v>
      </c>
      <c r="AE149" s="19">
        <f t="shared" si="29"/>
        <v>9.7271714701347295E-3</v>
      </c>
      <c r="AF149" s="19">
        <f t="shared" si="30"/>
        <v>0.14089732562241611</v>
      </c>
      <c r="AG149" s="20"/>
      <c r="AH149" s="19">
        <f t="shared" si="31"/>
        <v>0.3181596223753459</v>
      </c>
      <c r="AI149" s="21">
        <v>479206</v>
      </c>
      <c r="AJ149" s="22">
        <v>152464</v>
      </c>
      <c r="AK149" s="22">
        <v>9816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1.28</v>
      </c>
      <c r="AU149" s="26">
        <v>0.64</v>
      </c>
      <c r="AW149" s="27">
        <f t="shared" si="32"/>
        <v>-4.9090591763167879E-5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2.392196466378893E-3</v>
      </c>
      <c r="BA149" s="28">
        <f>IF( OR(ISBLANK(Q149:Q154),ISBLANK(AK149:AK154), ISBLANK(U149:U154),ISBLANK(AO149:AO154)), "·", bdRateExtend( Q149:Q154,U149:U154, AK149:AK154,AO149:AO154))</f>
        <v>2.4088086023694721E-3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5.2593836193559618E-4</v>
      </c>
      <c r="BH149" s="28">
        <f>IF( OR(ISBLANK(P149:P154),ISBLANK(AJ149:AJ154), ISBLANK(U149:U154),ISBLANK(AO149:AO154)), "·", bdRateExtend( P149:P154,U149:U154, AJ149:AJ154,AO149:AO154))</f>
        <v>5.2724445755480964E-4</v>
      </c>
      <c r="BI149" s="28">
        <f>IF( OR(ISBLANK(P149:P154),ISBLANK(AJ149:AJ154), ISBLANK(V149:V154),ISBLANK(AP149:AP154)), "·", bdRateExtend( P149:P154,V149:V154, AJ149:AJ154,AP149:AP154))</f>
        <v>5.5576517691058314E-4</v>
      </c>
      <c r="BJ149" s="28">
        <f>IF( OR(ISBLANK(P149:P154),ISBLANK(AJ149:AJ154), ISBLANK(W149:W154),ISBLANK(AQ149:AQ154)), "·", bdRateExtend( P149:P154,W149:W154, AJ149:AJ154,AQ149:AQ154))</f>
        <v>5.6627457670233028E-4</v>
      </c>
      <c r="BK149" s="28">
        <f>IF( OR(ISBLANK(P149:P154),ISBLANK(AJ149:AJ154), ISBLANK(X149:X154),ISBLANK(AR149:AR154)), "·", bdRateExtend( P149:P154,X149:X154, AJ149:AJ154,AR149:AR154))</f>
        <v>5.9831488018668999E-4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0.55008066338199557</v>
      </c>
      <c r="AE150" s="34">
        <f t="shared" si="29"/>
        <v>3.9114803613402409E-2</v>
      </c>
      <c r="AF150" s="34">
        <f t="shared" si="30"/>
        <v>0.51022859249335073</v>
      </c>
      <c r="AG150" s="35"/>
      <c r="AH150" s="34">
        <f t="shared" si="31"/>
        <v>0.95016098360038415</v>
      </c>
      <c r="AI150" s="36">
        <v>584221</v>
      </c>
      <c r="AJ150" s="37">
        <v>555104</v>
      </c>
      <c r="AK150" s="37">
        <v>39472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1.5920000000000001</v>
      </c>
      <c r="AU150" s="41">
        <v>0.749</v>
      </c>
      <c r="AW150" s="42">
        <f t="shared" si="32"/>
        <v>1.6505567214836203E-4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1.9263842589472933</v>
      </c>
      <c r="AE151" s="19">
        <f t="shared" si="29"/>
        <v>0.19245054165361916</v>
      </c>
      <c r="AF151" s="19">
        <f t="shared" si="30"/>
        <v>1.733458060987066</v>
      </c>
      <c r="AG151" s="20"/>
      <c r="AH151" s="19">
        <f t="shared" si="31"/>
        <v>2.0246565383986477</v>
      </c>
      <c r="AI151" s="21">
        <v>960151</v>
      </c>
      <c r="AJ151" s="22">
        <v>1943976</v>
      </c>
      <c r="AK151" s="22">
        <v>194208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3.28</v>
      </c>
      <c r="AU151" s="26">
        <v>1.5149999999999999</v>
      </c>
      <c r="AW151" s="27">
        <f t="shared" si="32"/>
        <v>3.8828455651244986E-4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>
        <f t="shared" si="28"/>
        <v>0</v>
      </c>
      <c r="AE152" s="34">
        <f t="shared" si="29"/>
        <v>0.82359096728673753</v>
      </c>
      <c r="AF152" s="34" t="str">
        <f t="shared" si="30"/>
        <v>·</v>
      </c>
      <c r="AG152" s="35"/>
      <c r="AH152" s="34" t="e">
        <f t="shared" si="31"/>
        <v>#DIV/0!</v>
      </c>
      <c r="AI152" s="36"/>
      <c r="AJ152" s="37">
        <v>0</v>
      </c>
      <c r="AK152" s="37">
        <v>831112</v>
      </c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>
        <f t="shared" si="28"/>
        <v>0</v>
      </c>
      <c r="AE153" s="19">
        <f t="shared" si="29"/>
        <v>0</v>
      </c>
      <c r="AF153" s="19" t="str">
        <f t="shared" si="30"/>
        <v>·</v>
      </c>
      <c r="AG153" s="20"/>
      <c r="AH153" s="19" t="e">
        <f t="shared" si="31"/>
        <v>#DIV/0!</v>
      </c>
      <c r="AI153" s="21"/>
      <c r="AJ153" s="22">
        <v>0</v>
      </c>
      <c r="AK153" s="22">
        <v>0</v>
      </c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>
        <f t="shared" si="28"/>
        <v>0</v>
      </c>
      <c r="AE154" s="49">
        <f t="shared" si="29"/>
        <v>0</v>
      </c>
      <c r="AF154" s="49" t="str">
        <f t="shared" si="30"/>
        <v>·</v>
      </c>
      <c r="AG154" s="50"/>
      <c r="AH154" s="49" t="e">
        <f t="shared" si="31"/>
        <v>#DIV/0!</v>
      </c>
      <c r="AI154" s="51"/>
      <c r="AJ154" s="52">
        <v>0</v>
      </c>
      <c r="AK154" s="52">
        <v>0</v>
      </c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8.3125915467854514E-2</v>
      </c>
      <c r="AE155" s="19">
        <f t="shared" si="29"/>
        <v>3.2974372828423236E-3</v>
      </c>
      <c r="AF155" s="19">
        <f t="shared" si="30"/>
        <v>7.9854826405387519E-2</v>
      </c>
      <c r="AG155" s="20"/>
      <c r="AH155" s="19">
        <f t="shared" si="31"/>
        <v>0.19488041825589419</v>
      </c>
      <c r="AI155" s="21">
        <v>20074218</v>
      </c>
      <c r="AJ155" s="22">
        <v>3912072</v>
      </c>
      <c r="AK155" s="22">
        <v>155184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28.832999999999998</v>
      </c>
      <c r="AU155" s="26">
        <v>20.866</v>
      </c>
      <c r="AW155" s="27">
        <f t="shared" si="32"/>
        <v>1.8951175237664347E-4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1.0150950729934216E-2</v>
      </c>
      <c r="BA155" s="28">
        <f>IF( OR(ISBLANK(Q155:Q160),ISBLANK(AK155:AK160), ISBLANK(U155:U160),ISBLANK(AO155:AO160)), "·", bdRateExtend( Q155:Q160,U155:U160, AK155:AK160,AO155:AO160))</f>
        <v>1.1226461527678477E-2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-1.1345779665561384E-3</v>
      </c>
      <c r="BH155" s="28">
        <f>IF( OR(ISBLANK(P155:P160),ISBLANK(AJ155:AJ160), ISBLANK(U155:U160),ISBLANK(AO155:AO160)), "·", bdRateExtend( P155:P160,U155:U160, AJ155:AJ160,AO155:AO160))</f>
        <v>-1.1285964890086486E-3</v>
      </c>
      <c r="BI155" s="28">
        <f>IF( OR(ISBLANK(P155:P160),ISBLANK(AJ155:AJ160), ISBLANK(V155:V160),ISBLANK(AP155:AP160)), "·", bdRateExtend( P155:P160,V155:V160, AJ155:AJ160,AP155:AP160))</f>
        <v>-1.1367844282853534E-3</v>
      </c>
      <c r="BJ155" s="28">
        <f>IF( OR(ISBLANK(P155:P160),ISBLANK(AJ155:AJ160), ISBLANK(W155:W160),ISBLANK(AQ155:AQ160)), "·", bdRateExtend( P155:P160,W155:W160, AJ155:AJ160,AQ155:AQ160))</f>
        <v>-1.1512984950489136E-3</v>
      </c>
      <c r="BK155" s="28">
        <f>IF( OR(ISBLANK(P155:P160),ISBLANK(AJ155:AJ160), ISBLANK(X155:X160),ISBLANK(AR155:AR160)), "·", bdRateExtend( P155:P160,X155:X160, AJ155:AJ160,AR155:AR160))</f>
        <v>-1.150568538739849E-3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0.17990989843568492</v>
      </c>
      <c r="AE156" s="34">
        <f t="shared" si="29"/>
        <v>1.0684968310527886E-2</v>
      </c>
      <c r="AF156" s="34">
        <f t="shared" si="30"/>
        <v>0.16945730443001553</v>
      </c>
      <c r="AG156" s="35"/>
      <c r="AH156" s="34">
        <f t="shared" si="31"/>
        <v>0.48362057536826936</v>
      </c>
      <c r="AI156" s="36">
        <v>17507361</v>
      </c>
      <c r="AJ156" s="37">
        <v>8466920</v>
      </c>
      <c r="AK156" s="37">
        <v>502856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29.102</v>
      </c>
      <c r="AU156" s="41">
        <v>20.367000000000001</v>
      </c>
      <c r="AW156" s="42">
        <f t="shared" si="32"/>
        <v>4.4522665195564914E-4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0.39268673695606915</v>
      </c>
      <c r="AE157" s="19">
        <f t="shared" si="29"/>
        <v>3.532752389071761E-2</v>
      </c>
      <c r="AF157" s="19">
        <f t="shared" si="30"/>
        <v>0.35830060948108411</v>
      </c>
      <c r="AG157" s="20"/>
      <c r="AH157" s="19">
        <f t="shared" si="31"/>
        <v>1.1123389495324543</v>
      </c>
      <c r="AI157" s="21">
        <v>16614202</v>
      </c>
      <c r="AJ157" s="22">
        <v>18480624</v>
      </c>
      <c r="AK157" s="22">
        <v>1662584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35.933999999999997</v>
      </c>
      <c r="AU157" s="26">
        <v>23.728000000000002</v>
      </c>
      <c r="AW157" s="27">
        <f t="shared" si="32"/>
        <v>1.3692121831287846E-3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0.77289393681127294</v>
      </c>
      <c r="AE158" s="34">
        <f t="shared" si="29"/>
        <v>0.10657124191189317</v>
      </c>
      <c r="AF158" s="34">
        <f t="shared" si="30"/>
        <v>0.67037539117014189</v>
      </c>
      <c r="AG158" s="35"/>
      <c r="AH158" s="34">
        <f t="shared" si="31"/>
        <v>2.0679226283801078</v>
      </c>
      <c r="AI158" s="36">
        <v>17589602</v>
      </c>
      <c r="AJ158" s="37">
        <v>36373936</v>
      </c>
      <c r="AK158" s="37">
        <v>5015456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62.152000000000001</v>
      </c>
      <c r="AU158" s="41">
        <v>42.540999999999997</v>
      </c>
      <c r="AW158" s="42">
        <f t="shared" si="32"/>
        <v>4.4658167592049325E-3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>
        <f t="shared" si="28"/>
        <v>0</v>
      </c>
      <c r="AE159" s="19">
        <f t="shared" si="29"/>
        <v>0</v>
      </c>
      <c r="AF159" s="19" t="str">
        <f t="shared" si="30"/>
        <v>·</v>
      </c>
      <c r="AG159" s="20"/>
      <c r="AH159" s="19" t="e">
        <f t="shared" si="31"/>
        <v>#DIV/0!</v>
      </c>
      <c r="AI159" s="21"/>
      <c r="AJ159" s="22">
        <v>0</v>
      </c>
      <c r="AK159" s="22">
        <v>0</v>
      </c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>
        <f t="shared" si="28"/>
        <v>0</v>
      </c>
      <c r="AE160" s="49">
        <f t="shared" si="29"/>
        <v>0</v>
      </c>
      <c r="AF160" s="49" t="str">
        <f t="shared" si="30"/>
        <v>·</v>
      </c>
      <c r="AG160" s="50"/>
      <c r="AH160" s="49" t="e">
        <f t="shared" si="31"/>
        <v>#DIV/0!</v>
      </c>
      <c r="AI160" s="51"/>
      <c r="AJ160" s="52">
        <v>0</v>
      </c>
      <c r="AK160" s="52">
        <v>0</v>
      </c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9.0317048211298989E-2</v>
      </c>
      <c r="AE161" s="19">
        <f t="shared" si="29"/>
        <v>4.7007313774695041E-3</v>
      </c>
      <c r="AF161" s="19">
        <f t="shared" si="30"/>
        <v>8.5714383148594156E-2</v>
      </c>
      <c r="AG161" s="20"/>
      <c r="AH161" s="19">
        <f t="shared" si="31"/>
        <v>0.20935807893545336</v>
      </c>
      <c r="AI161" s="21">
        <v>18722411</v>
      </c>
      <c r="AJ161" s="22">
        <v>3919688</v>
      </c>
      <c r="AK161" s="22">
        <v>204008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33.927999999999997</v>
      </c>
      <c r="AU161" s="26">
        <v>20.960999999999999</v>
      </c>
      <c r="AW161" s="27">
        <f t="shared" si="32"/>
        <v>3.9675561256861253E-4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1.1819295037746924E-2</v>
      </c>
      <c r="BA161" s="28">
        <f>IF( OR(ISBLANK(Q161:Q166),ISBLANK(AK161:AK166), ISBLANK(U161:U166),ISBLANK(AO161:AO166)), "·", bdRateExtend( Q161:Q166,U161:U166, AK161:AK166,AO161:AO166))</f>
        <v>1.2611737814185009E-2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-1.3852254111172968E-3</v>
      </c>
      <c r="BH161" s="28">
        <f>IF( OR(ISBLANK(P161:P166),ISBLANK(AJ161:AJ166), ISBLANK(U161:U166),ISBLANK(AO161:AO166)), "·", bdRateExtend( P161:P166,U161:U166, AJ161:AJ166,AO161:AO166))</f>
        <v>-1.3845840155528588E-3</v>
      </c>
      <c r="BI161" s="28">
        <f>IF( OR(ISBLANK(P161:P166),ISBLANK(AJ161:AJ166), ISBLANK(V161:V166),ISBLANK(AP161:AP166)), "·", bdRateExtend( P161:P166,V161:V166, AJ161:AJ166,AP161:AP166))</f>
        <v>-1.391159817834775E-3</v>
      </c>
      <c r="BJ161" s="28">
        <f>IF( OR(ISBLANK(P161:P166),ISBLANK(AJ161:AJ166), ISBLANK(W161:W166),ISBLANK(AQ161:AQ166)), "·", bdRateExtend( P161:P166,W161:W166, AJ161:AJ166,AQ161:AQ166))</f>
        <v>-1.398226723796081E-3</v>
      </c>
      <c r="BK161" s="28">
        <f>IF( OR(ISBLANK(P161:P166),ISBLANK(AJ161:AJ166), ISBLANK(X161:X166),ISBLANK(AR161:AR166)), "·", bdRateExtend( P161:P166,X161:X166, AJ161:AJ166,AR161:AR166))</f>
        <v>-1.3978398534076897E-3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0.21350714174389004</v>
      </c>
      <c r="AE162" s="34">
        <f t="shared" si="29"/>
        <v>1.4629761412213919E-2</v>
      </c>
      <c r="AF162" s="34">
        <f t="shared" si="30"/>
        <v>0.1991890911178924</v>
      </c>
      <c r="AG162" s="35"/>
      <c r="AH162" s="34">
        <f t="shared" si="31"/>
        <v>0.51631681700581777</v>
      </c>
      <c r="AI162" s="36">
        <v>17946423</v>
      </c>
      <c r="AJ162" s="37">
        <v>9266040</v>
      </c>
      <c r="AK162" s="37">
        <v>634920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36.771000000000001</v>
      </c>
      <c r="AU162" s="41">
        <v>21.239000000000001</v>
      </c>
      <c r="AW162" s="42">
        <f t="shared" si="32"/>
        <v>5.7111615772376112E-4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0.48988751037922262</v>
      </c>
      <c r="AE163" s="19">
        <f t="shared" si="29"/>
        <v>5.0736967433780582E-2</v>
      </c>
      <c r="AF163" s="19">
        <f t="shared" si="30"/>
        <v>0.44074264587894285</v>
      </c>
      <c r="AG163" s="20"/>
      <c r="AH163" s="19">
        <f t="shared" si="31"/>
        <v>1.1414445672884033</v>
      </c>
      <c r="AI163" s="21">
        <v>18626159</v>
      </c>
      <c r="AJ163" s="22">
        <v>21260728</v>
      </c>
      <c r="AK163" s="22">
        <v>2201944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49.345999999999997</v>
      </c>
      <c r="AU163" s="26">
        <v>28.273</v>
      </c>
      <c r="AW163" s="27">
        <f t="shared" si="32"/>
        <v>1.937831447754515E-3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1.0917603004884606</v>
      </c>
      <c r="AE164" s="34">
        <f t="shared" si="29"/>
        <v>0.16140904335480438</v>
      </c>
      <c r="AF164" s="34">
        <f t="shared" si="30"/>
        <v>0.93615947426132518</v>
      </c>
      <c r="AG164" s="35"/>
      <c r="AH164" s="34">
        <f t="shared" si="31"/>
        <v>2.0434239902056817</v>
      </c>
      <c r="AI164" s="36">
        <v>23187321</v>
      </c>
      <c r="AJ164" s="37">
        <v>47381528</v>
      </c>
      <c r="AK164" s="37">
        <v>7005024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90.43</v>
      </c>
      <c r="AU164" s="41">
        <v>54.976999999999997</v>
      </c>
      <c r="AW164" s="42">
        <f t="shared" si="32"/>
        <v>4.4875714576600445E-3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>
        <f t="shared" si="28"/>
        <v>0</v>
      </c>
      <c r="AE165" s="19">
        <f t="shared" si="29"/>
        <v>0</v>
      </c>
      <c r="AF165" s="19" t="str">
        <f t="shared" si="30"/>
        <v>·</v>
      </c>
      <c r="AG165" s="20"/>
      <c r="AH165" s="19" t="e">
        <f t="shared" si="31"/>
        <v>#DIV/0!</v>
      </c>
      <c r="AI165" s="21"/>
      <c r="AJ165" s="22">
        <v>0</v>
      </c>
      <c r="AK165" s="22">
        <v>0</v>
      </c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>
        <f t="shared" si="28"/>
        <v>0</v>
      </c>
      <c r="AE166" s="49">
        <f t="shared" si="29"/>
        <v>0</v>
      </c>
      <c r="AF166" s="49" t="str">
        <f t="shared" si="30"/>
        <v>·</v>
      </c>
      <c r="AG166" s="50"/>
      <c r="AH166" s="49" t="e">
        <f t="shared" si="31"/>
        <v>#DIV/0!</v>
      </c>
      <c r="AI166" s="51"/>
      <c r="AJ166" s="52">
        <v>0</v>
      </c>
      <c r="AK166" s="52">
        <v>0</v>
      </c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0.10022815514549895</v>
      </c>
      <c r="AE167" s="19">
        <f t="shared" si="29"/>
        <v>3.3462754673177762E-3</v>
      </c>
      <c r="AF167" s="19">
        <f t="shared" si="30"/>
        <v>9.5905215546571665E-2</v>
      </c>
      <c r="AG167" s="20"/>
      <c r="AH167" s="19">
        <f t="shared" si="31"/>
        <v>0.27744844932466123</v>
      </c>
      <c r="AI167" s="21">
        <v>180502</v>
      </c>
      <c r="AJ167" s="22">
        <v>50080</v>
      </c>
      <c r="AK167" s="22">
        <v>1672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0.26400000000000001</v>
      </c>
      <c r="AU167" s="26">
        <v>0.217</v>
      </c>
      <c r="AW167" s="27">
        <f t="shared" si="32"/>
        <v>-1.6007630559207453E-5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1.4542140932427561E-3</v>
      </c>
      <c r="BA167" s="28">
        <f>IF( OR(ISBLANK(Q167:Q172),ISBLANK(AK167:AK172), ISBLANK(U167:U172),ISBLANK(AO167:AO172)), "·", bdRateExtend( Q167:Q172,U167:U172, AK167:AK172,AO167:AO172))</f>
        <v>1.5808104511851884E-3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3.9760040832481636E-4</v>
      </c>
      <c r="BH167" s="28">
        <f>IF( OR(ISBLANK(P167:P172),ISBLANK(AJ167:AJ172), ISBLANK(U167:U172),ISBLANK(AO167:AO172)), "·", bdRateExtend( P167:P172,U167:U172, AJ167:AJ172,AO167:AO172))</f>
        <v>3.9607455376544642E-4</v>
      </c>
      <c r="BI167" s="28">
        <f>IF( OR(ISBLANK(P167:P172),ISBLANK(AJ167:AJ172), ISBLANK(V167:V172),ISBLANK(AP167:AP172)), "·", bdRateExtend( P167:P172,V167:V172, AJ167:AJ172,AP167:AP172))</f>
        <v>3.9556636150583913E-4</v>
      </c>
      <c r="BJ167" s="28">
        <f>IF( OR(ISBLANK(P167:P172),ISBLANK(AJ167:AJ172), ISBLANK(W167:W172),ISBLANK(AQ167:AQ172)), "·", bdRateExtend( P167:P172,W167:W172, AJ167:AJ172,AQ167:AQ172))</f>
        <v>3.9490715469669979E-4</v>
      </c>
      <c r="BK167" s="28">
        <f>IF( OR(ISBLANK(P167:P172),ISBLANK(AJ167:AJ172), ISBLANK(X167:X172),ISBLANK(AR167:AR172)), "·", bdRateExtend( P167:P172,X167:X172, AJ167:AJ172,AR167:AR172))</f>
        <v>3.9402466344595766E-4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0.3021094344154025</v>
      </c>
      <c r="AE168" s="34">
        <f t="shared" si="29"/>
        <v>1.1960132890365448E-2</v>
      </c>
      <c r="AF168" s="34">
        <f t="shared" si="30"/>
        <v>0.28912460473121721</v>
      </c>
      <c r="AG168" s="35"/>
      <c r="AH168" s="34">
        <f t="shared" si="31"/>
        <v>0.80272268013826109</v>
      </c>
      <c r="AI168" s="36">
        <v>188050</v>
      </c>
      <c r="AJ168" s="37">
        <v>150952</v>
      </c>
      <c r="AK168" s="37">
        <v>5976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0.28100000000000003</v>
      </c>
      <c r="AU168" s="41">
        <v>0.249</v>
      </c>
      <c r="AW168" s="42">
        <f t="shared" si="32"/>
        <v>3.8324610110732071E-5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0.83991514229676179</v>
      </c>
      <c r="AE169" s="19">
        <f t="shared" si="29"/>
        <v>4.8881239242685025E-2</v>
      </c>
      <c r="AF169" s="19">
        <f t="shared" si="30"/>
        <v>0.78999319537285351</v>
      </c>
      <c r="AG169" s="20"/>
      <c r="AH169" s="19">
        <f t="shared" si="31"/>
        <v>1.8940147487566454</v>
      </c>
      <c r="AI169" s="21">
        <v>221578</v>
      </c>
      <c r="AJ169" s="22">
        <v>419672</v>
      </c>
      <c r="AK169" s="22">
        <v>24424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0.436</v>
      </c>
      <c r="AU169" s="26">
        <v>0.29599999999999999</v>
      </c>
      <c r="AW169" s="27">
        <f t="shared" si="32"/>
        <v>2.0774678140637881E-4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2.0125845574990993</v>
      </c>
      <c r="AE170" s="34">
        <f t="shared" si="29"/>
        <v>0.20098466957531122</v>
      </c>
      <c r="AF170" s="34">
        <f t="shared" si="30"/>
        <v>1.8103830604811271</v>
      </c>
      <c r="AG170" s="35"/>
      <c r="AH170" s="34">
        <f t="shared" si="31"/>
        <v>3.6005872032654231</v>
      </c>
      <c r="AI170" s="36">
        <v>279290</v>
      </c>
      <c r="AJ170" s="37">
        <v>1005608</v>
      </c>
      <c r="AK170" s="37">
        <v>100424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0.79600000000000004</v>
      </c>
      <c r="AU170" s="41">
        <v>0.73399999999999999</v>
      </c>
      <c r="AW170" s="42">
        <f t="shared" si="32"/>
        <v>2.8659563539160104E-4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>
        <f t="shared" si="28"/>
        <v>0</v>
      </c>
      <c r="AE171" s="19">
        <f t="shared" si="29"/>
        <v>0</v>
      </c>
      <c r="AF171" s="19" t="str">
        <f t="shared" si="30"/>
        <v>·</v>
      </c>
      <c r="AG171" s="20"/>
      <c r="AH171" s="19" t="e">
        <f t="shared" si="31"/>
        <v>#DIV/0!</v>
      </c>
      <c r="AI171" s="21"/>
      <c r="AJ171" s="22">
        <v>0</v>
      </c>
      <c r="AK171" s="22">
        <v>0</v>
      </c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>
        <f t="shared" si="28"/>
        <v>0</v>
      </c>
      <c r="AE172" s="49">
        <f t="shared" si="29"/>
        <v>0</v>
      </c>
      <c r="AF172" s="49" t="str">
        <f t="shared" si="30"/>
        <v>·</v>
      </c>
      <c r="AG172" s="50"/>
      <c r="AH172" s="49" t="e">
        <f t="shared" si="31"/>
        <v>#DIV/0!</v>
      </c>
      <c r="AI172" s="51"/>
      <c r="AJ172" s="52">
        <v>0</v>
      </c>
      <c r="AK172" s="52">
        <v>0</v>
      </c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3.004230368203336E-2</v>
      </c>
      <c r="AE173" s="19">
        <f t="shared" si="29"/>
        <v>4.0458325136145433E-3</v>
      </c>
      <c r="AF173" s="19">
        <f t="shared" si="30"/>
        <v>2.6026445872245774E-2</v>
      </c>
      <c r="AG173" s="20"/>
      <c r="AH173" s="19">
        <f t="shared" si="31"/>
        <v>0.11033921423517232</v>
      </c>
      <c r="AI173" s="21">
        <v>17367461</v>
      </c>
      <c r="AJ173" s="22">
        <v>1916312</v>
      </c>
      <c r="AK173" s="22">
        <v>258072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32.146999999999998</v>
      </c>
      <c r="AU173" s="26">
        <v>19.774999999999999</v>
      </c>
      <c r="AW173" s="27">
        <f t="shared" si="32"/>
        <v>4.7271397111958713E-4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6.0039930020470145E-3</v>
      </c>
      <c r="BA173" s="28">
        <f>IF( OR(ISBLANK(Q173:Q178),ISBLANK(AK173:AK178), ISBLANK(U173:U178),ISBLANK(AO173:AO178)), "·", bdRateExtend( Q173:Q178,U173:U178, AK173:AK178,AO173:AO178))</f>
        <v>6.004750697271799E-3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-1.1918378769681937E-5</v>
      </c>
      <c r="BH173" s="28">
        <f>IF( OR(ISBLANK(P173:P178),ISBLANK(AJ173:AJ178), ISBLANK(U173:U178),ISBLANK(AO173:AO178)), "·", bdRateExtend( P173:P178,U173:U178, AJ173:AJ178,AO173:AO178))</f>
        <v>-3.758103892925746E-5</v>
      </c>
      <c r="BI173" s="28">
        <f>IF( OR(ISBLANK(P173:P178),ISBLANK(AJ173:AJ178), ISBLANK(V173:V178),ISBLANK(AP173:AP178)), "·", bdRateExtend( P173:P178,V173:V178, AJ173:AJ178,AP173:AP178))</f>
        <v>1.6308113906626787E-4</v>
      </c>
      <c r="BJ173" s="28">
        <f>IF( OR(ISBLANK(P173:P178),ISBLANK(AJ173:AJ178), ISBLANK(W173:W178),ISBLANK(AQ173:AQ178)), "·", bdRateExtend( P173:P178,W173:W178, AJ173:AJ178,AQ173:AQ178))</f>
        <v>2.1779362199225716E-4</v>
      </c>
      <c r="BK173" s="28">
        <f>IF( OR(ISBLANK(P173:P178),ISBLANK(AJ173:AJ178), ISBLANK(X173:X178),ISBLANK(AR173:AR178)), "·", bdRateExtend( P173:P178,X173:X178, AJ173:AJ178,AR173:AR178))</f>
        <v>2.7651880609291801E-4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6.9984662577408457E-2</v>
      </c>
      <c r="AE174" s="34">
        <f t="shared" si="29"/>
        <v>1.1803386197768237E-2</v>
      </c>
      <c r="AF174" s="34">
        <f t="shared" si="30"/>
        <v>5.8199963538093015E-2</v>
      </c>
      <c r="AG174" s="35"/>
      <c r="AH174" s="34">
        <f t="shared" si="31"/>
        <v>0.29755870444129756</v>
      </c>
      <c r="AI174" s="36">
        <v>15002485</v>
      </c>
      <c r="AJ174" s="37">
        <v>4464120</v>
      </c>
      <c r="AK174" s="37">
        <v>752904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33.21</v>
      </c>
      <c r="AU174" s="41">
        <v>17.817</v>
      </c>
      <c r="AW174" s="42">
        <f t="shared" si="32"/>
        <v>6.5049274268424995E-4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0.19356359392873662</v>
      </c>
      <c r="AE175" s="19">
        <f t="shared" si="29"/>
        <v>4.7248912433245339E-2</v>
      </c>
      <c r="AF175" s="19">
        <f t="shared" si="30"/>
        <v>0.14651095936783098</v>
      </c>
      <c r="AG175" s="20"/>
      <c r="AH175" s="19">
        <f t="shared" si="31"/>
        <v>0.72953365818333427</v>
      </c>
      <c r="AI175" s="21">
        <v>16924324</v>
      </c>
      <c r="AJ175" s="22">
        <v>12346864</v>
      </c>
      <c r="AK175" s="22">
        <v>3013872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50.774000000000001</v>
      </c>
      <c r="AU175" s="26">
        <v>25.956</v>
      </c>
      <c r="AW175" s="27">
        <f t="shared" si="32"/>
        <v>1.9610563646311197E-3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0.49774789170208489</v>
      </c>
      <c r="AE176" s="34">
        <f t="shared" si="29"/>
        <v>0.1645848278552916</v>
      </c>
      <c r="AF176" s="34">
        <f t="shared" si="30"/>
        <v>0.33524812431174389</v>
      </c>
      <c r="AG176" s="35"/>
      <c r="AH176" s="34">
        <f t="shared" si="31"/>
        <v>1.5539544908735365</v>
      </c>
      <c r="AI176" s="36">
        <v>20431682</v>
      </c>
      <c r="AJ176" s="37">
        <v>31749904</v>
      </c>
      <c r="AK176" s="37">
        <v>10498392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96.537000000000006</v>
      </c>
      <c r="AU176" s="41">
        <v>53.040999999999997</v>
      </c>
      <c r="AW176" s="42">
        <f t="shared" si="32"/>
        <v>5.3869661324156271E-3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>
        <f t="shared" si="28"/>
        <v>0</v>
      </c>
      <c r="AE177" s="19">
        <f t="shared" si="29"/>
        <v>0</v>
      </c>
      <c r="AF177" s="19" t="str">
        <f t="shared" si="30"/>
        <v>·</v>
      </c>
      <c r="AG177" s="20"/>
      <c r="AH177" s="19" t="e">
        <f t="shared" si="31"/>
        <v>#DIV/0!</v>
      </c>
      <c r="AI177" s="21"/>
      <c r="AJ177" s="22">
        <v>0</v>
      </c>
      <c r="AK177" s="22">
        <v>0</v>
      </c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>
        <f t="shared" si="28"/>
        <v>0</v>
      </c>
      <c r="AE178" s="49">
        <f t="shared" si="29"/>
        <v>0</v>
      </c>
      <c r="AF178" s="49" t="str">
        <f t="shared" si="30"/>
        <v>·</v>
      </c>
      <c r="AG178" s="50"/>
      <c r="AH178" s="49" t="e">
        <f t="shared" si="31"/>
        <v>#DIV/0!</v>
      </c>
      <c r="AI178" s="51"/>
      <c r="AJ178" s="52">
        <v>0</v>
      </c>
      <c r="AK178" s="52">
        <v>0</v>
      </c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0.22817286983839627</v>
      </c>
      <c r="AE179" s="19">
        <f t="shared" si="29"/>
        <v>3.6559944947571386E-2</v>
      </c>
      <c r="AF179" s="19">
        <f t="shared" si="30"/>
        <v>0.21622813678303157</v>
      </c>
      <c r="AG179" s="20"/>
      <c r="AH179" s="19">
        <f t="shared" si="31"/>
        <v>0.28171513755989375</v>
      </c>
      <c r="AI179" s="21">
        <v>1615987</v>
      </c>
      <c r="AJ179" s="22">
        <v>455248</v>
      </c>
      <c r="AK179" s="22">
        <v>72944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9.7949999999999999</v>
      </c>
      <c r="AU179" s="26">
        <v>2.06</v>
      </c>
      <c r="AW179" s="27">
        <f t="shared" si="32"/>
        <v>1.5219886654448955E-2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2.0752473333460086E-2</v>
      </c>
      <c r="BA179" s="28">
        <f>IF( OR(ISBLANK(Q179:Q184),ISBLANK(AK179:AK184), ISBLANK(U179:U184),ISBLANK(AO179:AO184)), "·", bdRateExtend( Q179:Q184,U179:U184, AK179:AK184,AO179:AO184))</f>
        <v>2.0752473333459198E-2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-5.36788696223085E-2</v>
      </c>
      <c r="BH179" s="28">
        <f>IF( OR(ISBLANK(P179:P184),ISBLANK(AJ179:AJ184), ISBLANK(U179:U184),ISBLANK(AO179:AO184)), "·", bdRateExtend( P179:P184,U179:U184, AJ179:AJ184,AO179:AO184))</f>
        <v>-5.3678869622307501E-2</v>
      </c>
      <c r="BI179" s="28">
        <f>IF( OR(ISBLANK(P179:P184),ISBLANK(AJ179:AJ184), ISBLANK(V179:V184),ISBLANK(AP179:AP184)), "·", bdRateExtend( P179:P184,V179:V184, AJ179:AJ184,AP179:AP184))</f>
        <v>-5.367886962230628E-2</v>
      </c>
      <c r="BJ179" s="28">
        <f>IF( OR(ISBLANK(P179:P184),ISBLANK(AJ179:AJ184), ISBLANK(W179:W184),ISBLANK(AQ179:AQ184)), "·", bdRateExtend( P179:P184,W179:W184, AJ179:AJ184,AQ179:AQ184))</f>
        <v>-5.3678869622307612E-2</v>
      </c>
      <c r="BK179" s="28">
        <f>IF( OR(ISBLANK(P179:P184),ISBLANK(AJ179:AJ184), ISBLANK(X179:X184),ISBLANK(AR179:AR184)), "·", bdRateExtend( P179:P184,X179:X184, AJ179:AJ184,AR179:AR184))</f>
        <v>-5.3678869622307612E-2</v>
      </c>
      <c r="BL179" s="29"/>
    </row>
    <row r="180" spans="1:64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0.60855989081736117</v>
      </c>
      <c r="AE180" s="34">
        <f t="shared" si="29"/>
        <v>0.14541780252397141</v>
      </c>
      <c r="AF180" s="34">
        <f t="shared" si="30"/>
        <v>0.50659060369719355</v>
      </c>
      <c r="AG180" s="35"/>
      <c r="AH180" s="34">
        <f t="shared" si="31"/>
        <v>0.73723312919940887</v>
      </c>
      <c r="AI180" s="36">
        <v>1646958</v>
      </c>
      <c r="AJ180" s="37">
        <v>1214192</v>
      </c>
      <c r="AK180" s="37">
        <v>290136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13.092000000000001</v>
      </c>
      <c r="AU180" s="41">
        <v>2.827</v>
      </c>
      <c r="AW180" s="42">
        <f t="shared" si="32"/>
        <v>1.2021716387879966E-2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>
        <f t="shared" si="29"/>
        <v>0.2551617916899101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>
        <v>509096</v>
      </c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>
        <f t="shared" si="29"/>
        <v>1.5625306675207211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>
        <v>3117544</v>
      </c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>
        <f t="shared" si="29"/>
        <v>0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>
        <v>0</v>
      </c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>
        <f t="shared" si="29"/>
        <v>0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>
        <v>0</v>
      </c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8.9781987152347656E-2</v>
      </c>
      <c r="AE185" s="19">
        <f t="shared" si="29"/>
        <v>3.56995384671674E-3</v>
      </c>
      <c r="AF185" s="19">
        <f t="shared" si="30"/>
        <v>8.5877513472263606E-2</v>
      </c>
      <c r="AG185" s="20"/>
      <c r="AH185" s="19">
        <f t="shared" si="31"/>
        <v>0.273194472332837</v>
      </c>
      <c r="AI185" s="21">
        <v>502997</v>
      </c>
      <c r="AJ185" s="22">
        <v>137416</v>
      </c>
      <c r="AK185" s="22">
        <v>5464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0.81200000000000006</v>
      </c>
      <c r="AU185" s="26">
        <v>0.67100000000000004</v>
      </c>
      <c r="AW185" s="27">
        <f t="shared" si="32"/>
        <v>1.0258139663113508E-4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4.1189971812676252E-3</v>
      </c>
      <c r="BA185" s="28">
        <f>IF( OR(ISBLANK(Q185:Q190),ISBLANK(AK185:AK190), ISBLANK(U185:U190),ISBLANK(AO185:AO190)), "·", bdRateExtend( Q185:Q190,U185:U190, AK185:AK190,AO185:AO190))</f>
        <v>4.1397880999600734E-3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2.0490020544761123E-4</v>
      </c>
      <c r="BH185" s="28">
        <f>IF( OR(ISBLANK(P185:P190),ISBLANK(AJ185:AJ190), ISBLANK(U185:U190),ISBLANK(AO185:AO190)), "·", bdRateExtend( P185:P190,U185:U190, AJ185:AJ190,AO185:AO190))</f>
        <v>2.1739884420335365E-4</v>
      </c>
      <c r="BI185" s="28">
        <f>IF( OR(ISBLANK(P185:P190),ISBLANK(AJ185:AJ190), ISBLANK(V185:V190),ISBLANK(AP185:AP190)), "·", bdRateExtend( P185:P190,V185:V190, AJ185:AJ190,AP185:AP190))</f>
        <v>2.1938496859164047E-4</v>
      </c>
      <c r="BJ185" s="28">
        <f>IF( OR(ISBLANK(P185:P190),ISBLANK(AJ185:AJ190), ISBLANK(W185:W190),ISBLANK(AQ185:AQ190)), "·", bdRateExtend( P185:P190,W185:W190, AJ185:AJ190,AQ185:AQ190))</f>
        <v>2.2908394247656005E-4</v>
      </c>
      <c r="BK185" s="28">
        <f>IF( OR(ISBLANK(P185:P190),ISBLANK(AJ185:AJ190), ISBLANK(X185:X190),ISBLANK(AR185:AR190)), "·", bdRateExtend( P185:P190,X185:X190, AJ185:AJ190,AR185:AR190))</f>
        <v>2.2798528511014382E-4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0.29905550415797699</v>
      </c>
      <c r="AE186" s="34">
        <f t="shared" si="29"/>
        <v>1.3678725061285079E-2</v>
      </c>
      <c r="AF186" s="34">
        <f t="shared" si="30"/>
        <v>0.28508407424249554</v>
      </c>
      <c r="AG186" s="35"/>
      <c r="AH186" s="34">
        <f t="shared" si="31"/>
        <v>0.85842351043678855</v>
      </c>
      <c r="AI186" s="36">
        <v>533210</v>
      </c>
      <c r="AJ186" s="37">
        <v>457720</v>
      </c>
      <c r="AK186" s="37">
        <v>20936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0.875</v>
      </c>
      <c r="AU186" s="41">
        <v>0.73399999999999999</v>
      </c>
      <c r="AW186" s="42">
        <f t="shared" si="32"/>
        <v>2.2005283043648877E-4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0.97800532095609949</v>
      </c>
      <c r="AE187" s="19">
        <f t="shared" si="29"/>
        <v>6.5388173678515987E-2</v>
      </c>
      <c r="AF187" s="19">
        <f t="shared" si="30"/>
        <v>0.91228262744421618</v>
      </c>
      <c r="AG187" s="20"/>
      <c r="AH187" s="19">
        <f t="shared" si="31"/>
        <v>1.9987288361907813</v>
      </c>
      <c r="AI187" s="21">
        <v>748920</v>
      </c>
      <c r="AJ187" s="22">
        <v>1496888</v>
      </c>
      <c r="AK187" s="22">
        <v>100080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1.468</v>
      </c>
      <c r="AU187" s="26">
        <v>1.327</v>
      </c>
      <c r="AW187" s="27">
        <f t="shared" si="32"/>
        <v>1.7814440302642287E-4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2.3731568741212321</v>
      </c>
      <c r="AE188" s="34">
        <f t="shared" si="29"/>
        <v>0.28514679671125187</v>
      </c>
      <c r="AF188" s="34">
        <f t="shared" si="30"/>
        <v>2.0884230003292932</v>
      </c>
      <c r="AG188" s="35"/>
      <c r="AH188" s="34">
        <f t="shared" si="31"/>
        <v>3.6682697454397086</v>
      </c>
      <c r="AI188" s="36">
        <v>990178</v>
      </c>
      <c r="AJ188" s="37">
        <v>3632240</v>
      </c>
      <c r="AK188" s="37">
        <v>436432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2.8889999999999998</v>
      </c>
      <c r="AU188" s="41">
        <v>2.3889999999999998</v>
      </c>
      <c r="AW188" s="42">
        <f t="shared" si="32"/>
        <v>5.8926369259179601E-4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>
        <f t="shared" si="28"/>
        <v>0</v>
      </c>
      <c r="AE189" s="19">
        <f t="shared" si="29"/>
        <v>0</v>
      </c>
      <c r="AF189" s="19" t="str">
        <f t="shared" si="30"/>
        <v>·</v>
      </c>
      <c r="AG189" s="20"/>
      <c r="AH189" s="19" t="e">
        <f t="shared" si="31"/>
        <v>#DIV/0!</v>
      </c>
      <c r="AI189" s="21"/>
      <c r="AJ189" s="22">
        <v>0</v>
      </c>
      <c r="AK189" s="22">
        <v>0</v>
      </c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>
        <f t="shared" si="28"/>
        <v>0</v>
      </c>
      <c r="AE190" s="49">
        <f t="shared" si="29"/>
        <v>0</v>
      </c>
      <c r="AF190" s="49" t="str">
        <f t="shared" si="30"/>
        <v>·</v>
      </c>
      <c r="AG190" s="50"/>
      <c r="AH190" s="49" t="e">
        <f t="shared" si="31"/>
        <v>#DIV/0!</v>
      </c>
      <c r="AI190" s="51"/>
      <c r="AJ190" s="52">
        <v>0</v>
      </c>
      <c r="AK190" s="52">
        <v>0</v>
      </c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0.10288643839685503</v>
      </c>
      <c r="AE191" s="19">
        <f t="shared" si="29"/>
        <v>1.754379531260887E-2</v>
      </c>
      <c r="AF191" s="19">
        <f t="shared" si="30"/>
        <v>8.3582396062914163E-2</v>
      </c>
      <c r="AG191" s="20"/>
      <c r="AH191" s="19">
        <f t="shared" si="31"/>
        <v>4.7757332289308389E-2</v>
      </c>
      <c r="AI191" s="21">
        <v>587470</v>
      </c>
      <c r="AJ191" s="22">
        <v>28056</v>
      </c>
      <c r="AK191" s="22">
        <v>4784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0.84299999999999997</v>
      </c>
      <c r="AU191" s="26">
        <v>0.624</v>
      </c>
      <c r="AW191" s="27">
        <f t="shared" si="32"/>
        <v>0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5.1317540602724421E-5</v>
      </c>
      <c r="BA191" s="28">
        <f>IF( OR(ISBLANK(Q191:Q196),ISBLANK(AK191:AK196), ISBLANK(U191:U196),ISBLANK(AO191:AO196)), "·", bdRateExtend( Q191:Q196,U191:U196, AK191:AK196,AO191:AO196))</f>
        <v>4.5329896448897955E-5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1.3411502832798572E-3</v>
      </c>
      <c r="BH191" s="28">
        <f>IF( OR(ISBLANK(P191:P196),ISBLANK(AJ191:AJ196), ISBLANK(U191:U196),ISBLANK(AO191:AO196)), "·", bdRateExtend( P191:P196,U191:U196, AJ191:AJ196,AO191:AO196))</f>
        <v>1.517979796986868E-3</v>
      </c>
      <c r="BI191" s="28">
        <f>IF( OR(ISBLANK(P191:P196),ISBLANK(AJ191:AJ196), ISBLANK(V191:V196),ISBLANK(AP191:AP196)), "·", bdRateExtend( P191:P196,V191:V196, AJ191:AJ196,AP191:AP196))</f>
        <v>1.9488431268075423E-3</v>
      </c>
      <c r="BJ191" s="28">
        <f>IF( OR(ISBLANK(P191:P196),ISBLANK(AJ191:AJ196), ISBLANK(W191:W196),ISBLANK(AQ191:AQ196)), "·", bdRateExtend( P191:P196,W191:W196, AJ191:AJ196,AQ191:AQ196))</f>
        <v>2.155454959163583E-3</v>
      </c>
      <c r="BK191" s="28">
        <f>IF( OR(ISBLANK(P191:P196),ISBLANK(AJ191:AJ196), ISBLANK(X191:X196),ISBLANK(AR191:AR196)), "·", bdRateExtend( P191:P196,X191:X196, AJ191:AJ196,AR191:AR196))</f>
        <v>2.097548196641208E-3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0.29143823183186707</v>
      </c>
      <c r="AE192" s="34">
        <f t="shared" si="29"/>
        <v>5.7413390345778526E-2</v>
      </c>
      <c r="AF192" s="34">
        <f t="shared" si="30"/>
        <v>0.23147248330515716</v>
      </c>
      <c r="AG192" s="35"/>
      <c r="AH192" s="34">
        <f t="shared" si="31"/>
        <v>0.13723387538227488</v>
      </c>
      <c r="AI192" s="36">
        <v>579099</v>
      </c>
      <c r="AJ192" s="37">
        <v>79472</v>
      </c>
      <c r="AK192" s="37">
        <v>15656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0.92100000000000004</v>
      </c>
      <c r="AU192" s="41">
        <v>0.78100000000000003</v>
      </c>
      <c r="AW192" s="42">
        <f t="shared" si="32"/>
        <v>-6.9886013050954321E-4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0.92779686749373824</v>
      </c>
      <c r="AE193" s="19">
        <f t="shared" si="29"/>
        <v>0.24499704791905796</v>
      </c>
      <c r="AF193" s="19">
        <f t="shared" si="30"/>
        <v>0.68001276179090464</v>
      </c>
      <c r="AG193" s="20"/>
      <c r="AH193" s="19">
        <f t="shared" si="31"/>
        <v>0.36073492969233445</v>
      </c>
      <c r="AI193" s="21">
        <v>701346</v>
      </c>
      <c r="AJ193" s="22">
        <v>253000</v>
      </c>
      <c r="AK193" s="22">
        <v>66808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1.296</v>
      </c>
      <c r="AU193" s="26">
        <v>1.202</v>
      </c>
      <c r="AW193" s="27">
        <f t="shared" si="32"/>
        <v>7.8020788328542201E-4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2.7886713435452108</v>
      </c>
      <c r="AE194" s="34">
        <f t="shared" si="29"/>
        <v>1.0502807227280895</v>
      </c>
      <c r="AF194" s="34">
        <f t="shared" si="30"/>
        <v>1.7395641188313427</v>
      </c>
      <c r="AG194" s="35"/>
      <c r="AH194" s="34">
        <f t="shared" si="31"/>
        <v>0.83808524567037779</v>
      </c>
      <c r="AI194" s="36">
        <v>907354</v>
      </c>
      <c r="AJ194" s="37">
        <v>760440</v>
      </c>
      <c r="AK194" s="37">
        <v>286400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2.2799999999999998</v>
      </c>
      <c r="AU194" s="41">
        <v>2.0459999999999998</v>
      </c>
      <c r="AW194" s="42">
        <f t="shared" si="32"/>
        <v>1.6174786599951751E-3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>
        <f t="shared" si="28"/>
        <v>0</v>
      </c>
      <c r="AE195" s="19">
        <f t="shared" si="29"/>
        <v>0</v>
      </c>
      <c r="AF195" s="19" t="str">
        <f t="shared" si="30"/>
        <v>·</v>
      </c>
      <c r="AG195" s="20"/>
      <c r="AH195" s="19" t="e">
        <f t="shared" si="31"/>
        <v>#DIV/0!</v>
      </c>
      <c r="AI195" s="21"/>
      <c r="AJ195" s="22">
        <v>0</v>
      </c>
      <c r="AK195" s="22">
        <v>0</v>
      </c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>
        <f t="shared" si="28"/>
        <v>0</v>
      </c>
      <c r="AE196" s="49">
        <f t="shared" si="29"/>
        <v>0</v>
      </c>
      <c r="AF196" s="49" t="str">
        <f t="shared" si="30"/>
        <v>·</v>
      </c>
      <c r="AG196" s="50"/>
      <c r="AH196" s="49" t="e">
        <f t="shared" si="31"/>
        <v>#DIV/0!</v>
      </c>
      <c r="AI196" s="51"/>
      <c r="AJ196" s="52">
        <v>0</v>
      </c>
      <c r="AK196" s="52">
        <v>0</v>
      </c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0.1924303956980393</v>
      </c>
      <c r="AE197" s="19">
        <f t="shared" ref="AE197:AE260" si="40">IF(AK197="","·",AK197/D197)</f>
        <v>2.0057517514145442E-2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0.26299975785851432</v>
      </c>
      <c r="AI197" s="21">
        <v>1172868</v>
      </c>
      <c r="AJ197" s="22">
        <v>308464</v>
      </c>
      <c r="AK197" s="22">
        <v>32152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3.4670000000000001</v>
      </c>
      <c r="AU197" s="26">
        <v>1.4510000000000001</v>
      </c>
      <c r="AW197" s="27">
        <f t="shared" ref="AW197:AW260" si="43">(AK197/AJ197) - (Q197/P197)</f>
        <v>-8.7041733060289062E-5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2.0526239575600069E-3</v>
      </c>
      <c r="BA197" s="28">
        <f>IF( OR(ISBLANK(Q197:Q202),ISBLANK(AK197:AK202), ISBLANK(U197:U202),ISBLANK(AO197:AO202)), "·", bdRateExtend( Q197:Q202,U197:U202, AK197:AK202,AO197:AO202))</f>
        <v>1.9141718144057851E-3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6.790992821530395E-4</v>
      </c>
      <c r="BH197" s="28">
        <f>IF( OR(ISBLANK(P197:P202),ISBLANK(AJ197:AJ202), ISBLANK(U197:U202),ISBLANK(AO197:AO202)), "·", bdRateExtend( P197:P202,U197:U202, AJ197:AJ202,AO197:AO202))</f>
        <v>6.6292134089351862E-4</v>
      </c>
      <c r="BI197" s="28">
        <f>IF( OR(ISBLANK(P197:P202),ISBLANK(AJ197:AJ202), ISBLANK(V197:V202),ISBLANK(AP197:AP202)), "·", bdRateExtend( P197:P202,V197:V202, AJ197:AJ202,AP197:AP202))</f>
        <v>6.9715818222526593E-4</v>
      </c>
      <c r="BJ197" s="28">
        <f>IF( OR(ISBLANK(P197:P202),ISBLANK(AJ197:AJ202), ISBLANK(W197:W202),ISBLANK(AQ197:AQ202)), "·", bdRateExtend( P197:P202,W197:W202, AJ197:AJ202,AQ197:AQ202))</f>
        <v>7.3699944593053068E-4</v>
      </c>
      <c r="BK197" s="28">
        <f>IF( OR(ISBLANK(P197:P202),ISBLANK(AJ197:AJ202), ISBLANK(X197:X202),ISBLANK(AR197:AR202)), "·", bdRateExtend( P197:P202,X197:X202, AJ197:AJ202,AR197:AR202))</f>
        <v>7.3310513207958117E-4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0.52927092495898287</v>
      </c>
      <c r="AE198" s="34">
        <f t="shared" si="40"/>
        <v>7.9246907341904815E-2</v>
      </c>
      <c r="AF198" s="34">
        <f t="shared" si="41"/>
        <v>0.44947504351243611</v>
      </c>
      <c r="AG198" s="35"/>
      <c r="AH198" s="34">
        <f t="shared" si="42"/>
        <v>0.66507899427904882</v>
      </c>
      <c r="AI198" s="36">
        <v>1275662</v>
      </c>
      <c r="AJ198" s="37">
        <v>848416</v>
      </c>
      <c r="AK198" s="37">
        <v>127032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4.4509999999999996</v>
      </c>
      <c r="AU198" s="41">
        <v>1.794</v>
      </c>
      <c r="AW198" s="42">
        <f t="shared" si="43"/>
        <v>2.5639977755204102E-4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1.4450345916069345</v>
      </c>
      <c r="AE199" s="19">
        <f t="shared" si="40"/>
        <v>0.33695032408187198</v>
      </c>
      <c r="AF199" s="19">
        <f t="shared" si="41"/>
        <v>1.1078347338411343</v>
      </c>
      <c r="AG199" s="20"/>
      <c r="AH199" s="19">
        <f t="shared" si="42"/>
        <v>1.4373394424822472</v>
      </c>
      <c r="AI199" s="21">
        <v>1611572</v>
      </c>
      <c r="AJ199" s="22">
        <v>2316376</v>
      </c>
      <c r="AK199" s="22">
        <v>540128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7.8579999999999997</v>
      </c>
      <c r="AU199" s="26">
        <v>3.0760000000000001</v>
      </c>
      <c r="AW199" s="27">
        <f t="shared" si="43"/>
        <v>7.5567216539357274E-4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>
        <f t="shared" si="39"/>
        <v>0</v>
      </c>
      <c r="AE200" s="34">
        <f t="shared" si="40"/>
        <v>1.3435442516796736</v>
      </c>
      <c r="AF200" s="34" t="str">
        <f t="shared" si="41"/>
        <v>·</v>
      </c>
      <c r="AG200" s="35"/>
      <c r="AH200" s="34" t="e">
        <f t="shared" si="42"/>
        <v>#DIV/0!</v>
      </c>
      <c r="AI200" s="36"/>
      <c r="AJ200" s="37">
        <v>0</v>
      </c>
      <c r="AK200" s="37">
        <v>2153688</v>
      </c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>
        <f t="shared" si="39"/>
        <v>0</v>
      </c>
      <c r="AE201" s="19">
        <f t="shared" si="40"/>
        <v>0</v>
      </c>
      <c r="AF201" s="19" t="str">
        <f t="shared" si="41"/>
        <v>·</v>
      </c>
      <c r="AG201" s="20"/>
      <c r="AH201" s="19" t="e">
        <f t="shared" si="42"/>
        <v>#DIV/0!</v>
      </c>
      <c r="AI201" s="21"/>
      <c r="AJ201" s="22">
        <v>0</v>
      </c>
      <c r="AK201" s="22">
        <v>0</v>
      </c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>
        <f t="shared" si="39"/>
        <v>0</v>
      </c>
      <c r="AE202" s="49">
        <f t="shared" si="40"/>
        <v>0</v>
      </c>
      <c r="AF202" s="49" t="str">
        <f t="shared" si="41"/>
        <v>·</v>
      </c>
      <c r="AG202" s="50"/>
      <c r="AH202" s="49" t="e">
        <f t="shared" si="42"/>
        <v>#DIV/0!</v>
      </c>
      <c r="AI202" s="51"/>
      <c r="AJ202" s="52">
        <v>0</v>
      </c>
      <c r="AK202" s="52">
        <v>0</v>
      </c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9.2269113319712617E-2</v>
      </c>
      <c r="AE203" s="19">
        <f t="shared" si="40"/>
        <v>8.9930804884287337E-3</v>
      </c>
      <c r="AF203" s="19">
        <f t="shared" si="41"/>
        <v>8.3160461264935273E-2</v>
      </c>
      <c r="AG203" s="20"/>
      <c r="AH203" s="19">
        <f t="shared" si="42"/>
        <v>0.1090010827081038</v>
      </c>
      <c r="AI203" s="21">
        <v>7558824</v>
      </c>
      <c r="AJ203" s="22">
        <v>823920</v>
      </c>
      <c r="AK203" s="22">
        <v>80304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11.617000000000001</v>
      </c>
      <c r="AU203" s="26">
        <v>9.4280000000000008</v>
      </c>
      <c r="AW203" s="27">
        <f t="shared" si="43"/>
        <v>-4.2162977784102051E-5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1.7507091289374888E-3</v>
      </c>
      <c r="BA203" s="28">
        <f>IF( OR(ISBLANK(Q203:Q208),ISBLANK(AK203:AK208), ISBLANK(U203:U208),ISBLANK(AO203:AO208)), "·", bdRateExtend( Q203:Q208,U203:U208, AK203:AK208,AO203:AO208))</f>
        <v>1.6275806638992307E-3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1.329927198934211E-4</v>
      </c>
      <c r="BH203" s="28">
        <f>IF( OR(ISBLANK(P203:P208),ISBLANK(AJ203:AJ208), ISBLANK(U203:U208),ISBLANK(AO203:AO208)), "·", bdRateExtend( P203:P208,U203:U208, AJ203:AJ208,AO203:AO208))</f>
        <v>1.2588221003251299E-4</v>
      </c>
      <c r="BI203" s="28">
        <f>IF( OR(ISBLANK(P203:P208),ISBLANK(AJ203:AJ208), ISBLANK(V203:V208),ISBLANK(AP203:AP208)), "·", bdRateExtend( P203:P208,V203:V208, AJ203:AJ208,AP203:AP208))</f>
        <v>1.9569910238570465E-4</v>
      </c>
      <c r="BJ203" s="28">
        <f>IF( OR(ISBLANK(P203:P208),ISBLANK(AJ203:AJ208), ISBLANK(W203:W208),ISBLANK(AQ203:AQ208)), "·", bdRateExtend( P203:P208,W203:W208, AJ203:AJ208,AQ203:AQ208))</f>
        <v>2.6340372732303052E-4</v>
      </c>
      <c r="BK203" s="28">
        <f>IF( OR(ISBLANK(P203:P208),ISBLANK(AJ203:AJ208), ISBLANK(X203:X208),ISBLANK(AR203:AR208)), "·", bdRateExtend( P203:P208,X203:X208, AJ203:AJ208,AR203:AR208))</f>
        <v>2.7335128846561751E-4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0.28245063683068722</v>
      </c>
      <c r="AE204" s="34">
        <f t="shared" si="40"/>
        <v>3.2618954722375151E-2</v>
      </c>
      <c r="AF204" s="34">
        <f t="shared" si="41"/>
        <v>0.24975015487933747</v>
      </c>
      <c r="AG204" s="35"/>
      <c r="AH204" s="34">
        <f t="shared" si="42"/>
        <v>0.35177836118821393</v>
      </c>
      <c r="AI204" s="36">
        <v>7169719</v>
      </c>
      <c r="AJ204" s="37">
        <v>2522152</v>
      </c>
      <c r="AK204" s="37">
        <v>291272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12.647</v>
      </c>
      <c r="AU204" s="41">
        <v>9.4909999999999997</v>
      </c>
      <c r="AW204" s="42">
        <f t="shared" si="43"/>
        <v>1.6945345002873646E-4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0.83505294566389365</v>
      </c>
      <c r="AE205" s="19">
        <f t="shared" si="40"/>
        <v>0.14745408829936441</v>
      </c>
      <c r="AF205" s="19">
        <f t="shared" si="41"/>
        <v>0.68760871230429543</v>
      </c>
      <c r="AG205" s="20"/>
      <c r="AH205" s="19">
        <f t="shared" si="42"/>
        <v>1.0733016110538394</v>
      </c>
      <c r="AI205" s="21">
        <v>6947378</v>
      </c>
      <c r="AJ205" s="22">
        <v>7456632</v>
      </c>
      <c r="AK205" s="22">
        <v>1316696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18.882999999999999</v>
      </c>
      <c r="AU205" s="26">
        <v>11.398</v>
      </c>
      <c r="AW205" s="27">
        <f t="shared" si="43"/>
        <v>4.3954614615007714E-4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2.1802522237447608</v>
      </c>
      <c r="AE206" s="34">
        <f t="shared" si="40"/>
        <v>0.60395998356912772</v>
      </c>
      <c r="AF206" s="34">
        <f t="shared" si="41"/>
        <v>1.5771281182485264</v>
      </c>
      <c r="AG206" s="35"/>
      <c r="AH206" s="34">
        <f t="shared" si="42"/>
        <v>2.4188226699491415</v>
      </c>
      <c r="AI206" s="36">
        <v>8048805</v>
      </c>
      <c r="AJ206" s="37">
        <v>19468632</v>
      </c>
      <c r="AK206" s="37">
        <v>5393080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39.475999999999999</v>
      </c>
      <c r="AU206" s="41">
        <v>20.056000000000001</v>
      </c>
      <c r="AW206" s="42">
        <f t="shared" si="43"/>
        <v>1.3254775228386251E-3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>
        <f t="shared" si="39"/>
        <v>0</v>
      </c>
      <c r="AE207" s="19">
        <f t="shared" si="40"/>
        <v>0</v>
      </c>
      <c r="AF207" s="19" t="str">
        <f t="shared" si="41"/>
        <v>·</v>
      </c>
      <c r="AG207" s="20"/>
      <c r="AH207" s="19" t="e">
        <f t="shared" si="42"/>
        <v>#DIV/0!</v>
      </c>
      <c r="AI207" s="21"/>
      <c r="AJ207" s="22">
        <v>0</v>
      </c>
      <c r="AK207" s="22">
        <v>0</v>
      </c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>
        <f t="shared" si="39"/>
        <v>0</v>
      </c>
      <c r="AE208" s="49">
        <f t="shared" si="40"/>
        <v>0</v>
      </c>
      <c r="AF208" s="49" t="str">
        <f t="shared" si="41"/>
        <v>·</v>
      </c>
      <c r="AG208" s="50"/>
      <c r="AH208" s="49" t="e">
        <f t="shared" si="42"/>
        <v>#DIV/0!</v>
      </c>
      <c r="AI208" s="51"/>
      <c r="AJ208" s="52">
        <v>0</v>
      </c>
      <c r="AK208" s="52">
        <v>0</v>
      </c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2.3434780334948224E-2</v>
      </c>
      <c r="AE209" s="19">
        <f t="shared" si="40"/>
        <v>5.0192169479831451E-3</v>
      </c>
      <c r="AF209" s="19">
        <f t="shared" si="41"/>
        <v>1.8314521668148055E-2</v>
      </c>
      <c r="AG209" s="20"/>
      <c r="AH209" s="19">
        <f t="shared" si="42"/>
        <v>4.4130315903593169E-2</v>
      </c>
      <c r="AI209" s="21">
        <v>10469175</v>
      </c>
      <c r="AJ209" s="22">
        <v>462008</v>
      </c>
      <c r="AK209" s="22">
        <v>98952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15.893000000000001</v>
      </c>
      <c r="AU209" s="26">
        <v>11.109</v>
      </c>
      <c r="AW209" s="27">
        <f t="shared" si="43"/>
        <v>-1.5834852043489223E-4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2.3009636777482356E-3</v>
      </c>
      <c r="BA209" s="28">
        <f>IF( OR(ISBLANK(Q209:Q214),ISBLANK(AK209:AK214), ISBLANK(U209:U214),ISBLANK(AO209:AO214)), "·", bdRateExtend( Q209:Q214,U209:U214, AK209:AK214,AO209:AO214))</f>
        <v>2.5568062189817997E-3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1.5616951243246913E-3</v>
      </c>
      <c r="BH209" s="28">
        <f>IF( OR(ISBLANK(P209:P214),ISBLANK(AJ209:AJ214), ISBLANK(U209:U214),ISBLANK(AO209:AO214)), "·", bdRateExtend( P209:P214,U209:U214, AJ209:AJ214,AO209:AO214))</f>
        <v>1.5822583123514811E-3</v>
      </c>
      <c r="BI209" s="28">
        <f>IF( OR(ISBLANK(P209:P214),ISBLANK(AJ209:AJ214), ISBLANK(V209:V214),ISBLANK(AP209:AP214)), "·", bdRateExtend( P209:P214,V209:V214, AJ209:AJ214,AP209:AP214))</f>
        <v>1.8072275855129938E-3</v>
      </c>
      <c r="BJ209" s="28">
        <f>IF( OR(ISBLANK(P209:P214),ISBLANK(AJ209:AJ214), ISBLANK(W209:W214),ISBLANK(AQ209:AQ214)), "·", bdRateExtend( P209:P214,W209:W214, AJ209:AJ214,AQ209:AQ214))</f>
        <v>1.8024323782996898E-3</v>
      </c>
      <c r="BK209" s="28">
        <f>IF( OR(ISBLANK(P209:P214),ISBLANK(AJ209:AJ214), ISBLANK(X209:X214),ISBLANK(AR209:AR214)), "·", bdRateExtend( P209:P214,X209:X214, AJ209:AJ214,AR209:AR214))</f>
        <v>1.7757161149993816E-3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8.292400531605236E-2</v>
      </c>
      <c r="AE210" s="34">
        <f t="shared" si="40"/>
        <v>1.7062659408908987E-2</v>
      </c>
      <c r="AF210" s="34">
        <f t="shared" si="41"/>
        <v>6.5668595640323735E-2</v>
      </c>
      <c r="AG210" s="35"/>
      <c r="AH210" s="34">
        <f t="shared" si="42"/>
        <v>0.14779687801588159</v>
      </c>
      <c r="AI210" s="36">
        <v>11061235</v>
      </c>
      <c r="AJ210" s="37">
        <v>1634816</v>
      </c>
      <c r="AK210" s="37">
        <v>336384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18.471</v>
      </c>
      <c r="AU210" s="41">
        <v>12.904999999999999</v>
      </c>
      <c r="AW210" s="42">
        <f t="shared" si="43"/>
        <v>-6.4825868144630094E-5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0.29693969894132932</v>
      </c>
      <c r="AE211" s="19">
        <f t="shared" si="40"/>
        <v>6.6267947522623938E-2</v>
      </c>
      <c r="AF211" s="19">
        <f t="shared" si="41"/>
        <v>0.23025338189219793</v>
      </c>
      <c r="AG211" s="20"/>
      <c r="AH211" s="19">
        <f t="shared" si="42"/>
        <v>0.50952969831674022</v>
      </c>
      <c r="AI211" s="21">
        <v>11489136</v>
      </c>
      <c r="AJ211" s="22">
        <v>5854056</v>
      </c>
      <c r="AK211" s="22">
        <v>1306448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26.283999999999999</v>
      </c>
      <c r="AU211" s="26">
        <v>18.234999999999999</v>
      </c>
      <c r="AW211" s="27">
        <f t="shared" si="43"/>
        <v>7.3653462864514685E-4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0.89206284328251884</v>
      </c>
      <c r="AE212" s="34">
        <f t="shared" si="40"/>
        <v>0.24016886140743507</v>
      </c>
      <c r="AF212" s="34">
        <f t="shared" si="41"/>
        <v>0.65291413802410381</v>
      </c>
      <c r="AG212" s="35"/>
      <c r="AH212" s="34">
        <f t="shared" si="42"/>
        <v>1.4687240247243076</v>
      </c>
      <c r="AI212" s="36">
        <v>11974127</v>
      </c>
      <c r="AJ212" s="37">
        <v>17586688</v>
      </c>
      <c r="AK212" s="37">
        <v>4734840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47.438000000000002</v>
      </c>
      <c r="AU212" s="41">
        <v>30.879000000000001</v>
      </c>
      <c r="AW212" s="42">
        <f t="shared" si="43"/>
        <v>2.4249148099001472E-3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>
        <f t="shared" si="39"/>
        <v>0</v>
      </c>
      <c r="AE213" s="19">
        <f t="shared" si="40"/>
        <v>0</v>
      </c>
      <c r="AF213" s="19" t="str">
        <f t="shared" si="41"/>
        <v>·</v>
      </c>
      <c r="AG213" s="20"/>
      <c r="AH213" s="19" t="e">
        <f t="shared" si="42"/>
        <v>#DIV/0!</v>
      </c>
      <c r="AI213" s="21"/>
      <c r="AJ213" s="22">
        <v>0</v>
      </c>
      <c r="AK213" s="22">
        <v>0</v>
      </c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>
        <f t="shared" si="39"/>
        <v>0</v>
      </c>
      <c r="AE214" s="49">
        <f t="shared" si="40"/>
        <v>0</v>
      </c>
      <c r="AF214" s="49" t="str">
        <f t="shared" si="41"/>
        <v>·</v>
      </c>
      <c r="AG214" s="50"/>
      <c r="AH214" s="49" t="e">
        <f t="shared" si="42"/>
        <v>#DIV/0!</v>
      </c>
      <c r="AI214" s="51"/>
      <c r="AJ214" s="52">
        <v>0</v>
      </c>
      <c r="AK214" s="52">
        <v>0</v>
      </c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4.9871836430952374E-2</v>
      </c>
      <c r="AE215" s="19">
        <f t="shared" si="40"/>
        <v>1.5055191443900932E-2</v>
      </c>
      <c r="AF215" s="19">
        <f t="shared" si="41"/>
        <v>3.4576484608391238E-2</v>
      </c>
      <c r="AG215" s="20"/>
      <c r="AH215" s="19">
        <f t="shared" si="42"/>
        <v>6.1051901196257183E-2</v>
      </c>
      <c r="AI215" s="21">
        <v>2966001</v>
      </c>
      <c r="AJ215" s="22">
        <v>181080</v>
      </c>
      <c r="AK215" s="22">
        <v>54664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6.59</v>
      </c>
      <c r="AU215" s="26">
        <v>3.839</v>
      </c>
      <c r="AW215" s="27">
        <f t="shared" si="43"/>
        <v>6.5067889157832681E-5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3.4158775165962219E-3</v>
      </c>
      <c r="BA215" s="28">
        <f>IF( OR(ISBLANK(Q215:Q220),ISBLANK(AK215:AK220), ISBLANK(U215:U220),ISBLANK(AO215:AO220)), "·", bdRateExtend( Q215:Q220,U215:U220, AK215:AK220,AO215:AO220))</f>
        <v>2.7792253987037885E-3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1.3330866702108146E-3</v>
      </c>
      <c r="BH215" s="28">
        <f>IF( OR(ISBLANK(P215:P220),ISBLANK(AJ215:AJ220), ISBLANK(U215:U220),ISBLANK(AO215:AO220)), "·", bdRateExtend( P215:P220,U215:U220, AJ215:AJ220,AO215:AO220))</f>
        <v>1.1620371178155953E-3</v>
      </c>
      <c r="BI215" s="28">
        <f>IF( OR(ISBLANK(P215:P220),ISBLANK(AJ215:AJ220), ISBLANK(V215:V220),ISBLANK(AP215:AP220)), "·", bdRateExtend( P215:P220,V215:V220, AJ215:AJ220,AP215:AP220))</f>
        <v>1.4313115324049441E-3</v>
      </c>
      <c r="BJ215" s="28">
        <f>IF( OR(ISBLANK(P215:P220),ISBLANK(AJ215:AJ220), ISBLANK(W215:W220),ISBLANK(AQ215:AQ220)), "·", bdRateExtend( P215:P220,W215:W220, AJ215:AJ220,AQ215:AQ220))</f>
        <v>1.4052784424367637E-3</v>
      </c>
      <c r="BK215" s="28">
        <f>IF( OR(ISBLANK(P215:P220),ISBLANK(AJ215:AJ220), ISBLANK(X215:X220),ISBLANK(AR215:AR220)), "·", bdRateExtend( P215:P220,X215:X220, AJ215:AJ220,AR215:AR220))</f>
        <v>1.4347887815162608E-3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0.15976173446469435</v>
      </c>
      <c r="AE216" s="34">
        <f t="shared" si="40"/>
        <v>4.9014750308944845E-2</v>
      </c>
      <c r="AF216" s="34">
        <f t="shared" si="41"/>
        <v>0.11046716426501697</v>
      </c>
      <c r="AG216" s="35"/>
      <c r="AH216" s="34">
        <f t="shared" si="42"/>
        <v>0.18654561311659293</v>
      </c>
      <c r="AI216" s="36">
        <v>3109588</v>
      </c>
      <c r="AJ216" s="37">
        <v>580080</v>
      </c>
      <c r="AK216" s="37">
        <v>177968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7.5119999999999996</v>
      </c>
      <c r="AU216" s="41">
        <v>4.3860000000000001</v>
      </c>
      <c r="AW216" s="42">
        <f t="shared" si="43"/>
        <v>6.8027766793071764E-4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0.60944331540301089</v>
      </c>
      <c r="AE217" s="19">
        <f t="shared" si="40"/>
        <v>0.1988285571621636</v>
      </c>
      <c r="AF217" s="19">
        <f t="shared" si="41"/>
        <v>0.4107579731455529</v>
      </c>
      <c r="AG217" s="20"/>
      <c r="AH217" s="19">
        <f t="shared" si="42"/>
        <v>0.51390851641020774</v>
      </c>
      <c r="AI217" s="21">
        <v>4305887</v>
      </c>
      <c r="AJ217" s="22">
        <v>2212832</v>
      </c>
      <c r="AK217" s="22">
        <v>721928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13.01</v>
      </c>
      <c r="AU217" s="26">
        <v>7.4649999999999999</v>
      </c>
      <c r="AW217" s="27">
        <f t="shared" si="43"/>
        <v>1.6538137657923224E-3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>
        <f t="shared" si="39"/>
        <v>0</v>
      </c>
      <c r="AE218" s="34">
        <f t="shared" si="40"/>
        <v>0.43855268118957602</v>
      </c>
      <c r="AF218" s="34" t="str">
        <f t="shared" si="41"/>
        <v>·</v>
      </c>
      <c r="AG218" s="35"/>
      <c r="AH218" s="34" t="e">
        <f t="shared" si="42"/>
        <v>#DIV/0!</v>
      </c>
      <c r="AI218" s="36"/>
      <c r="AJ218" s="37">
        <v>0</v>
      </c>
      <c r="AK218" s="37">
        <v>1592344</v>
      </c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>
        <f t="shared" si="39"/>
        <v>0</v>
      </c>
      <c r="AE219" s="19">
        <f t="shared" si="40"/>
        <v>0</v>
      </c>
      <c r="AF219" s="19" t="str">
        <f t="shared" si="41"/>
        <v>·</v>
      </c>
      <c r="AG219" s="20"/>
      <c r="AH219" s="19" t="e">
        <f t="shared" si="42"/>
        <v>#DIV/0!</v>
      </c>
      <c r="AI219" s="21"/>
      <c r="AJ219" s="22">
        <v>0</v>
      </c>
      <c r="AK219" s="22">
        <v>0</v>
      </c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>
        <f t="shared" si="39"/>
        <v>0</v>
      </c>
      <c r="AE220" s="49">
        <f t="shared" si="40"/>
        <v>0</v>
      </c>
      <c r="AF220" s="49" t="str">
        <f t="shared" si="41"/>
        <v>·</v>
      </c>
      <c r="AG220" s="50"/>
      <c r="AH220" s="49" t="e">
        <f t="shared" si="42"/>
        <v>#DIV/0!</v>
      </c>
      <c r="AI220" s="51"/>
      <c r="AJ220" s="52">
        <v>0</v>
      </c>
      <c r="AK220" s="52">
        <v>0</v>
      </c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8.669907524817462E-2</v>
      </c>
      <c r="AE221" s="19">
        <f t="shared" si="40"/>
        <v>2.640123219439388E-2</v>
      </c>
      <c r="AF221" s="19">
        <f t="shared" si="41"/>
        <v>5.9955043983872761E-2</v>
      </c>
      <c r="AG221" s="20"/>
      <c r="AH221" s="19">
        <f t="shared" si="42"/>
        <v>0.10613458561186569</v>
      </c>
      <c r="AI221" s="21">
        <v>11457302</v>
      </c>
      <c r="AJ221" s="22">
        <v>1216016</v>
      </c>
      <c r="AK221" s="22">
        <v>370296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37.814</v>
      </c>
      <c r="AU221" s="26">
        <v>13.891999999999999</v>
      </c>
      <c r="AW221" s="27">
        <f t="shared" si="43"/>
        <v>-1.2488473119592891E-4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3.9039358959853665E-3</v>
      </c>
      <c r="BA221" s="28">
        <f>IF( OR(ISBLANK(Q221:Q226),ISBLANK(AK221:AK226), ISBLANK(U221:U226),ISBLANK(AO221:AO226)), "·", bdRateExtend( Q221:Q226,U221:U226, AK221:AK226,AO221:AO226))</f>
        <v>3.8568645110494959E-3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3.5955789529298343E-3</v>
      </c>
      <c r="BH221" s="28">
        <f>IF( OR(ISBLANK(P221:P226),ISBLANK(AJ221:AJ226), ISBLANK(U221:U226),ISBLANK(AO221:AO226)), "·", bdRateExtend( P221:P226,U221:U226, AJ221:AJ226,AO221:AO226))</f>
        <v>3.6196018470666669E-3</v>
      </c>
      <c r="BI221" s="28">
        <f>IF( OR(ISBLANK(P221:P226),ISBLANK(AJ221:AJ226), ISBLANK(V221:V226),ISBLANK(AP221:AP226)), "·", bdRateExtend( P221:P226,V221:V226, AJ221:AJ226,AP221:AP226))</f>
        <v>3.4727694827936251E-3</v>
      </c>
      <c r="BJ221" s="28">
        <f>IF( OR(ISBLANK(P221:P226),ISBLANK(AJ221:AJ226), ISBLANK(W221:W226),ISBLANK(AQ221:AQ226)), "·", bdRateExtend( P221:P226,W221:W226, AJ221:AJ226,AQ221:AQ226))</f>
        <v>3.444797900562957E-3</v>
      </c>
      <c r="BK221" s="28">
        <f>IF( OR(ISBLANK(P221:P226),ISBLANK(AJ221:AJ226), ISBLANK(X221:X226),ISBLANK(AR221:AR226)), "·", bdRateExtend( P221:P226,X221:X226, AJ221:AJ226,AR221:AR226))</f>
        <v>3.4561566634476737E-3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0.32429305356328153</v>
      </c>
      <c r="AE222" s="34">
        <f t="shared" si="40"/>
        <v>9.2587690219439175E-2</v>
      </c>
      <c r="AF222" s="34">
        <f t="shared" si="41"/>
        <v>0.23076822711778777</v>
      </c>
      <c r="AG222" s="35"/>
      <c r="AH222" s="34">
        <f t="shared" si="42"/>
        <v>0.35804150093040066</v>
      </c>
      <c r="AI222" s="36">
        <v>12703667</v>
      </c>
      <c r="AJ222" s="37">
        <v>4548440</v>
      </c>
      <c r="AK222" s="37">
        <v>1298608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47.201000000000001</v>
      </c>
      <c r="AU222" s="41">
        <v>17.719000000000001</v>
      </c>
      <c r="AW222" s="42">
        <f t="shared" si="43"/>
        <v>1.0895847912756329E-4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1.0933197031251682</v>
      </c>
      <c r="AE223" s="19">
        <f t="shared" si="40"/>
        <v>0.3716535114196366</v>
      </c>
      <c r="AF223" s="19">
        <f t="shared" si="41"/>
        <v>0.72082088684429424</v>
      </c>
      <c r="AG223" s="20"/>
      <c r="AH223" s="19">
        <f t="shared" si="42"/>
        <v>1.0535575588158366</v>
      </c>
      <c r="AI223" s="21">
        <v>14555051</v>
      </c>
      <c r="AJ223" s="22">
        <v>15334584</v>
      </c>
      <c r="AK223" s="22">
        <v>5212704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90.143000000000001</v>
      </c>
      <c r="AU223" s="26">
        <v>29.140999999999998</v>
      </c>
      <c r="AW223" s="27">
        <f t="shared" si="43"/>
        <v>1.0145682591728988E-3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>
        <f t="shared" si="39"/>
        <v>0</v>
      </c>
      <c r="AE224" s="34">
        <f t="shared" si="40"/>
        <v>0.14662959284268623</v>
      </c>
      <c r="AF224" s="34" t="str">
        <f t="shared" si="41"/>
        <v>·</v>
      </c>
      <c r="AG224" s="35"/>
      <c r="AH224" s="34" t="e">
        <f t="shared" si="42"/>
        <v>#DIV/0!</v>
      </c>
      <c r="AI224" s="36"/>
      <c r="AJ224" s="37">
        <v>0</v>
      </c>
      <c r="AK224" s="37">
        <v>2056584</v>
      </c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>
        <f t="shared" si="39"/>
        <v>0</v>
      </c>
      <c r="AE225" s="19">
        <f t="shared" si="40"/>
        <v>0</v>
      </c>
      <c r="AF225" s="19" t="str">
        <f t="shared" si="41"/>
        <v>·</v>
      </c>
      <c r="AG225" s="20"/>
      <c r="AH225" s="19" t="e">
        <f t="shared" si="42"/>
        <v>#DIV/0!</v>
      </c>
      <c r="AI225" s="21"/>
      <c r="AJ225" s="22">
        <v>0</v>
      </c>
      <c r="AK225" s="22">
        <v>0</v>
      </c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>
        <f t="shared" si="39"/>
        <v>0</v>
      </c>
      <c r="AE226" s="49">
        <f t="shared" si="40"/>
        <v>0</v>
      </c>
      <c r="AF226" s="49" t="str">
        <f t="shared" si="41"/>
        <v>·</v>
      </c>
      <c r="AG226" s="50"/>
      <c r="AH226" s="49" t="e">
        <f t="shared" si="42"/>
        <v>#DIV/0!</v>
      </c>
      <c r="AI226" s="51"/>
      <c r="AJ226" s="52">
        <v>0</v>
      </c>
      <c r="AK226" s="52">
        <v>0</v>
      </c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5.3596455323523313E-2</v>
      </c>
      <c r="AE227" s="19">
        <f t="shared" si="40"/>
        <v>9.1084380424456581E-3</v>
      </c>
      <c r="AF227" s="19">
        <f t="shared" si="41"/>
        <v>4.4305656561576638E-2</v>
      </c>
      <c r="AG227" s="20"/>
      <c r="AH227" s="19">
        <f t="shared" si="42"/>
        <v>9.1525867052565907E-2</v>
      </c>
      <c r="AI227" s="21">
        <v>2928571</v>
      </c>
      <c r="AJ227" s="22">
        <v>268040</v>
      </c>
      <c r="AK227" s="22">
        <v>45552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5.6360000000000001</v>
      </c>
      <c r="AU227" s="26">
        <v>3.0579999999999998</v>
      </c>
      <c r="AW227" s="27">
        <f t="shared" si="43"/>
        <v>-3.9308574451887845E-4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1.5924801903557384E-3</v>
      </c>
      <c r="BA227" s="28">
        <f>IF( OR(ISBLANK(Q227:Q232),ISBLANK(AK227:AK232), ISBLANK(U227:U232),ISBLANK(AO227:AO232)), "·", bdRateExtend( Q227:Q232,U227:U232, AK227:AK232,AO227:AO232))</f>
        <v>2.1168726534153137E-3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2.9106571844272899E-4</v>
      </c>
      <c r="BH227" s="28">
        <f>IF( OR(ISBLANK(P227:P232),ISBLANK(AJ227:AJ232), ISBLANK(U227:U232),ISBLANK(AO227:AO232)), "·", bdRateExtend( P227:P232,U227:U232, AJ227:AJ232,AO227:AO232))</f>
        <v>2.9458657493486307E-4</v>
      </c>
      <c r="BI227" s="28">
        <f>IF( OR(ISBLANK(P227:P232),ISBLANK(AJ227:AJ232), ISBLANK(V227:V232),ISBLANK(AP227:AP232)), "·", bdRateExtend( P227:P232,V227:V232, AJ227:AJ232,AP227:AP232))</f>
        <v>3.0590501442118168E-4</v>
      </c>
      <c r="BJ227" s="28">
        <f>IF( OR(ISBLANK(P227:P232),ISBLANK(AJ227:AJ232), ISBLANK(W227:W232),ISBLANK(AQ227:AQ232)), "·", bdRateExtend( P227:P232,W227:W232, AJ227:AJ232,AQ227:AQ232))</f>
        <v>3.1268625984548493E-4</v>
      </c>
      <c r="BK227" s="28">
        <f>IF( OR(ISBLANK(P227:P232),ISBLANK(AJ227:AJ232), ISBLANK(X227:X232),ISBLANK(AR227:AR232)), "·", bdRateExtend( P227:P232,X227:X232, AJ227:AJ232,AR227:AR232))</f>
        <v>3.1493254562242612E-4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0.18203598944787291</v>
      </c>
      <c r="AE228" s="34">
        <f t="shared" si="40"/>
        <v>3.3232841645909471E-2</v>
      </c>
      <c r="AF228" s="34">
        <f t="shared" si="41"/>
        <v>0.14868477329983121</v>
      </c>
      <c r="AG228" s="35"/>
      <c r="AH228" s="34">
        <f t="shared" si="42"/>
        <v>0.26889745592198461</v>
      </c>
      <c r="AI228" s="36">
        <v>3385588</v>
      </c>
      <c r="AJ228" s="37">
        <v>910376</v>
      </c>
      <c r="AK228" s="37">
        <v>166200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7.7759999999999998</v>
      </c>
      <c r="AU228" s="41">
        <v>4.2770000000000001</v>
      </c>
      <c r="AW228" s="42">
        <f t="shared" si="43"/>
        <v>5.5194381751108579E-4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0.59606840686516127</v>
      </c>
      <c r="AE229" s="19">
        <f t="shared" si="40"/>
        <v>0.1528806695037889</v>
      </c>
      <c r="AF229" s="19">
        <f t="shared" si="41"/>
        <v>0.44388038816438941</v>
      </c>
      <c r="AG229" s="20"/>
      <c r="AH229" s="19">
        <f t="shared" si="42"/>
        <v>0.79118265854193892</v>
      </c>
      <c r="AI229" s="21">
        <v>3767757</v>
      </c>
      <c r="AJ229" s="22">
        <v>2980984</v>
      </c>
      <c r="AK229" s="22">
        <v>764568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12.901999999999999</v>
      </c>
      <c r="AU229" s="26">
        <v>6.0119999999999996</v>
      </c>
      <c r="AW229" s="27">
        <f t="shared" si="43"/>
        <v>1.6303740299702385E-3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>
        <f t="shared" si="39"/>
        <v>0</v>
      </c>
      <c r="AE230" s="34">
        <f t="shared" si="40"/>
        <v>0.2689148757357665</v>
      </c>
      <c r="AF230" s="34" t="str">
        <f t="shared" si="41"/>
        <v>·</v>
      </c>
      <c r="AG230" s="35"/>
      <c r="AH230" s="34" t="e">
        <f t="shared" si="42"/>
        <v>#DIV/0!</v>
      </c>
      <c r="AI230" s="36"/>
      <c r="AJ230" s="37">
        <v>0</v>
      </c>
      <c r="AK230" s="37">
        <v>1344864</v>
      </c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>
        <f t="shared" si="39"/>
        <v>0</v>
      </c>
      <c r="AE231" s="19">
        <f t="shared" si="40"/>
        <v>0</v>
      </c>
      <c r="AF231" s="19" t="str">
        <f t="shared" si="41"/>
        <v>·</v>
      </c>
      <c r="AG231" s="20"/>
      <c r="AH231" s="19" t="e">
        <f t="shared" si="42"/>
        <v>#DIV/0!</v>
      </c>
      <c r="AI231" s="21"/>
      <c r="AJ231" s="22">
        <v>0</v>
      </c>
      <c r="AK231" s="22">
        <v>0</v>
      </c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>
        <f t="shared" si="39"/>
        <v>0</v>
      </c>
      <c r="AE232" s="49">
        <f t="shared" si="40"/>
        <v>0</v>
      </c>
      <c r="AF232" s="49" t="str">
        <f t="shared" si="41"/>
        <v>·</v>
      </c>
      <c r="AG232" s="50"/>
      <c r="AH232" s="49" t="e">
        <f t="shared" si="42"/>
        <v>#DIV/0!</v>
      </c>
      <c r="AI232" s="51"/>
      <c r="AJ232" s="52">
        <v>0</v>
      </c>
      <c r="AK232" s="52">
        <v>0</v>
      </c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2.1320012409913189E-2</v>
      </c>
      <c r="AE233" s="19">
        <f t="shared" si="40"/>
        <v>1.1073170986612077E-3</v>
      </c>
      <c r="AF233" s="19">
        <f t="shared" si="41"/>
        <v>2.0195175172899441E-2</v>
      </c>
      <c r="AG233" s="20"/>
      <c r="AH233" s="19">
        <f t="shared" si="42"/>
        <v>0.12151612967701461</v>
      </c>
      <c r="AI233" s="21">
        <v>12657941</v>
      </c>
      <c r="AJ233" s="22">
        <v>1538144</v>
      </c>
      <c r="AK233" s="22">
        <v>79888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16.306999999999999</v>
      </c>
      <c r="AU233" s="26">
        <v>12.619</v>
      </c>
      <c r="AW233" s="27">
        <f t="shared" si="43"/>
        <v>9.2074827675384108E-5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3.8763734535165462E-3</v>
      </c>
      <c r="BA233" s="28">
        <f>IF( OR(ISBLANK(Q233:Q238),ISBLANK(AK233:AK238), ISBLANK(U233:U238),ISBLANK(AO233:AO238)), "·", bdRateExtend( Q233:Q238,U233:U238, AK233:AK238,AO233:AO238))</f>
        <v>3.7372289599626463E-3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-2.2315268669181876E-4</v>
      </c>
      <c r="BH233" s="28">
        <f>IF( OR(ISBLANK(P233:P238),ISBLANK(AJ233:AJ238), ISBLANK(U233:U238),ISBLANK(AO233:AO238)), "·", bdRateExtend( P233:P238,U233:U238, AJ233:AJ238,AO233:AO238))</f>
        <v>-2.4485176415345311E-4</v>
      </c>
      <c r="BI233" s="28">
        <f>IF( OR(ISBLANK(P233:P238),ISBLANK(AJ233:AJ238), ISBLANK(V233:V238),ISBLANK(AP233:AP238)), "·", bdRateExtend( P233:P238,V233:V238, AJ233:AJ238,AP233:AP238))</f>
        <v>-2.0179114731877501E-4</v>
      </c>
      <c r="BJ233" s="28">
        <f>IF( OR(ISBLANK(P233:P238),ISBLANK(AJ233:AJ238), ISBLANK(W233:W238),ISBLANK(AQ233:AQ238)), "·", bdRateExtend( P233:P238,W233:W238, AJ233:AJ238,AQ233:AQ238))</f>
        <v>-1.1066468502551885E-4</v>
      </c>
      <c r="BK233" s="28">
        <f>IF( OR(ISBLANK(P233:P238),ISBLANK(AJ233:AJ238), ISBLANK(X233:X238),ISBLANK(AR233:AR238)), "·", bdRateExtend( P233:P238,X233:X238, AJ233:AJ238,AR233:AR238))</f>
        <v>-1.2561893668816548E-4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7.5598066347793674E-2</v>
      </c>
      <c r="AE234" s="34">
        <f t="shared" si="40"/>
        <v>3.4732010979637842E-3</v>
      </c>
      <c r="AF234" s="34">
        <f t="shared" si="41"/>
        <v>7.2129966049603422E-2</v>
      </c>
      <c r="AG234" s="35"/>
      <c r="AH234" s="34">
        <f t="shared" si="42"/>
        <v>0.42458794667038674</v>
      </c>
      <c r="AI234" s="36">
        <v>12845546</v>
      </c>
      <c r="AJ234" s="37">
        <v>5454064</v>
      </c>
      <c r="AK234" s="37">
        <v>250576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18.54</v>
      </c>
      <c r="AU234" s="41">
        <v>14.558</v>
      </c>
      <c r="AW234" s="42">
        <f t="shared" si="43"/>
        <v>1.5486002026302015E-4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0.2362749225180891</v>
      </c>
      <c r="AE235" s="19">
        <f t="shared" si="40"/>
        <v>1.5254717931386176E-2</v>
      </c>
      <c r="AF235" s="19">
        <f t="shared" si="41"/>
        <v>0.22106744242808382</v>
      </c>
      <c r="AG235" s="20"/>
      <c r="AH235" s="19">
        <f t="shared" si="42"/>
        <v>1.1895831437483286</v>
      </c>
      <c r="AI235" s="21">
        <v>14329544</v>
      </c>
      <c r="AJ235" s="22">
        <v>17046184</v>
      </c>
      <c r="AK235" s="22">
        <v>1100560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24.061</v>
      </c>
      <c r="AU235" s="26">
        <v>19.619</v>
      </c>
      <c r="AW235" s="27">
        <f t="shared" si="43"/>
        <v>3.5505084204928705E-4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0.54324848231455003</v>
      </c>
      <c r="AE236" s="34">
        <f t="shared" si="40"/>
        <v>6.0504023609273525E-2</v>
      </c>
      <c r="AF236" s="34">
        <f t="shared" si="41"/>
        <v>0.48306425667368613</v>
      </c>
      <c r="AG236" s="35"/>
      <c r="AH236" s="34">
        <f t="shared" si="42"/>
        <v>2.5797577962172906</v>
      </c>
      <c r="AI236" s="36">
        <v>15192496</v>
      </c>
      <c r="AJ236" s="37">
        <v>39192960</v>
      </c>
      <c r="AK236" s="37">
        <v>4365096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39.058</v>
      </c>
      <c r="AU236" s="41">
        <v>34.292000000000002</v>
      </c>
      <c r="AW236" s="42">
        <f t="shared" si="43"/>
        <v>9.7640725891411095E-4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>
        <f t="shared" si="39"/>
        <v>0</v>
      </c>
      <c r="AE237" s="19">
        <f t="shared" si="40"/>
        <v>0</v>
      </c>
      <c r="AF237" s="19" t="str">
        <f t="shared" si="41"/>
        <v>·</v>
      </c>
      <c r="AG237" s="20"/>
      <c r="AH237" s="19" t="e">
        <f t="shared" si="42"/>
        <v>#DIV/0!</v>
      </c>
      <c r="AI237" s="21"/>
      <c r="AJ237" s="22">
        <v>0</v>
      </c>
      <c r="AK237" s="22">
        <v>0</v>
      </c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>
        <f t="shared" si="39"/>
        <v>0</v>
      </c>
      <c r="AE238" s="49">
        <f t="shared" si="40"/>
        <v>0</v>
      </c>
      <c r="AF238" s="49" t="str">
        <f t="shared" si="41"/>
        <v>·</v>
      </c>
      <c r="AG238" s="50"/>
      <c r="AH238" s="49" t="e">
        <f t="shared" si="42"/>
        <v>#DIV/0!</v>
      </c>
      <c r="AI238" s="51"/>
      <c r="AJ238" s="52">
        <v>0</v>
      </c>
      <c r="AK238" s="52">
        <v>0</v>
      </c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7.3073924074480213E-4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3072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0.499</v>
      </c>
      <c r="AU239" s="26">
        <v>0.436</v>
      </c>
      <c r="AW239" s="27">
        <f t="shared" si="43"/>
        <v>-1.0777894008922456E-6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5.507998326519381E-4</v>
      </c>
      <c r="BA239" s="28">
        <f>IF( OR(ISBLANK(Q239:Q244),ISBLANK(AK239:AK244), ISBLANK(U239:U244),ISBLANK(AO239:AO244)), "·", bdRateExtend( Q239:Q244,U239:U244, AK239:AK244,AO239:AO244))</f>
        <v>9.2909204671598467E-4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-9.9377107523834773E-5</v>
      </c>
      <c r="BH239" s="28">
        <f>IF( OR(ISBLANK(P239:P244),ISBLANK(AJ239:AJ244), ISBLANK(U239:U244),ISBLANK(AO239:AO244)), "·", bdRateExtend( P239:P244,U239:U244, AJ239:AJ244,AO239:AO244))</f>
        <v>-9.9689693319415795E-5</v>
      </c>
      <c r="BI239" s="28">
        <f>IF( OR(ISBLANK(P239:P244),ISBLANK(AJ239:AJ244), ISBLANK(V239:V244),ISBLANK(AP239:AP244)), "·", bdRateExtend( P239:P244,V239:V244, AJ239:AJ244,AP239:AP244))</f>
        <v>-1.107156559465583E-4</v>
      </c>
      <c r="BJ239" s="28">
        <f>IF( OR(ISBLANK(P239:P244),ISBLANK(AJ239:AJ244), ISBLANK(W239:W244),ISBLANK(AQ239:AQ244)), "·", bdRateExtend( P239:P244,W239:W244, AJ239:AJ244,AQ239:AQ244))</f>
        <v>-1.2909525779336573E-4</v>
      </c>
      <c r="BK239" s="28">
        <f>IF( OR(ISBLANK(P239:P244),ISBLANK(AJ239:AJ244), ISBLANK(X239:X244),ISBLANK(AR239:AR244)), "·", bdRateExtend( P239:P244,X239:X244, AJ239:AJ244,AR239:AR244))</f>
        <v>-1.2583387433884319E-4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0.17606629175049632</v>
      </c>
      <c r="AE240" s="34">
        <f t="shared" si="40"/>
        <v>3.2635880153055619E-3</v>
      </c>
      <c r="AF240" s="34">
        <f t="shared" si="41"/>
        <v>0.17270755539655211</v>
      </c>
      <c r="AG240" s="35"/>
      <c r="AH240" s="34">
        <f t="shared" si="42"/>
        <v>1.4862315319403561</v>
      </c>
      <c r="AI240" s="36">
        <v>498022</v>
      </c>
      <c r="AJ240" s="37">
        <v>740176</v>
      </c>
      <c r="AK240" s="37">
        <v>13720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0.71699999999999997</v>
      </c>
      <c r="AU240" s="41">
        <v>0.59299999999999997</v>
      </c>
      <c r="AW240" s="42">
        <f t="shared" si="43"/>
        <v>-1.9209873307498432E-5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0.47660944604161504</v>
      </c>
      <c r="AE241" s="19">
        <f t="shared" si="40"/>
        <v>1.7029649649544881E-2</v>
      </c>
      <c r="AF241" s="19">
        <f t="shared" si="41"/>
        <v>0.45960263199334345</v>
      </c>
      <c r="AG241" s="20"/>
      <c r="AH241" s="19">
        <f t="shared" si="42"/>
        <v>2.888070490524917</v>
      </c>
      <c r="AI241" s="21">
        <v>693767</v>
      </c>
      <c r="AJ241" s="22">
        <v>2003648</v>
      </c>
      <c r="AK241" s="22">
        <v>71592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1.234</v>
      </c>
      <c r="AU241" s="26">
        <v>1.0620000000000001</v>
      </c>
      <c r="AW241" s="27">
        <f t="shared" si="43"/>
        <v>1.0265336958546756E-4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1.0319427245060731</v>
      </c>
      <c r="AE242" s="34">
        <f t="shared" si="40"/>
        <v>7.6404115926832827E-2</v>
      </c>
      <c r="AF242" s="34">
        <f t="shared" si="41"/>
        <v>0.95584879216320229</v>
      </c>
      <c r="AG242" s="35"/>
      <c r="AH242" s="34">
        <f t="shared" si="42"/>
        <v>4.8422540084717856</v>
      </c>
      <c r="AI242" s="36">
        <v>895915</v>
      </c>
      <c r="AJ242" s="37">
        <v>4338248</v>
      </c>
      <c r="AK242" s="37">
        <v>321200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2.327</v>
      </c>
      <c r="AU242" s="41">
        <v>1.9830000000000001</v>
      </c>
      <c r="AW242" s="42">
        <f t="shared" si="43"/>
        <v>3.7535325558255006E-4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>
        <f t="shared" si="39"/>
        <v>0</v>
      </c>
      <c r="AE243" s="19">
        <f t="shared" si="40"/>
        <v>0</v>
      </c>
      <c r="AF243" s="19" t="str">
        <f t="shared" si="41"/>
        <v>·</v>
      </c>
      <c r="AG243" s="20"/>
      <c r="AH243" s="19" t="e">
        <f t="shared" si="42"/>
        <v>#DIV/0!</v>
      </c>
      <c r="AI243" s="21"/>
      <c r="AJ243" s="22">
        <v>0</v>
      </c>
      <c r="AK243" s="22">
        <v>0</v>
      </c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>
        <f t="shared" si="39"/>
        <v>0</v>
      </c>
      <c r="AE244" s="49">
        <f t="shared" si="40"/>
        <v>0</v>
      </c>
      <c r="AF244" s="49" t="str">
        <f t="shared" si="41"/>
        <v>·</v>
      </c>
      <c r="AG244" s="50"/>
      <c r="AH244" s="49" t="e">
        <f t="shared" si="42"/>
        <v>#DIV/0!</v>
      </c>
      <c r="AI244" s="51"/>
      <c r="AJ244" s="52">
        <v>0</v>
      </c>
      <c r="AK244" s="52">
        <v>0</v>
      </c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0.15024871585042812</v>
      </c>
      <c r="AE245" s="19">
        <f t="shared" si="40"/>
        <v>9.71312825861303E-3</v>
      </c>
      <c r="AF245" s="19">
        <f t="shared" si="41"/>
        <v>0.14005270183486693</v>
      </c>
      <c r="AG245" s="20"/>
      <c r="AH245" s="19">
        <f t="shared" si="42"/>
        <v>0.31713343456094439</v>
      </c>
      <c r="AI245" s="21">
        <v>478789</v>
      </c>
      <c r="AJ245" s="22">
        <v>151840</v>
      </c>
      <c r="AK245" s="22">
        <v>9816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1.1559999999999999</v>
      </c>
      <c r="AU245" s="26">
        <v>0.57799999999999996</v>
      </c>
      <c r="AW245" s="27">
        <f t="shared" si="43"/>
        <v>-5.268703898841931E-5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1.2266969367022984E-3</v>
      </c>
      <c r="BA245" s="28">
        <f>IF( OR(ISBLANK(Q245:Q250),ISBLANK(AK245:AK250), ISBLANK(U245:U250),ISBLANK(AO245:AO250)), "·", bdRateExtend( Q245:Q250,U245:U250, AK245:AK250,AO245:AO250))</f>
        <v>1.239415887017481E-3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4.072645695438748E-4</v>
      </c>
      <c r="BH245" s="28">
        <f>IF( OR(ISBLANK(P245:P250),ISBLANK(AJ245:AJ250), ISBLANK(U245:U250),ISBLANK(AO245:AO250)), "·", bdRateExtend( P245:P250,U245:U250, AJ245:AJ250,AO245:AO250))</f>
        <v>4.0828506236989526E-4</v>
      </c>
      <c r="BI245" s="28">
        <f>IF( OR(ISBLANK(P245:P250),ISBLANK(AJ245:AJ250), ISBLANK(V245:V250),ISBLANK(AP245:AP250)), "·", bdRateExtend( P245:P250,V245:V250, AJ245:AJ250,AP245:AP250))</f>
        <v>4.376507403491825E-4</v>
      </c>
      <c r="BJ245" s="28">
        <f>IF( OR(ISBLANK(P245:P250),ISBLANK(AJ245:AJ250), ISBLANK(W245:W250),ISBLANK(AQ245:AQ250)), "·", bdRateExtend( P245:P250,W245:W250, AJ245:AJ250,AQ245:AQ250))</f>
        <v>4.41620163994072E-4</v>
      </c>
      <c r="BK245" s="28">
        <f>IF( OR(ISBLANK(P245:P250),ISBLANK(AJ245:AJ250), ISBLANK(X245:X250),ISBLANK(AR245:AR250)), "·", bdRateExtend( P245:P250,X245:X250, AJ245:AJ250,AR245:AR250))</f>
        <v>4.6742499713126051E-4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0.55210465955069854</v>
      </c>
      <c r="AE246" s="34">
        <f t="shared" si="40"/>
        <v>3.9074165513051276E-2</v>
      </c>
      <c r="AF246" s="34">
        <f t="shared" si="41"/>
        <v>0.51231803964214995</v>
      </c>
      <c r="AG246" s="35"/>
      <c r="AH246" s="34">
        <f t="shared" si="42"/>
        <v>0.95552979094703205</v>
      </c>
      <c r="AI246" s="36">
        <v>583919</v>
      </c>
      <c r="AJ246" s="37">
        <v>557952</v>
      </c>
      <c r="AK246" s="37">
        <v>39488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1.452</v>
      </c>
      <c r="AU246" s="41">
        <v>0.79600000000000004</v>
      </c>
      <c r="AW246" s="42">
        <f t="shared" si="43"/>
        <v>6.2854445254056923E-5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1.9303476876402026</v>
      </c>
      <c r="AE247" s="19">
        <f t="shared" si="40"/>
        <v>0.19166606470867048</v>
      </c>
      <c r="AF247" s="19">
        <f t="shared" si="41"/>
        <v>1.7380958270952345</v>
      </c>
      <c r="AG247" s="20"/>
      <c r="AH247" s="19">
        <f t="shared" si="42"/>
        <v>2.0308184310957595</v>
      </c>
      <c r="AI247" s="21">
        <v>960594</v>
      </c>
      <c r="AJ247" s="22">
        <v>1950792</v>
      </c>
      <c r="AK247" s="22">
        <v>193696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1.6080000000000001</v>
      </c>
      <c r="AW247" s="27">
        <f t="shared" si="43"/>
        <v>3.2687333367491245E-4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>
        <f t="shared" si="39"/>
        <v>0</v>
      </c>
      <c r="AE248" s="34">
        <f t="shared" si="40"/>
        <v>0.8231064792779671</v>
      </c>
      <c r="AF248" s="34" t="str">
        <f t="shared" si="41"/>
        <v>·</v>
      </c>
      <c r="AG248" s="35"/>
      <c r="AH248" s="34" t="e">
        <f t="shared" si="42"/>
        <v>#DIV/0!</v>
      </c>
      <c r="AI248" s="36"/>
      <c r="AJ248" s="37">
        <v>0</v>
      </c>
      <c r="AK248" s="37">
        <v>831824</v>
      </c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>
        <f t="shared" si="39"/>
        <v>0</v>
      </c>
      <c r="AE249" s="19">
        <f t="shared" si="40"/>
        <v>0</v>
      </c>
      <c r="AF249" s="19" t="str">
        <f t="shared" si="41"/>
        <v>·</v>
      </c>
      <c r="AG249" s="20"/>
      <c r="AH249" s="19" t="e">
        <f t="shared" si="42"/>
        <v>#DIV/0!</v>
      </c>
      <c r="AI249" s="21"/>
      <c r="AJ249" s="22">
        <v>0</v>
      </c>
      <c r="AK249" s="22">
        <v>0</v>
      </c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>
        <f t="shared" si="39"/>
        <v>0</v>
      </c>
      <c r="AE250" s="49">
        <f t="shared" si="40"/>
        <v>0</v>
      </c>
      <c r="AF250" s="49" t="str">
        <f t="shared" si="41"/>
        <v>·</v>
      </c>
      <c r="AG250" s="50"/>
      <c r="AH250" s="49" t="e">
        <f t="shared" si="42"/>
        <v>#DIV/0!</v>
      </c>
      <c r="AI250" s="51"/>
      <c r="AJ250" s="52">
        <v>0</v>
      </c>
      <c r="AK250" s="52">
        <v>0</v>
      </c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8.3095289284025181E-2</v>
      </c>
      <c r="AE251" s="19">
        <f t="shared" si="40"/>
        <v>3.2981161156327805E-3</v>
      </c>
      <c r="AF251" s="19">
        <f t="shared" si="41"/>
        <v>7.982216147212387E-2</v>
      </c>
      <c r="AG251" s="20"/>
      <c r="AH251" s="19">
        <f t="shared" si="42"/>
        <v>0.19477508383562822</v>
      </c>
      <c r="AI251" s="21">
        <v>20077681</v>
      </c>
      <c r="AJ251" s="22">
        <v>3910632</v>
      </c>
      <c r="AK251" s="22">
        <v>155216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26.568000000000001</v>
      </c>
      <c r="AU251" s="26">
        <v>20.884</v>
      </c>
      <c r="AW251" s="27">
        <f t="shared" si="43"/>
        <v>1.8118151406800592E-4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1.0164116483998953E-2</v>
      </c>
      <c r="BA251" s="28">
        <f>IF( OR(ISBLANK(Q251:Q256),ISBLANK(AK251:AK256), ISBLANK(U251:U256),ISBLANK(AO251:AO256)), "·", bdRateExtend( Q251:Q256,U251:U256, AK251:AK256,AO251:AO256))</f>
        <v>1.1237561739990687E-2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-1.1446575981975959E-3</v>
      </c>
      <c r="BH251" s="28">
        <f>IF( OR(ISBLANK(P251:P256),ISBLANK(AJ251:AJ256), ISBLANK(U251:U256),ISBLANK(AO251:AO256)), "·", bdRateExtend( P251:P256,U251:U256, AJ251:AJ256,AO251:AO256))</f>
        <v>-1.1390552426027156E-3</v>
      </c>
      <c r="BI251" s="28">
        <f>IF( OR(ISBLANK(P251:P256),ISBLANK(AJ251:AJ256), ISBLANK(V251:V256),ISBLANK(AP251:AP256)), "·", bdRateExtend( P251:P256,V251:V256, AJ251:AJ256,AP251:AP256))</f>
        <v>-1.1469766421248195E-3</v>
      </c>
      <c r="BJ251" s="28">
        <f>IF( OR(ISBLANK(P251:P256),ISBLANK(AJ251:AJ256), ISBLANK(W251:W256),ISBLANK(AQ251:AQ256)), "·", bdRateExtend( P251:P256,W251:W256, AJ251:AJ256,AQ251:AQ256))</f>
        <v>-1.1628801206380324E-3</v>
      </c>
      <c r="BK251" s="28">
        <f>IF( OR(ISBLANK(P251:P256),ISBLANK(AJ251:AJ256), ISBLANK(X251:X256),ISBLANK(AR251:AR256)), "·", bdRateExtend( P251:P256,X251:X256, AJ251:AJ256,AR251:AR256))</f>
        <v>-1.1617983293785716E-3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0.18007251622741718</v>
      </c>
      <c r="AE252" s="34">
        <f t="shared" si="40"/>
        <v>1.0682584839434637E-2</v>
      </c>
      <c r="AF252" s="34">
        <f t="shared" si="41"/>
        <v>0.16962536540613282</v>
      </c>
      <c r="AG252" s="35"/>
      <c r="AH252" s="34">
        <f t="shared" si="42"/>
        <v>0.48407253145929152</v>
      </c>
      <c r="AI252" s="36">
        <v>17506831</v>
      </c>
      <c r="AJ252" s="37">
        <v>8474576</v>
      </c>
      <c r="AK252" s="37">
        <v>502744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26.228000000000002</v>
      </c>
      <c r="AU252" s="41">
        <v>18.699000000000002</v>
      </c>
      <c r="AW252" s="42">
        <f t="shared" si="43"/>
        <v>4.5289915278535348E-4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0.39289772911990301</v>
      </c>
      <c r="AE253" s="19">
        <f t="shared" si="40"/>
        <v>3.5328871787860858E-2</v>
      </c>
      <c r="AF253" s="19">
        <f t="shared" si="41"/>
        <v>0.35852215261997478</v>
      </c>
      <c r="AG253" s="20"/>
      <c r="AH253" s="19">
        <f t="shared" si="42"/>
        <v>1.1128947248521848</v>
      </c>
      <c r="AI253" s="21">
        <v>16614833</v>
      </c>
      <c r="AJ253" s="22">
        <v>18490560</v>
      </c>
      <c r="AK253" s="22">
        <v>1662648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31.37</v>
      </c>
      <c r="AU253" s="26">
        <v>20.9</v>
      </c>
      <c r="AW253" s="27">
        <f t="shared" si="43"/>
        <v>1.3801957815288424E-3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0.77332782457394833</v>
      </c>
      <c r="AE254" s="34">
        <f t="shared" si="40"/>
        <v>0.10653431818414587</v>
      </c>
      <c r="AF254" s="34">
        <f t="shared" si="41"/>
        <v>0.67084195157122251</v>
      </c>
      <c r="AG254" s="35"/>
      <c r="AH254" s="34">
        <f t="shared" si="42"/>
        <v>2.069528141095879</v>
      </c>
      <c r="AI254" s="36">
        <v>17585829</v>
      </c>
      <c r="AJ254" s="37">
        <v>36394368</v>
      </c>
      <c r="AK254" s="37">
        <v>5013720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57.399000000000001</v>
      </c>
      <c r="AU254" s="41">
        <v>37.79</v>
      </c>
      <c r="AW254" s="42">
        <f t="shared" si="43"/>
        <v>4.4520202382449525E-3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>
        <f t="shared" si="39"/>
        <v>0</v>
      </c>
      <c r="AE255" s="19">
        <f t="shared" si="40"/>
        <v>0</v>
      </c>
      <c r="AF255" s="19" t="str">
        <f t="shared" si="41"/>
        <v>·</v>
      </c>
      <c r="AG255" s="20"/>
      <c r="AH255" s="19" t="e">
        <f t="shared" si="42"/>
        <v>#DIV/0!</v>
      </c>
      <c r="AI255" s="21"/>
      <c r="AJ255" s="22">
        <v>0</v>
      </c>
      <c r="AK255" s="22">
        <v>0</v>
      </c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>
        <f t="shared" si="39"/>
        <v>0</v>
      </c>
      <c r="AE256" s="49">
        <f t="shared" si="40"/>
        <v>0</v>
      </c>
      <c r="AF256" s="49" t="str">
        <f t="shared" si="41"/>
        <v>·</v>
      </c>
      <c r="AG256" s="50"/>
      <c r="AH256" s="49" t="e">
        <f t="shared" si="42"/>
        <v>#DIV/0!</v>
      </c>
      <c r="AI256" s="51"/>
      <c r="AJ256" s="52">
        <v>0</v>
      </c>
      <c r="AK256" s="52">
        <v>0</v>
      </c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9.0444970572849406E-2</v>
      </c>
      <c r="AE257" s="19">
        <f t="shared" si="40"/>
        <v>4.7047864261667268E-3</v>
      </c>
      <c r="AF257" s="19">
        <f t="shared" si="41"/>
        <v>8.5838987795329988E-2</v>
      </c>
      <c r="AG257" s="20"/>
      <c r="AH257" s="19">
        <f t="shared" si="42"/>
        <v>0.20955454790449723</v>
      </c>
      <c r="AI257" s="21">
        <v>18731352</v>
      </c>
      <c r="AJ257" s="22">
        <v>3925240</v>
      </c>
      <c r="AK257" s="22">
        <v>204184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30.597000000000001</v>
      </c>
      <c r="AU257" s="26">
        <v>18.242000000000001</v>
      </c>
      <c r="AW257" s="27">
        <f t="shared" si="43"/>
        <v>4.0246820311212739E-4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1.1824322451667646E-2</v>
      </c>
      <c r="BA257" s="28">
        <f>IF( OR(ISBLANK(Q257:Q262),ISBLANK(AK257:AK262), ISBLANK(U257:U262),ISBLANK(AO257:AO262)), "·", bdRateExtend( Q257:Q262,U257:U262, AK257:AK262,AO257:AO262))</f>
        <v>1.2579444393892913E-2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-1.3845691385642178E-3</v>
      </c>
      <c r="BH257" s="28">
        <f>IF( OR(ISBLANK(P257:P262),ISBLANK(AJ257:AJ262), ISBLANK(U257:U262),ISBLANK(AO257:AO262)), "·", bdRateExtend( P257:P262,U257:U262, AJ257:AJ262,AO257:AO262))</f>
        <v>-1.3844927281935204E-3</v>
      </c>
      <c r="BI257" s="28">
        <f>IF( OR(ISBLANK(P257:P262),ISBLANK(AJ257:AJ262), ISBLANK(V257:V262),ISBLANK(AP257:AP262)), "·", bdRateExtend( P257:P262,V257:V262, AJ257:AJ262,AP257:AP262))</f>
        <v>-1.3916994960658791E-3</v>
      </c>
      <c r="BJ257" s="28">
        <f>IF( OR(ISBLANK(P257:P262),ISBLANK(AJ257:AJ262), ISBLANK(W257:W262),ISBLANK(AQ257:AQ262)), "·", bdRateExtend( P257:P262,W257:W262, AJ257:AJ262,AQ257:AQ262))</f>
        <v>-1.4001724156404993E-3</v>
      </c>
      <c r="BK257" s="28">
        <f>IF( OR(ISBLANK(P257:P262),ISBLANK(AJ257:AJ262), ISBLANK(X257:X262),ISBLANK(AR257:AR262)), "·", bdRateExtend( P257:P262,X257:X262, AJ257:AJ262,AR257:AR262))</f>
        <v>-1.39978873798563E-3</v>
      </c>
      <c r="BL257" s="29"/>
    </row>
    <row r="258" spans="1:64" outlineLevel="1" x14ac:dyDescent="0.15">
      <c r="A258" s="30"/>
      <c r="B258" s="30" t="s">
        <v>1048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0.21359431751829014</v>
      </c>
      <c r="AE258" s="34">
        <f t="shared" si="40"/>
        <v>1.4621096648148433E-2</v>
      </c>
      <c r="AF258" s="34">
        <f t="shared" si="41"/>
        <v>0.19928235094249533</v>
      </c>
      <c r="AG258" s="35"/>
      <c r="AH258" s="34">
        <f t="shared" si="42"/>
        <v>0.51698186614031294</v>
      </c>
      <c r="AI258" s="36">
        <v>17930656</v>
      </c>
      <c r="AJ258" s="37">
        <v>9269824</v>
      </c>
      <c r="AK258" s="37">
        <v>634544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32.74</v>
      </c>
      <c r="AU258" s="41">
        <v>18.771000000000001</v>
      </c>
      <c r="AW258" s="42">
        <f t="shared" si="43"/>
        <v>5.7244559226490854E-4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0.49007125867530255</v>
      </c>
      <c r="AE259" s="19">
        <f t="shared" si="40"/>
        <v>5.0762217844210838E-2</v>
      </c>
      <c r="AF259" s="19">
        <f t="shared" si="41"/>
        <v>0.4409147844567759</v>
      </c>
      <c r="AG259" s="20"/>
      <c r="AH259" s="19">
        <f t="shared" si="42"/>
        <v>1.1417110831150288</v>
      </c>
      <c r="AI259" s="21">
        <v>18628797</v>
      </c>
      <c r="AJ259" s="22">
        <v>21268704</v>
      </c>
      <c r="AK259" s="22">
        <v>2203040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44.362000000000002</v>
      </c>
      <c r="AU259" s="26">
        <v>25.399000000000001</v>
      </c>
      <c r="AW259" s="27">
        <f t="shared" si="43"/>
        <v>1.9457241101256267E-3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1.0935077223876464</v>
      </c>
      <c r="AE260" s="34">
        <f t="shared" si="40"/>
        <v>0.16156129304390285</v>
      </c>
      <c r="AF260" s="34">
        <f t="shared" si="41"/>
        <v>0.93772054406431893</v>
      </c>
      <c r="AG260" s="35"/>
      <c r="AH260" s="34">
        <f t="shared" si="42"/>
        <v>2.0455324748229522</v>
      </c>
      <c r="AI260" s="36">
        <v>23200496</v>
      </c>
      <c r="AJ260" s="37">
        <v>47457368</v>
      </c>
      <c r="AK260" s="37">
        <v>7011632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84.427000000000007</v>
      </c>
      <c r="AU260" s="41">
        <v>52.694000000000003</v>
      </c>
      <c r="AW260" s="42">
        <f t="shared" si="43"/>
        <v>4.4566793127185922E-3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>
        <f t="shared" ref="AD261:AD342" si="50">IF(ISBLANK(AJ261),"·",AJ261/D261)</f>
        <v>0</v>
      </c>
      <c r="AE261" s="19">
        <f t="shared" ref="AE261:AE342" si="51">IF(AK261="","·",AK261/D261)</f>
        <v>0</v>
      </c>
      <c r="AF261" s="19" t="str">
        <f t="shared" ref="AF261:AF298" si="52">IF(ISBLANK(AL261),"·",AL261/D261)</f>
        <v>·</v>
      </c>
      <c r="AG261" s="20"/>
      <c r="AH261" s="19" t="e">
        <f t="shared" ref="AH261:AH342" si="53">IF(ISBLANK(AJ261),"·",AJ261/AI261)</f>
        <v>#DIV/0!</v>
      </c>
      <c r="AI261" s="21"/>
      <c r="AJ261" s="22">
        <v>0</v>
      </c>
      <c r="AK261" s="22">
        <v>0</v>
      </c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>
        <f t="shared" si="50"/>
        <v>0</v>
      </c>
      <c r="AE262" s="49">
        <f t="shared" si="51"/>
        <v>0</v>
      </c>
      <c r="AF262" s="49" t="str">
        <f t="shared" si="52"/>
        <v>·</v>
      </c>
      <c r="AG262" s="50"/>
      <c r="AH262" s="49" t="e">
        <f t="shared" si="53"/>
        <v>#DIV/0!</v>
      </c>
      <c r="AI262" s="51"/>
      <c r="AJ262" s="52">
        <v>0</v>
      </c>
      <c r="AK262" s="52">
        <v>0</v>
      </c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9.9350651948644286E-2</v>
      </c>
      <c r="AE263" s="19">
        <f t="shared" si="51"/>
        <v>3.3447626058741393E-3</v>
      </c>
      <c r="AF263" s="19">
        <f t="shared" si="52"/>
        <v>9.4997659466358325E-2</v>
      </c>
      <c r="AG263" s="20"/>
      <c r="AH263" s="19">
        <f t="shared" si="53"/>
        <v>0.2772542539413157</v>
      </c>
      <c r="AI263" s="21">
        <v>179128</v>
      </c>
      <c r="AJ263" s="22">
        <v>49664</v>
      </c>
      <c r="AK263" s="22">
        <v>1672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0.28000000000000003</v>
      </c>
      <c r="AU263" s="26">
        <v>0.187</v>
      </c>
      <c r="AW263" s="27">
        <f t="shared" si="54"/>
        <v>-1.6276988128963166E-5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1.571035842320434E-3</v>
      </c>
      <c r="BA263" s="28">
        <f>IF( OR(ISBLANK(Q263:Q268),ISBLANK(AK263:AK268), ISBLANK(U263:U268),ISBLANK(AO263:AO268)), "·", bdRateExtend( Q263:Q268,U263:U268, AK263:AK268,AO263:AO268))</f>
        <v>1.7520319269257456E-3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4.430833081441321E-4</v>
      </c>
      <c r="BH263" s="28">
        <f>IF( OR(ISBLANK(P263:P268),ISBLANK(AJ263:AJ268), ISBLANK(U263:U268),ISBLANK(AO263:AO268)), "·", bdRateExtend( P263:P268,U263:U268, AJ263:AJ268,AO263:AO268))</f>
        <v>4.4401771320767836E-4</v>
      </c>
      <c r="BI263" s="28">
        <f>IF( OR(ISBLANK(P263:P268),ISBLANK(AJ263:AJ268), ISBLANK(V263:V268),ISBLANK(AP263:AP268)), "·", bdRateExtend( P263:P268,V263:V268, AJ263:AJ268,AP263:AP268))</f>
        <v>4.461731689744397E-4</v>
      </c>
      <c r="BJ263" s="28">
        <f>IF( OR(ISBLANK(P263:P268),ISBLANK(AJ263:AJ268), ISBLANK(W263:W268),ISBLANK(AQ263:AQ268)), "·", bdRateExtend( P263:P268,W263:W268, AJ263:AJ268,AQ263:AQ268))</f>
        <v>4.4709802421594169E-4</v>
      </c>
      <c r="BK263" s="28">
        <f>IF( OR(ISBLANK(P263:P268),ISBLANK(AJ263:AJ268), ISBLANK(X263:X268),ISBLANK(AR263:AR268)), "·", bdRateExtend( P263:P268,X263:X268, AJ263:AJ268,AR263:AR268))</f>
        <v>4.4810706767361985E-4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0.30411733875323571</v>
      </c>
      <c r="AE264" s="34">
        <f t="shared" si="51"/>
        <v>1.1906714730958659E-2</v>
      </c>
      <c r="AF264" s="34">
        <f t="shared" si="52"/>
        <v>0.29113837955053751</v>
      </c>
      <c r="AG264" s="35"/>
      <c r="AH264" s="34">
        <f t="shared" si="53"/>
        <v>0.80409175777386377</v>
      </c>
      <c r="AI264" s="36">
        <v>189063</v>
      </c>
      <c r="AJ264" s="37">
        <v>152024</v>
      </c>
      <c r="AK264" s="37">
        <v>5952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0.32800000000000001</v>
      </c>
      <c r="AU264" s="41">
        <v>0.26500000000000001</v>
      </c>
      <c r="AW264" s="42">
        <f t="shared" si="54"/>
        <v>3.6156161984754465E-5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0.83913532285361059</v>
      </c>
      <c r="AE265" s="19">
        <f t="shared" si="51"/>
        <v>4.9099194616372535E-2</v>
      </c>
      <c r="AF265" s="19">
        <f t="shared" si="52"/>
        <v>0.78891587281900277</v>
      </c>
      <c r="AG265" s="20"/>
      <c r="AH265" s="19">
        <f t="shared" si="53"/>
        <v>1.8951220503923774</v>
      </c>
      <c r="AI265" s="21">
        <v>221343</v>
      </c>
      <c r="AJ265" s="22">
        <v>419472</v>
      </c>
      <c r="AK265" s="22">
        <v>24544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0.46800000000000003</v>
      </c>
      <c r="AU265" s="26">
        <v>0.34200000000000003</v>
      </c>
      <c r="AW265" s="27">
        <f t="shared" si="54"/>
        <v>2.5829931273999018E-4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2.0141872346895093</v>
      </c>
      <c r="AE266" s="34">
        <f t="shared" si="51"/>
        <v>0.20127789135922991</v>
      </c>
      <c r="AF266" s="34">
        <f t="shared" si="52"/>
        <v>1.8117250733167163</v>
      </c>
      <c r="AG266" s="35"/>
      <c r="AH266" s="34">
        <f t="shared" si="53"/>
        <v>3.6095042803676671</v>
      </c>
      <c r="AI266" s="36">
        <v>278948</v>
      </c>
      <c r="AJ266" s="37">
        <v>1006864</v>
      </c>
      <c r="AK266" s="37">
        <v>100616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0.78</v>
      </c>
      <c r="AU266" s="41">
        <v>0.60899999999999999</v>
      </c>
      <c r="AW266" s="42">
        <f t="shared" si="54"/>
        <v>2.5359134168609354E-4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>
        <f t="shared" si="50"/>
        <v>0</v>
      </c>
      <c r="AE267" s="19">
        <f t="shared" si="51"/>
        <v>0</v>
      </c>
      <c r="AF267" s="19" t="str">
        <f t="shared" si="52"/>
        <v>·</v>
      </c>
      <c r="AG267" s="20"/>
      <c r="AH267" s="19" t="e">
        <f t="shared" si="53"/>
        <v>#DIV/0!</v>
      </c>
      <c r="AI267" s="21"/>
      <c r="AJ267" s="22">
        <v>0</v>
      </c>
      <c r="AK267" s="22">
        <v>0</v>
      </c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>
        <f t="shared" si="50"/>
        <v>0</v>
      </c>
      <c r="AE268" s="49">
        <f t="shared" si="51"/>
        <v>0</v>
      </c>
      <c r="AF268" s="49" t="str">
        <f t="shared" si="52"/>
        <v>·</v>
      </c>
      <c r="AG268" s="50"/>
      <c r="AH268" s="49" t="e">
        <f t="shared" si="53"/>
        <v>#DIV/0!</v>
      </c>
      <c r="AI268" s="51"/>
      <c r="AJ268" s="52">
        <v>0</v>
      </c>
      <c r="AK268" s="52">
        <v>0</v>
      </c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3.0041036322430749E-2</v>
      </c>
      <c r="AE269" s="19">
        <f t="shared" si="51"/>
        <v>4.0315266157998136E-3</v>
      </c>
      <c r="AF269" s="19">
        <f t="shared" si="52"/>
        <v>2.603694272704046E-2</v>
      </c>
      <c r="AG269" s="20"/>
      <c r="AH269" s="19">
        <f t="shared" si="53"/>
        <v>0.11042443731199007</v>
      </c>
      <c r="AI269" s="21">
        <v>17374415</v>
      </c>
      <c r="AJ269" s="22">
        <v>1918560</v>
      </c>
      <c r="AK269" s="22">
        <v>257472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28.305</v>
      </c>
      <c r="AU269" s="26">
        <v>16.919</v>
      </c>
      <c r="AW269" s="27">
        <f t="shared" si="54"/>
        <v>4.5755840450481533E-4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6.0910089939727463E-3</v>
      </c>
      <c r="BA269" s="28">
        <f>IF( OR(ISBLANK(Q269:Q274),ISBLANK(AK269:AK274), ISBLANK(U269:U274),ISBLANK(AO269:AO274)), "·", bdRateExtend( Q269:Q274,U269:U274, AK269:AK274,AO269:AO274))</f>
        <v>6.0796441756740816E-3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-3.7234802671259892E-5</v>
      </c>
      <c r="BH269" s="28">
        <f>IF( OR(ISBLANK(P269:P274),ISBLANK(AJ269:AJ274), ISBLANK(U269:U274),ISBLANK(AO269:AO274)), "·", bdRateExtend( P269:P274,U269:U274, AJ269:AJ274,AO269:AO274))</f>
        <v>-6.4588410337296231E-5</v>
      </c>
      <c r="BI269" s="28">
        <f>IF( OR(ISBLANK(P269:P274),ISBLANK(AJ269:AJ274), ISBLANK(V269:V274),ISBLANK(AP269:AP274)), "·", bdRateExtend( P269:P274,V269:V274, AJ269:AJ274,AP269:AP274))</f>
        <v>1.2308662014226535E-4</v>
      </c>
      <c r="BJ269" s="28">
        <f>IF( OR(ISBLANK(P269:P274),ISBLANK(AJ269:AJ274), ISBLANK(W269:W274),ISBLANK(AQ269:AQ274)), "·", bdRateExtend( P269:P274,W269:W274, AJ269:AJ274,AQ269:AQ274))</f>
        <v>1.7333742906533445E-4</v>
      </c>
      <c r="BK269" s="28">
        <f>IF( OR(ISBLANK(P269:P274),ISBLANK(AJ269:AJ274), ISBLANK(X269:X274),ISBLANK(AR269:AR274)), "·", bdRateExtend( P269:P274,X269:X274, AJ269:AJ274,AR269:AR274))</f>
        <v>2.3292736681135295E-4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6.9977376056963983E-2</v>
      </c>
      <c r="AE270" s="34">
        <f t="shared" si="51"/>
        <v>1.1772523703687617E-2</v>
      </c>
      <c r="AF270" s="34">
        <f t="shared" si="52"/>
        <v>5.8228151630884455E-2</v>
      </c>
      <c r="AG270" s="35"/>
      <c r="AH270" s="34">
        <f t="shared" si="53"/>
        <v>0.29798113891166622</v>
      </c>
      <c r="AI270" s="36">
        <v>14997862</v>
      </c>
      <c r="AJ270" s="37">
        <v>4469080</v>
      </c>
      <c r="AK270" s="37">
        <v>751848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27.847000000000001</v>
      </c>
      <c r="AU270" s="41">
        <v>15.039</v>
      </c>
      <c r="AW270" s="42">
        <f t="shared" si="54"/>
        <v>6.8968700181007425E-4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0.19372046575819632</v>
      </c>
      <c r="AE271" s="19">
        <f t="shared" si="51"/>
        <v>4.7213606039060017E-2</v>
      </c>
      <c r="AF271" s="19">
        <f t="shared" si="52"/>
        <v>0.14671254473974105</v>
      </c>
      <c r="AG271" s="20"/>
      <c r="AH271" s="19">
        <f t="shared" si="53"/>
        <v>0.7303030950563133</v>
      </c>
      <c r="AI271" s="21">
        <v>16940758</v>
      </c>
      <c r="AJ271" s="22">
        <v>12371888</v>
      </c>
      <c r="AK271" s="22">
        <v>3015280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44.287999999999997</v>
      </c>
      <c r="AU271" s="26">
        <v>23.521999999999998</v>
      </c>
      <c r="AW271" s="27">
        <f t="shared" si="54"/>
        <v>1.9516609361398818E-3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0.49808932614214491</v>
      </c>
      <c r="AE272" s="34">
        <f t="shared" si="51"/>
        <v>0.16438141412240931</v>
      </c>
      <c r="AF272" s="34">
        <f t="shared" si="52"/>
        <v>0.33582576624833765</v>
      </c>
      <c r="AG272" s="35"/>
      <c r="AH272" s="34">
        <f t="shared" si="53"/>
        <v>1.5563699879273587</v>
      </c>
      <c r="AI272" s="36">
        <v>20438775</v>
      </c>
      <c r="AJ272" s="37">
        <v>31810296</v>
      </c>
      <c r="AK272" s="37">
        <v>10498160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82.587000000000003</v>
      </c>
      <c r="AU272" s="41">
        <v>46.73</v>
      </c>
      <c r="AW272" s="42">
        <f t="shared" si="54"/>
        <v>5.4328144981982129E-3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>
        <f t="shared" si="50"/>
        <v>0</v>
      </c>
      <c r="AE273" s="19">
        <f t="shared" si="51"/>
        <v>0</v>
      </c>
      <c r="AF273" s="19" t="str">
        <f t="shared" si="52"/>
        <v>·</v>
      </c>
      <c r="AG273" s="20"/>
      <c r="AH273" s="19" t="e">
        <f t="shared" si="53"/>
        <v>#DIV/0!</v>
      </c>
      <c r="AI273" s="21"/>
      <c r="AJ273" s="22">
        <v>0</v>
      </c>
      <c r="AK273" s="22">
        <v>0</v>
      </c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>
        <f t="shared" si="50"/>
        <v>0</v>
      </c>
      <c r="AE274" s="49">
        <f t="shared" si="51"/>
        <v>0</v>
      </c>
      <c r="AF274" s="49" t="str">
        <f t="shared" si="52"/>
        <v>·</v>
      </c>
      <c r="AG274" s="50"/>
      <c r="AH274" s="49" t="e">
        <f t="shared" si="53"/>
        <v>#DIV/0!</v>
      </c>
      <c r="AI274" s="51"/>
      <c r="AJ274" s="52">
        <v>0</v>
      </c>
      <c r="AK274" s="52">
        <v>0</v>
      </c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0.22791415474801993</v>
      </c>
      <c r="AE275" s="19">
        <f t="shared" si="51"/>
        <v>3.6470584118258438E-2</v>
      </c>
      <c r="AF275" s="19">
        <f t="shared" si="52"/>
        <v>0.21582395014340369</v>
      </c>
      <c r="AG275" s="20"/>
      <c r="AH275" s="19">
        <f t="shared" si="53"/>
        <v>0.28242529819392426</v>
      </c>
      <c r="AI275" s="21">
        <v>1614218</v>
      </c>
      <c r="AJ275" s="22">
        <v>455896</v>
      </c>
      <c r="AK275" s="22">
        <v>72952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8.7650000000000006</v>
      </c>
      <c r="AU275" s="26">
        <v>1.9039999999999999</v>
      </c>
      <c r="AW275" s="27">
        <f t="shared" si="54"/>
        <v>1.5134479318320238E-2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2.0578679458131077E-2</v>
      </c>
      <c r="BA275" s="28">
        <f>IF( OR(ISBLANK(Q275:Q280),ISBLANK(AK275:AK280), ISBLANK(U275:U280),ISBLANK(AO275:AO280)), "·", bdRateExtend( Q275:Q280,U275:U280, AK275:AK280,AO275:AO280))</f>
        <v>2.0578679458129523E-2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-5.3201307335405068E-2</v>
      </c>
      <c r="BH275" s="28">
        <f>IF( OR(ISBLANK(P275:P280),ISBLANK(AJ275:AJ280), ISBLANK(U275:U280),ISBLANK(AO275:AO280)), "·", bdRateExtend( P275:P280,U275:U280, AJ275:AJ280,AO275:AO280))</f>
        <v>-5.3201307335407289E-2</v>
      </c>
      <c r="BI275" s="28">
        <f>IF( OR(ISBLANK(P275:P280),ISBLANK(AJ275:AJ280), ISBLANK(V275:V280),ISBLANK(AP275:AP280)), "·", bdRateExtend( P275:P280,V275:V280, AJ275:AJ280,AP275:AP280))</f>
        <v>-5.3201307335406844E-2</v>
      </c>
      <c r="BJ275" s="28">
        <f>IF( OR(ISBLANK(P275:P280),ISBLANK(AJ275:AJ280), ISBLANK(W275:W280),ISBLANK(AQ275:AQ280)), "·", bdRateExtend( P275:P280,W275:W280, AJ275:AJ280,AQ275:AQ280))</f>
        <v>-5.3201307335403625E-2</v>
      </c>
      <c r="BK275" s="28">
        <f>IF( OR(ISBLANK(P275:P280),ISBLANK(AJ275:AJ280), ISBLANK(X275:X280),ISBLANK(AR275:AR280)), "·", bdRateExtend( P275:P280,X275:X280, AJ275:AJ280,AR275:AR280))</f>
        <v>-5.3201307335407066E-2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0.60925752525749921</v>
      </c>
      <c r="AE276" s="34">
        <f t="shared" si="51"/>
        <v>0.14526242852936339</v>
      </c>
      <c r="AF276" s="34">
        <f t="shared" si="52"/>
        <v>0.50707669911018216</v>
      </c>
      <c r="AG276" s="35"/>
      <c r="AH276" s="34">
        <f t="shared" si="53"/>
        <v>0.74020382244524985</v>
      </c>
      <c r="AI276" s="36">
        <v>1646433</v>
      </c>
      <c r="AJ276" s="37">
        <v>1218696</v>
      </c>
      <c r="AK276" s="37">
        <v>290568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12.013999999999999</v>
      </c>
      <c r="AU276" s="41">
        <v>2.56</v>
      </c>
      <c r="AW276" s="42">
        <f t="shared" si="54"/>
        <v>1.1791736054380941E-2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>
        <f t="shared" si="50"/>
        <v>0</v>
      </c>
      <c r="AE277" s="19">
        <f t="shared" si="51"/>
        <v>0.25433423136664207</v>
      </c>
      <c r="AF277" s="19" t="str">
        <f t="shared" si="52"/>
        <v>·</v>
      </c>
      <c r="AG277" s="20"/>
      <c r="AH277" s="19" t="e">
        <f t="shared" si="53"/>
        <v>#DIV/0!</v>
      </c>
      <c r="AI277" s="21"/>
      <c r="AJ277" s="22">
        <v>0</v>
      </c>
      <c r="AK277" s="22">
        <v>508744</v>
      </c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>
        <f t="shared" si="50"/>
        <v>0</v>
      </c>
      <c r="AE278" s="34">
        <f t="shared" si="51"/>
        <v>1.5590164860518214</v>
      </c>
      <c r="AF278" s="34" t="str">
        <f t="shared" si="52"/>
        <v>·</v>
      </c>
      <c r="AG278" s="35"/>
      <c r="AH278" s="34" t="e">
        <f t="shared" si="53"/>
        <v>#DIV/0!</v>
      </c>
      <c r="AI278" s="36"/>
      <c r="AJ278" s="37">
        <v>0</v>
      </c>
      <c r="AK278" s="37">
        <v>3118496</v>
      </c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>
        <f t="shared" si="50"/>
        <v>0</v>
      </c>
      <c r="AE279" s="19">
        <f t="shared" si="51"/>
        <v>0</v>
      </c>
      <c r="AF279" s="19" t="str">
        <f t="shared" si="52"/>
        <v>·</v>
      </c>
      <c r="AG279" s="20"/>
      <c r="AH279" s="19" t="e">
        <f t="shared" si="53"/>
        <v>#DIV/0!</v>
      </c>
      <c r="AI279" s="21"/>
      <c r="AJ279" s="22">
        <v>0</v>
      </c>
      <c r="AK279" s="22">
        <v>0</v>
      </c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>
        <f t="shared" si="50"/>
        <v>0</v>
      </c>
      <c r="AE280" s="49">
        <f t="shared" si="51"/>
        <v>0</v>
      </c>
      <c r="AF280" s="49" t="str">
        <f t="shared" si="52"/>
        <v>·</v>
      </c>
      <c r="AG280" s="50"/>
      <c r="AH280" s="49" t="e">
        <f t="shared" si="53"/>
        <v>#DIV/0!</v>
      </c>
      <c r="AI280" s="51"/>
      <c r="AJ280" s="52">
        <v>0</v>
      </c>
      <c r="AK280" s="52">
        <v>0</v>
      </c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0.31538344073739388</v>
      </c>
      <c r="AE359" s="61">
        <f>AVERAGE(AE5:AE58)</f>
        <v>5.5713878079590932E-2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4.0058938242390546E-3</v>
      </c>
      <c r="BA359" s="94">
        <f>AVERAGE(BA5:BA58)</f>
        <v>4.0448425893922684E-3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2.1540117025594784E-3</v>
      </c>
      <c r="BH359" s="3">
        <f>AVERAGE(BH5:BH58)</f>
        <v>2.1203609452166519E-3</v>
      </c>
      <c r="BI359" s="3">
        <f>AVERAGE(BI5:BI58)</f>
        <v>2.3526585329013538E-3</v>
      </c>
      <c r="BJ359" s="3">
        <f>AVERAGE(BJ5:BJ58)</f>
        <v>2.4601816796774312E-3</v>
      </c>
      <c r="BK359" s="3">
        <f>AVERAGE(BK5:BK58)</f>
        <v>2.3300392666574985E-3</v>
      </c>
      <c r="BL359" s="4"/>
    </row>
    <row r="360" spans="1:64" x14ac:dyDescent="0.1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0.26091514977543245</v>
      </c>
      <c r="AE360" s="61">
        <f>AVERAGE(AE59:AE130)</f>
        <v>9.3777442893946059E-2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2.2742235408328426E-3</v>
      </c>
      <c r="BA360" s="94">
        <f>AVERAGE(BA59:BA130)</f>
        <v>2.4156163940762254E-3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2.3254828422154725E-3</v>
      </c>
      <c r="BH360" s="3">
        <f>AVERAGE(BH59:BH130)</f>
        <v>2.500293421570756E-3</v>
      </c>
      <c r="BI360" s="3">
        <f>AVERAGE(BI59:BI130)</f>
        <v>2.8790217908158853E-3</v>
      </c>
      <c r="BJ360" s="3">
        <f>AVERAGE(BJ59:BJ130)</f>
        <v>2.9132386236768262E-3</v>
      </c>
      <c r="BK360" s="3">
        <f>AVERAGE(BK59:BK130)</f>
        <v>2.8313633457543639E-3</v>
      </c>
      <c r="BL360" s="4"/>
    </row>
    <row r="361" spans="1:64" x14ac:dyDescent="0.1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0.41027507971618982</v>
      </c>
      <c r="AE361" s="61">
        <f>AVERAGE(AE131:AE184)</f>
        <v>0.10723766431838627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6.4993012265211541E-3</v>
      </c>
      <c r="BA361" s="94">
        <f>AVERAGE(BA131:BA184)</f>
        <v>6.7448029500793366E-3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-5.9726246706107216E-3</v>
      </c>
      <c r="BH361" s="3">
        <f>AVERAGE(BH131:BH184)</f>
        <v>-5.9560762197861106E-3</v>
      </c>
      <c r="BI361" s="3">
        <f>AVERAGE(BI131:BI184)</f>
        <v>-5.8796358001908704E-3</v>
      </c>
      <c r="BJ361" s="3">
        <f>AVERAGE(BJ131:BJ184)</f>
        <v>-5.8516907491090358E-3</v>
      </c>
      <c r="BK361" s="3">
        <f>AVERAGE(BK131:BK184)</f>
        <v>-5.8506301833148372E-3</v>
      </c>
      <c r="BL361" s="4"/>
    </row>
    <row r="362" spans="1:64" x14ac:dyDescent="0.1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0.32609757359420516</v>
      </c>
      <c r="AE362" s="61">
        <f>AVERAGE(AE185:AE280)</f>
        <v>0.10999119030596659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4.6918711588759404E-3</v>
      </c>
      <c r="BA362" s="94">
        <f>AVERAGE(BA185:BA280)</f>
        <v>4.8231086153233405E-3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-2.8812738646677369E-3</v>
      </c>
      <c r="BH362" s="3">
        <f>AVERAGE(BH185:BH280)</f>
        <v>-2.8811885221344535E-3</v>
      </c>
      <c r="BI362" s="3">
        <f>AVERAGE(BI185:BI280)</f>
        <v>-2.8104550470158807E-3</v>
      </c>
      <c r="BJ362" s="3">
        <f>AVERAGE(BJ185:BJ280)</f>
        <v>-2.7869954463241933E-3</v>
      </c>
      <c r="BK362" s="3">
        <f>AVERAGE(BK185:BK280)</f>
        <v>-2.7845189858937344E-3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0.32339764152510075</v>
      </c>
      <c r="AE366" s="61">
        <f>AVERAGE(AE5:AE358)</f>
        <v>9.460330959140463E-2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4.2805951410619788E-3</v>
      </c>
      <c r="BA366" s="3">
        <f>AVERAGE(BA5:BA358)</f>
        <v>4.4187814006376655E-3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-1.1426544443599849E-3</v>
      </c>
      <c r="BH366" s="3">
        <f>AVERAGE(BH5:BH358)</f>
        <v>-1.1003681036179851E-3</v>
      </c>
      <c r="BI366" s="3">
        <f>AVERAGE(BI5:BI298)</f>
        <v>-9.1656118843628522E-4</v>
      </c>
      <c r="BJ366" s="3">
        <f>AVERAGE(BJ5:BJ298)</f>
        <v>-8.7297054960760046E-4</v>
      </c>
      <c r="BK366" s="3">
        <f>AVERAGE(BK5:BK298)</f>
        <v>-9.1872308424268345E-4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2536.6310000000003</v>
      </c>
      <c r="AU367" s="63">
        <f>SUM(AU5:AU58,AU59:AU130,AU131:AU184,AU185:AU280,AU281:AU298,AU299:AU340,AU341:AU358)</f>
        <v>1515.8689999999999</v>
      </c>
    </row>
    <row r="368" spans="1:64" hidden="1" outlineLevel="2" x14ac:dyDescent="0.15">
      <c r="B368" s="60" t="s">
        <v>410</v>
      </c>
      <c r="AT368" s="7">
        <f>AT367/Z367</f>
        <v>1</v>
      </c>
      <c r="AU368" s="7">
        <f>AU367/AA367</f>
        <v>1</v>
      </c>
    </row>
    <row r="369" spans="2:47" hidden="1" outlineLevel="2" x14ac:dyDescent="0.1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5.9673992648178009</v>
      </c>
      <c r="AU369" s="63">
        <f>GEOMEAN(AU5:AU58,AU59:AU130,AU131:AU184,AU185:AU280,AU281:AU298,AU299:AU358,AU341:AU358)</f>
        <v>3.9675116072692687</v>
      </c>
    </row>
    <row r="370" spans="2:47" outlineLevel="2" collapsed="1" x14ac:dyDescent="0.15">
      <c r="B370" s="60" t="s">
        <v>412</v>
      </c>
      <c r="AT370" s="7">
        <f>AT369/Z369</f>
        <v>1</v>
      </c>
      <c r="AU370" s="7">
        <f>AU369/AA369</f>
        <v>1</v>
      </c>
    </row>
  </sheetData>
  <mergeCells count="34"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  <mergeCell ref="AD2:AG2"/>
    <mergeCell ref="AH2:AH3"/>
    <mergeCell ref="AI2:AI3"/>
    <mergeCell ref="O2:O3"/>
    <mergeCell ref="P2:S2"/>
    <mergeCell ref="T2:U2"/>
    <mergeCell ref="V2:Y2"/>
    <mergeCell ref="Z2:Z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625" customWidth="1"/>
    <col min="7" max="7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2" max="22" width="1.625" customWidth="1"/>
    <col min="25" max="27" width="10.625" customWidth="1"/>
    <col min="28" max="28" width="11.625" customWidth="1"/>
    <col min="29" max="29" width="12.625" customWidth="1"/>
    <col min="30" max="30" width="10.625" customWidth="1"/>
    <col min="31" max="34" width="12.625" customWidth="1"/>
    <col min="37" max="37" width="1.625" customWidth="1"/>
    <col min="44" max="44" width="1.625" customWidth="1"/>
  </cols>
  <sheetData>
    <row r="1" spans="1:43" x14ac:dyDescent="0.15">
      <c r="A1" s="107" t="s">
        <v>661</v>
      </c>
      <c r="B1" s="107"/>
      <c r="C1" s="107"/>
      <c r="D1" s="107"/>
      <c r="E1" s="107"/>
      <c r="F1" s="107"/>
      <c r="H1" s="95" t="str">
        <f>Summary!C1</f>
        <v>v20.0-rc1-trisoup-raht+18edges</v>
      </c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W1" s="96" t="str">
        <f>Summary!C2</f>
        <v>v20.0-rc1-trisoup-raht+18edges+flagCtx_test</v>
      </c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</row>
    <row r="2" spans="1:43" ht="30" customHeight="1" x14ac:dyDescent="0.15">
      <c r="A2" s="103" t="s">
        <v>91</v>
      </c>
      <c r="B2" s="104" t="s">
        <v>94</v>
      </c>
      <c r="C2" s="103" t="s">
        <v>100</v>
      </c>
      <c r="D2" s="104" t="s">
        <v>103</v>
      </c>
      <c r="E2" s="103" t="s">
        <v>106</v>
      </c>
      <c r="F2" s="104" t="s">
        <v>109</v>
      </c>
      <c r="H2" s="103" t="s">
        <v>619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3" t="s">
        <v>155</v>
      </c>
      <c r="U2" s="104" t="s">
        <v>158</v>
      </c>
      <c r="W2" s="103" t="s">
        <v>619</v>
      </c>
      <c r="X2" s="104" t="s">
        <v>112</v>
      </c>
      <c r="Y2" s="106" t="s">
        <v>115</v>
      </c>
      <c r="Z2" s="106"/>
      <c r="AA2" s="106"/>
      <c r="AB2" s="106"/>
      <c r="AC2" s="104" t="s">
        <v>128</v>
      </c>
      <c r="AD2" s="103" t="s">
        <v>22</v>
      </c>
      <c r="AE2" s="105" t="s">
        <v>133</v>
      </c>
      <c r="AF2" s="105"/>
      <c r="AG2" s="105"/>
      <c r="AH2" s="105"/>
      <c r="AI2" s="103" t="s">
        <v>155</v>
      </c>
      <c r="AJ2" s="104" t="s">
        <v>158</v>
      </c>
      <c r="AL2" s="106" t="s">
        <v>650</v>
      </c>
      <c r="AM2" s="106"/>
      <c r="AN2" s="106"/>
      <c r="AO2" s="106"/>
      <c r="AP2" s="104" t="s">
        <v>195</v>
      </c>
      <c r="AQ2" s="103" t="s">
        <v>195</v>
      </c>
    </row>
    <row r="3" spans="1:43" ht="27.75" thickBot="1" x14ac:dyDescent="0.2">
      <c r="A3" s="103"/>
      <c r="B3" s="104"/>
      <c r="C3" s="103"/>
      <c r="D3" s="104"/>
      <c r="E3" s="103"/>
      <c r="F3" s="104"/>
      <c r="H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03"/>
      <c r="U3" s="104"/>
      <c r="W3" s="103"/>
      <c r="X3" s="104"/>
      <c r="Y3" s="11" t="s">
        <v>116</v>
      </c>
      <c r="Z3" s="11" t="s">
        <v>119</v>
      </c>
      <c r="AA3" s="11" t="s">
        <v>122</v>
      </c>
      <c r="AB3" s="11" t="s">
        <v>125</v>
      </c>
      <c r="AC3" s="104"/>
      <c r="AD3" s="103"/>
      <c r="AE3" s="12" t="s">
        <v>116</v>
      </c>
      <c r="AF3" s="12" t="s">
        <v>119</v>
      </c>
      <c r="AG3" s="12" t="s">
        <v>138</v>
      </c>
      <c r="AH3" s="12" t="s">
        <v>125</v>
      </c>
      <c r="AI3" s="103"/>
      <c r="AJ3" s="104"/>
      <c r="AL3" s="11" t="s">
        <v>116</v>
      </c>
      <c r="AM3" s="11" t="s">
        <v>119</v>
      </c>
      <c r="AN3" s="11" t="s">
        <v>138</v>
      </c>
      <c r="AO3" s="11" t="s">
        <v>125</v>
      </c>
      <c r="AP3" s="104"/>
      <c r="AQ3" s="103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  <mergeCell ref="AP2:AP3"/>
    <mergeCell ref="AQ2:AQ3"/>
    <mergeCell ref="X2:X3"/>
    <mergeCell ref="Y2:AB2"/>
    <mergeCell ref="AC2:AC3"/>
    <mergeCell ref="AD2:AD3"/>
    <mergeCell ref="AE2:AH2"/>
    <mergeCell ref="B2:B3"/>
    <mergeCell ref="C2:C3"/>
    <mergeCell ref="D2:D3"/>
    <mergeCell ref="E2:E3"/>
    <mergeCell ref="AL2:AO2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7" width="11.625" customWidth="1"/>
    <col min="30" max="30" width="1.625" customWidth="1"/>
    <col min="32" max="34" width="10.625" customWidth="1"/>
    <col min="35" max="35" width="11.625" customWidth="1"/>
    <col min="36" max="36" width="12.625" customWidth="1"/>
    <col min="37" max="37" width="10.625" customWidth="1"/>
    <col min="38" max="41" width="12.625" customWidth="1"/>
    <col min="42" max="49" width="11.625" customWidth="1"/>
    <col min="52" max="52" width="1.625" customWidth="1"/>
    <col min="55" max="55" width="1.625" customWidth="1"/>
    <col min="56" max="59" width="11.625" customWidth="1"/>
    <col min="60" max="60" width="1.625" customWidth="1"/>
    <col min="61" max="64" width="11.625" customWidth="1"/>
    <col min="65" max="65" width="1.625" customWidth="1"/>
    <col min="66" max="69" width="11.625" customWidth="1"/>
    <col min="70" max="70" width="1.625" customWidth="1"/>
    <col min="71" max="74" width="11.625" customWidth="1"/>
    <col min="75" max="75" width="1.625" customWidth="1"/>
  </cols>
  <sheetData>
    <row r="1" spans="1:74" x14ac:dyDescent="0.15">
      <c r="A1" s="107" t="s">
        <v>868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E1" s="96" t="str">
        <f>Summary!C2</f>
        <v>v20.0-rc1-trisoup-raht+18edges+flagCtx_test</v>
      </c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</row>
    <row r="2" spans="1:74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143</v>
      </c>
      <c r="U2" s="106"/>
      <c r="V2" s="106"/>
      <c r="W2" s="106"/>
      <c r="X2" s="105" t="s">
        <v>804</v>
      </c>
      <c r="Y2" s="105"/>
      <c r="Z2" s="105"/>
      <c r="AA2" s="105"/>
      <c r="AB2" s="103" t="s">
        <v>155</v>
      </c>
      <c r="AC2" s="104" t="s">
        <v>158</v>
      </c>
      <c r="AE2" s="103" t="s">
        <v>112</v>
      </c>
      <c r="AF2" s="105" t="s">
        <v>115</v>
      </c>
      <c r="AG2" s="105"/>
      <c r="AH2" s="105"/>
      <c r="AI2" s="105"/>
      <c r="AJ2" s="103" t="s">
        <v>128</v>
      </c>
      <c r="AK2" s="104" t="s">
        <v>22</v>
      </c>
      <c r="AL2" s="106" t="s">
        <v>133</v>
      </c>
      <c r="AM2" s="106"/>
      <c r="AN2" s="106"/>
      <c r="AO2" s="106"/>
      <c r="AP2" s="105" t="s">
        <v>143</v>
      </c>
      <c r="AQ2" s="105"/>
      <c r="AR2" s="105"/>
      <c r="AS2" s="105"/>
      <c r="AT2" s="106" t="s">
        <v>804</v>
      </c>
      <c r="AU2" s="106"/>
      <c r="AV2" s="106"/>
      <c r="AW2" s="106"/>
      <c r="AX2" s="104" t="s">
        <v>155</v>
      </c>
      <c r="AY2" s="103" t="s">
        <v>158</v>
      </c>
      <c r="BA2" s="104" t="s">
        <v>195</v>
      </c>
      <c r="BB2" s="103" t="s">
        <v>195</v>
      </c>
      <c r="BD2" s="105" t="s">
        <v>200</v>
      </c>
      <c r="BE2" s="105"/>
      <c r="BF2" s="105"/>
      <c r="BG2" s="105"/>
      <c r="BI2" s="106" t="s">
        <v>846</v>
      </c>
      <c r="BJ2" s="106"/>
      <c r="BK2" s="106"/>
      <c r="BL2" s="106"/>
      <c r="BN2" s="105" t="s">
        <v>209</v>
      </c>
      <c r="BO2" s="105"/>
      <c r="BP2" s="105"/>
      <c r="BQ2" s="105"/>
      <c r="BS2" s="106" t="s">
        <v>859</v>
      </c>
      <c r="BT2" s="106"/>
      <c r="BU2" s="106"/>
      <c r="BV2" s="106"/>
    </row>
    <row r="3" spans="1:74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3"/>
      <c r="AC3" s="104"/>
      <c r="AE3" s="103"/>
      <c r="AF3" s="12" t="s">
        <v>116</v>
      </c>
      <c r="AG3" s="12" t="s">
        <v>119</v>
      </c>
      <c r="AH3" s="12" t="s">
        <v>122</v>
      </c>
      <c r="AI3" s="12" t="s">
        <v>125</v>
      </c>
      <c r="AJ3" s="103"/>
      <c r="AK3" s="104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4"/>
      <c r="AY3" s="103"/>
      <c r="BA3" s="104"/>
      <c r="BB3" s="103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  <mergeCell ref="AF2:AI2"/>
    <mergeCell ref="AJ2:AJ3"/>
    <mergeCell ref="AK2:AK3"/>
    <mergeCell ref="O2:O3"/>
    <mergeCell ref="P2:S2"/>
    <mergeCell ref="T2:W2"/>
    <mergeCell ref="X2:AA2"/>
    <mergeCell ref="AB2:AB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2023-04-22T13:59:07Z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