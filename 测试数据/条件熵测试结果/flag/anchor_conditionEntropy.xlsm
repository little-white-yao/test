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flag\"/>
    </mc:Choice>
  </mc:AlternateContent>
  <xr:revisionPtr revIDLastSave="0" documentId="13_ncr:1_{BA272516-961D-46ED-98DD-58FD1DE9AA8A}" xr6:coauthVersionLast="47" xr6:coauthVersionMax="47" xr10:uidLastSave="{00000000-0000-0000-0000-000000000000}"/>
  <bookViews>
    <workbookView xWindow="-105" yWindow="0" windowWidth="19410" windowHeight="20985" tabRatio="742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53" i="5" l="1"/>
  <c r="C43" i="1"/>
  <c r="AZ5" i="5"/>
  <c r="AZ107" i="5"/>
  <c r="AZ65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K11" i="5"/>
  <c r="BC83" i="5"/>
  <c r="AZ143" i="5"/>
  <c r="BH41" i="5"/>
  <c r="BC257" i="5"/>
  <c r="BJ29" i="5"/>
  <c r="BG23" i="5"/>
  <c r="BI113" i="5"/>
  <c r="BB233" i="5"/>
  <c r="AZ185" i="5"/>
  <c r="BK239" i="5"/>
  <c r="BA23" i="5"/>
  <c r="AZ155" i="5"/>
  <c r="BC167" i="5"/>
  <c r="BH65" i="5"/>
  <c r="BB59" i="5"/>
  <c r="BH107" i="5"/>
  <c r="BK167" i="5"/>
  <c r="BA77" i="5"/>
  <c r="BG149" i="5"/>
  <c r="BB17" i="5"/>
  <c r="BB107" i="5"/>
  <c r="BB101" i="5"/>
  <c r="BJ275" i="5"/>
  <c r="BD83" i="5"/>
  <c r="BG263" i="5"/>
  <c r="BK41" i="5"/>
  <c r="BJ155" i="5"/>
  <c r="BD257" i="5"/>
  <c r="BA119" i="5"/>
  <c r="BK197" i="5"/>
  <c r="BC185" i="5"/>
  <c r="BK161" i="5"/>
  <c r="BA101" i="5"/>
  <c r="BK209" i="5"/>
  <c r="BC221" i="5"/>
  <c r="BB71" i="5"/>
  <c r="BA41" i="5"/>
  <c r="BJ263" i="5"/>
  <c r="AZ89" i="5"/>
  <c r="AZ251" i="5"/>
  <c r="BD263" i="5"/>
  <c r="BB53" i="5"/>
  <c r="BC239" i="5"/>
  <c r="BK71" i="5"/>
  <c r="BK263" i="5"/>
  <c r="BH89" i="5"/>
  <c r="BK179" i="5"/>
  <c r="BH59" i="5"/>
  <c r="BG215" i="5"/>
  <c r="BJ161" i="5"/>
  <c r="BG71" i="5"/>
  <c r="BA203" i="5"/>
  <c r="BG119" i="5"/>
  <c r="BG17" i="5"/>
  <c r="BC47" i="5"/>
  <c r="BB5" i="5"/>
  <c r="BI131" i="5"/>
  <c r="AZ95" i="5"/>
  <c r="BJ47" i="5"/>
  <c r="BH257" i="5"/>
  <c r="AZ149" i="5"/>
  <c r="BD65" i="5"/>
  <c r="BG131" i="5"/>
  <c r="BA143" i="5"/>
  <c r="BD233" i="5"/>
  <c r="BA179" i="5"/>
  <c r="BG197" i="5"/>
  <c r="BB215" i="5"/>
  <c r="BC149" i="5"/>
  <c r="BG143" i="5"/>
  <c r="BB245" i="5"/>
  <c r="BC269" i="5"/>
  <c r="BJ143" i="5"/>
  <c r="BA137" i="5"/>
  <c r="BC101" i="5"/>
  <c r="BC275" i="5"/>
  <c r="BI263" i="5"/>
  <c r="BC209" i="5"/>
  <c r="BA155" i="5"/>
  <c r="BH191" i="5"/>
  <c r="BD209" i="5"/>
  <c r="BB173" i="5"/>
  <c r="BK233" i="5"/>
  <c r="BK53" i="5"/>
  <c r="BG221" i="5"/>
  <c r="BB263" i="5"/>
  <c r="BG83" i="5"/>
  <c r="BI221" i="5"/>
  <c r="BB185" i="5"/>
  <c r="BK131" i="5"/>
  <c r="BB41" i="5"/>
  <c r="BI245" i="5"/>
  <c r="BA185" i="5"/>
  <c r="BA191" i="5"/>
  <c r="BJ35" i="5"/>
  <c r="BH167" i="5"/>
  <c r="BI227" i="5"/>
  <c r="BJ173" i="5"/>
  <c r="BD125" i="5"/>
  <c r="AZ137" i="5"/>
  <c r="BK269" i="5"/>
  <c r="BB143" i="5"/>
  <c r="BA113" i="5"/>
  <c r="BJ53" i="5"/>
  <c r="BH173" i="5"/>
  <c r="BG95" i="5"/>
  <c r="BG101" i="5"/>
  <c r="BB155" i="5"/>
  <c r="BC17" i="5"/>
  <c r="BB65" i="5"/>
  <c r="BD29" i="5"/>
  <c r="AZ269" i="5"/>
  <c r="BI149" i="5"/>
  <c r="BJ11" i="5"/>
  <c r="BD179" i="5"/>
  <c r="AZ173" i="5"/>
  <c r="BD59" i="5"/>
  <c r="BK275" i="5"/>
  <c r="BC179" i="5"/>
  <c r="AZ197" i="5"/>
  <c r="BD101" i="5"/>
  <c r="BK17" i="5"/>
  <c r="BH155" i="5"/>
  <c r="BD5" i="5"/>
  <c r="BG53" i="5"/>
  <c r="BC89" i="5"/>
  <c r="BH263" i="5"/>
  <c r="BC107" i="5"/>
  <c r="BC143" i="5"/>
  <c r="AZ59" i="5"/>
  <c r="BK119" i="5"/>
  <c r="BG227" i="5"/>
  <c r="BB23" i="5"/>
  <c r="BD77" i="5"/>
  <c r="BH197" i="5"/>
  <c r="BJ245" i="5"/>
  <c r="BH35" i="5"/>
  <c r="BI29" i="5"/>
  <c r="BH17" i="5"/>
  <c r="BK23" i="5"/>
  <c r="BH185" i="5"/>
  <c r="BJ77" i="5"/>
  <c r="AZ263" i="5"/>
  <c r="BB29" i="5"/>
  <c r="BH47" i="5"/>
  <c r="BB167" i="5"/>
  <c r="BJ89" i="5"/>
  <c r="BG185" i="5"/>
  <c r="BG35" i="5"/>
  <c r="BJ233" i="5"/>
  <c r="BB257" i="5"/>
  <c r="BK137" i="5"/>
  <c r="BD227" i="5"/>
  <c r="BJ101" i="5"/>
  <c r="BI59" i="5"/>
  <c r="BB95" i="5"/>
  <c r="BI47" i="5"/>
  <c r="BH53" i="5"/>
  <c r="BA263" i="5"/>
  <c r="BD119" i="5"/>
  <c r="BK221" i="5"/>
  <c r="AZ29" i="5"/>
  <c r="BJ107" i="5"/>
  <c r="BD143" i="5"/>
  <c r="BK203" i="5"/>
  <c r="BB227" i="5"/>
  <c r="BC173" i="5"/>
  <c r="BD17" i="5"/>
  <c r="BB275" i="5"/>
  <c r="BI41" i="5"/>
  <c r="BH239" i="5"/>
  <c r="BC23" i="5"/>
  <c r="BI239" i="5"/>
  <c r="BD203" i="5"/>
  <c r="BC113" i="5"/>
  <c r="BG113" i="5"/>
  <c r="BG209" i="5"/>
  <c r="BG41" i="5"/>
  <c r="BG203" i="5"/>
  <c r="BG191" i="5"/>
  <c r="BG125" i="5"/>
  <c r="BK185" i="5"/>
  <c r="BK173" i="5"/>
  <c r="BG5" i="5"/>
  <c r="BH215" i="5"/>
  <c r="BD221" i="5"/>
  <c r="BG47" i="5"/>
  <c r="BC191" i="5"/>
  <c r="AZ125" i="5"/>
  <c r="AZ113" i="5"/>
  <c r="BD185" i="5"/>
  <c r="BA197" i="5"/>
  <c r="BB131" i="5"/>
  <c r="BJ113" i="5"/>
  <c r="BA257" i="5"/>
  <c r="AZ233" i="5"/>
  <c r="BK125" i="5"/>
  <c r="BJ215" i="5"/>
  <c r="BH23" i="5"/>
  <c r="BK245" i="5"/>
  <c r="BB209" i="5"/>
  <c r="BH125" i="5"/>
  <c r="BG11" i="5"/>
  <c r="BG137" i="5"/>
  <c r="BH101" i="5"/>
  <c r="BA17" i="5"/>
  <c r="BC197" i="5"/>
  <c r="AZ47" i="5"/>
  <c r="BG245" i="5"/>
  <c r="BB191" i="5"/>
  <c r="BD113" i="5"/>
  <c r="BJ197" i="5"/>
  <c r="AZ53" i="5"/>
  <c r="AZ71" i="5"/>
  <c r="BK107" i="5"/>
  <c r="BA209" i="5"/>
  <c r="BG59" i="5"/>
  <c r="BH71" i="5"/>
  <c r="BA161" i="5"/>
  <c r="BK59" i="5"/>
  <c r="BB197" i="5"/>
  <c r="AZ167" i="5"/>
  <c r="BJ269" i="5"/>
  <c r="BH83" i="5"/>
  <c r="BJ227" i="5"/>
  <c r="BK257" i="5"/>
  <c r="BD161" i="5"/>
  <c r="BI155" i="5"/>
  <c r="BH131" i="5"/>
  <c r="BG269" i="5"/>
  <c r="BI137" i="5"/>
  <c r="BH113" i="5"/>
  <c r="BH5" i="5"/>
  <c r="BK155" i="5"/>
  <c r="BB137" i="5"/>
  <c r="BD53" i="5"/>
  <c r="BJ23" i="5"/>
  <c r="BG257" i="5"/>
  <c r="BA173" i="5"/>
  <c r="BB179" i="5"/>
  <c r="AZ227" i="5"/>
  <c r="BA29" i="5"/>
  <c r="AZ257" i="5"/>
  <c r="BB125" i="5"/>
  <c r="AZ209" i="5"/>
  <c r="BB11" i="5"/>
  <c r="BD275" i="5"/>
  <c r="BB35" i="5"/>
  <c r="BC251" i="5"/>
  <c r="BB47" i="5"/>
  <c r="BI275" i="5"/>
  <c r="BG65" i="5"/>
  <c r="BC11" i="5"/>
  <c r="BI53" i="5"/>
  <c r="BH221" i="5"/>
  <c r="BD23" i="5"/>
  <c r="BI77" i="5"/>
  <c r="BK143" i="5"/>
  <c r="BA275" i="5"/>
  <c r="AZ131" i="5"/>
  <c r="BI11" i="5"/>
  <c r="BA53" i="5"/>
  <c r="BA107" i="5"/>
  <c r="BI161" i="5"/>
  <c r="AZ41" i="5"/>
  <c r="BA239" i="5"/>
  <c r="BC131" i="5"/>
  <c r="BI203" i="5"/>
  <c r="BI233" i="5"/>
  <c r="BB77" i="5"/>
  <c r="BJ5" i="5"/>
  <c r="AZ77" i="5"/>
  <c r="BJ59" i="5"/>
  <c r="BC71" i="5"/>
  <c r="BC41" i="5"/>
  <c r="BD107" i="5"/>
  <c r="BC227" i="5"/>
  <c r="AZ23" i="5"/>
  <c r="BC77" i="5"/>
  <c r="BJ167" i="5"/>
  <c r="BJ131" i="5"/>
  <c r="BB269" i="5"/>
  <c r="BI71" i="5"/>
  <c r="BJ191" i="5"/>
  <c r="BJ149" i="5"/>
  <c r="BB119" i="5"/>
  <c r="BJ65" i="5"/>
  <c r="BH251" i="5"/>
  <c r="BC125" i="5"/>
  <c r="BC233" i="5"/>
  <c r="BH29" i="5"/>
  <c r="BC119" i="5"/>
  <c r="BD251" i="5"/>
  <c r="BI173" i="5"/>
  <c r="BJ125" i="5"/>
  <c r="BH227" i="5"/>
  <c r="BI5" i="5"/>
  <c r="BD131" i="5"/>
  <c r="AZ179" i="5"/>
  <c r="BA245" i="5"/>
  <c r="BA221" i="5"/>
  <c r="BJ71" i="5"/>
  <c r="BI197" i="5"/>
  <c r="BA47" i="5"/>
  <c r="BA149" i="5"/>
  <c r="BH203" i="5"/>
  <c r="AZ221" i="5"/>
  <c r="BH233" i="5"/>
  <c r="BJ209" i="5"/>
  <c r="BD89" i="5"/>
  <c r="BD239" i="5"/>
  <c r="BJ203" i="5"/>
  <c r="BI251" i="5"/>
  <c r="BK227" i="5"/>
  <c r="BG167" i="5"/>
  <c r="BA65" i="5"/>
  <c r="BB221" i="5"/>
  <c r="BG89" i="5"/>
  <c r="BK83" i="5"/>
  <c r="BK89" i="5"/>
  <c r="BI191" i="5"/>
  <c r="BK149" i="5"/>
  <c r="BD215" i="5"/>
  <c r="BK251" i="5"/>
  <c r="BG179" i="5"/>
  <c r="BI185" i="5"/>
  <c r="BC53" i="5"/>
  <c r="AZ11" i="5"/>
  <c r="BB161" i="5"/>
  <c r="BH275" i="5"/>
  <c r="BG239" i="5"/>
  <c r="BC263" i="5"/>
  <c r="BA95" i="5"/>
  <c r="BH77" i="5"/>
  <c r="BH137" i="5"/>
  <c r="AZ83" i="5"/>
  <c r="BJ119" i="5"/>
  <c r="BI101" i="5"/>
  <c r="AZ191" i="5"/>
  <c r="BJ17" i="5"/>
  <c r="BH269" i="5"/>
  <c r="BA35" i="5"/>
  <c r="AZ215" i="5"/>
  <c r="BJ95" i="5"/>
  <c r="BC137" i="5"/>
  <c r="BI95" i="5"/>
  <c r="BJ83" i="5"/>
  <c r="BA167" i="5"/>
  <c r="BH95" i="5"/>
  <c r="BD191" i="5"/>
  <c r="BA89" i="5"/>
  <c r="AZ275" i="5"/>
  <c r="BB89" i="5"/>
  <c r="BH149" i="5"/>
  <c r="BC5" i="5"/>
  <c r="BD71" i="5"/>
  <c r="BI167" i="5"/>
  <c r="BJ179" i="5"/>
  <c r="BG29" i="5"/>
  <c r="BI257" i="5"/>
  <c r="BC95" i="5"/>
  <c r="BA11" i="5"/>
  <c r="BG161" i="5"/>
  <c r="BI143" i="5"/>
  <c r="BA5" i="5"/>
  <c r="BB149" i="5"/>
  <c r="BD41" i="5"/>
  <c r="BA131" i="5"/>
  <c r="BK47" i="5"/>
  <c r="BA233" i="5"/>
  <c r="BJ239" i="5"/>
  <c r="BK29" i="5"/>
  <c r="BC215" i="5"/>
  <c r="AZ161" i="5"/>
  <c r="AZ119" i="5"/>
  <c r="BC155" i="5"/>
  <c r="BA83" i="5"/>
  <c r="BD95" i="5"/>
  <c r="BD167" i="5"/>
  <c r="BK35" i="5"/>
  <c r="BJ221" i="5"/>
  <c r="BC59" i="5"/>
  <c r="BK113" i="5"/>
  <c r="BD35" i="5"/>
  <c r="BA269" i="5"/>
  <c r="AZ17" i="5"/>
  <c r="BH245" i="5"/>
  <c r="BI125" i="5"/>
  <c r="BK101" i="5"/>
  <c r="BB113" i="5"/>
  <c r="BH161" i="5"/>
  <c r="BK77" i="5"/>
  <c r="BB251" i="5"/>
  <c r="BG107" i="5"/>
  <c r="BD173" i="5"/>
  <c r="BH209" i="5"/>
  <c r="BA227" i="5"/>
  <c r="BB83" i="5"/>
  <c r="BI83" i="5"/>
  <c r="BI119" i="5"/>
  <c r="AZ35" i="5"/>
  <c r="BI269" i="5"/>
  <c r="BI215" i="5"/>
  <c r="BC203" i="5"/>
  <c r="BH119" i="5"/>
  <c r="BB239" i="5"/>
  <c r="BG77" i="5"/>
  <c r="BB203" i="5"/>
  <c r="BH143" i="5"/>
  <c r="BD149" i="5"/>
  <c r="BH11" i="5"/>
  <c r="BG251" i="5"/>
  <c r="BD137" i="5"/>
  <c r="BK95" i="5"/>
  <c r="BI89" i="5"/>
  <c r="BK215" i="5"/>
  <c r="BA251" i="5"/>
  <c r="BD11" i="5"/>
  <c r="BG173" i="5"/>
  <c r="BD47" i="5"/>
  <c r="BI65" i="5"/>
  <c r="BC161" i="5"/>
  <c r="BJ137" i="5"/>
  <c r="AZ245" i="5"/>
  <c r="BG233" i="5"/>
  <c r="BC65" i="5"/>
  <c r="BD197" i="5"/>
  <c r="BA215" i="5"/>
  <c r="BD155" i="5"/>
  <c r="BJ251" i="5"/>
  <c r="BJ257" i="5"/>
  <c r="BC35" i="5"/>
  <c r="BI209" i="5"/>
  <c r="BA71" i="5"/>
  <c r="BG275" i="5"/>
  <c r="BD245" i="5"/>
  <c r="BI17" i="5"/>
  <c r="BK191" i="5"/>
  <c r="BD269" i="5"/>
  <c r="BH179" i="5"/>
  <c r="AZ101" i="5"/>
  <c r="BI107" i="5"/>
  <c r="AZ203" i="5"/>
  <c r="BC245" i="5"/>
  <c r="BJ41" i="5"/>
  <c r="BG155" i="5"/>
  <c r="BK5" i="5"/>
  <c r="BI35" i="5"/>
  <c r="BK65" i="5"/>
  <c r="BA125" i="5"/>
  <c r="BA59" i="5"/>
  <c r="BI179" i="5"/>
  <c r="AZ239" i="5"/>
  <c r="BJ185" i="5"/>
  <c r="BC29" i="5"/>
  <c r="BI23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<sst xmlns="http://schemas.openxmlformats.org/spreadsheetml/2006/main" count="7103" uniqueCount="1048">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</sst>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abSelected="1" topLeftCell="B7" workbookViewId="0">
      <selection activeCell="G23" sqref="G23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95" t="s">
        <v>1041</v>
      </c>
      <c r="D1" s="95"/>
      <c r="E1" s="95"/>
    </row>
    <row r="2" spans="2:6" x14ac:dyDescent="0.15">
      <c r="B2" t="s">
        <v>1</v>
      </c>
      <c r="C2" s="96" t="s">
        <v>1042</v>
      </c>
      <c r="D2" s="96"/>
      <c r="E2" s="96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100" t="e">
        <f>'C1 losslG,lossyA,intra'!AP370</f>
        <v>#NUM!</v>
      </c>
      <c r="D17" s="100"/>
      <c r="E17" s="100"/>
      <c r="F17" s="100"/>
    </row>
    <row r="18" spans="2:8" x14ac:dyDescent="0.15">
      <c r="B18" s="8" t="s">
        <v>417</v>
      </c>
      <c r="C18" s="101" t="e">
        <f>'C1 losslG,lossyA,intra'!AQ370</f>
        <v>#NUM!</v>
      </c>
      <c r="D18" s="101"/>
      <c r="E18" s="101"/>
      <c r="F18" s="101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2" t="s">
        <v>474</v>
      </c>
      <c r="H21" s="102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3.6813682897757095E-3</v>
      </c>
      <c r="H23" s="3">
        <f>'C2 lossyG,lossyA,intra'!$BA$359:$BA$359</f>
        <v>3.7141830753296321E-3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2.6523672790765562E-3</v>
      </c>
      <c r="H24" s="3">
        <f>'C2 lossyG,lossyA,intra'!$BA$360:$BA$360</f>
        <v>2.8264636797266838E-3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-3.3971444239341039E-3</v>
      </c>
      <c r="H25" s="3">
        <f>'C2 lossyG,lossyA,intra'!$BA$361:$BA$361</f>
        <v>-3.2519904265668632E-3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-5.7680915410061873E-4</v>
      </c>
      <c r="H26" s="3">
        <f>'C2 lossyG,lossyA,intra'!$BA$362:$BA$362</f>
        <v>-5.0959059373963111E-4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5.4690164512789612E-4</v>
      </c>
      <c r="H30" s="6">
        <f>'C2 lossyG,lossyA,intra'!$BA$366:$BA$366</f>
        <v>6.5051844555980497E-4</v>
      </c>
    </row>
    <row r="31" spans="2:8" x14ac:dyDescent="0.15">
      <c r="B31" t="s">
        <v>416</v>
      </c>
      <c r="C31" s="100">
        <f>'C2 lossyG,lossyA,intra'!AT370</f>
        <v>0.97485240233957859</v>
      </c>
      <c r="D31" s="100"/>
      <c r="E31" s="100"/>
      <c r="F31" s="100"/>
      <c r="G31" s="100"/>
      <c r="H31" s="100"/>
    </row>
    <row r="32" spans="2:8" x14ac:dyDescent="0.15">
      <c r="B32" s="8" t="s">
        <v>417</v>
      </c>
      <c r="C32" s="101">
        <f>'C2 lossyG,lossyA,intra'!AU370</f>
        <v>0.97982435178136751</v>
      </c>
      <c r="D32" s="101"/>
      <c r="E32" s="101"/>
      <c r="F32" s="101"/>
      <c r="G32" s="101"/>
      <c r="H32" s="101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100" t="e">
        <f>'CW losslG,losslA,intra'!AI75</f>
        <v>#NUM!</v>
      </c>
      <c r="D45" s="100"/>
      <c r="E45" s="100"/>
      <c r="F45" s="100"/>
    </row>
    <row r="46" spans="2:6" x14ac:dyDescent="0.15">
      <c r="B46" s="8" t="s">
        <v>417</v>
      </c>
      <c r="C46" s="101" t="e">
        <f>'CW losslG,losslA,intra'!AJ75</f>
        <v>#NUM!</v>
      </c>
      <c r="D46" s="101"/>
      <c r="E46" s="101"/>
      <c r="F46" s="101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100" t="e">
        <f>'CY losslG,nearllA,intra'!AX311</f>
        <v>#NUM!</v>
      </c>
      <c r="D59" s="100"/>
      <c r="E59" s="100"/>
      <c r="F59" s="100"/>
    </row>
    <row r="60" spans="2:6" x14ac:dyDescent="0.15">
      <c r="B60" s="8" t="s">
        <v>417</v>
      </c>
      <c r="C60" s="101" t="e">
        <f>'CY losslG,nearllA,intra'!AY311</f>
        <v>#NUM!</v>
      </c>
      <c r="D60" s="101"/>
      <c r="E60" s="101"/>
      <c r="F60" s="101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7" t="s">
        <v>218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AA1" s="96" t="str">
        <f>Summary!C2</f>
        <v>v20.0-rc1-trisoup-raht+18edges+flagCtx_test</v>
      </c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</row>
    <row r="2" spans="1:56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4" t="s">
        <v>155</v>
      </c>
      <c r="Y2" s="103" t="s">
        <v>158</v>
      </c>
      <c r="AA2" s="104" t="s">
        <v>112</v>
      </c>
      <c r="AB2" s="106" t="s">
        <v>115</v>
      </c>
      <c r="AC2" s="106"/>
      <c r="AD2" s="106"/>
      <c r="AE2" s="106"/>
      <c r="AF2" s="104" t="s">
        <v>128</v>
      </c>
      <c r="AG2" s="103" t="s">
        <v>22</v>
      </c>
      <c r="AH2" s="105" t="s">
        <v>133</v>
      </c>
      <c r="AI2" s="105"/>
      <c r="AJ2" s="105"/>
      <c r="AK2" s="105"/>
      <c r="AL2" s="106" t="s">
        <v>143</v>
      </c>
      <c r="AM2" s="106"/>
      <c r="AN2" s="106"/>
      <c r="AO2" s="106"/>
      <c r="AP2" s="104" t="s">
        <v>155</v>
      </c>
      <c r="AQ2" s="103" t="s">
        <v>158</v>
      </c>
      <c r="AS2" s="104" t="s">
        <v>195</v>
      </c>
      <c r="AT2" s="103" t="s">
        <v>195</v>
      </c>
      <c r="AV2" s="105" t="s">
        <v>200</v>
      </c>
      <c r="AW2" s="105"/>
      <c r="AX2" s="105"/>
      <c r="AY2" s="105"/>
      <c r="BA2" s="106" t="s">
        <v>209</v>
      </c>
      <c r="BB2" s="106"/>
      <c r="BC2" s="106"/>
      <c r="BD2" s="106"/>
    </row>
    <row r="3" spans="1:56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4"/>
      <c r="Y3" s="103"/>
      <c r="AA3" s="104"/>
      <c r="AB3" s="11" t="s">
        <v>116</v>
      </c>
      <c r="AC3" s="11" t="s">
        <v>119</v>
      </c>
      <c r="AD3" s="11" t="s">
        <v>122</v>
      </c>
      <c r="AE3" s="11" t="s">
        <v>125</v>
      </c>
      <c r="AF3" s="104"/>
      <c r="AG3" s="103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4"/>
      <c r="AQ3" s="103"/>
      <c r="AS3" s="104"/>
      <c r="AT3" s="103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zoomScale="85" zoomScaleNormal="85" workbookViewId="0">
      <pane xSplit="2" ySplit="4" topLeftCell="AP5" activePane="bottomRight" state="frozen"/>
      <selection pane="topRight" activeCell="C1" sqref="C1"/>
      <selection pane="bottomLeft" activeCell="A5" sqref="A5"/>
      <selection pane="bottomRight" activeCell="AZ9" sqref="AZ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7" t="s">
        <v>492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C1" s="96" t="str">
        <f>Summary!C2</f>
        <v>v20.0-rc1-trisoup-raht+18edges+flagCtx_test</v>
      </c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</row>
    <row r="2" spans="1:6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438</v>
      </c>
      <c r="U2" s="106"/>
      <c r="V2" s="105" t="s">
        <v>143</v>
      </c>
      <c r="W2" s="105"/>
      <c r="X2" s="105"/>
      <c r="Y2" s="105"/>
      <c r="Z2" s="103" t="s">
        <v>155</v>
      </c>
      <c r="AA2" s="104" t="s">
        <v>158</v>
      </c>
      <c r="AC2" s="103" t="s">
        <v>112</v>
      </c>
      <c r="AD2" s="105" t="s">
        <v>115</v>
      </c>
      <c r="AE2" s="105"/>
      <c r="AF2" s="105"/>
      <c r="AG2" s="105"/>
      <c r="AH2" s="103" t="s">
        <v>128</v>
      </c>
      <c r="AI2" s="104" t="s">
        <v>22</v>
      </c>
      <c r="AJ2" s="106" t="s">
        <v>133</v>
      </c>
      <c r="AK2" s="106"/>
      <c r="AL2" s="106"/>
      <c r="AM2" s="106"/>
      <c r="AN2" s="105" t="s">
        <v>438</v>
      </c>
      <c r="AO2" s="105"/>
      <c r="AP2" s="106" t="s">
        <v>143</v>
      </c>
      <c r="AQ2" s="106"/>
      <c r="AR2" s="106"/>
      <c r="AS2" s="106"/>
      <c r="AT2" s="104" t="s">
        <v>155</v>
      </c>
      <c r="AU2" s="103" t="s">
        <v>158</v>
      </c>
      <c r="AW2" s="104" t="s">
        <v>195</v>
      </c>
      <c r="AX2" s="103" t="s">
        <v>195</v>
      </c>
      <c r="AZ2" s="105" t="s">
        <v>474</v>
      </c>
      <c r="BA2" s="105"/>
      <c r="BB2" s="106" t="s">
        <v>200</v>
      </c>
      <c r="BC2" s="106"/>
      <c r="BD2" s="106"/>
      <c r="BE2" s="106"/>
      <c r="BG2" s="105" t="s">
        <v>483</v>
      </c>
      <c r="BH2" s="105"/>
      <c r="BI2" s="106" t="s">
        <v>209</v>
      </c>
      <c r="BJ2" s="106"/>
      <c r="BK2" s="106"/>
      <c r="BL2" s="106"/>
    </row>
    <row r="3" spans="1:6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3"/>
      <c r="AA3" s="104"/>
      <c r="AC3" s="103"/>
      <c r="AD3" s="12" t="s">
        <v>116</v>
      </c>
      <c r="AE3" s="12" t="s">
        <v>119</v>
      </c>
      <c r="AF3" s="12" t="s">
        <v>122</v>
      </c>
      <c r="AG3" s="12" t="s">
        <v>125</v>
      </c>
      <c r="AH3" s="103"/>
      <c r="AI3" s="104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4"/>
      <c r="AU3" s="103"/>
      <c r="AW3" s="104"/>
      <c r="AX3" s="103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7.7552183992283062E-3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22688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5.5061770134343102E-4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4.0702646668084874E-3</v>
      </c>
      <c r="BA5" s="28">
        <f>IF( OR(ISBLANK(Q5:Q10),ISBLANK(AK5:AK10), ISBLANK(U5:U10),ISBLANK(AO5:AO10)), "·", bdRateExtend( Q5:Q10,U5:U10, AK5:AK10,AO5:AO10))</f>
        <v>3.7421901507299626E-3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2.3019544599684021E-2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67344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1.0417927779944325E-3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7.3773019031869266E-2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215824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2.0352000146005023E-3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0.22915631236083642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670400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1.8084969479116308E-3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7.7045370219665701E-3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19976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2.5589600855344119E-4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3.7143289272743019E-3</v>
      </c>
      <c r="BA11" s="28">
        <f>IF( OR(ISBLANK(Q11:Q16),ISBLANK(AK11:AK16), ISBLANK(U11:U16),ISBLANK(AO11:AO16)), "·", bdRateExtend( Q11:Q16,U11:U16, AK11:AK16,AO11:AO16))</f>
        <v>3.1984200547852115E-3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2.2613757242287941E-2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58632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4.6816096102206273E-4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7.3694498291009033E-2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191072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2.0382794289244832E-3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0.22617459863203584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586416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2.0003004716242501E-3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>
        <f t="shared" si="7"/>
        <v>0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>
        <f t="shared" si="7"/>
        <v>0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6.474048779406931E-3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26296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-1.6488229879435545E-4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2.728833854002799E-3</v>
      </c>
      <c r="BA17" s="28">
        <f>IF( OR(ISBLANK(Q17:Q22),ISBLANK(AK17:AK22), ISBLANK(U17:U22),ISBLANK(AO17:AO22)), "·", bdRateExtend( Q17:Q22,U17:U22, AK17:AK22,AO17:AO22))</f>
        <v>2.6392284144454159E-3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2.159066708848761E-2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87696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3.6922985109880124E-4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8.17006441796711E-2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331848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6.1805116840990548E-4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0.27919950858680548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1134040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1.2096328002447476E-3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6.9559866008676334E-3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5968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1.1311002051721253E-4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3.5511876654064078E-3</v>
      </c>
      <c r="BA23" s="28">
        <f>IF( OR(ISBLANK(Q23:Q28),ISBLANK(AK23:AK28), ISBLANK(U23:U28),ISBLANK(AO23:AO28)), "·", bdRateExtend( Q23:Q28,U23:U28, AK23:AK28,AO23:AO28))</f>
        <v>3.770106642674742E-3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2.4541765058289023E-2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21056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1.2564005308961235E-4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8.658618173680542E-2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74288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4.5906533164169483E-4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0.26206166677933623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224840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6.5593624752073587E-4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>
        <f t="shared" si="7"/>
        <v>0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>
        <f t="shared" si="7"/>
        <v>0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4.7797073436384174E-5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3.0464488169417159E-3</v>
      </c>
      <c r="BA29" s="28">
        <f>IF( OR(ISBLANK(Q29:Q34),ISBLANK(AK29:AK34), ISBLANK(U29:U34),ISBLANK(AO29:AO34)), "·", bdRateExtend( Q29:Q34,U29:U34, AK29:AK34,AO29:AO34))</f>
        <v>3.3271560696801483E-3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2.335570636482736E-2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18808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4.7095838733887674E-4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8.0597552419329796E-2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64904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2.0758057504615124E-3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0.24930304178023929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200760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2.0584417681004941E-3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>
        <f t="shared" si="7"/>
        <v>0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>
        <f t="shared" si="7"/>
        <v>0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5.4825558220686858E-3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5488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2.6970508152925066E-4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5.152617964478301E-3</v>
      </c>
      <c r="BA35" s="28">
        <f>IF( OR(ISBLANK(Q35:Q40),ISBLANK(AK35:AK40), ISBLANK(U35:U40),ISBLANK(AO35:AO40)), "·", bdRateExtend( Q35:Q40,U35:U40, AK35:AK40,AO35:AO40))</f>
        <v>5.4076364233908158E-3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1.8213913583811275E-2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18232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4.1235207587661526E-4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6.3752693575279754E-2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63816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1.3714515660437077E-3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0.20277464477773571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202976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1.3719884667951765E-3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>
        <f t="shared" si="7"/>
        <v>0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>
        <f t="shared" si="7"/>
        <v>0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7.3169669429886328E-3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5544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1.2379376054193203E-4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3.7490010106573379E-3</v>
      </c>
      <c r="BA41" s="28">
        <f>IF( OR(ISBLANK(Q41:Q46),ISBLANK(AK41:AK46), ISBLANK(U41:U46),ISBLANK(AO41:AO46)), "·", bdRateExtend( Q41:Q46,U41:U46, AK41:AK46,AO41:AO46))</f>
        <v>3.8123109603154237E-3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2.5297911681674983E-2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19168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3.1257233010195673E-4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9.0200358721431298E-2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68344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9.2871285743417742E-4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0.28220475101327586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213824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1.2894425488615135E-3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>
        <f t="shared" si="7"/>
        <v>0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>
        <f t="shared" si="7"/>
        <v>0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7.2427372919251012E-3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7888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7.3215365697543167E-5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4.4446363748744666E-3</v>
      </c>
      <c r="BA47" s="28">
        <f>IF( OR(ISBLANK(Q47:Q52),ISBLANK(AK47:AK52), ISBLANK(U47:U52),ISBLANK(AO47:AO52)), "·", bdRateExtend( Q47:Q52,U47:U52, AK47:AK52,AO47:AO52))</f>
        <v>4.776490487587326E-3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2.462971413775341E-2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26824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6.0976965743539391E-4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8.7471111229456486E-2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95264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1.2657525579680695E-3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0.26298628856541834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286416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1.6373495016171191E-3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>
        <f t="shared" si="7"/>
        <v>0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>
        <f t="shared" si="7"/>
        <v>0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2.1979320909266617E-3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6880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7.4602840597723374E-5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2.674995327537566E-3</v>
      </c>
      <c r="BA53" s="28">
        <f>IF( OR(ISBLANK(Q53:Q58),ISBLANK(AK53:AK58), ISBLANK(U53:U58),ISBLANK(AO53:AO58)), "·", bdRateExtend( Q53:Q58,U53:U58, AK53:AK58,AO53:AO58))</f>
        <v>2.7541084743576416E-3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7.5879771836758819E-3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23752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1.4367168089156335E-4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2.7001340163535094E-2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84520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5.9969353173904005E-4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8.175796231249291E-2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255920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8.0746481933322012E-4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7.846359307030891E-3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27408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-4.7846579941418499E-4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1.2421626688561282E-3</v>
      </c>
      <c r="BA59" s="28">
        <f>IF( OR(ISBLANK(Q59:Q64),ISBLANK(AK59:AK64), ISBLANK(U59:U64),ISBLANK(AO59:AO64)), "·", bdRateExtend( Q59:Q64,U59:U64, AK59:AK64,AO59:AO64))</f>
        <v>2.2880818984445384E-3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2.4086445076486829E-2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84136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5.2553237700081468E-4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7.7538336456169837E-2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270848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3.5782180942288133E-3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0.23085381546684378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806392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1.4106878388031596E-3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2.0309695285652081E-2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32416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5.4610620012920941E-4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5.5032549960161159E-3</v>
      </c>
      <c r="BA65" s="28">
        <f>IF( OR(ISBLANK(Q65:Q70),ISBLANK(AK65:AK70), ISBLANK(U65:U70),ISBLANK(AO65:AO70)), "·", bdRateExtend( Q65:Q70,U65:U70, AK65:AK70,AO65:AO70))</f>
        <v>5.4714549564045534E-3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7.9644881068364148E-2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127120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7.8890128139466609E-4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0.33886415823718663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540856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1.4470149286144041E-3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1.3507050063123205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2155840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9.0553532378074252E-3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80664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3.4671168303404554E-4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4.664659587629405E-3</v>
      </c>
      <c r="BA71" s="28">
        <f>IF( OR(ISBLANK(Q71:Q76),ISBLANK(AK71:AK76), ISBLANK(U71:U76),ISBLANK(AO71:AO76)), "·", bdRateExtend( Q71:Q76,U71:U76, AK71:AK76,AO71:AO76))</f>
        <v>4.6530061077658669E-3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3.2762902059749348E-2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291848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5.3163412577397762E-4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0.14793553572791732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1317792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8.0019533020442291E-4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0.60598750768982068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5398064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1.8639783778490737E-3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>
        <f t="shared" si="18"/>
        <v>0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>
        <f t="shared" si="18"/>
        <v>0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5.0293029171357782E-3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99088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-8.5246108112835284E-5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2.7676842968864523E-3</v>
      </c>
      <c r="BA77" s="28">
        <f>IF( OR(ISBLANK(Q77:Q82),ISBLANK(AK77:AK82), ISBLANK(U77:U82),ISBLANK(AO77:AO82)), "·", bdRateExtend( Q77:Q82,U77:U82, AK77:AK82,AO77:AO82))</f>
        <v>2.8559650080060006E-3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1.707916513003109E-2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336496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4.5471330659868636E-4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6.624257047485313E-2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1305120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1.1315123208056055E-3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0.23865962945942809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4702104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1.1332838606681328E-3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>
        <f t="shared" si="18"/>
        <v>0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>
        <f t="shared" si="18"/>
        <v>0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1.5093583705171556E-2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54552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-7.3976781411483339E-4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7.9790287621261946E-4</v>
      </c>
      <c r="BA83" s="28">
        <f>IF( OR(ISBLANK(Q83:Q88),ISBLANK(AK83:AK88), ISBLANK(U83:U88),ISBLANK(AO83:AO88)), "·", bdRateExtend( Q83:Q88,U83:U88, AK83:AK88,AO83:AO88))</f>
        <v>4.3362683443737282E-5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4.9116677286663267E-2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177520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2.6316920937380361E-4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0.19894135742094282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719024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1.2539374020810734E-3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>
        <f t="shared" si="18"/>
        <v>0.44089024254264575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>
        <v>1593488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>
        <f t="shared" si="18"/>
        <v>0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>
        <f t="shared" si="18"/>
        <v>0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2.6733381685611034E-2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371688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2.0435476081556714E-3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7.5896667098023229E-3</v>
      </c>
      <c r="BA89" s="28">
        <f>IF( OR(ISBLANK(Q89:Q94),ISBLANK(AK89:AK94), ISBLANK(U89:U94),ISBLANK(AO89:AO94)), "·", bdRateExtend( Q89:Q94,U89:U94, AK89:AK94,AO89:AO94))</f>
        <v>7.6423255617372732E-3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9.3682777795199429E-2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1302520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2.2260615188667843E-3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0.37505333183347289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5214560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1.9587674977443736E-3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>
        <f t="shared" si="18"/>
        <v>0.1492008208571127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>
        <v>2074416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>
        <f t="shared" si="18"/>
        <v>0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>
        <f t="shared" si="18"/>
        <v>0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9.4077952129881029E-3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45616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-1.5335087054349494E-4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8.7574427887560091E-4</v>
      </c>
      <c r="BA95" s="28">
        <f>IF( OR(ISBLANK(Q95:Q100),ISBLANK(AK95:AK100), ISBLANK(U95:U100),ISBLANK(AO95:AO100)), "·", bdRateExtend( Q95:Q100,U95:U100, AK95:AK100,AO95:AO100))</f>
        <v>9.2755611993622367E-4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3.4210914370625803E-2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165880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1.5616483876076948E-4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0.15690163124684842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760776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7.7647038997979978E-4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>
        <f t="shared" si="18"/>
        <v>0.27624632765798163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>
        <v>1339448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>
        <f t="shared" si="18"/>
        <v>0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>
        <f t="shared" si="18"/>
        <v>0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1.111579133701582E-3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79976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-9.1560410528407354E-5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-1.1596854824592606E-3</v>
      </c>
      <c r="BA101" s="28">
        <f>IF( OR(ISBLANK(Q101:Q106),ISBLANK(AK101:AK106), ISBLANK(U101:U106),ISBLANK(AO101:AO106)), "·", bdRateExtend( Q101:Q106,U101:U106, AK101:AK106,AO101:AO106))</f>
        <v>-1.1373254640445474E-3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3.4651647616961196E-3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249312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-1.5095149743297315E-4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1.5219082801554132E-2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1094984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2.3805536804755167E-5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6.0454249142444273E-2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4349568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6.378016148097243E-4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>
        <f t="shared" si="18"/>
        <v>0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>
        <f t="shared" si="18"/>
        <v>0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8.7567608769938653E-3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27112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1.7806221816996093E-4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3.8923844299321164E-3</v>
      </c>
      <c r="BA107" s="28">
        <f>IF( OR(ISBLANK(Q107:Q112),ISBLANK(AK107:AK112), ISBLANK(U107:U112),ISBLANK(AO107:AO112)), "·", bdRateExtend( Q107:Q112,U107:U112, AK107:AK112,AO107:AO112))</f>
        <v>4.2589687795457909E-3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2.712554608636223E-2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83984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3.7255365135790974E-4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8.7557273259903839E-2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271088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1.1652219280727794E-3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0.26486294790709153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820048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6.3704700947161963E-4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>
        <f t="shared" si="18"/>
        <v>0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>
        <f t="shared" si="18"/>
        <v>0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8.4791459872037272E-3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25584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5.8094764022131873E-5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2.019676964247763E-3</v>
      </c>
      <c r="BA113" s="28">
        <f>IF( OR(ISBLANK(Q113:Q118),ISBLANK(AK113:AK118), ISBLANK(U113:U118),ISBLANK(AO113:AO118)), "·", bdRateExtend( Q113:Q118,U113:U118, AK113:AK118,AO113:AO118))</f>
        <v>2.5192876475261805E-3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2.5554099132166833E-2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77104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4.4391819343120309E-4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8.3895289970950707E-2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253136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3.2672744185959224E-3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0.25190063252228412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760056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1.6668558703710756E-3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>
        <f t="shared" si="18"/>
        <v>0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>
        <f t="shared" si="18"/>
        <v>0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8.633611820251956E-3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23920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-1.649050417911746E-4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1.7516816657947576E-3</v>
      </c>
      <c r="BA119" s="28">
        <f>IF( OR(ISBLANK(Q119:Q124),ISBLANK(AK119:AK124), ISBLANK(U119:U124),ISBLANK(AO119:AO124)), "·", bdRateExtend( Q119:Q124,U119:U124, AK119:AK124,AO119:AO124))</f>
        <v>2.3743979513963787E-3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2.8935593328008311E-2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80168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4.3657136265823349E-4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9.6124728259594519E-2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266320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1.9335754512977421E-3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0.29310967754975786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812080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1.3891332012553326E-3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>
        <f t="shared" si="18"/>
        <v>0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>
        <f t="shared" si="18"/>
        <v>0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9.0360376974696604E-3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36160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1.159236679797726E-4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1.8832743571246535E-3</v>
      </c>
      <c r="BA125" s="28">
        <f>IF( OR(ISBLANK(Q125:Q130),ISBLANK(AK125:AK130), ISBLANK(U125:U130),ISBLANK(AO125:AO130)), "·", bdRateExtend( Q125:Q130,U125:U130, AK125:AK130,AO125:AO130))</f>
        <v>2.0204829065582075E-3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2.8137661635372888E-2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112600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3.2314299458915952E-4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9.0370372591618578E-2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361640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2.3302584929707493E-3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0.26814241954902773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1073040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1.3339464912505705E-3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>
        <f t="shared" si="18"/>
        <v>0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>
        <f t="shared" si="18"/>
        <v>0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3.6659454454407167E-3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5432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1.7785564547110472E-4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3.1082483947242334E-3</v>
      </c>
      <c r="BA131" s="28">
        <f>IF( OR(ISBLANK(Q131:Q136),ISBLANK(AK131:AK136), ISBLANK(U131:U136),ISBLANK(AO131:AO136)), "·", bdRateExtend( Q131:Q136,U131:U136, AK131:AK136,AO131:AO136))</f>
        <v>3.1871346497565067E-3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1.4059089749525222E-2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20832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8.2240036501549096E-5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6.7579733638558834E-2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100136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2.9929903910547173E-4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0.29467938499580898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436640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6.4360810342549424E-4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>
        <f t="shared" si="29"/>
        <v>0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>
        <f t="shared" si="29"/>
        <v>0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1.7485441023309033E-2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4768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-6.1740439178056827E-4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-1.815209293403286E-3</v>
      </c>
      <c r="BA137" s="28">
        <f>IF( OR(ISBLANK(Q137:Q142),ISBLANK(AK137:AK142), ISBLANK(U137:U142),ISBLANK(AO137:AO142)), "·", bdRateExtend( Q137:Q142,U137:U142, AK137:AK142,AO137:AO142))</f>
        <v>-1.6866773742038044E-3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5.7385105103343062E-2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15648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-4.2680093407307385E-4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0.24403338663067872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66544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3.6909386560862734E-4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1.0496252071995422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286216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2.152835791595642E-3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>
        <f t="shared" si="29"/>
        <v>0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>
        <f t="shared" si="29"/>
        <v>0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7.2786425809187811E-4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3048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-1.5149294935720183E-4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-3.616515975821577E-3</v>
      </c>
      <c r="BA143" s="28">
        <f>IF( OR(ISBLANK(Q143:Q148),ISBLANK(AK143:AK148), ISBLANK(U143:U148),ISBLANK(AO143:AO148)), "·", bdRateExtend( Q143:Q148,U143:U148, AK143:AK148,AO143:AO148))</f>
        <v>-3.2251179693999488E-3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3.2667923394674842E-3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13680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-5.4932364876907058E-5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1.7004513809122851E-2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71208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-7.7613408473717338E-5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7.660532515807407E-2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320792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2.4185124217938891E-4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9.7113162599144608E-3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9800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-1.60778148068072E-4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4.8197946618582233E-3</v>
      </c>
      <c r="BA149" s="28">
        <f>IF( OR(ISBLANK(Q149:Q154),ISBLANK(AK149:AK154), ISBLANK(U149:U154),ISBLANK(AO149:AO154)), "·", bdRateExtend( Q149:Q154,U149:U154, AK149:AK154,AO149:AO154))</f>
        <v>4.8537322600676891E-3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3.9249572900274692E-2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39608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4.5429956906863078E-4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0.19318780892886164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194952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8.1270549906028999E-4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>
        <f t="shared" si="29"/>
        <v>0.82591375558400681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>
        <v>833456</v>
      </c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>
        <f t="shared" si="29"/>
        <v>0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>
        <f t="shared" si="29"/>
        <v>0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3.2501804746852886E-3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152960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-4.1237824612493784E-4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-1.2270682802706823E-2</v>
      </c>
      <c r="BA155" s="28">
        <f>IF( OR(ISBLANK(Q155:Q160),ISBLANK(AK155:AK160), ISBLANK(U155:U160),ISBLANK(AO155:AO160)), "·", bdRateExtend( Q155:Q160,U155:U160, AK155:AK160,AO155:AO160))</f>
        <v>-1.198027847490557E-2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1.0473332604932531E-2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492896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-8.0549637832170312E-4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3.4389357256837477E-2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1618432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-1.1406500448096213E-3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0.10263345787967117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4830136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-7.7269384130806973E-4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>
        <f t="shared" si="29"/>
        <v>0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>
        <f t="shared" si="29"/>
        <v>0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4.6034024034173528E-3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199784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-7.6106398329486152E-4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-1.4064731086247839E-2</v>
      </c>
      <c r="BA161" s="28">
        <f>IF( OR(ISBLANK(Q161:Q166),ISBLANK(AK161:AK166), ISBLANK(U161:U166),ISBLANK(AO161:AO166)), "·", bdRateExtend( Q161:Q166,U161:U166, AK161:AK166,AO161:AO166))</f>
        <v>-1.3835444360361993E-2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1.4308649531913074E-2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620984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-1.0267043022070821E-3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4.9155187270255002E-2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2133296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-1.4686235199946746E-3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0.15563271621295174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6754336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-9.671791982858724E-4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>
        <f t="shared" si="29"/>
        <v>0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>
        <f t="shared" si="29"/>
        <v>0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1.6022988055738874E-5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1.8623706940879003E-3</v>
      </c>
      <c r="BA167" s="28">
        <f>IF( OR(ISBLANK(Q167:Q172),ISBLANK(AK167:AK172), ISBLANK(U167:U172),ISBLANK(AO167:AO172)), "·", bdRateExtend( Q167:Q172,U167:U172, AK167:AK172,AO167:AO172))</f>
        <v>2.0846516373169699E-3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1.1960132890365448E-2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5976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4.8817809708272264E-5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4.8977304567105633E-2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24472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3.2879204066935119E-4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0.20188127926990354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100872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7.696173160075398E-4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>
        <f t="shared" si="29"/>
        <v>0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>
        <f t="shared" si="29"/>
        <v>0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4.0083327795381388E-3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255680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-1.0700746682859585E-3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-2.1282126575234983E-3</v>
      </c>
      <c r="BA173" s="28">
        <f>IF( OR(ISBLANK(Q173:Q178),ISBLANK(AK173:AK178), ISBLANK(U173:U178),ISBLANK(AO173:AO178)), "·", bdRateExtend( Q173:Q178,U173:U178, AK173:AK178,AO173:AO178))</f>
        <v>-2.1965524569957928E-3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1.1726881723565537E-2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748024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-5.1410522285508242E-4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4.6858363363299099E-2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2988960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1.1415602946759917E-4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0.16214094886461325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10342504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9.5145939684548875E-4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>
        <f t="shared" si="29"/>
        <v>0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>
        <f t="shared" si="29"/>
        <v>0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3.5421205710336211E-2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70672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-1.5023266239338195E-3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-6.4693617503742695E-3</v>
      </c>
      <c r="BA179" s="28">
        <f>IF( OR(ISBLANK(Q179:Q184),ISBLANK(AK179:AK184), ISBLANK(U179:U184),ISBLANK(AO179:AO184)), "·", bdRateExtend( Q179:Q184,U179:U184, AK179:AK184,AO179:AO184))</f>
        <v>-6.4693617503758238E-3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0.14219404778193945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283704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-7.4496751777389236E-4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>
        <f t="shared" si="29"/>
        <v>0.25257156088972021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>
        <v>503928</v>
      </c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>
        <f t="shared" si="29"/>
        <v>1.544639630631484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>
        <v>3081848</v>
      </c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3.56995384671674E-3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5464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1.2110896286071648E-4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2.7369024502725825E-3</v>
      </c>
      <c r="BA185" s="28">
        <f>IF( OR(ISBLANK(Q185:Q190),ISBLANK(AK185:AK190), ISBLANK(U185:U190),ISBLANK(AO185:AO190)), "·", bdRateExtend( Q185:Q190,U185:U190, AK185:AK190,AO185:AO190))</f>
        <v>2.7567498172358373E-3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1.3636910082114165E-2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20872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8.3417550756782755E-5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6.546134989206509E-2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100192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2.6298398688498481E-4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0.28518861169042281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436496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6.4236126886843548E-4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>
        <f t="shared" si="29"/>
        <v>0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>
        <f t="shared" si="29"/>
        <v>0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1.7485120411897804E-2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4768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-6.6715081825924338E-4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-1.5520243175334292E-3</v>
      </c>
      <c r="BA191" s="28">
        <f>IF( OR(ISBLANK(Q191:Q196),ISBLANK(AK191:AK196), ISBLANK(U191:U196),ISBLANK(AO191:AO196)), "·", bdRateExtend( Q191:Q196,U191:U196, AK191:AK196,AO191:AO196))</f>
        <v>-1.3552615884248054E-3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5.744272779613406E-2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15664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-2.6031990437372365E-4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0.24420493675945859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66592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4.4348200008725858E-4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1.0513075334905331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286680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2.2237994514609505E-3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>
        <f t="shared" si="29"/>
        <v>0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>
        <f t="shared" si="29"/>
        <v>0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2.0172303008752394E-2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32336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5.2033831411277265E-4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5.3799115809594067E-3</v>
      </c>
      <c r="BA197" s="28">
        <f>IF( OR(ISBLANK(Q197:Q202),ISBLANK(AK197:AK202), ISBLANK(U197:U202),ISBLANK(AO197:AO202)), "·", bdRateExtend( Q197:Q202,U197:U202, AK197:AK202,AO197:AO202))</f>
        <v>5.3398569442733024E-3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7.9466496983761598E-2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127384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7.6620593080192756E-4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0.33770890648101359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541344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1.475311253482714E-3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>
        <f t="shared" si="40"/>
        <v>1.3473221916543459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>
        <v>2159744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>
        <f t="shared" si="40"/>
        <v>0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>
        <f t="shared" si="40"/>
        <v>0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9.0280207294178468E-3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80616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3.0232513355149537E-4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4.6502614734265091E-3</v>
      </c>
      <c r="BA203" s="28">
        <f>IF( OR(ISBLANK(Q203:Q208),ISBLANK(AK203:AK208), ISBLANK(U203:U208),ISBLANK(AO203:AO208)), "·", bdRateExtend( Q203:Q208,U203:U208, AK203:AK208,AO203:AO208))</f>
        <v>4.6157264048063418E-3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3.272735905980291E-2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292240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5.330423210580526E-4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0.1477327143236622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1319184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8.1706490616545446E-4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0.60450917248518732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5397984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1.8884145795833862E-3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>
        <f t="shared" si="40"/>
        <v>0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>
        <f t="shared" si="40"/>
        <v>0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5.0224632682664225E-3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99016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-2.353376266839291E-5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2.6344142638179413E-3</v>
      </c>
      <c r="BA209" s="28">
        <f>IF( OR(ISBLANK(Q209:Q214),ISBLANK(AK209:AK214), ISBLANK(U209:U214),ISBLANK(AO209:AO214)), "·", bdRateExtend( Q209:Q214,U209:U214, AK209:AK214,AO209:AO214))</f>
        <v>2.7330028013756724E-3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1.7080108380431606E-2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336728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3.837424701786385E-4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6.6235484319791163E-2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1305808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1.0997774583742792E-3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0.23863010559316131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4704504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1.0922509816201909E-3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>
        <f t="shared" si="40"/>
        <v>0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>
        <f t="shared" si="40"/>
        <v>0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1.5037564994091009E-2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54600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-2.3507304616982028E-4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1.6522806803223045E-3</v>
      </c>
      <c r="BA215" s="28">
        <f>IF( OR(ISBLANK(Q215:Q220),ISBLANK(AK215:AK220), ISBLANK(U215:U220),ISBLANK(AO215:AO220)), "·", bdRateExtend( Q215:Q220,U215:U220, AK215:AK220,AO215:AO220))</f>
        <v>1.1645891619087578E-3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4.8924414753668988E-2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177640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4.8694301096807724E-4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0.19834162648616446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720160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1.2919356953323136E-3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>
        <f t="shared" si="40"/>
        <v>0.43950671278553816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>
        <v>1595808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>
        <f t="shared" si="40"/>
        <v>0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>
        <f t="shared" si="40"/>
        <v>0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2.6543827481377232E-2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372296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2.4815952623810089E-3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7.7810805385334358E-3</v>
      </c>
      <c r="BA221" s="28">
        <f>IF( OR(ISBLANK(Q221:Q226),ISBLANK(AK221:AK226), ISBLANK(U221:U226),ISBLANK(AO221:AO226)), "·", bdRateExtend( Q221:Q226,U221:U226, AK221:AK226,AO221:AO226))</f>
        <v>7.8374617194443275E-3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9.2917370522944687E-2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1303232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2.1136834831192997E-3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0.37171340144016962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5213544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1.8864960861948443E-3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>
        <f t="shared" si="40"/>
        <v>0.14697809572407355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>
        <v>2061472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>
        <f t="shared" si="40"/>
        <v>0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>
        <f t="shared" si="40"/>
        <v>0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9.1148366641825348E-3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45584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-3.7008583110909044E-4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2.8736111511129536E-4</v>
      </c>
      <c r="BA227" s="28">
        <f>IF( OR(ISBLANK(Q227:Q232),ISBLANK(AK227:AK232), ISBLANK(U227:U232),ISBLANK(AO227:AO232)), "·", bdRateExtend( Q227:Q232,U227:U232, AK227:AK232,AO227:AO232))</f>
        <v>4.9671477533141939E-4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3.3154458529632717E-2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165808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1.2455354430848664E-4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0.15236238114310177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761976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7.8144356850157193E-4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>
        <f t="shared" si="40"/>
        <v>0.26853415774242229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>
        <v>1342960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>
        <f t="shared" si="40"/>
        <v>0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>
        <f t="shared" si="40"/>
        <v>0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1.1047666987744455E-3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79704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-8.0589138434700169E-5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-1.1253348440761757E-3</v>
      </c>
      <c r="BA233" s="28">
        <f>IF( OR(ISBLANK(Q233:Q238),ISBLANK(AK233:AK238), ISBLANK(U233:U238),ISBLANK(AO233:AO238)), "·", bdRateExtend( Q233:Q238,U233:U238, AK233:AK238,AO233:AO238))</f>
        <v>-1.1106349207978816E-3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3.4522434641116946E-3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249064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-1.5027902211286331E-4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1.5179869239057285E-2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1095160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3.0305310246753203E-5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6.0311634748250374E-2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4351216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6.5533468640585624E-4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>
        <f t="shared" si="40"/>
        <v>0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>
        <f t="shared" si="40"/>
        <v>0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7.2503034042648343E-4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3048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-1.13458385018049E-4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-3.619962514030961E-3</v>
      </c>
      <c r="BA239" s="28">
        <f>IF( OR(ISBLANK(Q239:Q244),ISBLANK(AK239:AK244), ISBLANK(U239:U244),ISBLANK(AO239:AO244)), "·", bdRateExtend( Q239:Q244,U239:U244, AK239:AK244,AO239:AO244))</f>
        <v>-3.2045621264891189E-3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3.2540731814416973E-3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13680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-7.6047275478090953E-5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1.6951628011861192E-2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71264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-6.9708507833103617E-5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7.6270908252738731E-2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320640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2.4068122805522008E-4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>
        <f t="shared" si="40"/>
        <v>0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>
        <f t="shared" si="40"/>
        <v>0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9.71312825861303E-3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9816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-6.2903600676053606E-5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4.8251641273864276E-3</v>
      </c>
      <c r="BA245" s="28">
        <f>IF( OR(ISBLANK(Q245:Q250),ISBLANK(AK245:AK250), ISBLANK(U245:U250),ISBLANK(AO245:AO250)), "·", bdRateExtend( Q245:Q250,U245:U250, AK245:AK250,AO245:AO250))</f>
        <v>4.8516848925599376E-3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3.9248321031950612E-2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39664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4.0888527683710651E-4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0.19264766854246673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194688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8.7264199305422951E-4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>
        <f t="shared" si="40"/>
        <v>0.82544174646320811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>
        <v>834184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>
        <f t="shared" si="40"/>
        <v>0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>
        <f t="shared" si="40"/>
        <v>0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3.252049242767278E-3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153048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-4.0696139305079759E-4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-1.2266740392284481E-2</v>
      </c>
      <c r="BA251" s="28">
        <f>IF( OR(ISBLANK(Q251:Q256),ISBLANK(AK251:AK256), ISBLANK(U251:U256),ISBLANK(AO251:AO256)), "·", bdRateExtend( Q251:Q256,U251:U256, AK251:AK256,AO251:AO256))</f>
        <v>-1.1985909590501276E-2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1.0469929275025987E-2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492736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-8.0319749481640862E-4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3.4385435830652226E-2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1618248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-1.143917090459412E-3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0.10258973595224923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4828080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-7.9281145368576E-4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>
        <f t="shared" si="40"/>
        <v>0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>
        <f t="shared" si="40"/>
        <v>0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4.6070887885117347E-3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199944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-7.5825832133291637E-4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-1.3951442001871595E-2</v>
      </c>
      <c r="BA257" s="28">
        <f>IF( OR(ISBLANK(Q257:Q262),ISBLANK(AK257:AK262), ISBLANK(U257:U262),ISBLANK(AO257:AO262)), "·", bdRateExtend( Q257:Q262,U257:U262, AK257:AK262,AO257:AO262))</f>
        <v>-1.3746039403749077E-2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1.4305146174675496E-2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620832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-1.0000359126087072E-3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4.9165322306465184E-2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2133736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-1.4926734527446195E-3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0.15582570437289325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6762712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-9.5120236214812914E-4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>
        <f t="shared" si="51"/>
        <v>0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1.6292734973333278E-5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3.4672479677444468E-3</v>
      </c>
      <c r="BA263" s="28">
        <f>IF( OR(ISBLANK(Q263:Q268),ISBLANK(AK263:AK268), ISBLANK(U263:U268),ISBLANK(AO263:AO268)), "·", bdRateExtend( Q263:Q268,U263:U268, AK263:AK268,AO263:AO268))</f>
        <v>3.6555983602344355E-3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1.1938722028622527E-2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5968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1.5380159428062673E-4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4.9147205562868335E-2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24568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3.3562703231796581E-4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0.20238214312863334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101168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8.3776669397012116E-4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>
        <f t="shared" si="51"/>
        <v>0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>
        <f t="shared" si="51"/>
        <v>0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3.9954503149872873E-3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255168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-1.0272353345999741E-3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-2.1043441474082325E-3</v>
      </c>
      <c r="BA269" s="28">
        <f>IF( OR(ISBLANK(Q269:Q274),ISBLANK(AK269:AK274), ISBLANK(U269:U274),ISBLANK(AO269:AO274)), "·", bdRateExtend( Q269:Q274,U269:U274, AK269:AK274,AO269:AO274))</f>
        <v>-2.1787043010608187E-3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1.1693231000860085E-2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746784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-5.292361255600786E-4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4.6825785805325357E-2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2990512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1.0688826070204271E-4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0.1619185802672875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10340872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9.510681251259645E-4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>
        <f t="shared" si="51"/>
        <v>0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>
        <f t="shared" si="51"/>
        <v>0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3.5262763479623274E-2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70536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-1.7815557801386384E-3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-8.0237224459793755E-3</v>
      </c>
      <c r="BA275" s="28">
        <f>IF( OR(ISBLANK(Q275:Q280),ISBLANK(AK275:AK280), ISBLANK(U275:U280),ISBLANK(AO275:AO280)), "·", bdRateExtend( Q275:Q280,U275:U280, AK275:AK280,AO275:AO280))</f>
        <v>-8.0237224459811518E-3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0.14193492266398439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283912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-1.0000380039377754E-3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>
        <f t="shared" si="51"/>
        <v>0.25159463819622785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>
        <v>503264</v>
      </c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>
        <f t="shared" si="51"/>
        <v>1.5414111004515829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>
        <v>3083280</v>
      </c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>
        <f t="shared" si="51"/>
        <v>0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>
        <f t="shared" si="51"/>
        <v>0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5.5361480126655919E-2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3.6813682897757095E-3</v>
      </c>
      <c r="BA359" s="94">
        <f>AVERAGE(BA5:BA58)</f>
        <v>3.7141830753296321E-3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9.3596546937993325E-2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2.6523672790765562E-3</v>
      </c>
      <c r="BA360" s="94">
        <f>AVERAGE(BA59:BA130)</f>
        <v>2.8264636797266838E-3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0.10656208315921986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-3.3971444239341039E-3</v>
      </c>
      <c r="BA361" s="94">
        <f>AVERAGE(BA131:BA184)</f>
        <v>-3.2519904265668632E-3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0.10966054223131583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-5.7680915410061873E-4</v>
      </c>
      <c r="BA362" s="94">
        <f>AVERAGE(BA185:BA280)</f>
        <v>-5.0959059373963111E-4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9.4239984968040258E-2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5.4690164512789612E-4</v>
      </c>
      <c r="BA366" s="3">
        <f>AVERAGE(BA5:BA358)</f>
        <v>6.5051844555980497E-4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7" t="s">
        <v>661</v>
      </c>
      <c r="B1" s="107"/>
      <c r="C1" s="107"/>
      <c r="D1" s="107"/>
      <c r="E1" s="107"/>
      <c r="F1" s="107"/>
      <c r="H1" s="95" t="str">
        <f>Summary!C1</f>
        <v>v20.0-rc1-trisoup-raht+18edges</v>
      </c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W1" s="96" t="str">
        <f>Summary!C2</f>
        <v>v20.0-rc1-trisoup-raht+18edges+flagCtx_test</v>
      </c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</row>
    <row r="2" spans="1:43" ht="30" customHeight="1" x14ac:dyDescent="0.15">
      <c r="A2" s="103" t="s">
        <v>91</v>
      </c>
      <c r="B2" s="104" t="s">
        <v>94</v>
      </c>
      <c r="C2" s="103" t="s">
        <v>100</v>
      </c>
      <c r="D2" s="104" t="s">
        <v>103</v>
      </c>
      <c r="E2" s="103" t="s">
        <v>106</v>
      </c>
      <c r="F2" s="104" t="s">
        <v>109</v>
      </c>
      <c r="H2" s="103" t="s">
        <v>619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3" t="s">
        <v>155</v>
      </c>
      <c r="U2" s="104" t="s">
        <v>158</v>
      </c>
      <c r="W2" s="103" t="s">
        <v>619</v>
      </c>
      <c r="X2" s="104" t="s">
        <v>112</v>
      </c>
      <c r="Y2" s="106" t="s">
        <v>115</v>
      </c>
      <c r="Z2" s="106"/>
      <c r="AA2" s="106"/>
      <c r="AB2" s="106"/>
      <c r="AC2" s="104" t="s">
        <v>128</v>
      </c>
      <c r="AD2" s="103" t="s">
        <v>22</v>
      </c>
      <c r="AE2" s="105" t="s">
        <v>133</v>
      </c>
      <c r="AF2" s="105"/>
      <c r="AG2" s="105"/>
      <c r="AH2" s="105"/>
      <c r="AI2" s="103" t="s">
        <v>155</v>
      </c>
      <c r="AJ2" s="104" t="s">
        <v>158</v>
      </c>
      <c r="AL2" s="106" t="s">
        <v>650</v>
      </c>
      <c r="AM2" s="106"/>
      <c r="AN2" s="106"/>
      <c r="AO2" s="106"/>
      <c r="AP2" s="104" t="s">
        <v>195</v>
      </c>
      <c r="AQ2" s="103" t="s">
        <v>195</v>
      </c>
    </row>
    <row r="3" spans="1:43" ht="27.75" thickBot="1" x14ac:dyDescent="0.2">
      <c r="A3" s="103"/>
      <c r="B3" s="104"/>
      <c r="C3" s="103"/>
      <c r="D3" s="104"/>
      <c r="E3" s="103"/>
      <c r="F3" s="104"/>
      <c r="H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03"/>
      <c r="U3" s="104"/>
      <c r="W3" s="103"/>
      <c r="X3" s="104"/>
      <c r="Y3" s="11" t="s">
        <v>116</v>
      </c>
      <c r="Z3" s="11" t="s">
        <v>119</v>
      </c>
      <c r="AA3" s="11" t="s">
        <v>122</v>
      </c>
      <c r="AB3" s="11" t="s">
        <v>125</v>
      </c>
      <c r="AC3" s="104"/>
      <c r="AD3" s="103"/>
      <c r="AE3" s="12" t="s">
        <v>116</v>
      </c>
      <c r="AF3" s="12" t="s">
        <v>119</v>
      </c>
      <c r="AG3" s="12" t="s">
        <v>138</v>
      </c>
      <c r="AH3" s="12" t="s">
        <v>125</v>
      </c>
      <c r="AI3" s="103"/>
      <c r="AJ3" s="104"/>
      <c r="AL3" s="11" t="s">
        <v>116</v>
      </c>
      <c r="AM3" s="11" t="s">
        <v>119</v>
      </c>
      <c r="AN3" s="11" t="s">
        <v>138</v>
      </c>
      <c r="AO3" s="11" t="s">
        <v>125</v>
      </c>
      <c r="AP3" s="104"/>
      <c r="AQ3" s="103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7" t="s">
        <v>868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E1" s="96" t="str">
        <f>Summary!C2</f>
        <v>v20.0-rc1-trisoup-raht+18edges+flagCtx_test</v>
      </c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</row>
    <row r="2" spans="1:7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5" t="s">
        <v>804</v>
      </c>
      <c r="Y2" s="105"/>
      <c r="Z2" s="105"/>
      <c r="AA2" s="105"/>
      <c r="AB2" s="103" t="s">
        <v>155</v>
      </c>
      <c r="AC2" s="104" t="s">
        <v>158</v>
      </c>
      <c r="AE2" s="103" t="s">
        <v>112</v>
      </c>
      <c r="AF2" s="105" t="s">
        <v>115</v>
      </c>
      <c r="AG2" s="105"/>
      <c r="AH2" s="105"/>
      <c r="AI2" s="105"/>
      <c r="AJ2" s="103" t="s">
        <v>128</v>
      </c>
      <c r="AK2" s="104" t="s">
        <v>22</v>
      </c>
      <c r="AL2" s="106" t="s">
        <v>133</v>
      </c>
      <c r="AM2" s="106"/>
      <c r="AN2" s="106"/>
      <c r="AO2" s="106"/>
      <c r="AP2" s="105" t="s">
        <v>143</v>
      </c>
      <c r="AQ2" s="105"/>
      <c r="AR2" s="105"/>
      <c r="AS2" s="105"/>
      <c r="AT2" s="106" t="s">
        <v>804</v>
      </c>
      <c r="AU2" s="106"/>
      <c r="AV2" s="106"/>
      <c r="AW2" s="106"/>
      <c r="AX2" s="104" t="s">
        <v>155</v>
      </c>
      <c r="AY2" s="103" t="s">
        <v>158</v>
      </c>
      <c r="BA2" s="104" t="s">
        <v>195</v>
      </c>
      <c r="BB2" s="103" t="s">
        <v>195</v>
      </c>
      <c r="BD2" s="105" t="s">
        <v>200</v>
      </c>
      <c r="BE2" s="105"/>
      <c r="BF2" s="105"/>
      <c r="BG2" s="105"/>
      <c r="BI2" s="106" t="s">
        <v>846</v>
      </c>
      <c r="BJ2" s="106"/>
      <c r="BK2" s="106"/>
      <c r="BL2" s="106"/>
      <c r="BN2" s="105" t="s">
        <v>209</v>
      </c>
      <c r="BO2" s="105"/>
      <c r="BP2" s="105"/>
      <c r="BQ2" s="105"/>
      <c r="BS2" s="106" t="s">
        <v>859</v>
      </c>
      <c r="BT2" s="106"/>
      <c r="BU2" s="106"/>
      <c r="BV2" s="106"/>
    </row>
    <row r="3" spans="1:7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3"/>
      <c r="AC3" s="104"/>
      <c r="AE3" s="103"/>
      <c r="AF3" s="12" t="s">
        <v>116</v>
      </c>
      <c r="AG3" s="12" t="s">
        <v>119</v>
      </c>
      <c r="AH3" s="12" t="s">
        <v>122</v>
      </c>
      <c r="AI3" s="12" t="s">
        <v>125</v>
      </c>
      <c r="AJ3" s="103"/>
      <c r="AK3" s="104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4"/>
      <c r="AY3" s="103"/>
      <c r="BA3" s="104"/>
      <c r="BB3" s="103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2023-04-11T03:31:16Z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